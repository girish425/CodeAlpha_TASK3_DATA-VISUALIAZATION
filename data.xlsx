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EERTHI\OneDrive\Documents\Desktop\"/>
    </mc:Choice>
  </mc:AlternateContent>
  <xr:revisionPtr revIDLastSave="0" documentId="13_ncr:1_{5B3CB35F-93DD-437F-8FEF-9420F8A53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Sheet1!$C$1</definedName>
    <definedName name="_xlchart.v1.1" hidden="1">Sheet1!$C$2:$C$5001</definedName>
    <definedName name="_xlchart.v1.2" hidden="1">Sheet1!$J$1</definedName>
    <definedName name="_xlchart.v1.3" hidden="1">Sheet1!$J$2:$J$5001</definedName>
  </definedNames>
  <calcPr calcId="191029"/>
  <pivotCaches>
    <pivotCache cacheId="3" r:id="rId2"/>
    <pivotCache cacheId="1" r:id="rId3"/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11" i="1" l="1"/>
  <c r="CC12" i="1"/>
  <c r="CC13" i="1"/>
  <c r="CC14" i="1"/>
  <c r="CC10" i="1"/>
  <c r="AQ8" i="1"/>
  <c r="AR8" i="1" s="1"/>
  <c r="AR9" i="1"/>
  <c r="AQ7" i="1"/>
  <c r="AR7" i="1" s="1"/>
  <c r="Z23" i="1"/>
  <c r="Z24" i="1"/>
  <c r="T21" i="1"/>
  <c r="T20" i="1"/>
  <c r="T19" i="1"/>
  <c r="T18" i="1"/>
  <c r="T17" i="1"/>
  <c r="T15" i="1"/>
  <c r="T16" i="1" s="1"/>
  <c r="T13" i="1"/>
  <c r="T12" i="1"/>
  <c r="T10" i="1"/>
  <c r="T9" i="1"/>
  <c r="T11" i="1" s="1"/>
  <c r="AM9" i="1"/>
  <c r="AM8" i="1"/>
  <c r="AM7" i="1"/>
  <c r="T14" i="1" l="1"/>
  <c r="Z25" i="1"/>
  <c r="T8" i="1"/>
  <c r="T7" i="1"/>
  <c r="T6" i="1"/>
</calcChain>
</file>

<file path=xl/sharedStrings.xml><?xml version="1.0" encoding="utf-8"?>
<sst xmlns="http://schemas.openxmlformats.org/spreadsheetml/2006/main" count="25167" uniqueCount="5082">
  <si>
    <t>UserID</t>
  </si>
  <si>
    <t>Signup_Month</t>
  </si>
  <si>
    <t>Age</t>
  </si>
  <si>
    <t>Gender</t>
  </si>
  <si>
    <t>Subscription_Plan</t>
  </si>
  <si>
    <t>Country</t>
  </si>
  <si>
    <t>Time_Spent_hrs</t>
  </si>
  <si>
    <t>Devices_Used</t>
  </si>
  <si>
    <t>Satisfaction_Score</t>
  </si>
  <si>
    <t>Annual_Income_INR</t>
  </si>
  <si>
    <t>Watch_Hours_Month</t>
  </si>
  <si>
    <t>Preferred_Genre</t>
  </si>
  <si>
    <t>Membership_Duration</t>
  </si>
  <si>
    <t>Reviews_Written</t>
  </si>
  <si>
    <t>Churn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</si>
  <si>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</si>
  <si>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</si>
  <si>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</si>
  <si>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</si>
  <si>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</si>
  <si>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</si>
  <si>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</si>
  <si>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</si>
  <si>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</si>
  <si>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</si>
  <si>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</si>
  <si>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</si>
  <si>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</si>
  <si>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</si>
  <si>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</si>
  <si>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</si>
  <si>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</si>
  <si>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</si>
  <si>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</si>
  <si>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</si>
  <si>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</si>
  <si>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</si>
  <si>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</si>
  <si>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</si>
  <si>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</si>
  <si>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</si>
  <si>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</si>
  <si>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</si>
  <si>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</si>
  <si>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</si>
  <si>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</si>
  <si>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</si>
  <si>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</si>
  <si>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</si>
  <si>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</si>
  <si>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</si>
  <si>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</si>
  <si>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</si>
  <si>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</si>
  <si>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</si>
  <si>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</si>
  <si>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</si>
  <si>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</si>
  <si>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</si>
  <si>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</si>
  <si>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</si>
  <si>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</si>
  <si>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</si>
  <si>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</si>
  <si>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</si>
  <si>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</si>
  <si>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</si>
  <si>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</si>
  <si>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</si>
  <si>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</si>
  <si>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</si>
  <si>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</si>
  <si>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</si>
  <si>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</si>
  <si>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</si>
  <si>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</si>
  <si>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</si>
  <si>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</si>
  <si>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</si>
  <si>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</si>
  <si>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</si>
  <si>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</si>
  <si>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</si>
  <si>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</si>
  <si>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</si>
  <si>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</si>
  <si>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</si>
  <si>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</si>
  <si>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</si>
  <si>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</si>
  <si>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</si>
  <si>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</si>
  <si>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</si>
  <si>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</si>
  <si>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</si>
  <si>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</si>
  <si>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</si>
  <si>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</si>
  <si>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</si>
  <si>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</si>
  <si>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</si>
  <si>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</si>
  <si>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</si>
  <si>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</si>
  <si>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</si>
  <si>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</si>
  <si>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</si>
  <si>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</si>
  <si>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</si>
  <si>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</si>
  <si>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</si>
  <si>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</si>
  <si>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</si>
  <si>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</si>
  <si>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</si>
  <si>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</si>
  <si>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</si>
  <si>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</si>
  <si>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</si>
  <si>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</si>
  <si>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</si>
  <si>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</si>
  <si>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</si>
  <si>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</si>
  <si>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</si>
  <si>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</si>
  <si>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</si>
  <si>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</si>
  <si>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</si>
  <si>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</si>
  <si>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</si>
  <si>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</si>
  <si>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</si>
  <si>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</si>
  <si>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</si>
  <si>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</si>
  <si>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</si>
  <si>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</si>
  <si>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</si>
  <si>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</si>
  <si>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</si>
  <si>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</si>
  <si>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</si>
  <si>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</si>
  <si>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</si>
  <si>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</si>
  <si>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</si>
  <si>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</si>
  <si>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</si>
  <si>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</si>
  <si>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</si>
  <si>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</si>
  <si>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</si>
  <si>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</si>
  <si>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</si>
  <si>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</si>
  <si>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</si>
  <si>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</si>
  <si>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</si>
  <si>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</si>
  <si>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</si>
  <si>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</si>
  <si>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</si>
  <si>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</si>
  <si>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</si>
  <si>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</si>
  <si>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</si>
  <si>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</si>
  <si>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</si>
  <si>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</si>
  <si>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</si>
  <si>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</si>
  <si>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</si>
  <si>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</si>
  <si>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</si>
  <si>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</si>
  <si>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</si>
  <si>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</si>
  <si>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</si>
  <si>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</si>
  <si>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</si>
  <si>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</si>
  <si>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</si>
  <si>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</si>
  <si>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</si>
  <si>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</si>
  <si>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</si>
  <si>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</si>
  <si>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</si>
  <si>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</si>
  <si>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</si>
  <si>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</si>
  <si>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</si>
  <si>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</si>
  <si>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</si>
  <si>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</si>
  <si>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</si>
  <si>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</si>
  <si>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</si>
  <si>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</si>
  <si>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</si>
  <si>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</si>
  <si>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</si>
  <si>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</si>
  <si>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</si>
  <si>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</si>
  <si>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</si>
  <si>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</si>
  <si>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</si>
  <si>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</si>
  <si>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</si>
  <si>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</si>
  <si>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</si>
  <si>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</si>
  <si>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</si>
  <si>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</si>
  <si>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</si>
  <si>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</si>
  <si>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</si>
  <si>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</si>
  <si>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</si>
  <si>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</si>
  <si>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</si>
  <si>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</si>
  <si>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</si>
  <si>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</si>
  <si>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</si>
  <si>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</si>
  <si>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</si>
  <si>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</si>
  <si>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</si>
  <si>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</si>
  <si>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</si>
  <si>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</si>
  <si>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</si>
  <si>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</si>
  <si>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</si>
  <si>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</si>
  <si>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</si>
  <si>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</si>
  <si>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</si>
  <si>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</si>
  <si>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</si>
  <si>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</si>
  <si>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</si>
  <si>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</si>
  <si>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</si>
  <si>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</si>
  <si>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</si>
  <si>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</si>
  <si>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</si>
  <si>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</si>
  <si>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</si>
  <si>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</si>
  <si>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</si>
  <si>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</si>
  <si>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</si>
  <si>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</si>
  <si>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</si>
  <si>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</si>
  <si>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</si>
  <si>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</si>
  <si>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</si>
  <si>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</si>
  <si>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</si>
  <si>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</si>
  <si>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</si>
  <si>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</si>
  <si>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</si>
  <si>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</si>
  <si>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</si>
  <si>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</si>
  <si>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</si>
  <si>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</si>
  <si>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</si>
  <si>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</si>
  <si>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</si>
  <si>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</si>
  <si>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</si>
  <si>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</si>
  <si>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</si>
  <si>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</si>
  <si>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</si>
  <si>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</si>
  <si>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</si>
  <si>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</si>
  <si>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</si>
  <si>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</si>
  <si>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</si>
  <si>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</si>
  <si>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</si>
  <si>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</si>
  <si>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</si>
  <si>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</si>
  <si>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</si>
  <si>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</si>
  <si>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</si>
  <si>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</si>
  <si>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</si>
  <si>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</si>
  <si>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</si>
  <si>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</si>
  <si>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</si>
  <si>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</si>
  <si>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</si>
  <si>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</si>
  <si>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</si>
  <si>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</si>
  <si>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</si>
  <si>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</si>
  <si>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</si>
  <si>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</si>
  <si>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</si>
  <si>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</si>
  <si>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</si>
  <si>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</si>
  <si>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</si>
  <si>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</si>
  <si>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</si>
  <si>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</si>
  <si>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</si>
  <si>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</si>
  <si>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</si>
  <si>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</si>
  <si>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</si>
  <si>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</si>
  <si>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</si>
  <si>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</si>
  <si>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</si>
  <si>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</si>
  <si>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</si>
  <si>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</si>
  <si>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</si>
  <si>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</si>
  <si>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</si>
  <si>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</si>
  <si>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</si>
  <si>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</si>
  <si>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</si>
  <si>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</si>
  <si>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</si>
  <si>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</si>
  <si>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</si>
  <si>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</si>
  <si>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</si>
  <si>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</si>
  <si>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</si>
  <si>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</si>
  <si>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</si>
  <si>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</si>
  <si>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</si>
  <si>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</si>
  <si>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</si>
  <si>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</si>
  <si>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</si>
  <si>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</si>
  <si>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</si>
  <si>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</si>
  <si>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</si>
  <si>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</si>
  <si>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</si>
  <si>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</si>
  <si>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</si>
  <si>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</si>
  <si>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</si>
  <si>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</si>
  <si>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</si>
  <si>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</si>
  <si>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</si>
  <si>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</si>
  <si>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</si>
  <si>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</si>
  <si>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</si>
  <si>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</si>
  <si>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</si>
  <si>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</si>
  <si>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</si>
  <si>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</si>
  <si>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</si>
  <si>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</si>
  <si>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</si>
  <si>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</si>
  <si>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</si>
  <si>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</si>
  <si>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</si>
  <si>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</si>
  <si>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</si>
  <si>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</si>
  <si>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</si>
  <si>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</si>
  <si>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</si>
  <si>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</si>
  <si>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</si>
  <si>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</si>
  <si>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</si>
  <si>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</si>
  <si>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</si>
  <si>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</si>
  <si>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</si>
  <si>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</si>
  <si>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</si>
  <si>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</si>
  <si>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</si>
  <si>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</si>
  <si>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</si>
  <si>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</si>
  <si>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</si>
  <si>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</si>
  <si>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</si>
  <si>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</si>
  <si>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</si>
  <si>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</si>
  <si>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</si>
  <si>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</si>
  <si>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</si>
  <si>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</si>
  <si>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</si>
  <si>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</si>
  <si>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</si>
  <si>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</si>
  <si>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</si>
  <si>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</si>
  <si>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</si>
  <si>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</si>
  <si>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</si>
  <si>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</si>
  <si>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</si>
  <si>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</si>
  <si>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</si>
  <si>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</si>
  <si>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</si>
  <si>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</si>
  <si>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</si>
  <si>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</si>
  <si>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</si>
  <si>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</si>
  <si>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</si>
  <si>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</si>
  <si>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</si>
  <si>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</si>
  <si>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</si>
  <si>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</si>
  <si>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</si>
  <si>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</si>
  <si>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</si>
  <si>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</si>
  <si>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</si>
  <si>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</si>
  <si>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</si>
  <si>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</si>
  <si>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</si>
  <si>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</si>
  <si>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</si>
  <si>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</si>
  <si>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</si>
  <si>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</si>
  <si>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</si>
  <si>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</si>
  <si>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</si>
  <si>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</si>
  <si>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</si>
  <si>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</si>
  <si>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</si>
  <si>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</si>
  <si>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</si>
  <si>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</si>
  <si>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</si>
  <si>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</si>
  <si>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</si>
  <si>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</si>
  <si>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</si>
  <si>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</si>
  <si>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</si>
  <si>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</si>
  <si>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</si>
  <si>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</si>
  <si>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</si>
  <si>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</si>
  <si>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</si>
  <si>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</si>
  <si>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</si>
  <si>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</si>
  <si>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</si>
  <si>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</si>
  <si>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</si>
  <si>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</si>
  <si>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</si>
  <si>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</si>
  <si>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</si>
  <si>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</si>
  <si>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</si>
  <si>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</si>
  <si>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</si>
  <si>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</si>
  <si>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</si>
  <si>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</si>
  <si>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</si>
  <si>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</si>
  <si>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</si>
  <si>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</si>
  <si>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</si>
  <si>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</si>
  <si>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</si>
  <si>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</si>
  <si>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</si>
  <si>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</si>
  <si>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</si>
  <si>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</si>
  <si>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</si>
  <si>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</si>
  <si>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</si>
  <si>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</si>
  <si>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</si>
  <si>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</si>
  <si>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</si>
  <si>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</si>
  <si>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</si>
  <si>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</si>
  <si>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</si>
  <si>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</si>
  <si>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</si>
  <si>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</si>
  <si>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</si>
  <si>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</si>
  <si>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</si>
  <si>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</si>
  <si>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</si>
  <si>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</si>
  <si>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</si>
  <si>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</si>
  <si>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</si>
  <si>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</si>
  <si>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</si>
  <si>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</si>
  <si>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</si>
  <si>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</si>
  <si>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</si>
  <si>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</si>
  <si>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</si>
  <si>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</si>
  <si>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</si>
  <si>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</si>
  <si>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</si>
  <si>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</si>
  <si>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</si>
  <si>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</si>
  <si>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</si>
  <si>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</si>
  <si>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</si>
  <si>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</si>
  <si>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</si>
  <si>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</si>
  <si>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</si>
  <si>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</si>
  <si>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</si>
  <si>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</si>
  <si>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</si>
  <si>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</si>
  <si>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</si>
  <si>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</si>
  <si>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</si>
  <si>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</si>
  <si>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</si>
  <si>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</si>
  <si>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</si>
  <si>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</si>
  <si>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</si>
  <si>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</si>
  <si>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</si>
  <si>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</si>
  <si>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</si>
  <si>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</si>
  <si>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</si>
  <si>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</si>
  <si>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</si>
  <si>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</si>
  <si>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</si>
  <si>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</si>
  <si>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</si>
  <si>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</si>
  <si>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</si>
  <si>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</si>
  <si>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</si>
  <si>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</si>
  <si>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</si>
  <si>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</si>
  <si>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</si>
  <si>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</si>
  <si>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</si>
  <si>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</si>
  <si>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</si>
  <si>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</si>
  <si>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</si>
  <si>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</si>
  <si>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</si>
  <si>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</si>
  <si>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</si>
  <si>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</si>
  <si>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</si>
  <si>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</si>
  <si>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</si>
  <si>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</si>
  <si>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</si>
  <si>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</si>
  <si>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</si>
  <si>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</si>
  <si>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</si>
  <si>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</si>
  <si>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</si>
  <si>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</si>
  <si>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</si>
  <si>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</si>
  <si>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</si>
  <si>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</si>
  <si>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</si>
  <si>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</si>
  <si>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</si>
  <si>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</si>
  <si>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</si>
  <si>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</si>
  <si>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</si>
  <si>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</si>
  <si>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</si>
  <si>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</si>
  <si>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</si>
  <si>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</si>
  <si>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</si>
  <si>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</si>
  <si>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</si>
  <si>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</si>
  <si>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</si>
  <si>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</si>
  <si>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</si>
  <si>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</si>
  <si>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</si>
  <si>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</si>
  <si>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</si>
  <si>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</si>
  <si>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</si>
  <si>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</si>
  <si>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</si>
  <si>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</si>
  <si>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</si>
  <si>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</si>
  <si>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</si>
  <si>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</si>
  <si>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</si>
  <si>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</si>
  <si>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</si>
  <si>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</si>
  <si>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</si>
  <si>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</si>
  <si>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</si>
  <si>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</si>
  <si>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</si>
  <si>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</si>
  <si>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</si>
  <si>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</si>
  <si>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</si>
  <si>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</si>
  <si>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</si>
  <si>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</si>
  <si>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</si>
  <si>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</si>
  <si>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</si>
  <si>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</si>
  <si>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</si>
  <si>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</si>
  <si>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</si>
  <si>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</si>
  <si>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</si>
  <si>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</si>
  <si>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</si>
  <si>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</si>
  <si>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</si>
  <si>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</si>
  <si>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</si>
  <si>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</si>
  <si>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</si>
  <si>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</si>
  <si>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</si>
  <si>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</si>
  <si>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</si>
  <si>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</si>
  <si>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</si>
  <si>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</si>
  <si>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</si>
  <si>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</si>
  <si>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</si>
  <si>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</si>
  <si>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</si>
  <si>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</si>
  <si>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</si>
  <si>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</si>
  <si>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</si>
  <si>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</si>
  <si>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</si>
  <si>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</si>
  <si>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</si>
  <si>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</si>
  <si>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</si>
  <si>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</si>
  <si>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</si>
  <si>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</si>
  <si>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</si>
  <si>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</si>
  <si>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</si>
  <si>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</si>
  <si>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</si>
  <si>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</si>
  <si>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</si>
  <si>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</si>
  <si>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</si>
  <si>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</si>
  <si>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</si>
  <si>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</si>
  <si>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</si>
  <si>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</si>
  <si>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</si>
  <si>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</si>
  <si>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</si>
  <si>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</si>
  <si>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</si>
  <si>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</si>
  <si>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</si>
  <si>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</si>
  <si>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</si>
  <si>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</si>
  <si>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</si>
  <si>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</si>
  <si>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</si>
  <si>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</si>
  <si>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</si>
  <si>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</si>
  <si>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</si>
  <si>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</si>
  <si>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</si>
  <si>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</si>
  <si>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</si>
  <si>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</si>
  <si>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</si>
  <si>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</si>
  <si>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</si>
  <si>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</si>
  <si>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</si>
  <si>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</si>
  <si>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</si>
  <si>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</si>
  <si>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</si>
  <si>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</si>
  <si>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</si>
  <si>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</si>
  <si>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</si>
  <si>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</si>
  <si>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</si>
  <si>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</si>
  <si>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</si>
  <si>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</si>
  <si>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</si>
  <si>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</si>
  <si>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</si>
  <si>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</si>
  <si>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</si>
  <si>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</si>
  <si>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</si>
  <si>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</si>
  <si>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</si>
  <si>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</si>
  <si>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</si>
  <si>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</si>
  <si>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</si>
  <si>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</si>
  <si>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</si>
  <si>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</si>
  <si>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</si>
  <si>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</si>
  <si>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</si>
  <si>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</si>
  <si>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</si>
  <si>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</si>
  <si>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</si>
  <si>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</si>
  <si>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</si>
  <si>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</si>
  <si>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</si>
  <si>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</si>
  <si>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</si>
  <si>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</si>
  <si>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</si>
  <si>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</si>
  <si>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</si>
  <si>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</si>
  <si>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</si>
  <si>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</si>
  <si>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</si>
  <si>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</si>
  <si>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</si>
  <si>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</si>
  <si>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</si>
  <si>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</si>
  <si>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</si>
  <si>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</si>
  <si>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</si>
  <si>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</si>
  <si>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</si>
  <si>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</si>
  <si>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</si>
  <si>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</si>
  <si>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</si>
  <si>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</si>
  <si>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</si>
  <si>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</si>
  <si>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</si>
  <si>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</si>
  <si>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</si>
  <si>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</si>
  <si>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</si>
  <si>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</si>
  <si>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</si>
  <si>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</si>
  <si>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</si>
  <si>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</si>
  <si>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</si>
  <si>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</si>
  <si>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</si>
  <si>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</si>
  <si>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</si>
  <si>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</si>
  <si>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</si>
  <si>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</si>
  <si>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</si>
  <si>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</si>
  <si>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</si>
  <si>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</si>
  <si>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</si>
  <si>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</si>
  <si>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</si>
  <si>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</si>
  <si>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</si>
  <si>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</si>
  <si>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</si>
  <si>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</si>
  <si>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</si>
  <si>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</si>
  <si>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</si>
  <si>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</si>
  <si>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</si>
  <si>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</si>
  <si>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</si>
  <si>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</si>
  <si>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</si>
  <si>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</si>
  <si>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</si>
  <si>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</si>
  <si>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</si>
  <si>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</si>
  <si>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</si>
  <si>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</si>
  <si>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</si>
  <si>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</si>
  <si>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</si>
  <si>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</si>
  <si>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</si>
  <si>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</si>
  <si>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</si>
  <si>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</si>
  <si>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</si>
  <si>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</si>
  <si>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</si>
  <si>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</si>
  <si>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</si>
  <si>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</si>
  <si>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</si>
  <si>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</si>
  <si>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</si>
  <si>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</si>
  <si>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</si>
  <si>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</si>
  <si>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</si>
  <si>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</si>
  <si>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</si>
  <si>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</si>
  <si>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</si>
  <si>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</si>
  <si>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</si>
  <si>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</si>
  <si>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</si>
  <si>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</si>
  <si>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</si>
  <si>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</si>
  <si>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</si>
  <si>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</si>
  <si>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</si>
  <si>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</si>
  <si>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</si>
  <si>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</si>
  <si>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</si>
  <si>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</si>
  <si>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</si>
  <si>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</si>
  <si>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</si>
  <si>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</si>
  <si>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</si>
  <si>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</si>
  <si>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</si>
  <si>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</si>
  <si>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</si>
  <si>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</si>
  <si>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</si>
  <si>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</si>
  <si>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</si>
  <si>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</si>
  <si>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</si>
  <si>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</si>
  <si>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</si>
  <si>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</si>
  <si>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</si>
  <si>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</si>
  <si>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</si>
  <si>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</si>
  <si>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</si>
  <si>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</si>
  <si>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</si>
  <si>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</si>
  <si>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</si>
  <si>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</si>
  <si>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</si>
  <si>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</si>
  <si>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</si>
  <si>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</si>
  <si>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</si>
  <si>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</si>
  <si>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</si>
  <si>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</si>
  <si>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</si>
  <si>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</si>
  <si>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</si>
  <si>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</si>
  <si>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</si>
  <si>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</si>
  <si>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</si>
  <si>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</si>
  <si>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</si>
  <si>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</si>
  <si>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</si>
  <si>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</si>
  <si>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</si>
  <si>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</si>
  <si>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</si>
  <si>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</si>
  <si>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</si>
  <si>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</si>
  <si>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</si>
  <si>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</si>
  <si>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</si>
  <si>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</si>
  <si>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</si>
  <si>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</si>
  <si>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</si>
  <si>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</si>
  <si>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</si>
  <si>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</si>
  <si>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</si>
  <si>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</si>
  <si>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</si>
  <si>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</si>
  <si>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</si>
  <si>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</si>
  <si>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</si>
  <si>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</si>
  <si>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</si>
  <si>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</si>
  <si>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</si>
  <si>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</si>
  <si>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</si>
  <si>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</si>
  <si>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</si>
  <si>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</si>
  <si>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</si>
  <si>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</si>
  <si>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</si>
  <si>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</si>
  <si>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</si>
  <si>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</si>
  <si>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</si>
  <si>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</si>
  <si>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</si>
  <si>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</si>
  <si>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</si>
  <si>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</si>
  <si>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</si>
  <si>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</si>
  <si>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</si>
  <si>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</si>
  <si>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</si>
  <si>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</si>
  <si>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</si>
  <si>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</si>
  <si>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</si>
  <si>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</si>
  <si>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</si>
  <si>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</si>
  <si>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</si>
  <si>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</si>
  <si>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</si>
  <si>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</si>
  <si>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</si>
  <si>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</si>
  <si>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</si>
  <si>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</si>
  <si>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</si>
  <si>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</si>
  <si>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</si>
  <si>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</si>
  <si>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</si>
  <si>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</si>
  <si>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</si>
  <si>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</si>
  <si>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</si>
  <si>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</si>
  <si>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</si>
  <si>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</si>
  <si>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</si>
  <si>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</si>
  <si>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</si>
  <si>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</si>
  <si>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</si>
  <si>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</si>
  <si>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</si>
  <si>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</si>
  <si>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</si>
  <si>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</si>
  <si>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</si>
  <si>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</si>
  <si>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</si>
  <si>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</si>
  <si>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</si>
  <si>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</si>
  <si>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</si>
  <si>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</si>
  <si>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</si>
  <si>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</si>
  <si>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</si>
  <si>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</si>
  <si>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</si>
  <si>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</si>
  <si>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</si>
  <si>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</si>
  <si>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</si>
  <si>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</si>
  <si>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</si>
  <si>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</si>
  <si>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</si>
  <si>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</si>
  <si>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</si>
  <si>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</si>
  <si>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</si>
  <si>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</si>
  <si>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</si>
  <si>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</si>
  <si>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</si>
  <si>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</si>
  <si>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</si>
  <si>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</si>
  <si>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</si>
  <si>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</si>
  <si>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</si>
  <si>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</si>
  <si>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</si>
  <si>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</si>
  <si>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</si>
  <si>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</si>
  <si>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</si>
  <si>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</si>
  <si>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</si>
  <si>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</si>
  <si>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</si>
  <si>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</si>
  <si>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</si>
  <si>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</si>
  <si>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</si>
  <si>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</si>
  <si>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</si>
  <si>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</si>
  <si>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</si>
  <si>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</si>
  <si>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</si>
  <si>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</si>
  <si>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</si>
  <si>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</si>
  <si>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</si>
  <si>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</si>
  <si>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</si>
  <si>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</si>
  <si>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</si>
  <si>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</si>
  <si>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</si>
  <si>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</si>
  <si>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</si>
  <si>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</si>
  <si>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</si>
  <si>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</si>
  <si>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</si>
  <si>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</si>
  <si>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</si>
  <si>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</si>
  <si>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</si>
  <si>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</si>
  <si>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</si>
  <si>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</si>
  <si>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</si>
  <si>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</si>
  <si>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</si>
  <si>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</si>
  <si>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</si>
  <si>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</si>
  <si>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</si>
  <si>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</si>
  <si>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</si>
  <si>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</si>
  <si>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</si>
  <si>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</si>
  <si>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</si>
  <si>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</si>
  <si>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</si>
  <si>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</si>
  <si>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</si>
  <si>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</si>
  <si>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</si>
  <si>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</si>
  <si>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</si>
  <si>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</si>
  <si>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</si>
  <si>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</si>
  <si>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</si>
  <si>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</si>
  <si>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</si>
  <si>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</si>
  <si>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</si>
  <si>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</si>
  <si>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</si>
  <si>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</si>
  <si>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</si>
  <si>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</si>
  <si>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</si>
  <si>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</si>
  <si>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</si>
  <si>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</si>
  <si>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</si>
  <si>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</si>
  <si>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</si>
  <si>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</si>
  <si>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</si>
  <si>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</si>
  <si>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</si>
  <si>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</si>
  <si>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</si>
  <si>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</si>
  <si>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</si>
  <si>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</si>
  <si>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</si>
  <si>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</si>
  <si>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</si>
  <si>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</si>
  <si>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</si>
  <si>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</si>
  <si>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</si>
  <si>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</si>
  <si>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</si>
  <si>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</si>
  <si>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</si>
  <si>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</si>
  <si>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</si>
  <si>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</si>
  <si>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</si>
  <si>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</si>
  <si>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</si>
  <si>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</si>
  <si>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</si>
  <si>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</si>
  <si>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</si>
  <si>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</si>
  <si>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</si>
  <si>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</si>
  <si>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</si>
  <si>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</si>
  <si>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</si>
  <si>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</si>
  <si>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</si>
  <si>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</si>
  <si>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</si>
  <si>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</si>
  <si>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</si>
  <si>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</si>
  <si>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</si>
  <si>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</si>
  <si>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</si>
  <si>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</si>
  <si>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</si>
  <si>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</si>
  <si>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</si>
  <si>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</si>
  <si>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</si>
  <si>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</si>
  <si>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</si>
  <si>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</si>
  <si>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</si>
  <si>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</si>
  <si>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</si>
  <si>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</si>
  <si>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</si>
  <si>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</si>
  <si>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</si>
  <si>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</si>
  <si>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</si>
  <si>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</si>
  <si>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</si>
  <si>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</si>
  <si>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</si>
  <si>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</si>
  <si>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</si>
  <si>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</si>
  <si>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</si>
  <si>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</si>
  <si>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</si>
  <si>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</si>
  <si>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</si>
  <si>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</si>
  <si>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</si>
  <si>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</si>
  <si>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</si>
  <si>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</si>
  <si>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</si>
  <si>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</si>
  <si>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</si>
  <si>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</si>
  <si>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</si>
  <si>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</si>
  <si>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</si>
  <si>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</si>
  <si>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</si>
  <si>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</si>
  <si>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</si>
  <si>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</si>
  <si>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</si>
  <si>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</si>
  <si>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</si>
  <si>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</si>
  <si>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</si>
  <si>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</si>
  <si>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</si>
  <si>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</si>
  <si>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</si>
  <si>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</si>
  <si>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</si>
  <si>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</si>
  <si>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</si>
  <si>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</si>
  <si>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</si>
  <si>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</si>
  <si>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</si>
  <si>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</si>
  <si>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</si>
  <si>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</si>
  <si>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</si>
  <si>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</si>
  <si>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</si>
  <si>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</si>
  <si>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</si>
  <si>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</si>
  <si>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</si>
  <si>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</si>
  <si>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</si>
  <si>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</si>
  <si>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</si>
  <si>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</si>
  <si>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</si>
  <si>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</si>
  <si>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</si>
  <si>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</si>
  <si>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</si>
  <si>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</si>
  <si>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</si>
  <si>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</si>
  <si>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</si>
  <si>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</si>
  <si>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</si>
  <si>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</si>
  <si>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</si>
  <si>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</si>
  <si>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</si>
  <si>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</si>
  <si>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</si>
  <si>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</si>
  <si>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</si>
  <si>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</si>
  <si>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</si>
  <si>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</si>
  <si>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</si>
  <si>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</si>
  <si>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</si>
  <si>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</si>
  <si>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</si>
  <si>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</si>
  <si>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</si>
  <si>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</si>
  <si>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</si>
  <si>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</si>
  <si>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</si>
  <si>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</si>
  <si>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</si>
  <si>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</si>
  <si>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</si>
  <si>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</si>
  <si>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</si>
  <si>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</si>
  <si>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</si>
  <si>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</si>
  <si>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</si>
  <si>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</si>
  <si>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</si>
  <si>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</si>
  <si>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</si>
  <si>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</si>
  <si>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</si>
  <si>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</si>
  <si>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</si>
  <si>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</si>
  <si>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</si>
  <si>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</si>
  <si>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</si>
  <si>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</si>
  <si>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</si>
  <si>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</si>
  <si>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</si>
  <si>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</si>
  <si>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</si>
  <si>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</si>
  <si>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</si>
  <si>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</si>
  <si>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</si>
  <si>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</si>
  <si>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</si>
  <si>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</si>
  <si>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</si>
  <si>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</si>
  <si>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</si>
  <si>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</si>
  <si>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</si>
  <si>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</si>
  <si>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</si>
  <si>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</si>
  <si>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</si>
  <si>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</si>
  <si>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</si>
  <si>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</si>
  <si>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</si>
  <si>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</si>
  <si>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</si>
  <si>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</si>
  <si>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</si>
  <si>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</si>
  <si>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</si>
  <si>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</si>
  <si>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</si>
  <si>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</si>
  <si>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</si>
  <si>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</si>
  <si>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</si>
  <si>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</si>
  <si>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</si>
  <si>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</si>
  <si>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</si>
  <si>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</si>
  <si>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</si>
  <si>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</si>
  <si>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</si>
  <si>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</si>
  <si>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</si>
  <si>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</si>
  <si>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</si>
  <si>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</si>
  <si>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</si>
  <si>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</si>
  <si>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</si>
  <si>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</si>
  <si>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</si>
  <si>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</si>
  <si>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</si>
  <si>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</si>
  <si>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</si>
  <si>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</si>
  <si>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</si>
  <si>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</si>
  <si>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</si>
  <si>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</si>
  <si>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</si>
  <si>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</si>
  <si>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</si>
  <si>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</si>
  <si>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</si>
  <si>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</si>
  <si>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</si>
  <si>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</si>
  <si>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</si>
  <si>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</si>
  <si>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</si>
  <si>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</si>
  <si>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</si>
  <si>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</si>
  <si>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</si>
  <si>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</si>
  <si>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</si>
  <si>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</si>
  <si>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</si>
  <si>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</si>
  <si>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</si>
  <si>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</si>
  <si>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</si>
  <si>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</si>
  <si>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</si>
  <si>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</si>
  <si>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</si>
  <si>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</si>
  <si>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</si>
  <si>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</si>
  <si>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</si>
  <si>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</si>
  <si>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</si>
  <si>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</si>
  <si>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</si>
  <si>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</si>
  <si>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</si>
  <si>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</si>
  <si>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</si>
  <si>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</si>
  <si>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</si>
  <si>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</si>
  <si>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</si>
  <si>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</si>
  <si>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</si>
  <si>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</si>
  <si>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</si>
  <si>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</si>
  <si>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</si>
  <si>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</si>
  <si>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</si>
  <si>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</si>
  <si>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</si>
  <si>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</si>
  <si>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</si>
  <si>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</si>
  <si>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</si>
  <si>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</si>
  <si>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</si>
  <si>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</si>
  <si>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</si>
  <si>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</si>
  <si>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</si>
  <si>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</si>
  <si>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</si>
  <si>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</si>
  <si>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</si>
  <si>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</si>
  <si>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</si>
  <si>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</si>
  <si>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</si>
  <si>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</si>
  <si>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</si>
  <si>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</si>
  <si>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</si>
  <si>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</si>
  <si>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</si>
  <si>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</si>
  <si>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</si>
  <si>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</si>
  <si>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</si>
  <si>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</si>
  <si>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</si>
  <si>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</si>
  <si>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</si>
  <si>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</si>
  <si>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</si>
  <si>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</si>
  <si>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</si>
  <si>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</si>
  <si>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</si>
  <si>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</si>
  <si>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</si>
  <si>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</si>
  <si>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</si>
  <si>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</si>
  <si>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</si>
  <si>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</si>
  <si>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</si>
  <si>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</si>
  <si>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</si>
  <si>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</si>
  <si>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</si>
  <si>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</si>
  <si>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</si>
  <si>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</si>
  <si>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</si>
  <si>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</si>
  <si>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</si>
  <si>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</si>
  <si>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</si>
  <si>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</si>
  <si>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</si>
  <si>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</si>
  <si>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</si>
  <si>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</si>
  <si>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</si>
  <si>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</si>
  <si>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</si>
  <si>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</si>
  <si>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</si>
  <si>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</si>
  <si>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</si>
  <si>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</si>
  <si>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</si>
  <si>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</si>
  <si>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</si>
  <si>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</si>
  <si>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</si>
  <si>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</si>
  <si>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</si>
  <si>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</si>
  <si>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</si>
  <si>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</si>
  <si>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</si>
  <si>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</si>
  <si>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</si>
  <si>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</si>
  <si>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</si>
  <si>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</si>
  <si>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</si>
  <si>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</si>
  <si>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</si>
  <si>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</si>
  <si>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</si>
  <si>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</si>
  <si>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</si>
  <si>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</si>
  <si>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</si>
  <si>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</si>
  <si>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</si>
  <si>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</si>
  <si>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</si>
  <si>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</si>
  <si>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</si>
  <si>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</si>
  <si>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</si>
  <si>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</si>
  <si>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</si>
  <si>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</si>
  <si>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</si>
  <si>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</si>
  <si>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</si>
  <si>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</si>
  <si>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</si>
  <si>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</si>
  <si>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</si>
  <si>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</si>
  <si>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</si>
  <si>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</si>
  <si>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</si>
  <si>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</si>
  <si>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</si>
  <si>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</si>
  <si>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</si>
  <si>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</si>
  <si>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</si>
  <si>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</si>
  <si>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</si>
  <si>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</si>
  <si>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</si>
  <si>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</si>
  <si>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</si>
  <si>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</si>
  <si>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</si>
  <si>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</si>
  <si>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</si>
  <si>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</si>
  <si>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</si>
  <si>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</si>
  <si>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</si>
  <si>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</si>
  <si>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</si>
  <si>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</si>
  <si>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</si>
  <si>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</si>
  <si>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</si>
  <si>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</si>
  <si>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</si>
  <si>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</si>
  <si>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</si>
  <si>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</si>
  <si>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</si>
  <si>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</si>
  <si>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</si>
  <si>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</si>
  <si>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</si>
  <si>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</si>
  <si>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</si>
  <si>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</si>
  <si>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</si>
  <si>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</si>
  <si>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</si>
  <si>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</si>
  <si>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</si>
  <si>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</si>
  <si>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</si>
  <si>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</si>
  <si>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</si>
  <si>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</si>
  <si>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</si>
  <si>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</si>
  <si>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</si>
  <si>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</si>
  <si>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</si>
  <si>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</si>
  <si>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</si>
  <si>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</si>
  <si>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</si>
  <si>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</si>
  <si>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</si>
  <si>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</si>
  <si>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</si>
  <si>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</si>
  <si>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</si>
  <si>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</si>
  <si>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</si>
  <si>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</si>
  <si>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</si>
  <si>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</si>
  <si>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</si>
  <si>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</si>
  <si>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</si>
  <si>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</si>
  <si>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</si>
  <si>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</si>
  <si>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</si>
  <si>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</si>
  <si>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</si>
  <si>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</si>
  <si>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</si>
  <si>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</si>
  <si>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</si>
  <si>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</si>
  <si>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</si>
  <si>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</si>
  <si>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</si>
  <si>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</si>
  <si>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</si>
  <si>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</si>
  <si>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</si>
  <si>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</si>
  <si>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</si>
  <si>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</si>
  <si>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</si>
  <si>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</si>
  <si>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</si>
  <si>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</si>
  <si>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</si>
  <si>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</si>
  <si>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</si>
  <si>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</si>
  <si>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</si>
  <si>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</si>
  <si>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</si>
  <si>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</si>
  <si>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</si>
  <si>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</si>
  <si>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</si>
  <si>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</si>
  <si>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</si>
  <si>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</si>
  <si>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</si>
  <si>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</si>
  <si>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</si>
  <si>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</si>
  <si>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</si>
  <si>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</si>
  <si>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</si>
  <si>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</si>
  <si>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</si>
  <si>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</si>
  <si>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</si>
  <si>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</si>
  <si>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</si>
  <si>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</si>
  <si>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</si>
  <si>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</si>
  <si>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</si>
  <si>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</si>
  <si>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</si>
  <si>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</si>
  <si>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</si>
  <si>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</si>
  <si>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</si>
  <si>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</si>
  <si>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</si>
  <si>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</si>
  <si>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</si>
  <si>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</si>
  <si>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</si>
  <si>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</si>
  <si>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</si>
  <si>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</si>
  <si>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</si>
  <si>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</si>
  <si>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</si>
  <si>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</si>
  <si>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</si>
  <si>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</si>
  <si>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</si>
  <si>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</si>
  <si>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</si>
  <si>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</si>
  <si>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</si>
  <si>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</si>
  <si>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</si>
  <si>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</si>
  <si>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</si>
  <si>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</si>
  <si>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</si>
  <si>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</si>
  <si>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</si>
  <si>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</si>
  <si>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</si>
  <si>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</si>
  <si>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</si>
  <si>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</si>
  <si>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</si>
  <si>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</si>
  <si>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</si>
  <si>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</si>
  <si>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</si>
  <si>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</si>
  <si>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</si>
  <si>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</si>
  <si>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</si>
  <si>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</si>
  <si>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</si>
  <si>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</si>
  <si>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</si>
  <si>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</si>
  <si>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</si>
  <si>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</si>
  <si>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</si>
  <si>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</si>
  <si>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</si>
  <si>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</si>
  <si>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</si>
  <si>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</si>
  <si>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</si>
  <si>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</si>
  <si>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</si>
  <si>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</si>
  <si>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</si>
  <si>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</si>
  <si>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</si>
  <si>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</si>
  <si>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</si>
  <si>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</si>
  <si>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</si>
  <si>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</si>
  <si>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</si>
  <si>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</si>
  <si>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</si>
  <si>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</si>
  <si>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</si>
  <si>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</si>
  <si>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</si>
  <si>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</si>
  <si>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</si>
  <si>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</si>
  <si>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</si>
  <si>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</si>
  <si>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</si>
  <si>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</si>
  <si>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</si>
  <si>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</si>
  <si>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</si>
  <si>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</si>
  <si>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</si>
  <si>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</si>
  <si>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</si>
  <si>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</si>
  <si>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</si>
  <si>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</si>
  <si>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</si>
  <si>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</si>
  <si>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</si>
  <si>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</si>
  <si>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</si>
  <si>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</si>
  <si>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</si>
  <si>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</si>
  <si>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</si>
  <si>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</si>
  <si>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</si>
  <si>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</si>
  <si>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</si>
  <si>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</si>
  <si>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</si>
  <si>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</si>
  <si>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</si>
  <si>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</si>
  <si>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</si>
  <si>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</si>
  <si>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</si>
  <si>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</si>
  <si>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</si>
  <si>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</si>
  <si>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</si>
  <si>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</si>
  <si>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</si>
  <si>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</si>
  <si>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</si>
  <si>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</si>
  <si>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</si>
  <si>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</si>
  <si>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</si>
  <si>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</si>
  <si>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</si>
  <si>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</si>
  <si>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</si>
  <si>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</si>
  <si>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</si>
  <si>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</si>
  <si>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</si>
  <si>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</si>
  <si>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</si>
  <si>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</si>
  <si>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</si>
  <si>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</si>
  <si>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</si>
  <si>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</si>
  <si>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</si>
  <si>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</si>
  <si>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</si>
  <si>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</si>
  <si>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</si>
  <si>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</si>
  <si>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</si>
  <si>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</si>
  <si>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</si>
  <si>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</si>
  <si>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</si>
  <si>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</si>
  <si>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</si>
  <si>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</si>
  <si>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</si>
  <si>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</si>
  <si>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</si>
  <si>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</si>
  <si>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</si>
  <si>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</si>
  <si>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</si>
  <si>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</si>
  <si>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</si>
  <si>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</si>
  <si>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</si>
  <si>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</si>
  <si>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</si>
  <si>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</si>
  <si>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</si>
  <si>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</si>
  <si>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</si>
  <si>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</si>
  <si>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</si>
  <si>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</si>
  <si>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</si>
  <si>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</si>
  <si>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</si>
  <si>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</si>
  <si>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</si>
  <si>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</si>
  <si>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</si>
  <si>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</si>
  <si>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</si>
  <si>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</si>
  <si>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</si>
  <si>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</si>
  <si>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</si>
  <si>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</si>
  <si>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</si>
  <si>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</si>
  <si>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</si>
  <si>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</si>
  <si>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</si>
  <si>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</si>
  <si>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</si>
  <si>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</si>
  <si>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</si>
  <si>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</si>
  <si>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</si>
  <si>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</si>
  <si>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</si>
  <si>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</si>
  <si>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</si>
  <si>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</si>
  <si>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</si>
  <si>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</si>
  <si>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</si>
  <si>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</si>
  <si>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</si>
  <si>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</si>
  <si>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</si>
  <si>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</si>
  <si>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</si>
  <si>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</si>
  <si>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</si>
  <si>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</si>
  <si>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</si>
  <si>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</si>
  <si>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</si>
  <si>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</si>
  <si>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</si>
  <si>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</si>
  <si>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</si>
  <si>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</si>
  <si>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</si>
  <si>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</si>
  <si>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</si>
  <si>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</si>
  <si>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</si>
  <si>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</si>
  <si>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</si>
  <si>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</si>
  <si>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</si>
  <si>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</si>
  <si>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</si>
  <si>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</si>
  <si>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</si>
  <si>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</si>
  <si>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</si>
  <si>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</si>
  <si>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</si>
  <si>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</si>
  <si>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</si>
  <si>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</si>
  <si>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</si>
  <si>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</si>
  <si>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</si>
  <si>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</si>
  <si>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</si>
  <si>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</si>
  <si>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</si>
  <si>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</si>
  <si>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</si>
  <si>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</si>
  <si>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</si>
  <si>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</si>
  <si>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</si>
  <si>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</si>
  <si>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</si>
  <si>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</si>
  <si>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</si>
  <si>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</si>
  <si>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</si>
  <si>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</si>
  <si>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</si>
  <si>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</si>
  <si>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</si>
  <si>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</si>
  <si>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</si>
  <si>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</si>
  <si>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</si>
  <si>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</si>
  <si>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</si>
  <si>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</si>
  <si>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</si>
  <si>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</si>
  <si>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</si>
  <si>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</si>
  <si>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</si>
  <si>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</si>
  <si>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</si>
  <si>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</si>
  <si>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</si>
  <si>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</si>
  <si>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</si>
  <si>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</si>
  <si>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</si>
  <si>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</si>
  <si>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</si>
  <si>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</si>
  <si>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</si>
  <si>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</si>
  <si>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</si>
  <si>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</si>
  <si>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</si>
  <si>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</si>
  <si>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</si>
  <si>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</si>
  <si>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</si>
  <si>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</si>
  <si>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</si>
  <si>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</si>
  <si>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</si>
  <si>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</si>
  <si>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</si>
  <si>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</si>
  <si>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</si>
  <si>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</si>
  <si>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</si>
  <si>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</si>
  <si>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</si>
  <si>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</si>
  <si>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</si>
  <si>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</si>
  <si>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</si>
  <si>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</si>
  <si>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</si>
  <si>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</si>
  <si>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</si>
  <si>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</si>
  <si>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</si>
  <si>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</si>
  <si>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</si>
  <si>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</si>
  <si>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</si>
  <si>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</si>
  <si>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</si>
  <si>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</si>
  <si>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</si>
  <si>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</si>
  <si>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</si>
  <si>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</si>
  <si>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</si>
  <si>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</si>
  <si>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</si>
  <si>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</si>
  <si>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</si>
  <si>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</si>
  <si>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</si>
  <si>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</si>
  <si>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</si>
  <si>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</si>
  <si>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</si>
  <si>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</si>
  <si>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</si>
  <si>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</si>
  <si>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</si>
  <si>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</si>
  <si>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</si>
  <si>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</si>
  <si>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</si>
  <si>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</si>
  <si>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</si>
  <si>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</si>
  <si>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</si>
  <si>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</si>
  <si>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</si>
  <si>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</si>
  <si>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</si>
  <si>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</si>
  <si>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</si>
  <si>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</si>
  <si>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</si>
  <si>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</si>
  <si>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</si>
  <si>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</si>
  <si>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</si>
  <si>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</si>
  <si>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</si>
  <si>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</si>
  <si>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</si>
  <si>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</si>
  <si>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</si>
  <si>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</si>
  <si>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</si>
  <si>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</si>
  <si>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</si>
  <si>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</si>
  <si>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</si>
  <si>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</si>
  <si>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</si>
  <si>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</si>
  <si>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</si>
  <si>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</si>
  <si>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</si>
  <si>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</si>
  <si>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</si>
  <si>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</si>
  <si>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</si>
  <si>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</si>
  <si>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</si>
  <si>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</si>
  <si>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</si>
  <si>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</si>
  <si>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</si>
  <si>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</si>
  <si>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</si>
  <si>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</si>
  <si>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</si>
  <si>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</si>
  <si>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</si>
  <si>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</si>
  <si>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</si>
  <si>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</si>
  <si>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</si>
  <si>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</si>
  <si>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</si>
  <si>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</si>
  <si>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</si>
  <si>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</si>
  <si>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</si>
  <si>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</si>
  <si>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</si>
  <si>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</si>
  <si>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</si>
  <si>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</si>
  <si>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</si>
  <si>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</si>
  <si>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</si>
  <si>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</si>
  <si>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</si>
  <si>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</si>
  <si>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</si>
  <si>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</si>
  <si>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</si>
  <si>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</si>
  <si>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</si>
  <si>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</si>
  <si>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</si>
  <si>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</si>
  <si>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</si>
  <si>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</si>
  <si>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</si>
  <si>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</si>
  <si>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</si>
  <si>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</si>
  <si>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</si>
  <si>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</si>
  <si>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</si>
  <si>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</si>
  <si>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</si>
  <si>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</si>
  <si>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</si>
  <si>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</si>
  <si>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</si>
  <si>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</si>
  <si>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</si>
  <si>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</si>
  <si>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</si>
  <si>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</si>
  <si>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</si>
  <si>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</si>
  <si>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</si>
  <si>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</si>
  <si>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</si>
  <si>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</si>
  <si>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</si>
  <si>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</si>
  <si>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</si>
  <si>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</si>
  <si>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</si>
  <si>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</si>
  <si>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</si>
  <si>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</si>
  <si>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</si>
  <si>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</si>
  <si>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</si>
  <si>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</si>
  <si>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</si>
  <si>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</si>
  <si>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</si>
  <si>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</si>
  <si>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</si>
  <si>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</si>
  <si>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</si>
  <si>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</si>
  <si>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</si>
  <si>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</si>
  <si>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</si>
  <si>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</si>
  <si>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</si>
  <si>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</si>
  <si>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</si>
  <si>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</si>
  <si>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</si>
  <si>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</si>
  <si>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</si>
  <si>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</si>
  <si>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</si>
  <si>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</si>
  <si>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</si>
  <si>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</si>
  <si>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</si>
  <si>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</si>
  <si>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</si>
  <si>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</si>
  <si>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</si>
  <si>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</si>
  <si>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</si>
  <si>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</si>
  <si>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</si>
  <si>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</si>
  <si>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</si>
  <si>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</si>
  <si>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</si>
  <si>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</si>
  <si>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</si>
  <si>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</si>
  <si>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</si>
  <si>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</si>
  <si>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</si>
  <si>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</si>
  <si>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</si>
  <si>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</si>
  <si>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</si>
  <si>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</si>
  <si>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</si>
  <si>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</si>
  <si>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</si>
  <si>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</si>
  <si>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</si>
  <si>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</si>
  <si>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</si>
  <si>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</si>
  <si>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</si>
  <si>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</si>
  <si>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</si>
  <si>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</si>
  <si>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</si>
  <si>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</si>
  <si>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</si>
  <si>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</si>
  <si>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</si>
  <si>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</si>
  <si>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</si>
  <si>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</si>
  <si>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</si>
  <si>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</si>
  <si>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</si>
  <si>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</si>
  <si>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</si>
  <si>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</si>
  <si>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</si>
  <si>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</si>
  <si>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</si>
  <si>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</si>
  <si>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</si>
  <si>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</si>
  <si>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</si>
  <si>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</si>
  <si>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</si>
  <si>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</si>
  <si>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</si>
  <si>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</si>
  <si>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</si>
  <si>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</si>
  <si>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</si>
  <si>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</si>
  <si>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</si>
  <si>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</si>
  <si>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</si>
  <si>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</si>
  <si>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</si>
  <si>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</si>
  <si>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</si>
  <si>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</si>
  <si>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</si>
  <si>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</si>
  <si>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</si>
  <si>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</si>
  <si>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</si>
  <si>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</si>
  <si>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</si>
  <si>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</si>
  <si>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</si>
  <si>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</si>
  <si>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</si>
  <si>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</si>
  <si>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</si>
  <si>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</si>
  <si>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</si>
  <si>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</si>
  <si>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</si>
  <si>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</si>
  <si>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</si>
  <si>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</si>
  <si>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</si>
  <si>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</si>
  <si>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</si>
  <si>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</si>
  <si>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</si>
  <si>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</si>
  <si>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</si>
  <si>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</si>
  <si>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</si>
  <si>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</si>
  <si>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</si>
  <si>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</si>
  <si>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</si>
  <si>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</si>
  <si>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</si>
  <si>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</si>
  <si>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</si>
  <si>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</si>
  <si>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</si>
  <si>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</si>
  <si>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</si>
  <si>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</si>
  <si>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</si>
  <si>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</si>
  <si>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</si>
  <si>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</si>
  <si>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</si>
  <si>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</si>
  <si>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</si>
  <si>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</si>
  <si>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</si>
  <si>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</si>
  <si>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</si>
  <si>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</si>
  <si>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</si>
  <si>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</si>
  <si>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</si>
  <si>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</si>
  <si>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</si>
  <si>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</si>
  <si>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</si>
  <si>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</si>
  <si>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</si>
  <si>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</si>
  <si>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</si>
  <si>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</si>
  <si>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</si>
  <si>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</si>
  <si>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</si>
  <si>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</si>
  <si>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</si>
  <si>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</si>
  <si>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</si>
  <si>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</si>
  <si>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</si>
  <si>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</si>
  <si>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</si>
  <si>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</si>
  <si>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</si>
  <si>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</si>
  <si>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</si>
  <si>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</si>
  <si>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</si>
  <si>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</si>
  <si>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</si>
  <si>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</si>
  <si>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</si>
  <si>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</si>
  <si>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</si>
  <si>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</si>
  <si>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</si>
  <si>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</si>
  <si>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</si>
  <si>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</si>
  <si>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</si>
  <si>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</si>
  <si>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</si>
  <si>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</si>
  <si>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</si>
  <si>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</si>
  <si>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</si>
  <si>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</si>
  <si>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</si>
  <si>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</si>
  <si>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</si>
  <si>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</si>
  <si>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</si>
  <si>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</si>
  <si>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</si>
  <si>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</si>
  <si>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</si>
  <si>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</si>
  <si>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</si>
  <si>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</si>
  <si>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</si>
  <si>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</si>
  <si>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</si>
  <si>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</si>
  <si>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</si>
  <si>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</si>
  <si>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</si>
  <si>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</si>
  <si>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</si>
  <si>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</si>
  <si>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</si>
  <si>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</si>
  <si>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</si>
  <si>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</si>
  <si>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</si>
  <si>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</si>
  <si>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</si>
  <si>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</si>
  <si>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</si>
  <si>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</si>
  <si>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</si>
  <si>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</si>
  <si>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</si>
  <si>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</si>
  <si>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</si>
  <si>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</si>
  <si>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</si>
  <si>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</si>
  <si>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</si>
  <si>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</si>
  <si>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</si>
  <si>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</si>
  <si>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</si>
  <si>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</si>
  <si>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</si>
  <si>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</si>
  <si>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</si>
  <si>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</si>
  <si>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</si>
  <si>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</si>
  <si>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</si>
  <si>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</si>
  <si>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</si>
  <si>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</si>
  <si>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</si>
  <si>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</si>
  <si>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</si>
  <si>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</si>
  <si>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</si>
  <si>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</si>
  <si>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</si>
  <si>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</si>
  <si>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</si>
  <si>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</si>
  <si>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</si>
  <si>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</si>
  <si>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</si>
  <si>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</si>
  <si>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</si>
  <si>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</si>
  <si>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</si>
  <si>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</si>
  <si>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</si>
  <si>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</si>
  <si>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</si>
  <si>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</si>
  <si>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</si>
  <si>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</si>
  <si>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</si>
  <si>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</si>
  <si>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</si>
  <si>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</si>
  <si>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</si>
  <si>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</si>
  <si>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</si>
  <si>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</si>
  <si>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</si>
  <si>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</si>
  <si>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</si>
  <si>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</si>
  <si>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</si>
  <si>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</si>
  <si>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</si>
  <si>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</si>
  <si>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</si>
  <si>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</si>
  <si>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</si>
  <si>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</si>
  <si>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</si>
  <si>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</si>
  <si>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</si>
  <si>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</si>
  <si>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</si>
  <si>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</si>
  <si>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</si>
  <si>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</si>
  <si>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</si>
  <si>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</si>
  <si>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</si>
  <si>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</si>
  <si>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</si>
  <si>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</si>
  <si>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</si>
  <si>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</si>
  <si>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</si>
  <si>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</si>
  <si>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</si>
  <si>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</si>
  <si>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</si>
  <si>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</si>
  <si>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</si>
  <si>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</si>
  <si>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</si>
  <si>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</si>
  <si>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</si>
  <si>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</si>
  <si>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</si>
  <si>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</si>
  <si>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</si>
  <si>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</si>
  <si>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</si>
  <si>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</si>
  <si>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</si>
  <si>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</si>
  <si>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</si>
  <si>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</si>
  <si>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</si>
  <si>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</si>
  <si>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</si>
  <si>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</si>
  <si>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</si>
  <si>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</si>
  <si>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</si>
  <si>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</si>
  <si>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</si>
  <si>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</si>
  <si>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</si>
  <si>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</si>
  <si>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</si>
  <si>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</si>
  <si>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</si>
  <si>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</si>
  <si>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</si>
  <si>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</si>
  <si>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</si>
  <si>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</si>
  <si>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</si>
  <si>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</si>
  <si>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</si>
  <si>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</si>
  <si>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</si>
  <si>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</si>
  <si>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</si>
  <si>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</si>
  <si>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</si>
  <si>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</si>
  <si>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</si>
  <si>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</si>
  <si>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</si>
  <si>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</si>
  <si>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</si>
  <si>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</si>
  <si>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</si>
  <si>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</si>
  <si>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</si>
  <si>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</si>
  <si>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</si>
  <si>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</si>
  <si>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</si>
  <si>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</si>
  <si>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</si>
  <si>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</si>
  <si>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</si>
  <si>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</si>
  <si>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</si>
  <si>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</si>
  <si>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</si>
  <si>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</si>
  <si>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</si>
  <si>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</si>
  <si>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</si>
  <si>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</si>
  <si>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</si>
  <si>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</si>
  <si>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</si>
  <si>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</si>
  <si>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</si>
  <si>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</si>
  <si>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</si>
  <si>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</si>
  <si>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</si>
  <si>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</si>
  <si>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</si>
  <si>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</si>
  <si>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</si>
  <si>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</si>
  <si>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</si>
  <si>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</si>
  <si>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</si>
  <si>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</si>
  <si>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</si>
  <si>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</si>
  <si>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</si>
  <si>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</si>
  <si>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</si>
  <si>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</si>
  <si>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</si>
  <si>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</si>
  <si>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</si>
  <si>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</si>
  <si>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</si>
  <si>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</si>
  <si>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</si>
  <si>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</si>
  <si>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</si>
  <si>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</si>
  <si>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</si>
  <si>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</si>
  <si>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</si>
  <si>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</si>
  <si>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</si>
  <si>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</si>
  <si>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</si>
  <si>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</si>
  <si>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</si>
  <si>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</si>
  <si>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</si>
  <si>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</si>
  <si>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</si>
  <si>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</si>
  <si>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</si>
  <si>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</si>
  <si>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</si>
  <si>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</si>
  <si>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</si>
  <si>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</si>
  <si>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</si>
  <si>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</si>
  <si>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</si>
  <si>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</si>
  <si>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</si>
  <si>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</si>
  <si>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</si>
  <si>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</si>
  <si>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</si>
  <si>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</si>
  <si>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</si>
  <si>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</si>
  <si>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</si>
  <si>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</si>
  <si>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</si>
  <si>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</si>
  <si>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</si>
  <si>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</si>
  <si>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</si>
  <si>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</si>
  <si>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</si>
  <si>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</si>
  <si>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</si>
  <si>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</si>
  <si>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</si>
  <si>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</si>
  <si>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</si>
  <si>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</si>
  <si>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</si>
  <si>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</si>
  <si>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</si>
  <si>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</si>
  <si>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</si>
  <si>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</si>
  <si>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</si>
  <si>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</si>
  <si>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</si>
  <si>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</si>
  <si>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</si>
  <si>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</si>
  <si>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</si>
  <si>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</si>
  <si>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</si>
  <si>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</si>
  <si>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</si>
  <si>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</si>
  <si>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</si>
  <si>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</si>
  <si>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</si>
  <si>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</si>
  <si>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</si>
  <si>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</si>
  <si>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</si>
  <si>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</si>
  <si>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</si>
  <si>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</si>
  <si>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</si>
  <si>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</si>
  <si>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</si>
  <si>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</si>
  <si>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</si>
  <si>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</si>
  <si>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</si>
  <si>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</si>
  <si>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</si>
  <si>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</si>
  <si>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</si>
  <si>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</si>
  <si>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</si>
  <si>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</si>
  <si>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</si>
  <si>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</si>
  <si>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</si>
  <si>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</si>
  <si>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</si>
  <si>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</si>
  <si>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</si>
  <si>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</si>
  <si>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</si>
  <si>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</si>
  <si>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</si>
  <si>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</si>
  <si>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</si>
  <si>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</si>
  <si>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</si>
  <si>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</si>
  <si>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</si>
  <si>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</si>
  <si>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</si>
  <si>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</si>
  <si>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</si>
  <si>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</si>
  <si>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</si>
  <si>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</si>
  <si>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</si>
  <si>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</si>
  <si>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</si>
  <si>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</si>
  <si>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</si>
  <si>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</si>
  <si>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</si>
  <si>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</si>
  <si>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</si>
  <si>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</si>
  <si>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</si>
  <si>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</si>
  <si>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</si>
  <si>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</si>
  <si>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</si>
  <si>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</si>
  <si>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</si>
  <si>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</si>
  <si>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</si>
  <si>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</si>
  <si>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</si>
  <si>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</si>
  <si>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</si>
  <si>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</si>
  <si>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</si>
  <si>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</si>
  <si>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</si>
  <si>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</si>
  <si>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</si>
  <si>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</si>
  <si>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</si>
  <si>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</si>
  <si>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</si>
  <si>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</si>
  <si>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</si>
  <si>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</si>
  <si>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</si>
  <si>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</si>
  <si>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</si>
  <si>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</si>
  <si>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</si>
  <si>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</si>
  <si>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</si>
  <si>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</si>
  <si>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</si>
  <si>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</si>
  <si>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</si>
  <si>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</si>
  <si>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</si>
  <si>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</si>
  <si>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</si>
  <si>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</si>
  <si>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</si>
  <si>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</si>
  <si>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</si>
  <si>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</si>
  <si>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</si>
  <si>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</si>
  <si>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</si>
  <si>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</si>
  <si>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</si>
  <si>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</si>
  <si>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</si>
  <si>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</si>
  <si>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</si>
  <si>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</si>
  <si>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</si>
  <si>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</si>
  <si>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</si>
  <si>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</si>
  <si>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</si>
  <si>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</si>
  <si>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</si>
  <si>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</si>
  <si>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</si>
  <si>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</si>
  <si>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</si>
  <si>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</si>
  <si>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</si>
  <si>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</si>
  <si>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</si>
  <si>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</si>
  <si>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</si>
  <si>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</si>
  <si>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</si>
  <si>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</si>
  <si>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</si>
  <si>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</si>
  <si>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</si>
  <si>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</si>
  <si>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</si>
  <si>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</si>
  <si>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</si>
  <si>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</si>
  <si>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</si>
  <si>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</si>
  <si>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</si>
  <si>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</si>
  <si>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</si>
  <si>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</si>
  <si>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</si>
  <si>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</si>
  <si>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</si>
  <si>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</si>
  <si>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</si>
  <si>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</si>
  <si>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</si>
  <si>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</si>
  <si>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</si>
  <si>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</si>
  <si>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</si>
  <si>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</si>
  <si>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</si>
  <si>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</si>
  <si>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</si>
  <si>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</si>
  <si>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</si>
  <si>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</si>
  <si>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</si>
  <si>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</si>
  <si>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</si>
  <si>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</si>
  <si>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</si>
  <si>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</si>
  <si>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</si>
  <si>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</si>
  <si>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</si>
  <si>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</si>
  <si>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</si>
  <si>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</si>
  <si>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</si>
  <si>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</si>
  <si>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</si>
  <si>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</si>
  <si>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</si>
  <si>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</si>
  <si>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</si>
  <si>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</si>
  <si>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</si>
  <si>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</si>
  <si>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</si>
  <si>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</si>
  <si>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</si>
  <si>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</si>
  <si>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</si>
  <si>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</si>
  <si>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</si>
  <si>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</si>
  <si>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</si>
  <si>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</si>
  <si>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</si>
  <si>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</si>
  <si>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</si>
  <si>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</si>
  <si>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</si>
  <si>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</si>
  <si>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</si>
  <si>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</si>
  <si>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</si>
  <si>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</si>
  <si>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</si>
  <si>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</si>
  <si>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</si>
  <si>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</si>
  <si>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</si>
  <si>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</si>
  <si>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</si>
  <si>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</si>
  <si>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</si>
  <si>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</si>
  <si>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</si>
  <si>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</si>
  <si>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</si>
  <si>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</si>
  <si>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</si>
  <si>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</si>
  <si>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</si>
  <si>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</si>
  <si>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</si>
  <si>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</si>
  <si>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</si>
  <si>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</si>
  <si>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</si>
  <si>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</si>
  <si>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</si>
  <si>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</si>
  <si>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</si>
  <si>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</si>
  <si>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</si>
  <si>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</si>
  <si>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</si>
  <si>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</si>
  <si>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</si>
  <si>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</si>
  <si>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</si>
  <si>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</si>
  <si>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</si>
  <si>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</si>
  <si>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</si>
  <si>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</si>
  <si>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</si>
  <si>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</si>
  <si>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</si>
  <si>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</si>
  <si>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</si>
  <si>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</si>
  <si>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</si>
  <si>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</si>
  <si>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</si>
  <si>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</si>
  <si>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</si>
  <si>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</si>
  <si>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</si>
  <si>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</si>
  <si>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</si>
  <si>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</si>
  <si>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</si>
  <si>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</si>
  <si>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</si>
  <si>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</si>
  <si>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</si>
  <si>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</si>
  <si>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</si>
  <si>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</si>
  <si>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</si>
  <si>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</si>
  <si>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</si>
  <si>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</si>
  <si>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</si>
  <si>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</si>
  <si>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</si>
  <si>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</si>
  <si>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</si>
  <si>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</si>
  <si>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</si>
  <si>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</si>
  <si>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</si>
  <si>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</si>
  <si>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</si>
  <si>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</si>
  <si>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</si>
  <si>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</si>
  <si>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</si>
  <si>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</si>
  <si>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</si>
  <si>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</si>
  <si>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</si>
  <si>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</si>
  <si>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</si>
  <si>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</si>
  <si>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</si>
  <si>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</si>
  <si>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</si>
  <si>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</si>
  <si>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</si>
  <si>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</si>
  <si>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</si>
  <si>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</si>
  <si>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</si>
  <si>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</si>
  <si>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</si>
  <si>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</si>
  <si>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</si>
  <si>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</si>
  <si>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</si>
  <si>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</si>
  <si>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</si>
  <si>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</si>
  <si>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</si>
  <si>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</si>
  <si>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</si>
  <si>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</si>
  <si>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</si>
  <si>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</si>
  <si>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</si>
  <si>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</si>
  <si>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</si>
  <si>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</si>
  <si>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</si>
  <si>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</si>
  <si>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</si>
  <si>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</si>
  <si>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</si>
  <si>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</si>
  <si>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</si>
  <si>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</si>
  <si>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</si>
  <si>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</si>
  <si>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</si>
  <si>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</si>
  <si>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</si>
  <si>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</si>
  <si>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</si>
  <si>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</si>
  <si>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</si>
  <si>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</si>
  <si>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</si>
  <si>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</si>
  <si>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</si>
  <si>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</si>
  <si>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</si>
  <si>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</si>
  <si>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</si>
  <si>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</si>
  <si>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</si>
  <si>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U03001</t>
  </si>
  <si>
    <t>U03002</t>
  </si>
  <si>
    <t>U03003</t>
  </si>
  <si>
    <t>U03004</t>
  </si>
  <si>
    <t>U03005</t>
  </si>
  <si>
    <t>U03006</t>
  </si>
  <si>
    <t>U03007</t>
  </si>
  <si>
    <t>U03008</t>
  </si>
  <si>
    <t>U03009</t>
  </si>
  <si>
    <t>U03010</t>
  </si>
  <si>
    <t>U03011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</si>
  <si>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</si>
  <si>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</si>
  <si>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</si>
  <si>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</si>
  <si>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</si>
  <si>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</si>
  <si>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</si>
  <si>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</si>
  <si>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U03020</t>
  </si>
  <si>
    <t>U03021</t>
  </si>
  <si>
    <t>U03022</t>
  </si>
  <si>
    <t>U03023</t>
  </si>
  <si>
    <t>U03024</t>
  </si>
  <si>
    <t>U03025</t>
  </si>
  <si>
    <t>U03026</t>
  </si>
  <si>
    <t>U03027</t>
  </si>
  <si>
    <t>U03028</t>
  </si>
  <si>
    <t>U03029</t>
  </si>
  <si>
    <t>U03030</t>
  </si>
  <si>
    <t>U03031</t>
  </si>
  <si>
    <t>U03032</t>
  </si>
  <si>
    <t>U03033</t>
  </si>
  <si>
    <t>U03034</t>
  </si>
  <si>
    <t>U03035</t>
  </si>
  <si>
    <t>U03036</t>
  </si>
  <si>
    <t>U03037</t>
  </si>
  <si>
    <t>U03038</t>
  </si>
  <si>
    <t>U03039</t>
  </si>
  <si>
    <t>U03040</t>
  </si>
  <si>
    <t>U03041</t>
  </si>
  <si>
    <t>U03042</t>
  </si>
  <si>
    <t>U03043</t>
  </si>
  <si>
    <t>U03044</t>
  </si>
  <si>
    <t>U03045</t>
  </si>
  <si>
    <t>U03046</t>
  </si>
  <si>
    <t>U03047</t>
  </si>
  <si>
    <t>U03048</t>
  </si>
  <si>
    <t>U03049</t>
  </si>
  <si>
    <t>U03050</t>
  </si>
  <si>
    <t>U03051</t>
  </si>
  <si>
    <t>U03052</t>
  </si>
  <si>
    <t>U03053</t>
  </si>
  <si>
    <t>U03054</t>
  </si>
  <si>
    <t>U03055</t>
  </si>
  <si>
    <t>U03056</t>
  </si>
  <si>
    <t>U03057</t>
  </si>
  <si>
    <t>U03058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</si>
  <si>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</si>
  <si>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</si>
  <si>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</si>
  <si>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</si>
  <si>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</si>
  <si>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</si>
  <si>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</si>
  <si>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</si>
  <si>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</si>
  <si>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</si>
  <si>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</si>
  <si>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</si>
  <si>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</si>
  <si>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</si>
  <si>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U03073</t>
  </si>
  <si>
    <t>U03074</t>
  </si>
  <si>
    <t>U03075</t>
  </si>
  <si>
    <t>U03076</t>
  </si>
  <si>
    <t>U03077</t>
  </si>
  <si>
    <t>U03078</t>
  </si>
  <si>
    <t>U03079</t>
  </si>
  <si>
    <t>U03080</t>
  </si>
  <si>
    <t>U03081</t>
  </si>
  <si>
    <t>U03082</t>
  </si>
  <si>
    <t>U03083</t>
  </si>
  <si>
    <t>U03084</t>
  </si>
  <si>
    <t>U03085</t>
  </si>
  <si>
    <t>U03086</t>
  </si>
  <si>
    <t>U03087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</si>
  <si>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</si>
  <si>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</si>
  <si>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</si>
  <si>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</si>
  <si>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</si>
  <si>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</si>
  <si>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</si>
  <si>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</si>
  <si>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U03096</t>
  </si>
  <si>
    <t>U03097</t>
  </si>
  <si>
    <t>U03098</t>
  </si>
  <si>
    <t>U03099</t>
  </si>
  <si>
    <t>U03100</t>
  </si>
  <si>
    <t>U03101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</si>
  <si>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</si>
  <si>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</si>
  <si>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</si>
  <si>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</si>
  <si>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</si>
  <si>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</si>
  <si>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</si>
  <si>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</si>
  <si>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</si>
  <si>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U03111</t>
  </si>
  <si>
    <t>U03112</t>
  </si>
  <si>
    <t>U03113</t>
  </si>
  <si>
    <t>U03114</t>
  </si>
  <si>
    <t>U03115</t>
  </si>
  <si>
    <t>U03116</t>
  </si>
  <si>
    <t>U03117</t>
  </si>
  <si>
    <t>U03118</t>
  </si>
  <si>
    <t>U03119</t>
  </si>
  <si>
    <t>U03120</t>
  </si>
  <si>
    <t>U03121</t>
  </si>
  <si>
    <t>U03122</t>
  </si>
  <si>
    <t>U03123</t>
  </si>
  <si>
    <t>U03124</t>
  </si>
  <si>
    <t>U03125</t>
  </si>
  <si>
    <t>U03126</t>
  </si>
  <si>
    <t>U03127</t>
  </si>
  <si>
    <t>U03128</t>
  </si>
  <si>
    <t>U03129</t>
  </si>
  <si>
    <t>U03130</t>
  </si>
  <si>
    <t>U03131</t>
  </si>
  <si>
    <t>U03132</t>
  </si>
  <si>
    <t>U03133</t>
  </si>
  <si>
    <t>U03134</t>
  </si>
  <si>
    <t>U03135</t>
  </si>
  <si>
    <t>U03136</t>
  </si>
  <si>
    <t>U03137</t>
  </si>
  <si>
    <t>U03138</t>
  </si>
  <si>
    <t>U03139</t>
  </si>
  <si>
    <t>U03140</t>
  </si>
  <si>
    <t>U03141</t>
  </si>
  <si>
    <t>U03142</t>
  </si>
  <si>
    <t>U03143</t>
  </si>
  <si>
    <t>U03144</t>
  </si>
  <si>
    <t>U03145</t>
  </si>
  <si>
    <t>U03146</t>
  </si>
  <si>
    <t>U03147</t>
  </si>
  <si>
    <t>U03148</t>
  </si>
  <si>
    <t>U03149</t>
  </si>
  <si>
    <t>U03150</t>
  </si>
  <si>
    <t>U03151</t>
  </si>
  <si>
    <t>U03152</t>
  </si>
  <si>
    <t>U03153</t>
  </si>
  <si>
    <t>U03154</t>
  </si>
  <si>
    <t>U03155</t>
  </si>
  <si>
    <t>U03156</t>
  </si>
  <si>
    <t>U03157</t>
  </si>
  <si>
    <t>U03158</t>
  </si>
  <si>
    <t>U03159</t>
  </si>
  <si>
    <t>U03160</t>
  </si>
  <si>
    <t>U03161</t>
  </si>
  <si>
    <t>U03162</t>
  </si>
  <si>
    <t>U03163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</si>
  <si>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</si>
  <si>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</si>
  <si>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</si>
  <si>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</si>
  <si>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</si>
  <si>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</si>
  <si>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</si>
  <si>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</si>
  <si>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</si>
  <si>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</si>
  <si>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</si>
  <si>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</si>
  <si>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</si>
  <si>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</si>
  <si>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U03178</t>
  </si>
  <si>
    <t>U03179</t>
  </si>
  <si>
    <t>U03180</t>
  </si>
  <si>
    <t>U03181</t>
  </si>
  <si>
    <t>U03182</t>
  </si>
  <si>
    <t>U03183</t>
  </si>
  <si>
    <t>U03184</t>
  </si>
  <si>
    <t>U03185</t>
  </si>
  <si>
    <t>U03186</t>
  </si>
  <si>
    <t>U03187</t>
  </si>
  <si>
    <t>U03188</t>
  </si>
  <si>
    <t>U03189</t>
  </si>
  <si>
    <t>U03190</t>
  </si>
  <si>
    <t>U03191</t>
  </si>
  <si>
    <t>U03192</t>
  </si>
  <si>
    <t>U03193</t>
  </si>
  <si>
    <t>U03194</t>
  </si>
  <si>
    <t>U03195</t>
  </si>
  <si>
    <t>U03196</t>
  </si>
  <si>
    <t>U03197</t>
  </si>
  <si>
    <t>U03198</t>
  </si>
  <si>
    <t>U03199</t>
  </si>
  <si>
    <t>U03200</t>
  </si>
  <si>
    <t>U03201</t>
  </si>
  <si>
    <t>U03202</t>
  </si>
  <si>
    <t>U03203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</si>
  <si>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</si>
  <si>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</si>
  <si>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</si>
  <si>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</si>
  <si>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</si>
  <si>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</si>
  <si>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</si>
  <si>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</si>
  <si>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</si>
  <si>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</si>
  <si>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U03214</t>
  </si>
  <si>
    <t>U03215</t>
  </si>
  <si>
    <t>U03216</t>
  </si>
  <si>
    <t>U03217</t>
  </si>
  <si>
    <t>U03218</t>
  </si>
  <si>
    <t>U03219</t>
  </si>
  <si>
    <t>U03220</t>
  </si>
  <si>
    <t>U03221</t>
  </si>
  <si>
    <t>U03222</t>
  </si>
  <si>
    <t>U03223</t>
  </si>
  <si>
    <t>U03224</t>
  </si>
  <si>
    <t>U03225</t>
  </si>
  <si>
    <t>U03226</t>
  </si>
  <si>
    <t>U03227</t>
  </si>
  <si>
    <t>U03228</t>
  </si>
  <si>
    <t>U03229</t>
  </si>
  <si>
    <t>U03230</t>
  </si>
  <si>
    <t>U03231</t>
  </si>
  <si>
    <t>U03232</t>
  </si>
  <si>
    <t>U03233</t>
  </si>
  <si>
    <t>U03234</t>
  </si>
  <si>
    <t>U03235</t>
  </si>
  <si>
    <t>U03236</t>
  </si>
  <si>
    <t>U03237</t>
  </si>
  <si>
    <t>U03238</t>
  </si>
  <si>
    <t>U03239</t>
  </si>
  <si>
    <t>U03240</t>
  </si>
  <si>
    <t>U03241</t>
  </si>
  <si>
    <t>U03242</t>
  </si>
  <si>
    <t>U03243</t>
  </si>
  <si>
    <t>U03244</t>
  </si>
  <si>
    <t>U03245</t>
  </si>
  <si>
    <t>U03246</t>
  </si>
  <si>
    <t>U03247</t>
  </si>
  <si>
    <t>U03248</t>
  </si>
  <si>
    <t>U03249</t>
  </si>
  <si>
    <t>U03250</t>
  </si>
  <si>
    <t>U03251</t>
  </si>
  <si>
    <t>U03252</t>
  </si>
  <si>
    <t>U03253</t>
  </si>
  <si>
    <t>U03254</t>
  </si>
  <si>
    <t>U03255</t>
  </si>
  <si>
    <t>U03256</t>
  </si>
  <si>
    <t>U03257</t>
  </si>
  <si>
    <t>U03258</t>
  </si>
  <si>
    <t>U03259</t>
  </si>
  <si>
    <t>U03260</t>
  </si>
  <si>
    <t>U03261</t>
  </si>
  <si>
    <t>U03262</t>
  </si>
  <si>
    <t>U03263</t>
  </si>
  <si>
    <t>U03264</t>
  </si>
  <si>
    <t>U03265</t>
  </si>
  <si>
    <t>U03266</t>
  </si>
  <si>
    <t>U03267</t>
  </si>
  <si>
    <t>U03268</t>
  </si>
  <si>
    <t>U03269</t>
  </si>
  <si>
    <t>U03270</t>
  </si>
  <si>
    <t>U03271</t>
  </si>
  <si>
    <t>U03272</t>
  </si>
  <si>
    <t>U03273</t>
  </si>
  <si>
    <t>U03274</t>
  </si>
  <si>
    <t>U03275</t>
  </si>
  <si>
    <t>U03276</t>
  </si>
  <si>
    <t>U03277</t>
  </si>
  <si>
    <t>U03278</t>
  </si>
  <si>
    <t>U03279</t>
  </si>
  <si>
    <t>U03280</t>
  </si>
  <si>
    <t>U03281</t>
  </si>
  <si>
    <t>U03282</t>
  </si>
  <si>
    <t>U03283</t>
  </si>
  <si>
    <t>U03284</t>
  </si>
  <si>
    <t>U03285</t>
  </si>
  <si>
    <t>U03286</t>
  </si>
  <si>
    <t>U03287</t>
  </si>
  <si>
    <t>U03288</t>
  </si>
  <si>
    <t>U03289</t>
  </si>
  <si>
    <t>U03290</t>
  </si>
  <si>
    <t>U03291</t>
  </si>
  <si>
    <t>U03292</t>
  </si>
  <si>
    <t>U03293</t>
  </si>
  <si>
    <t>U03294</t>
  </si>
  <si>
    <t>U03295</t>
  </si>
  <si>
    <t>U03296</t>
  </si>
  <si>
    <t>U03297</t>
  </si>
  <si>
    <t>U03298</t>
  </si>
  <si>
    <t>U03299</t>
  </si>
  <si>
    <t>U03300</t>
  </si>
  <si>
    <t>U03301</t>
  </si>
  <si>
    <t>U03302</t>
  </si>
  <si>
    <t>U03303</t>
  </si>
  <si>
    <t>U03304</t>
  </si>
  <si>
    <t>U03305</t>
  </si>
  <si>
    <t>U03306</t>
  </si>
  <si>
    <t>U03307</t>
  </si>
  <si>
    <t>U03308</t>
  </si>
  <si>
    <t>U03309</t>
  </si>
  <si>
    <t>U03310</t>
  </si>
  <si>
    <t>U03311</t>
  </si>
  <si>
    <t>U03312</t>
  </si>
  <si>
    <t>U03313</t>
  </si>
  <si>
    <t>U03314</t>
  </si>
  <si>
    <t>U03315</t>
  </si>
  <si>
    <t>U03316</t>
  </si>
  <si>
    <t>U03317</t>
  </si>
  <si>
    <t>U03318</t>
  </si>
  <si>
    <t>U03319</t>
  </si>
  <si>
    <t>U03320</t>
  </si>
  <si>
    <t>U03321</t>
  </si>
  <si>
    <t>U03322</t>
  </si>
  <si>
    <t>U03323</t>
  </si>
  <si>
    <t>U03324</t>
  </si>
  <si>
    <t>U03325</t>
  </si>
  <si>
    <t>U03326</t>
  </si>
  <si>
    <t>U03327</t>
  </si>
  <si>
    <t>U03328</t>
  </si>
  <si>
    <t>U03329</t>
  </si>
  <si>
    <t>U03330</t>
  </si>
  <si>
    <t>U03331</t>
  </si>
  <si>
    <t>U03332</t>
  </si>
  <si>
    <t>U03333</t>
  </si>
  <si>
    <t>U03334</t>
  </si>
  <si>
    <t>U03335</t>
  </si>
  <si>
    <t>U03336</t>
  </si>
  <si>
    <t>U03337</t>
  </si>
  <si>
    <t>U03338</t>
  </si>
  <si>
    <t>U03339</t>
  </si>
  <si>
    <t>U03340</t>
  </si>
  <si>
    <t>U03341</t>
  </si>
  <si>
    <t>U03342</t>
  </si>
  <si>
    <t>U03343</t>
  </si>
  <si>
    <t>U03344</t>
  </si>
  <si>
    <t>U03345</t>
  </si>
  <si>
    <t>U03346</t>
  </si>
  <si>
    <t>U03347</t>
  </si>
  <si>
    <t>U03348</t>
  </si>
  <si>
    <t>U03349</t>
  </si>
  <si>
    <t>U03350</t>
  </si>
  <si>
    <t>U03351</t>
  </si>
  <si>
    <t>U03352</t>
  </si>
  <si>
    <t>U03353</t>
  </si>
  <si>
    <t>U03354</t>
  </si>
  <si>
    <t>U03355</t>
  </si>
  <si>
    <t>U03356</t>
  </si>
  <si>
    <t>U03357</t>
  </si>
  <si>
    <t>U03358</t>
  </si>
  <si>
    <t>U03359</t>
  </si>
  <si>
    <t>U03360</t>
  </si>
  <si>
    <t>U03361</t>
  </si>
  <si>
    <t>U03362</t>
  </si>
  <si>
    <t>U03363</t>
  </si>
  <si>
    <t>U03364</t>
  </si>
  <si>
    <t>U03365</t>
  </si>
  <si>
    <t>U03366</t>
  </si>
  <si>
    <t>U03367</t>
  </si>
  <si>
    <t>U03368</t>
  </si>
  <si>
    <t>U03369</t>
  </si>
  <si>
    <t>U03370</t>
  </si>
  <si>
    <t>U03371</t>
  </si>
  <si>
    <t>U03372</t>
  </si>
  <si>
    <t>U03373</t>
  </si>
  <si>
    <t>U03374</t>
  </si>
  <si>
    <t>U03375</t>
  </si>
  <si>
    <t>U03376</t>
  </si>
  <si>
    <t>U03377</t>
  </si>
  <si>
    <t>U03378</t>
  </si>
  <si>
    <t>U03379</t>
  </si>
  <si>
    <t>U03380</t>
  </si>
  <si>
    <t>U03381</t>
  </si>
  <si>
    <t>U03382</t>
  </si>
  <si>
    <t>U03383</t>
  </si>
  <si>
    <t>U03384</t>
  </si>
  <si>
    <t>U03385</t>
  </si>
  <si>
    <t>U03386</t>
  </si>
  <si>
    <t>U03387</t>
  </si>
  <si>
    <t>U03388</t>
  </si>
  <si>
    <t>U03389</t>
  </si>
  <si>
    <t>U03390</t>
  </si>
  <si>
    <t>U03391</t>
  </si>
  <si>
    <t>U03392</t>
  </si>
  <si>
    <t>U03393</t>
  </si>
  <si>
    <t>U03394</t>
  </si>
  <si>
    <t>U03395</t>
  </si>
  <si>
    <t>U03396</t>
  </si>
  <si>
    <t>U03397</t>
  </si>
  <si>
    <t>U03398</t>
  </si>
  <si>
    <t>U03399</t>
  </si>
  <si>
    <t>U03400</t>
  </si>
  <si>
    <t>U03401</t>
  </si>
  <si>
    <t>U03402</t>
  </si>
  <si>
    <t>U03403</t>
  </si>
  <si>
    <t>U03404</t>
  </si>
  <si>
    <t>U03405</t>
  </si>
  <si>
    <t>U03406</t>
  </si>
  <si>
    <t>U03407</t>
  </si>
  <si>
    <t>U03408</t>
  </si>
  <si>
    <t>U03409</t>
  </si>
  <si>
    <t>U03410</t>
  </si>
  <si>
    <t>U03411</t>
  </si>
  <si>
    <t>U03412</t>
  </si>
  <si>
    <t>U03413</t>
  </si>
  <si>
    <t>U03414</t>
  </si>
  <si>
    <t>U03415</t>
  </si>
  <si>
    <t>U03416</t>
  </si>
  <si>
    <t>U03417</t>
  </si>
  <si>
    <t>U03418</t>
  </si>
  <si>
    <t>U03419</t>
  </si>
  <si>
    <t>U03420</t>
  </si>
  <si>
    <t>U03421</t>
  </si>
  <si>
    <t>U03422</t>
  </si>
  <si>
    <t>U03423</t>
  </si>
  <si>
    <t>U03424</t>
  </si>
  <si>
    <t>U03425</t>
  </si>
  <si>
    <t>U03426</t>
  </si>
  <si>
    <t>U03427</t>
  </si>
  <si>
    <t>U03428</t>
  </si>
  <si>
    <t>U03429</t>
  </si>
  <si>
    <t>U03430</t>
  </si>
  <si>
    <t>U03431</t>
  </si>
  <si>
    <t>U03432</t>
  </si>
  <si>
    <t>U03433</t>
  </si>
  <si>
    <t>U03434</t>
  </si>
  <si>
    <t>U03435</t>
  </si>
  <si>
    <t>U03436</t>
  </si>
  <si>
    <t>U03437</t>
  </si>
  <si>
    <t>U03438</t>
  </si>
  <si>
    <t>U03439</t>
  </si>
  <si>
    <t>U03440</t>
  </si>
  <si>
    <t>U03441</t>
  </si>
  <si>
    <t>U03442</t>
  </si>
  <si>
    <t>U03443</t>
  </si>
  <si>
    <t>U03444</t>
  </si>
  <si>
    <t>U03445</t>
  </si>
  <si>
    <t>U03446</t>
  </si>
  <si>
    <t>U03447</t>
  </si>
  <si>
    <t>U03448</t>
  </si>
  <si>
    <t>U03449</t>
  </si>
  <si>
    <t>U03450</t>
  </si>
  <si>
    <t>U03451</t>
  </si>
  <si>
    <t>U03452</t>
  </si>
  <si>
    <t>U03453</t>
  </si>
  <si>
    <t>U03454</t>
  </si>
  <si>
    <t>U03455</t>
  </si>
  <si>
    <t>U03456</t>
  </si>
  <si>
    <t>U03457</t>
  </si>
  <si>
    <t>U03458</t>
  </si>
  <si>
    <t>U03459</t>
  </si>
  <si>
    <t>U03460</t>
  </si>
  <si>
    <t>U03461</t>
  </si>
  <si>
    <t>U03462</t>
  </si>
  <si>
    <t>U03463</t>
  </si>
  <si>
    <t>U03464</t>
  </si>
  <si>
    <t>U03465</t>
  </si>
  <si>
    <t>U03466</t>
  </si>
  <si>
    <t>U03467</t>
  </si>
  <si>
    <t>U03468</t>
  </si>
  <si>
    <t>U03469</t>
  </si>
  <si>
    <t>U03470</t>
  </si>
  <si>
    <t>U03471</t>
  </si>
  <si>
    <t>U03472</t>
  </si>
  <si>
    <t>U03473</t>
  </si>
  <si>
    <t>U03474</t>
  </si>
  <si>
    <t>U03475</t>
  </si>
  <si>
    <t>U03476</t>
  </si>
  <si>
    <t>U03477</t>
  </si>
  <si>
    <t>U03478</t>
  </si>
  <si>
    <t>U03479</t>
  </si>
  <si>
    <t>U03480</t>
  </si>
  <si>
    <t>U03481</t>
  </si>
  <si>
    <t>U03482</t>
  </si>
  <si>
    <t>U03483</t>
  </si>
  <si>
    <t>U03484</t>
  </si>
  <si>
    <t>U03485</t>
  </si>
  <si>
    <t>U03486</t>
  </si>
  <si>
    <t>U03487</t>
  </si>
  <si>
    <t>U03488</t>
  </si>
  <si>
    <t>U03489</t>
  </si>
  <si>
    <t>U03490</t>
  </si>
  <si>
    <t>U03491</t>
  </si>
  <si>
    <t>U03492</t>
  </si>
  <si>
    <t>U03493</t>
  </si>
  <si>
    <t>U03494</t>
  </si>
  <si>
    <t>U03495</t>
  </si>
  <si>
    <t>U03496</t>
  </si>
  <si>
    <t>U03497</t>
  </si>
  <si>
    <t>U03498</t>
  </si>
  <si>
    <t>U03499</t>
  </si>
  <si>
    <t>U03500</t>
  </si>
  <si>
    <t>U03501</t>
  </si>
  <si>
    <t>U03502</t>
  </si>
  <si>
    <t>U03503</t>
  </si>
  <si>
    <t>U03504</t>
  </si>
  <si>
    <t>U03505</t>
  </si>
  <si>
    <t>U03506</t>
  </si>
  <si>
    <t>U03507</t>
  </si>
  <si>
    <t>U03508</t>
  </si>
  <si>
    <t>U03509</t>
  </si>
  <si>
    <t>U03510</t>
  </si>
  <si>
    <t>U03511</t>
  </si>
  <si>
    <t>U03512</t>
  </si>
  <si>
    <t>U03513</t>
  </si>
  <si>
    <t>U03514</t>
  </si>
  <si>
    <t>U03515</t>
  </si>
  <si>
    <t>U03516</t>
  </si>
  <si>
    <t>U03517</t>
  </si>
  <si>
    <t>U03518</t>
  </si>
  <si>
    <t>U03519</t>
  </si>
  <si>
    <t>U03520</t>
  </si>
  <si>
    <t>U03521</t>
  </si>
  <si>
    <t>U03522</t>
  </si>
  <si>
    <t>U03523</t>
  </si>
  <si>
    <t>U03524</t>
  </si>
  <si>
    <t>U03525</t>
  </si>
  <si>
    <t>U03526</t>
  </si>
  <si>
    <t>U03527</t>
  </si>
  <si>
    <t>U03528</t>
  </si>
  <si>
    <t>U03529</t>
  </si>
  <si>
    <t>U03530</t>
  </si>
  <si>
    <t>U03531</t>
  </si>
  <si>
    <t>U03532</t>
  </si>
  <si>
    <t>U03533</t>
  </si>
  <si>
    <t>U03534</t>
  </si>
  <si>
    <t>U03535</t>
  </si>
  <si>
    <t>U03536</t>
  </si>
  <si>
    <t>U03537</t>
  </si>
  <si>
    <t>U03538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</si>
  <si>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</si>
  <si>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</si>
  <si>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</si>
  <si>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</si>
  <si>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</si>
  <si>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</si>
  <si>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</si>
  <si>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</si>
  <si>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</si>
  <si>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</si>
  <si>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</si>
  <si>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U03550</t>
  </si>
  <si>
    <t>U03551</t>
  </si>
  <si>
    <t>U03552</t>
  </si>
  <si>
    <t>U03553</t>
  </si>
  <si>
    <t>U03554</t>
  </si>
  <si>
    <t>U03555</t>
  </si>
  <si>
    <t>U03556</t>
  </si>
  <si>
    <t>U03557</t>
  </si>
  <si>
    <t>U03558</t>
  </si>
  <si>
    <t>U03559</t>
  </si>
  <si>
    <t>U03560</t>
  </si>
  <si>
    <t>U03561</t>
  </si>
  <si>
    <t>U03562</t>
  </si>
  <si>
    <t>U03563</t>
  </si>
  <si>
    <t>U03564</t>
  </si>
  <si>
    <t>U03565</t>
  </si>
  <si>
    <t>U03566</t>
  </si>
  <si>
    <t>U03567</t>
  </si>
  <si>
    <t>U03568</t>
  </si>
  <si>
    <t>U03569</t>
  </si>
  <si>
    <t>U03570</t>
  </si>
  <si>
    <t>U03571</t>
  </si>
  <si>
    <t>U03572</t>
  </si>
  <si>
    <t>U03573</t>
  </si>
  <si>
    <t>U03574</t>
  </si>
  <si>
    <t>U03575</t>
  </si>
  <si>
    <t>U03576</t>
  </si>
  <si>
    <t>U03577</t>
  </si>
  <si>
    <t>U03578</t>
  </si>
  <si>
    <t>U03579</t>
  </si>
  <si>
    <t>U03580</t>
  </si>
  <si>
    <t>U03581</t>
  </si>
  <si>
    <t>U03582</t>
  </si>
  <si>
    <t>U03583</t>
  </si>
  <si>
    <t>U03584</t>
  </si>
  <si>
    <t>U03585</t>
  </si>
  <si>
    <t>U03586</t>
  </si>
  <si>
    <t>U03587</t>
  </si>
  <si>
    <t>U03588</t>
  </si>
  <si>
    <t>U03589</t>
  </si>
  <si>
    <t>U03590</t>
  </si>
  <si>
    <t>U03591</t>
  </si>
  <si>
    <t>U03592</t>
  </si>
  <si>
    <t>U03593</t>
  </si>
  <si>
    <t>U03594</t>
  </si>
  <si>
    <t>U03595</t>
  </si>
  <si>
    <t>U03596</t>
  </si>
  <si>
    <t>U03597</t>
  </si>
  <si>
    <t>U03598</t>
  </si>
  <si>
    <t>U03599</t>
  </si>
  <si>
    <t>U03600</t>
  </si>
  <si>
    <t>U03601</t>
  </si>
  <si>
    <t>U03602</t>
  </si>
  <si>
    <t>U03603</t>
  </si>
  <si>
    <t>U03604</t>
  </si>
  <si>
    <t>U03605</t>
  </si>
  <si>
    <t>U03606</t>
  </si>
  <si>
    <t>U03607</t>
  </si>
  <si>
    <t>U03608</t>
  </si>
  <si>
    <t>U03609</t>
  </si>
  <si>
    <t>U03610</t>
  </si>
  <si>
    <t>U03611</t>
  </si>
  <si>
    <t>U03612</t>
  </si>
  <si>
    <t>U03613</t>
  </si>
  <si>
    <t>U03614</t>
  </si>
  <si>
    <t>U03615</t>
  </si>
  <si>
    <t>U03616</t>
  </si>
  <si>
    <t>U03617</t>
  </si>
  <si>
    <t>U03618</t>
  </si>
  <si>
    <t>U03619</t>
  </si>
  <si>
    <t>U03620</t>
  </si>
  <si>
    <t>U03621</t>
  </si>
  <si>
    <t>U03622</t>
  </si>
  <si>
    <t>U03623</t>
  </si>
  <si>
    <t>U03624</t>
  </si>
  <si>
    <t>U03625</t>
  </si>
  <si>
    <t>U03626</t>
  </si>
  <si>
    <t>U03627</t>
  </si>
  <si>
    <t>U03628</t>
  </si>
  <si>
    <t>U03629</t>
  </si>
  <si>
    <t>U03630</t>
  </si>
  <si>
    <t>U03631</t>
  </si>
  <si>
    <t>U03632</t>
  </si>
  <si>
    <t>U03633</t>
  </si>
  <si>
    <t>U03634</t>
  </si>
  <si>
    <t>U03635</t>
  </si>
  <si>
    <t>U03636</t>
  </si>
  <si>
    <t>U03637</t>
  </si>
  <si>
    <t>U03638</t>
  </si>
  <si>
    <t>U03639</t>
  </si>
  <si>
    <t>U03640</t>
  </si>
  <si>
    <t>U03641</t>
  </si>
  <si>
    <t>U03642</t>
  </si>
  <si>
    <t>U03643</t>
  </si>
  <si>
    <t>U03644</t>
  </si>
  <si>
    <t>U03645</t>
  </si>
  <si>
    <t>U03646</t>
  </si>
  <si>
    <t>U03647</t>
  </si>
  <si>
    <t>U03648</t>
  </si>
  <si>
    <t>U03649</t>
  </si>
  <si>
    <t>U03650</t>
  </si>
  <si>
    <t>U03651</t>
  </si>
  <si>
    <t>U03652</t>
  </si>
  <si>
    <t>U03653</t>
  </si>
  <si>
    <t>U03654</t>
  </si>
  <si>
    <t>U03655</t>
  </si>
  <si>
    <t>U03656</t>
  </si>
  <si>
    <t>U03657</t>
  </si>
  <si>
    <t>U03658</t>
  </si>
  <si>
    <t>U03659</t>
  </si>
  <si>
    <t>U03660</t>
  </si>
  <si>
    <t>U03661</t>
  </si>
  <si>
    <t>U03662</t>
  </si>
  <si>
    <t>U03663</t>
  </si>
  <si>
    <t>U03664</t>
  </si>
  <si>
    <t>U03665</t>
  </si>
  <si>
    <t>U03666</t>
  </si>
  <si>
    <t>U03667</t>
  </si>
  <si>
    <t>U03668</t>
  </si>
  <si>
    <t>U03669</t>
  </si>
  <si>
    <t>U03670</t>
  </si>
  <si>
    <t>U03671</t>
  </si>
  <si>
    <t>U03672</t>
  </si>
  <si>
    <t>U03673</t>
  </si>
  <si>
    <t>U03674</t>
  </si>
  <si>
    <t>U03675</t>
  </si>
  <si>
    <t>U03676</t>
  </si>
  <si>
    <t>U03677</t>
  </si>
  <si>
    <t>U03678</t>
  </si>
  <si>
    <t>U03679</t>
  </si>
  <si>
    <t>U03680</t>
  </si>
  <si>
    <t>U03681</t>
  </si>
  <si>
    <t>U03682</t>
  </si>
  <si>
    <t>U03683</t>
  </si>
  <si>
    <t>U03684</t>
  </si>
  <si>
    <t>U03685</t>
  </si>
  <si>
    <t>U03686</t>
  </si>
  <si>
    <t>U03687</t>
  </si>
  <si>
    <t>U03688</t>
  </si>
  <si>
    <t>U03689</t>
  </si>
  <si>
    <t>U03690</t>
  </si>
  <si>
    <t>U03691</t>
  </si>
  <si>
    <t>U03692</t>
  </si>
  <si>
    <t>U03693</t>
  </si>
  <si>
    <t>U03694</t>
  </si>
  <si>
    <t>U03695</t>
  </si>
  <si>
    <t>U03696</t>
  </si>
  <si>
    <t>U03697</t>
  </si>
  <si>
    <t>U03698</t>
  </si>
  <si>
    <t>U03699</t>
  </si>
  <si>
    <t>U03700</t>
  </si>
  <si>
    <t>U03701</t>
  </si>
  <si>
    <t>U03702</t>
  </si>
  <si>
    <t>U03703</t>
  </si>
  <si>
    <t>U03704</t>
  </si>
  <si>
    <t>U03705</t>
  </si>
  <si>
    <t>U03706</t>
  </si>
  <si>
    <t>U03707</t>
  </si>
  <si>
    <t>U03708</t>
  </si>
  <si>
    <t>U03709</t>
  </si>
  <si>
    <t>U03710</t>
  </si>
  <si>
    <t>U03711</t>
  </si>
  <si>
    <t>U03712</t>
  </si>
  <si>
    <t>U03713</t>
  </si>
  <si>
    <t>U03714</t>
  </si>
  <si>
    <t>U03715</t>
  </si>
  <si>
    <t>U03716</t>
  </si>
  <si>
    <t>U03717</t>
  </si>
  <si>
    <t>U03718</t>
  </si>
  <si>
    <t>U03719</t>
  </si>
  <si>
    <t>U03720</t>
  </si>
  <si>
    <t>U03721</t>
  </si>
  <si>
    <t>U03722</t>
  </si>
  <si>
    <t>U03723</t>
  </si>
  <si>
    <t>U03724</t>
  </si>
  <si>
    <t>U03725</t>
  </si>
  <si>
    <t>U03726</t>
  </si>
  <si>
    <t>U03727</t>
  </si>
  <si>
    <t>U03728</t>
  </si>
  <si>
    <t>U03729</t>
  </si>
  <si>
    <t>U03730</t>
  </si>
  <si>
    <t>U03731</t>
  </si>
  <si>
    <t>U03732</t>
  </si>
  <si>
    <t>U03733</t>
  </si>
  <si>
    <t>U03734</t>
  </si>
  <si>
    <t>U03735</t>
  </si>
  <si>
    <t>U03736</t>
  </si>
  <si>
    <t>U03737</t>
  </si>
  <si>
    <t>U03738</t>
  </si>
  <si>
    <t>U03739</t>
  </si>
  <si>
    <t>U03740</t>
  </si>
  <si>
    <t>U03741</t>
  </si>
  <si>
    <t>U03742</t>
  </si>
  <si>
    <t>U03743</t>
  </si>
  <si>
    <t>U03744</t>
  </si>
  <si>
    <t>U03745</t>
  </si>
  <si>
    <t>U03746</t>
  </si>
  <si>
    <t>U03747</t>
  </si>
  <si>
    <t>U03748</t>
  </si>
  <si>
    <t>U03749</t>
  </si>
  <si>
    <t>U03750</t>
  </si>
  <si>
    <t>U03751</t>
  </si>
  <si>
    <t>U03752</t>
  </si>
  <si>
    <t>U03753</t>
  </si>
  <si>
    <t>U03754</t>
  </si>
  <si>
    <t>U03755</t>
  </si>
  <si>
    <t>U03756</t>
  </si>
  <si>
    <t>U03757</t>
  </si>
  <si>
    <t>U03758</t>
  </si>
  <si>
    <t>U03759</t>
  </si>
  <si>
    <t>U03760</t>
  </si>
  <si>
    <t>U03761</t>
  </si>
  <si>
    <t>U03762</t>
  </si>
  <si>
    <t>U03763</t>
  </si>
  <si>
    <t>U03764</t>
  </si>
  <si>
    <t>U03765</t>
  </si>
  <si>
    <t>U03766</t>
  </si>
  <si>
    <t>U03767</t>
  </si>
  <si>
    <t>U03768</t>
  </si>
  <si>
    <t>U03769</t>
  </si>
  <si>
    <t>U03770</t>
  </si>
  <si>
    <t>U03771</t>
  </si>
  <si>
    <t>U03772</t>
  </si>
  <si>
    <t>U03773</t>
  </si>
  <si>
    <t>U03774</t>
  </si>
  <si>
    <t>U03775</t>
  </si>
  <si>
    <t>U03776</t>
  </si>
  <si>
    <t>U03777</t>
  </si>
  <si>
    <t>U03778</t>
  </si>
  <si>
    <t>U03779</t>
  </si>
  <si>
    <t>U03780</t>
  </si>
  <si>
    <t>U03781</t>
  </si>
  <si>
    <t>U03782</t>
  </si>
  <si>
    <t>U03783</t>
  </si>
  <si>
    <t>U03784</t>
  </si>
  <si>
    <t>U03785</t>
  </si>
  <si>
    <t>U03786</t>
  </si>
  <si>
    <t>U03787</t>
  </si>
  <si>
    <t>U03788</t>
  </si>
  <si>
    <t>U03789</t>
  </si>
  <si>
    <t>U03790</t>
  </si>
  <si>
    <t>U03791</t>
  </si>
  <si>
    <t>U03792</t>
  </si>
  <si>
    <t>U03793</t>
  </si>
  <si>
    <t>U03794</t>
  </si>
  <si>
    <t>U03795</t>
  </si>
  <si>
    <t>U03796</t>
  </si>
  <si>
    <t>U03797</t>
  </si>
  <si>
    <t>U03798</t>
  </si>
  <si>
    <t>U03799</t>
  </si>
  <si>
    <t>U03800</t>
  </si>
  <si>
    <t>U03801</t>
  </si>
  <si>
    <t>U03802</t>
  </si>
  <si>
    <t>U03803</t>
  </si>
  <si>
    <t>U03804</t>
  </si>
  <si>
    <t>U03805</t>
  </si>
  <si>
    <t>U03806</t>
  </si>
  <si>
    <t>U03807</t>
  </si>
  <si>
    <t>U03808</t>
  </si>
  <si>
    <t>U03809</t>
  </si>
  <si>
    <t>U03810</t>
  </si>
  <si>
    <t>U03811</t>
  </si>
  <si>
    <t>U03812</t>
  </si>
  <si>
    <t>U03813</t>
  </si>
  <si>
    <t>U03814</t>
  </si>
  <si>
    <t>U03815</t>
  </si>
  <si>
    <t>U03816</t>
  </si>
  <si>
    <t>U03817</t>
  </si>
  <si>
    <t>U03818</t>
  </si>
  <si>
    <t>U03819</t>
  </si>
  <si>
    <t>U03820</t>
  </si>
  <si>
    <t>U03821</t>
  </si>
  <si>
    <t>U03822</t>
  </si>
  <si>
    <t>U03823</t>
  </si>
  <si>
    <t>U03824</t>
  </si>
  <si>
    <t>U03825</t>
  </si>
  <si>
    <t>U03826</t>
  </si>
  <si>
    <t>U03827</t>
  </si>
  <si>
    <t>U03828</t>
  </si>
  <si>
    <t>U03829</t>
  </si>
  <si>
    <t>U03830</t>
  </si>
  <si>
    <t>U03831</t>
  </si>
  <si>
    <t>U03832</t>
  </si>
  <si>
    <t>U03833</t>
  </si>
  <si>
    <t>U03834</t>
  </si>
  <si>
    <t>U03835</t>
  </si>
  <si>
    <t>U03836</t>
  </si>
  <si>
    <t>U03837</t>
  </si>
  <si>
    <t>U03838</t>
  </si>
  <si>
    <t>U03839</t>
  </si>
  <si>
    <t>U03840</t>
  </si>
  <si>
    <t>U03841</t>
  </si>
  <si>
    <t>U03842</t>
  </si>
  <si>
    <t>U03843</t>
  </si>
  <si>
    <t>U03844</t>
  </si>
  <si>
    <t>U03845</t>
  </si>
  <si>
    <t>U03846</t>
  </si>
  <si>
    <t>U03847</t>
  </si>
  <si>
    <t>U03848</t>
  </si>
  <si>
    <t>U03849</t>
  </si>
  <si>
    <t>U03850</t>
  </si>
  <si>
    <t>U03851</t>
  </si>
  <si>
    <t>U03852</t>
  </si>
  <si>
    <t>U03853</t>
  </si>
  <si>
    <t>U03854</t>
  </si>
  <si>
    <t>U03855</t>
  </si>
  <si>
    <t>U03856</t>
  </si>
  <si>
    <t>U03857</t>
  </si>
  <si>
    <t>U03858</t>
  </si>
  <si>
    <t>U03859</t>
  </si>
  <si>
    <t>U03860</t>
  </si>
  <si>
    <t>U03861</t>
  </si>
  <si>
    <t>U03862</t>
  </si>
  <si>
    <t>U03863</t>
  </si>
  <si>
    <t>U03864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</si>
  <si>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</si>
  <si>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</si>
  <si>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</si>
  <si>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</si>
  <si>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</si>
  <si>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</si>
  <si>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</si>
  <si>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</si>
  <si>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</si>
  <si>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</si>
  <si>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</si>
  <si>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</si>
  <si>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U03877</t>
  </si>
  <si>
    <t>U03878</t>
  </si>
  <si>
    <t>U03879</t>
  </si>
  <si>
    <t>U03880</t>
  </si>
  <si>
    <t>U03881</t>
  </si>
  <si>
    <t>U03882</t>
  </si>
  <si>
    <t>U03883</t>
  </si>
  <si>
    <t>U03884</t>
  </si>
  <si>
    <t>U03885</t>
  </si>
  <si>
    <t>U03886</t>
  </si>
  <si>
    <t>U03887</t>
  </si>
  <si>
    <t>U03888</t>
  </si>
  <si>
    <t>U03889</t>
  </si>
  <si>
    <t>U03890</t>
  </si>
  <si>
    <t>U03891</t>
  </si>
  <si>
    <t>U03892</t>
  </si>
  <si>
    <t>U03893</t>
  </si>
  <si>
    <t>U03894</t>
  </si>
  <si>
    <t>U03895</t>
  </si>
  <si>
    <t>U03896</t>
  </si>
  <si>
    <t>U03897</t>
  </si>
  <si>
    <t>U03898</t>
  </si>
  <si>
    <t>U03899</t>
  </si>
  <si>
    <t>U03900</t>
  </si>
  <si>
    <t>U03901</t>
  </si>
  <si>
    <t>U03902</t>
  </si>
  <si>
    <t>U03903</t>
  </si>
  <si>
    <t>U03904</t>
  </si>
  <si>
    <t>U03905</t>
  </si>
  <si>
    <t>U03906</t>
  </si>
  <si>
    <t>U03907</t>
  </si>
  <si>
    <t>U03908</t>
  </si>
  <si>
    <t>U03909</t>
  </si>
  <si>
    <t>U03910</t>
  </si>
  <si>
    <t>U03911</t>
  </si>
  <si>
    <t>U03912</t>
  </si>
  <si>
    <t>U03913</t>
  </si>
  <si>
    <t>U03914</t>
  </si>
  <si>
    <t>U03915</t>
  </si>
  <si>
    <t>U03916</t>
  </si>
  <si>
    <t>U03917</t>
  </si>
  <si>
    <t>U03918</t>
  </si>
  <si>
    <t>U03919</t>
  </si>
  <si>
    <t>U03920</t>
  </si>
  <si>
    <t>U03921</t>
  </si>
  <si>
    <t>U03922</t>
  </si>
  <si>
    <t>U03923</t>
  </si>
  <si>
    <t>U03924</t>
  </si>
  <si>
    <t>U03925</t>
  </si>
  <si>
    <t>U03926</t>
  </si>
  <si>
    <t>U03927</t>
  </si>
  <si>
    <t>U03928</t>
  </si>
  <si>
    <t>U03929</t>
  </si>
  <si>
    <t>U03930</t>
  </si>
  <si>
    <t>U03931</t>
  </si>
  <si>
    <t>U03932</t>
  </si>
  <si>
    <t>U03933</t>
  </si>
  <si>
    <t>U03934</t>
  </si>
  <si>
    <t>U03935</t>
  </si>
  <si>
    <t>U03936</t>
  </si>
  <si>
    <t>U03937</t>
  </si>
  <si>
    <t>U03938</t>
  </si>
  <si>
    <t>U03939</t>
  </si>
  <si>
    <t>U03940</t>
  </si>
  <si>
    <t>U03941</t>
  </si>
  <si>
    <t>U03942</t>
  </si>
  <si>
    <t>U03943</t>
  </si>
  <si>
    <t>U03944</t>
  </si>
  <si>
    <t>U03945</t>
  </si>
  <si>
    <t>U03946</t>
  </si>
  <si>
    <t>U03947</t>
  </si>
  <si>
    <t>U03948</t>
  </si>
  <si>
    <t>U03949</t>
  </si>
  <si>
    <t>U03950</t>
  </si>
  <si>
    <t>U03951</t>
  </si>
  <si>
    <t>U03952</t>
  </si>
  <si>
    <t>U03953</t>
  </si>
  <si>
    <t>U03954</t>
  </si>
  <si>
    <t>U03955</t>
  </si>
  <si>
    <t>U03956</t>
  </si>
  <si>
    <t>U03957</t>
  </si>
  <si>
    <t>U03958</t>
  </si>
  <si>
    <t>U03959</t>
  </si>
  <si>
    <t>U03960</t>
  </si>
  <si>
    <t>U03961</t>
  </si>
  <si>
    <t>U03962</t>
  </si>
  <si>
    <t>U03963</t>
  </si>
  <si>
    <t>U03964</t>
  </si>
  <si>
    <t>U03965</t>
  </si>
  <si>
    <t>U03966</t>
  </si>
  <si>
    <t>U03967</t>
  </si>
  <si>
    <t>U03968</t>
  </si>
  <si>
    <t>U03969</t>
  </si>
  <si>
    <t>U03970</t>
  </si>
  <si>
    <t>U03971</t>
  </si>
  <si>
    <t>U03972</t>
  </si>
  <si>
    <t>U03973</t>
  </si>
  <si>
    <t>U03974</t>
  </si>
  <si>
    <t>U03975</t>
  </si>
  <si>
    <t>U03976</t>
  </si>
  <si>
    <t>U03977</t>
  </si>
  <si>
    <t>U03978</t>
  </si>
  <si>
    <t>U03979</t>
  </si>
  <si>
    <t>U03980</t>
  </si>
  <si>
    <t>U03981</t>
  </si>
  <si>
    <t>U03982</t>
  </si>
  <si>
    <t>U03983</t>
  </si>
  <si>
    <t>U03984</t>
  </si>
  <si>
    <t>U03985</t>
  </si>
  <si>
    <t>U03986</t>
  </si>
  <si>
    <t>U03987</t>
  </si>
  <si>
    <t>U03988</t>
  </si>
  <si>
    <t>U03989</t>
  </si>
  <si>
    <t>U03990</t>
  </si>
  <si>
    <t>U03991</t>
  </si>
  <si>
    <t>U03992</t>
  </si>
  <si>
    <t>U03993</t>
  </si>
  <si>
    <t>U03994</t>
  </si>
  <si>
    <t>U03995</t>
  </si>
  <si>
    <t>U03996</t>
  </si>
  <si>
    <t>U03997</t>
  </si>
  <si>
    <t>U03998</t>
  </si>
  <si>
    <t>U03999</t>
  </si>
  <si>
    <t>U04000</t>
  </si>
  <si>
    <t>U04001</t>
  </si>
  <si>
    <t>U04002</t>
  </si>
  <si>
    <t>U04003</t>
  </si>
  <si>
    <t>U04004</t>
  </si>
  <si>
    <t>U04005</t>
  </si>
  <si>
    <t>U04006</t>
  </si>
  <si>
    <t>U04007</t>
  </si>
  <si>
    <t>U04008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</si>
  <si>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</si>
  <si>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</si>
  <si>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</si>
  <si>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</si>
  <si>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</si>
  <si>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</si>
  <si>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</si>
  <si>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</si>
  <si>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</si>
  <si>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</si>
  <si>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</si>
  <si>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</si>
  <si>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</si>
  <si>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U04022</t>
  </si>
  <si>
    <t>U04023</t>
  </si>
  <si>
    <t>U04024</t>
  </si>
  <si>
    <t>U04025</t>
  </si>
  <si>
    <t>U04026</t>
  </si>
  <si>
    <t>U04027</t>
  </si>
  <si>
    <t>U04028</t>
  </si>
  <si>
    <t>U04029</t>
  </si>
  <si>
    <t>U04030</t>
  </si>
  <si>
    <t>U04031</t>
  </si>
  <si>
    <t>U04032</t>
  </si>
  <si>
    <t>U04033</t>
  </si>
  <si>
    <t>U04034</t>
  </si>
  <si>
    <t>U04035</t>
  </si>
  <si>
    <t>U04036</t>
  </si>
  <si>
    <t>U04037</t>
  </si>
  <si>
    <t>U04038</t>
  </si>
  <si>
    <t>U04039</t>
  </si>
  <si>
    <t>U04040</t>
  </si>
  <si>
    <t>U04041</t>
  </si>
  <si>
    <t>U04042</t>
  </si>
  <si>
    <t>U04043</t>
  </si>
  <si>
    <t>U04044</t>
  </si>
  <si>
    <t>U04045</t>
  </si>
  <si>
    <t>U04046</t>
  </si>
  <si>
    <t>U04047</t>
  </si>
  <si>
    <t>U04048</t>
  </si>
  <si>
    <t>U04049</t>
  </si>
  <si>
    <t>U04050</t>
  </si>
  <si>
    <t>U04051</t>
  </si>
  <si>
    <t>U04052</t>
  </si>
  <si>
    <t>U04053</t>
  </si>
  <si>
    <t>U04054</t>
  </si>
  <si>
    <t>U04055</t>
  </si>
  <si>
    <t>U04056</t>
  </si>
  <si>
    <t>U04057</t>
  </si>
  <si>
    <t>U04058</t>
  </si>
  <si>
    <t>U04059</t>
  </si>
  <si>
    <t>U04060</t>
  </si>
  <si>
    <t>U04061</t>
  </si>
  <si>
    <t>U04062</t>
  </si>
  <si>
    <t>U04063</t>
  </si>
  <si>
    <t>U04064</t>
  </si>
  <si>
    <t>U04065</t>
  </si>
  <si>
    <t>U04066</t>
  </si>
  <si>
    <t>U04067</t>
  </si>
  <si>
    <t>U04068</t>
  </si>
  <si>
    <t>U04069</t>
  </si>
  <si>
    <t>U04070</t>
  </si>
  <si>
    <t>U04071</t>
  </si>
  <si>
    <t>U04072</t>
  </si>
  <si>
    <t>U04073</t>
  </si>
  <si>
    <t>U04074</t>
  </si>
  <si>
    <t>U04075</t>
  </si>
  <si>
    <t>U04076</t>
  </si>
  <si>
    <t>U04077</t>
  </si>
  <si>
    <t>U04078</t>
  </si>
  <si>
    <t>U04079</t>
  </si>
  <si>
    <t>U04080</t>
  </si>
  <si>
    <t>U04081</t>
  </si>
  <si>
    <t>U04082</t>
  </si>
  <si>
    <t>U04083</t>
  </si>
  <si>
    <t>U04084</t>
  </si>
  <si>
    <t>U04085</t>
  </si>
  <si>
    <t>U04086</t>
  </si>
  <si>
    <t>U04087</t>
  </si>
  <si>
    <t>U04088</t>
  </si>
  <si>
    <t>U04089</t>
  </si>
  <si>
    <t>U04090</t>
  </si>
  <si>
    <t>U04091</t>
  </si>
  <si>
    <t>U04092</t>
  </si>
  <si>
    <t>U04093</t>
  </si>
  <si>
    <t>U04094</t>
  </si>
  <si>
    <t>U04095</t>
  </si>
  <si>
    <t>U04096</t>
  </si>
  <si>
    <t>U04097</t>
  </si>
  <si>
    <t>U04098</t>
  </si>
  <si>
    <t>U04099</t>
  </si>
  <si>
    <t>U04100</t>
  </si>
  <si>
    <t>U04101</t>
  </si>
  <si>
    <t>U04102</t>
  </si>
  <si>
    <t>U04103</t>
  </si>
  <si>
    <t>U04104</t>
  </si>
  <si>
    <t>U04105</t>
  </si>
  <si>
    <t>U04106</t>
  </si>
  <si>
    <t>U04107</t>
  </si>
  <si>
    <t>U04108</t>
  </si>
  <si>
    <t>U04109</t>
  </si>
  <si>
    <t>U04110</t>
  </si>
  <si>
    <t>U04111</t>
  </si>
  <si>
    <t>U04112</t>
  </si>
  <si>
    <t>U04113</t>
  </si>
  <si>
    <t>U04114</t>
  </si>
  <si>
    <t>U04115</t>
  </si>
  <si>
    <t>U04116</t>
  </si>
  <si>
    <t>U04117</t>
  </si>
  <si>
    <t>U04118</t>
  </si>
  <si>
    <t>U04119</t>
  </si>
  <si>
    <t>U04120</t>
  </si>
  <si>
    <t>U04121</t>
  </si>
  <si>
    <t>U04122</t>
  </si>
  <si>
    <t>U04123</t>
  </si>
  <si>
    <t>U04124</t>
  </si>
  <si>
    <t>U04125</t>
  </si>
  <si>
    <t>U04126</t>
  </si>
  <si>
    <t>U04127</t>
  </si>
  <si>
    <t>U04128</t>
  </si>
  <si>
    <t>U04129</t>
  </si>
  <si>
    <t>U04130</t>
  </si>
  <si>
    <t>U04131</t>
  </si>
  <si>
    <t>U04132</t>
  </si>
  <si>
    <t>U04133</t>
  </si>
  <si>
    <t>U04134</t>
  </si>
  <si>
    <t>U04135</t>
  </si>
  <si>
    <t>U04136</t>
  </si>
  <si>
    <t>U04137</t>
  </si>
  <si>
    <t>U04138</t>
  </si>
  <si>
    <t>U04139</t>
  </si>
  <si>
    <t>U04140</t>
  </si>
  <si>
    <t>U04141</t>
  </si>
  <si>
    <t>U04142</t>
  </si>
  <si>
    <t>U04143</t>
  </si>
  <si>
    <t>U04144</t>
  </si>
  <si>
    <t>U04145</t>
  </si>
  <si>
    <t>U04146</t>
  </si>
  <si>
    <t>U04147</t>
  </si>
  <si>
    <t>U04148</t>
  </si>
  <si>
    <t>U04149</t>
  </si>
  <si>
    <t>U04150</t>
  </si>
  <si>
    <t>U04151</t>
  </si>
  <si>
    <t>U04152</t>
  </si>
  <si>
    <t>U04153</t>
  </si>
  <si>
    <t>U04154</t>
  </si>
  <si>
    <t>U04155</t>
  </si>
  <si>
    <t>U04156</t>
  </si>
  <si>
    <t>U04157</t>
  </si>
  <si>
    <t>U04158</t>
  </si>
  <si>
    <t>U04159</t>
  </si>
  <si>
    <t>U04160</t>
  </si>
  <si>
    <t>U04161</t>
  </si>
  <si>
    <t>U04162</t>
  </si>
  <si>
    <t>U04163</t>
  </si>
  <si>
    <t>U04164</t>
  </si>
  <si>
    <t>U04165</t>
  </si>
  <si>
    <t>U04166</t>
  </si>
  <si>
    <t>U04167</t>
  </si>
  <si>
    <t>U04168</t>
  </si>
  <si>
    <t>U04169</t>
  </si>
  <si>
    <t>U04170</t>
  </si>
  <si>
    <t>U04171</t>
  </si>
  <si>
    <t>U04172</t>
  </si>
  <si>
    <t>U04173</t>
  </si>
  <si>
    <t>U04174</t>
  </si>
  <si>
    <t>U04175</t>
  </si>
  <si>
    <t>U04176</t>
  </si>
  <si>
    <t>U04177</t>
  </si>
  <si>
    <t>U04178</t>
  </si>
  <si>
    <t>U04179</t>
  </si>
  <si>
    <t>U04180</t>
  </si>
  <si>
    <t>U04181</t>
  </si>
  <si>
    <t>U04182</t>
  </si>
  <si>
    <t>U04183</t>
  </si>
  <si>
    <t>U04184</t>
  </si>
  <si>
    <t>U04185</t>
  </si>
  <si>
    <t>U04186</t>
  </si>
  <si>
    <t>U04187</t>
  </si>
  <si>
    <t>U04188</t>
  </si>
  <si>
    <t>U04189</t>
  </si>
  <si>
    <t>U04190</t>
  </si>
  <si>
    <t>U04191</t>
  </si>
  <si>
    <t>U04192</t>
  </si>
  <si>
    <t>U04193</t>
  </si>
  <si>
    <t>U04194</t>
  </si>
  <si>
    <t>U04195</t>
  </si>
  <si>
    <t>U04196</t>
  </si>
  <si>
    <t>U04197</t>
  </si>
  <si>
    <t>U04198</t>
  </si>
  <si>
    <t>U04199</t>
  </si>
  <si>
    <t>U04200</t>
  </si>
  <si>
    <t>U04201</t>
  </si>
  <si>
    <t>U04202</t>
  </si>
  <si>
    <t>U04203</t>
  </si>
  <si>
    <t>U04204</t>
  </si>
  <si>
    <t>U04205</t>
  </si>
  <si>
    <t>U04206</t>
  </si>
  <si>
    <t>U04207</t>
  </si>
  <si>
    <t>U04208</t>
  </si>
  <si>
    <t>U04209</t>
  </si>
  <si>
    <t>U04210</t>
  </si>
  <si>
    <t>U04211</t>
  </si>
  <si>
    <t>U04212</t>
  </si>
  <si>
    <t>U04213</t>
  </si>
  <si>
    <t>U04214</t>
  </si>
  <si>
    <t>U04215</t>
  </si>
  <si>
    <t>U04216</t>
  </si>
  <si>
    <t>U04217</t>
  </si>
  <si>
    <t>U04218</t>
  </si>
  <si>
    <t>U04219</t>
  </si>
  <si>
    <t>U04220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</si>
  <si>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</si>
  <si>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</si>
  <si>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</si>
  <si>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</si>
  <si>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</si>
  <si>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</si>
  <si>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</si>
  <si>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</si>
  <si>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</si>
  <si>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</si>
  <si>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</si>
  <si>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</si>
  <si>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</si>
  <si>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U04234</t>
  </si>
  <si>
    <t>U04235</t>
  </si>
  <si>
    <t>U04236</t>
  </si>
  <si>
    <t>U04237</t>
  </si>
  <si>
    <t>U04238</t>
  </si>
  <si>
    <t>U04239</t>
  </si>
  <si>
    <t>U04240</t>
  </si>
  <si>
    <t>U04241</t>
  </si>
  <si>
    <t>U04242</t>
  </si>
  <si>
    <t>U04243</t>
  </si>
  <si>
    <t>U04244</t>
  </si>
  <si>
    <t>U04245</t>
  </si>
  <si>
    <t>U04246</t>
  </si>
  <si>
    <t>U04247</t>
  </si>
  <si>
    <t>U04248</t>
  </si>
  <si>
    <t>U04249</t>
  </si>
  <si>
    <t>U04250</t>
  </si>
  <si>
    <t>U04251</t>
  </si>
  <si>
    <t>U04252</t>
  </si>
  <si>
    <t>U04253</t>
  </si>
  <si>
    <t>U04254</t>
  </si>
  <si>
    <t>U04255</t>
  </si>
  <si>
    <t>U04256</t>
  </si>
  <si>
    <t>U04257</t>
  </si>
  <si>
    <t>U04258</t>
  </si>
  <si>
    <t>U04259</t>
  </si>
  <si>
    <t>U04260</t>
  </si>
  <si>
    <t>U04261</t>
  </si>
  <si>
    <t>U04262</t>
  </si>
  <si>
    <t>U04263</t>
  </si>
  <si>
    <t>U04264</t>
  </si>
  <si>
    <t>U04265</t>
  </si>
  <si>
    <t>U04266</t>
  </si>
  <si>
    <t>U04267</t>
  </si>
  <si>
    <t>U04268</t>
  </si>
  <si>
    <t>U04269</t>
  </si>
  <si>
    <t>U04270</t>
  </si>
  <si>
    <t>U04271</t>
  </si>
  <si>
    <t>U04272</t>
  </si>
  <si>
    <t>U04273</t>
  </si>
  <si>
    <t>U04274</t>
  </si>
  <si>
    <t>U04275</t>
  </si>
  <si>
    <t>U04276</t>
  </si>
  <si>
    <t>U04277</t>
  </si>
  <si>
    <t>U04278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</si>
  <si>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</si>
  <si>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</si>
  <si>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</si>
  <si>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</si>
  <si>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</si>
  <si>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</si>
  <si>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</si>
  <si>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</si>
  <si>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U04287</t>
  </si>
  <si>
    <t>U04288</t>
  </si>
  <si>
    <t>U04289</t>
  </si>
  <si>
    <t>U04290</t>
  </si>
  <si>
    <t>U04291</t>
  </si>
  <si>
    <t>U04292</t>
  </si>
  <si>
    <t>U04293</t>
  </si>
  <si>
    <t>U04294</t>
  </si>
  <si>
    <t>U04295</t>
  </si>
  <si>
    <t>U04296</t>
  </si>
  <si>
    <t>U04297</t>
  </si>
  <si>
    <t>U04298</t>
  </si>
  <si>
    <t>U04299</t>
  </si>
  <si>
    <t>U04300</t>
  </si>
  <si>
    <t>U04301</t>
  </si>
  <si>
    <t>U04302</t>
  </si>
  <si>
    <t>U04303</t>
  </si>
  <si>
    <t>U04304</t>
  </si>
  <si>
    <t>U04305</t>
  </si>
  <si>
    <t>U04306</t>
  </si>
  <si>
    <t>U04307</t>
  </si>
  <si>
    <t>U04308</t>
  </si>
  <si>
    <t>U04309</t>
  </si>
  <si>
    <t>U04310</t>
  </si>
  <si>
    <t>U04311</t>
  </si>
  <si>
    <t>U04312</t>
  </si>
  <si>
    <t>U04313</t>
  </si>
  <si>
    <t>U04314</t>
  </si>
  <si>
    <t>U04315</t>
  </si>
  <si>
    <t>U04316</t>
  </si>
  <si>
    <t>U04317</t>
  </si>
  <si>
    <t>U04318</t>
  </si>
  <si>
    <t>U04319</t>
  </si>
  <si>
    <t>U04320</t>
  </si>
  <si>
    <t>U04321</t>
  </si>
  <si>
    <t>U04322</t>
  </si>
  <si>
    <t>U04323</t>
  </si>
  <si>
    <t>U04324</t>
  </si>
  <si>
    <t>U04325</t>
  </si>
  <si>
    <t>U04326</t>
  </si>
  <si>
    <t>U04327</t>
  </si>
  <si>
    <t>U04328</t>
  </si>
  <si>
    <t>U04329</t>
  </si>
  <si>
    <t>U04330</t>
  </si>
  <si>
    <t>U04331</t>
  </si>
  <si>
    <t>U04332</t>
  </si>
  <si>
    <t>U04333</t>
  </si>
  <si>
    <t>U04334</t>
  </si>
  <si>
    <t>U04335</t>
  </si>
  <si>
    <t>U04336</t>
  </si>
  <si>
    <t>U04337</t>
  </si>
  <si>
    <t>U04338</t>
  </si>
  <si>
    <t>U04339</t>
  </si>
  <si>
    <t>U04340</t>
  </si>
  <si>
    <t>U04341</t>
  </si>
  <si>
    <t>U04342</t>
  </si>
  <si>
    <t>U04343</t>
  </si>
  <si>
    <t>U04344</t>
  </si>
  <si>
    <t>U04345</t>
  </si>
  <si>
    <t>U04346</t>
  </si>
  <si>
    <t>U04347</t>
  </si>
  <si>
    <t>U04348</t>
  </si>
  <si>
    <t>U04349</t>
  </si>
  <si>
    <t>U04350</t>
  </si>
  <si>
    <t>U04351</t>
  </si>
  <si>
    <t>U04352</t>
  </si>
  <si>
    <t>U04353</t>
  </si>
  <si>
    <t>U04354</t>
  </si>
  <si>
    <t>U04355</t>
  </si>
  <si>
    <t>U04356</t>
  </si>
  <si>
    <t>U04357</t>
  </si>
  <si>
    <t>U04358</t>
  </si>
  <si>
    <t>U04359</t>
  </si>
  <si>
    <t>U04360</t>
  </si>
  <si>
    <t>U04361</t>
  </si>
  <si>
    <t>U04362</t>
  </si>
  <si>
    <t>U04363</t>
  </si>
  <si>
    <t>U04364</t>
  </si>
  <si>
    <t>U04365</t>
  </si>
  <si>
    <t>U04366</t>
  </si>
  <si>
    <t>U04367</t>
  </si>
  <si>
    <t>U04368</t>
  </si>
  <si>
    <t>U04369</t>
  </si>
  <si>
    <t>U04370</t>
  </si>
  <si>
    <t>U04371</t>
  </si>
  <si>
    <t>U04372</t>
  </si>
  <si>
    <t>U04373</t>
  </si>
  <si>
    <t>U04374</t>
  </si>
  <si>
    <t>U04375</t>
  </si>
  <si>
    <t>U04376</t>
  </si>
  <si>
    <t>U04377</t>
  </si>
  <si>
    <t>U04378</t>
  </si>
  <si>
    <t>U04379</t>
  </si>
  <si>
    <t>U04380</t>
  </si>
  <si>
    <t>U04381</t>
  </si>
  <si>
    <t>U04382</t>
  </si>
  <si>
    <t>U04383</t>
  </si>
  <si>
    <t>U04384</t>
  </si>
  <si>
    <t>U04385</t>
  </si>
  <si>
    <t>U04386</t>
  </si>
  <si>
    <t>U04387</t>
  </si>
  <si>
    <t>U04388</t>
  </si>
  <si>
    <t>U04389</t>
  </si>
  <si>
    <t>U04390</t>
  </si>
  <si>
    <t>U04391</t>
  </si>
  <si>
    <t>U04392</t>
  </si>
  <si>
    <t>U04393</t>
  </si>
  <si>
    <t>U04394</t>
  </si>
  <si>
    <t>U04395</t>
  </si>
  <si>
    <t>U04396</t>
  </si>
  <si>
    <t>U04397</t>
  </si>
  <si>
    <t>U04398</t>
  </si>
  <si>
    <t>U04399</t>
  </si>
  <si>
    <t>U04400</t>
  </si>
  <si>
    <t>U04401</t>
  </si>
  <si>
    <t>U04402</t>
  </si>
  <si>
    <t>U04403</t>
  </si>
  <si>
    <t>U04404</t>
  </si>
  <si>
    <t>U04405</t>
  </si>
  <si>
    <t>U04406</t>
  </si>
  <si>
    <t>U04407</t>
  </si>
  <si>
    <t>U04408</t>
  </si>
  <si>
    <t>U04409</t>
  </si>
  <si>
    <t>U04410</t>
  </si>
  <si>
    <t>U04411</t>
  </si>
  <si>
    <t>U04412</t>
  </si>
  <si>
    <t>U04413</t>
  </si>
  <si>
    <t>U04414</t>
  </si>
  <si>
    <t>U04415</t>
  </si>
  <si>
    <t>U04416</t>
  </si>
  <si>
    <t>U04417</t>
  </si>
  <si>
    <t>U04418</t>
  </si>
  <si>
    <t>U04419</t>
  </si>
  <si>
    <t>U04420</t>
  </si>
  <si>
    <t>U04421</t>
  </si>
  <si>
    <t>U04422</t>
  </si>
  <si>
    <t>U04423</t>
  </si>
  <si>
    <t>U04424</t>
  </si>
  <si>
    <t>U04425</t>
  </si>
  <si>
    <t>U04426</t>
  </si>
  <si>
    <t>U04427</t>
  </si>
  <si>
    <t>U04428</t>
  </si>
  <si>
    <t>U04429</t>
  </si>
  <si>
    <t>U04430</t>
  </si>
  <si>
    <t>U04431</t>
  </si>
  <si>
    <t>U04432</t>
  </si>
  <si>
    <t>U04433</t>
  </si>
  <si>
    <t>U04434</t>
  </si>
  <si>
    <t>U04435</t>
  </si>
  <si>
    <t>U04436</t>
  </si>
  <si>
    <t>U04437</t>
  </si>
  <si>
    <t>U04438</t>
  </si>
  <si>
    <t>U04439</t>
  </si>
  <si>
    <t>U04440</t>
  </si>
  <si>
    <t>U04441</t>
  </si>
  <si>
    <t>U04442</t>
  </si>
  <si>
    <t>U04443</t>
  </si>
  <si>
    <t>U04444</t>
  </si>
  <si>
    <t>U04445</t>
  </si>
  <si>
    <t>U04446</t>
  </si>
  <si>
    <t>U04447</t>
  </si>
  <si>
    <t>U04448</t>
  </si>
  <si>
    <t>U04449</t>
  </si>
  <si>
    <t>U04450</t>
  </si>
  <si>
    <t>U04451</t>
  </si>
  <si>
    <t>U04452</t>
  </si>
  <si>
    <t>U04453</t>
  </si>
  <si>
    <t>U04454</t>
  </si>
  <si>
    <t>U04455</t>
  </si>
  <si>
    <t>U04456</t>
  </si>
  <si>
    <t>U04457</t>
  </si>
  <si>
    <t>U04458</t>
  </si>
  <si>
    <t>U04459</t>
  </si>
  <si>
    <t>U04460</t>
  </si>
  <si>
    <t>U04461</t>
  </si>
  <si>
    <t>U04462</t>
  </si>
  <si>
    <t>U04463</t>
  </si>
  <si>
    <t>U04464</t>
  </si>
  <si>
    <t>U04465</t>
  </si>
  <si>
    <t>U04466</t>
  </si>
  <si>
    <t>U04467</t>
  </si>
  <si>
    <t>U04468</t>
  </si>
  <si>
    <t>U04469</t>
  </si>
  <si>
    <t>U04470</t>
  </si>
  <si>
    <t>U04471</t>
  </si>
  <si>
    <t>U04472</t>
  </si>
  <si>
    <t>U04473</t>
  </si>
  <si>
    <t>U04474</t>
  </si>
  <si>
    <t>U04475</t>
  </si>
  <si>
    <t>U04476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</si>
  <si>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</si>
  <si>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</si>
  <si>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</si>
  <si>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</si>
  <si>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</si>
  <si>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</si>
  <si>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</si>
  <si>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</si>
  <si>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</si>
  <si>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</si>
  <si>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</si>
  <si>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</si>
  <si>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</si>
  <si>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</si>
  <si>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</si>
  <si>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</si>
  <si>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</si>
  <si>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</si>
  <si>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U04495</t>
  </si>
  <si>
    <t>U04496</t>
  </si>
  <si>
    <t>U04497</t>
  </si>
  <si>
    <t>U04498</t>
  </si>
  <si>
    <t>U04499</t>
  </si>
  <si>
    <t>U04500</t>
  </si>
  <si>
    <t>U04501</t>
  </si>
  <si>
    <t>U04502</t>
  </si>
  <si>
    <t>U04503</t>
  </si>
  <si>
    <t>U04504</t>
  </si>
  <si>
    <t>U04505</t>
  </si>
  <si>
    <t>U04506</t>
  </si>
  <si>
    <t>U04507</t>
  </si>
  <si>
    <t>U04508</t>
  </si>
  <si>
    <t>U04509</t>
  </si>
  <si>
    <t>U04510</t>
  </si>
  <si>
    <t>U04511</t>
  </si>
  <si>
    <t>U04512</t>
  </si>
  <si>
    <t>U04513</t>
  </si>
  <si>
    <t>U04514</t>
  </si>
  <si>
    <t>U04515</t>
  </si>
  <si>
    <t>U04516</t>
  </si>
  <si>
    <t>U04517</t>
  </si>
  <si>
    <t>U04518</t>
  </si>
  <si>
    <t>U04519</t>
  </si>
  <si>
    <t>U04520</t>
  </si>
  <si>
    <t>U04521</t>
  </si>
  <si>
    <t>U04522</t>
  </si>
  <si>
    <t>U04523</t>
  </si>
  <si>
    <t>U04524</t>
  </si>
  <si>
    <t>U04525</t>
  </si>
  <si>
    <t>U04526</t>
  </si>
  <si>
    <t>U04527</t>
  </si>
  <si>
    <t>U04528</t>
  </si>
  <si>
    <t>U04529</t>
  </si>
  <si>
    <t>U04530</t>
  </si>
  <si>
    <t>U04531</t>
  </si>
  <si>
    <t>U04532</t>
  </si>
  <si>
    <t>U04533</t>
  </si>
  <si>
    <t>U04534</t>
  </si>
  <si>
    <t>U04535</t>
  </si>
  <si>
    <t>U04536</t>
  </si>
  <si>
    <t>U04537</t>
  </si>
  <si>
    <t>U04538</t>
  </si>
  <si>
    <t>U04539</t>
  </si>
  <si>
    <t>U04540</t>
  </si>
  <si>
    <t>U04541</t>
  </si>
  <si>
    <t>U04542</t>
  </si>
  <si>
    <t>U04543</t>
  </si>
  <si>
    <t>U04544</t>
  </si>
  <si>
    <t>U04545</t>
  </si>
  <si>
    <t>U04546</t>
  </si>
  <si>
    <t>U04547</t>
  </si>
  <si>
    <t>U04548</t>
  </si>
  <si>
    <t>U04549</t>
  </si>
  <si>
    <t>U04550</t>
  </si>
  <si>
    <t>U04551</t>
  </si>
  <si>
    <t>U04552</t>
  </si>
  <si>
    <t>U04553</t>
  </si>
  <si>
    <t>U04554</t>
  </si>
  <si>
    <t>U04555</t>
  </si>
  <si>
    <t>U04556</t>
  </si>
  <si>
    <t>U04557</t>
  </si>
  <si>
    <t>U04558</t>
  </si>
  <si>
    <t>U04559</t>
  </si>
  <si>
    <t>U04560</t>
  </si>
  <si>
    <t>U04561</t>
  </si>
  <si>
    <t>U04562</t>
  </si>
  <si>
    <t>U04563</t>
  </si>
  <si>
    <t>U04564</t>
  </si>
  <si>
    <t>U04565</t>
  </si>
  <si>
    <t>U04566</t>
  </si>
  <si>
    <t>U04567</t>
  </si>
  <si>
    <t>U04568</t>
  </si>
  <si>
    <t>U04569</t>
  </si>
  <si>
    <t>U04570</t>
  </si>
  <si>
    <t>U04571</t>
  </si>
  <si>
    <t>U04572</t>
  </si>
  <si>
    <t>U04573</t>
  </si>
  <si>
    <t>U04574</t>
  </si>
  <si>
    <t>U04575</t>
  </si>
  <si>
    <t>U04576</t>
  </si>
  <si>
    <t>U04577</t>
  </si>
  <si>
    <t>U04578</t>
  </si>
  <si>
    <t>U04579</t>
  </si>
  <si>
    <t>U04580</t>
  </si>
  <si>
    <t>U04581</t>
  </si>
  <si>
    <t>U04582</t>
  </si>
  <si>
    <t>U04583</t>
  </si>
  <si>
    <t>U04584</t>
  </si>
  <si>
    <t>U04585</t>
  </si>
  <si>
    <t>U04586</t>
  </si>
  <si>
    <t>U04587</t>
  </si>
  <si>
    <t>U04588</t>
  </si>
  <si>
    <t>U04589</t>
  </si>
  <si>
    <t>U04590</t>
  </si>
  <si>
    <t>U04591</t>
  </si>
  <si>
    <t>U04592</t>
  </si>
  <si>
    <t>U04593</t>
  </si>
  <si>
    <t>U04594</t>
  </si>
  <si>
    <t>U04595</t>
  </si>
  <si>
    <t>U04596</t>
  </si>
  <si>
    <t>U04597</t>
  </si>
  <si>
    <t>U04598</t>
  </si>
  <si>
    <t>U04599</t>
  </si>
  <si>
    <t>U04600</t>
  </si>
  <si>
    <t>U04601</t>
  </si>
  <si>
    <t>U04602</t>
  </si>
  <si>
    <t>U04603</t>
  </si>
  <si>
    <t>U04604</t>
  </si>
  <si>
    <t>U04605</t>
  </si>
  <si>
    <t>U04606</t>
  </si>
  <si>
    <t>U04607</t>
  </si>
  <si>
    <t>U04608</t>
  </si>
  <si>
    <t>U04609</t>
  </si>
  <si>
    <t>U04610</t>
  </si>
  <si>
    <t>U04611</t>
  </si>
  <si>
    <t>U04612</t>
  </si>
  <si>
    <t>U04613</t>
  </si>
  <si>
    <t>U04614</t>
  </si>
  <si>
    <t>U04615</t>
  </si>
  <si>
    <t>U04616</t>
  </si>
  <si>
    <t>U04617</t>
  </si>
  <si>
    <t>U04618</t>
  </si>
  <si>
    <t>U04619</t>
  </si>
  <si>
    <t>U04620</t>
  </si>
  <si>
    <t>U04621</t>
  </si>
  <si>
    <t>U04622</t>
  </si>
  <si>
    <t>U04623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</si>
  <si>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</si>
  <si>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</si>
  <si>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</si>
  <si>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</si>
  <si>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</si>
  <si>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</si>
  <si>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</si>
  <si>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</si>
  <si>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</si>
  <si>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</si>
  <si>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</si>
  <si>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U04635</t>
  </si>
  <si>
    <t>U04636</t>
  </si>
  <si>
    <t>U04637</t>
  </si>
  <si>
    <t>U04638</t>
  </si>
  <si>
    <t>U04639</t>
  </si>
  <si>
    <t>U04640</t>
  </si>
  <si>
    <t>U04641</t>
  </si>
  <si>
    <t>U04642</t>
  </si>
  <si>
    <t>U04643</t>
  </si>
  <si>
    <t>U04644</t>
  </si>
  <si>
    <t>U04645</t>
  </si>
  <si>
    <t>U04646</t>
  </si>
  <si>
    <t>U04647</t>
  </si>
  <si>
    <t>U04648</t>
  </si>
  <si>
    <t>U04649</t>
  </si>
  <si>
    <t>U04650</t>
  </si>
  <si>
    <t>U04651</t>
  </si>
  <si>
    <t>U04652</t>
  </si>
  <si>
    <t>U04653</t>
  </si>
  <si>
    <t>U04654</t>
  </si>
  <si>
    <t>U04655</t>
  </si>
  <si>
    <t>U04656</t>
  </si>
  <si>
    <t>U04657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</si>
  <si>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</si>
  <si>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</si>
  <si>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</si>
  <si>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</si>
  <si>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</si>
  <si>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</si>
  <si>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</si>
  <si>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</si>
  <si>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</si>
  <si>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</si>
  <si>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</si>
  <si>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</si>
  <si>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</si>
  <si>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U04671</t>
  </si>
  <si>
    <t>U04672</t>
  </si>
  <si>
    <t>U04673</t>
  </si>
  <si>
    <t>U04674</t>
  </si>
  <si>
    <t>U04675</t>
  </si>
  <si>
    <t>U04676</t>
  </si>
  <si>
    <t>U04677</t>
  </si>
  <si>
    <t>U04678</t>
  </si>
  <si>
    <t>U04679</t>
  </si>
  <si>
    <t>U04680</t>
  </si>
  <si>
    <t>U04681</t>
  </si>
  <si>
    <t>U04682</t>
  </si>
  <si>
    <t>U04683</t>
  </si>
  <si>
    <t>U04684</t>
  </si>
  <si>
    <t>U04685</t>
  </si>
  <si>
    <t>U04686</t>
  </si>
  <si>
    <t>U04687</t>
  </si>
  <si>
    <t>U04688</t>
  </si>
  <si>
    <t>U04689</t>
  </si>
  <si>
    <t>U04690</t>
  </si>
  <si>
    <t>U04691</t>
  </si>
  <si>
    <t>U04692</t>
  </si>
  <si>
    <t>U04693</t>
  </si>
  <si>
    <t>U04694</t>
  </si>
  <si>
    <t>U04695</t>
  </si>
  <si>
    <t>U04696</t>
  </si>
  <si>
    <t>U04697</t>
  </si>
  <si>
    <t>U04698</t>
  </si>
  <si>
    <t>U04699</t>
  </si>
  <si>
    <t>U04700</t>
  </si>
  <si>
    <t>U04701</t>
  </si>
  <si>
    <t>U04702</t>
  </si>
  <si>
    <t>U04703</t>
  </si>
  <si>
    <t>U04704</t>
  </si>
  <si>
    <t>U04705</t>
  </si>
  <si>
    <t>U04706</t>
  </si>
  <si>
    <t>U04707</t>
  </si>
  <si>
    <t>U04708</t>
  </si>
  <si>
    <t>U04709</t>
  </si>
  <si>
    <t>U04710</t>
  </si>
  <si>
    <t>U04711</t>
  </si>
  <si>
    <t>U04712</t>
  </si>
  <si>
    <t>U04713</t>
  </si>
  <si>
    <t>U04714</t>
  </si>
  <si>
    <t>U04715</t>
  </si>
  <si>
    <t>U04716</t>
  </si>
  <si>
    <t>U04717</t>
  </si>
  <si>
    <t>U04718</t>
  </si>
  <si>
    <t>U04719</t>
  </si>
  <si>
    <t>U04720</t>
  </si>
  <si>
    <t>U04721</t>
  </si>
  <si>
    <t>U04722</t>
  </si>
  <si>
    <t>U04723</t>
  </si>
  <si>
    <t>U04724</t>
  </si>
  <si>
    <t>U04725</t>
  </si>
  <si>
    <t>U04726</t>
  </si>
  <si>
    <t>U04727</t>
  </si>
  <si>
    <t>U04728</t>
  </si>
  <si>
    <t>U04729</t>
  </si>
  <si>
    <t>U04730</t>
  </si>
  <si>
    <t>U04731</t>
  </si>
  <si>
    <t>U04732</t>
  </si>
  <si>
    <t>U04733</t>
  </si>
  <si>
    <t>U04734</t>
  </si>
  <si>
    <t>U04735</t>
  </si>
  <si>
    <t>U04736</t>
  </si>
  <si>
    <t>U04737</t>
  </si>
  <si>
    <t>U04738</t>
  </si>
  <si>
    <t>U04739</t>
  </si>
  <si>
    <t>U04740</t>
  </si>
  <si>
    <t>U04741</t>
  </si>
  <si>
    <t>U04742</t>
  </si>
  <si>
    <t>U04743</t>
  </si>
  <si>
    <t>U04744</t>
  </si>
  <si>
    <t>U04745</t>
  </si>
  <si>
    <t>U04746</t>
  </si>
  <si>
    <t>U04747</t>
  </si>
  <si>
    <t>U04748</t>
  </si>
  <si>
    <t>U04749</t>
  </si>
  <si>
    <t>U04750</t>
  </si>
  <si>
    <t>U04751</t>
  </si>
  <si>
    <t>U04752</t>
  </si>
  <si>
    <t>U04753</t>
  </si>
  <si>
    <t>U04754</t>
  </si>
  <si>
    <t>U04755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</si>
  <si>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</si>
  <si>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</si>
  <si>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</si>
  <si>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</si>
  <si>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</si>
  <si>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</si>
  <si>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</si>
  <si>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</si>
  <si>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U04764</t>
  </si>
  <si>
    <t>U04765</t>
  </si>
  <si>
    <t>U04766</t>
  </si>
  <si>
    <t>U04767</t>
  </si>
  <si>
    <t>U04768</t>
  </si>
  <si>
    <t>U04769</t>
  </si>
  <si>
    <t>U04770</t>
  </si>
  <si>
    <t>U04771</t>
  </si>
  <si>
    <t>U04772</t>
  </si>
  <si>
    <t>U04773</t>
  </si>
  <si>
    <t>U04774</t>
  </si>
  <si>
    <t>U04775</t>
  </si>
  <si>
    <t>U04776</t>
  </si>
  <si>
    <t>U04777</t>
  </si>
  <si>
    <t>U04778</t>
  </si>
  <si>
    <t>U04779</t>
  </si>
  <si>
    <t>U04780</t>
  </si>
  <si>
    <t>U04781</t>
  </si>
  <si>
    <t>U04782</t>
  </si>
  <si>
    <t>U04783</t>
  </si>
  <si>
    <t>U04784</t>
  </si>
  <si>
    <t>U04785</t>
  </si>
  <si>
    <t>U04786</t>
  </si>
  <si>
    <t>U04787</t>
  </si>
  <si>
    <t>U04788</t>
  </si>
  <si>
    <t>U04789</t>
  </si>
  <si>
    <t>U04790</t>
  </si>
  <si>
    <t>U04791</t>
  </si>
  <si>
    <t>U04792</t>
  </si>
  <si>
    <t>U04793</t>
  </si>
  <si>
    <t>U04794</t>
  </si>
  <si>
    <t>U04795</t>
  </si>
  <si>
    <t>U04796</t>
  </si>
  <si>
    <t>U04797</t>
  </si>
  <si>
    <t>U04798</t>
  </si>
  <si>
    <t>U04799</t>
  </si>
  <si>
    <t>U04800</t>
  </si>
  <si>
    <t>U04801</t>
  </si>
  <si>
    <t>U04802</t>
  </si>
  <si>
    <t>U04803</t>
  </si>
  <si>
    <t>U04804</t>
  </si>
  <si>
    <t>U04805</t>
  </si>
  <si>
    <t>U04806</t>
  </si>
  <si>
    <t>U04807</t>
  </si>
  <si>
    <t>U04808</t>
  </si>
  <si>
    <t>U04809</t>
  </si>
  <si>
    <t>U04810</t>
  </si>
  <si>
    <t>U04811</t>
  </si>
  <si>
    <t>U04812</t>
  </si>
  <si>
    <t>U04813</t>
  </si>
  <si>
    <t>U04814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</si>
  <si>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</si>
  <si>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</si>
  <si>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</si>
  <si>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</si>
  <si>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</si>
  <si>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</si>
  <si>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</si>
  <si>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</si>
  <si>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</si>
  <si>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</si>
  <si>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U04825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</si>
  <si>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</si>
  <si>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</si>
  <si>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</si>
  <si>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</si>
  <si>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</si>
  <si>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</si>
  <si>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</si>
  <si>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</si>
  <si>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</si>
  <si>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</si>
  <si>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</si>
  <si>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</si>
  <si>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U04838</t>
  </si>
  <si>
    <t>U04839</t>
  </si>
  <si>
    <t>U04840</t>
  </si>
  <si>
    <t>U04841</t>
  </si>
  <si>
    <t>U04842</t>
  </si>
  <si>
    <t>U04843</t>
  </si>
  <si>
    <t>U04844</t>
  </si>
  <si>
    <t>U04845</t>
  </si>
  <si>
    <t>U04846</t>
  </si>
  <si>
    <t>U04847</t>
  </si>
  <si>
    <t>U04848</t>
  </si>
  <si>
    <t>U04849</t>
  </si>
  <si>
    <t>U04850</t>
  </si>
  <si>
    <t>U04851</t>
  </si>
  <si>
    <t>U04852</t>
  </si>
  <si>
    <t>U04853</t>
  </si>
  <si>
    <t>U04854</t>
  </si>
  <si>
    <t>U04855</t>
  </si>
  <si>
    <t>U04856</t>
  </si>
  <si>
    <t>U04857</t>
  </si>
  <si>
    <t>U04858</t>
  </si>
  <si>
    <t>U04859</t>
  </si>
  <si>
    <t>U04860</t>
  </si>
  <si>
    <t>U04861</t>
  </si>
  <si>
    <t>U04862</t>
  </si>
  <si>
    <t>U04863</t>
  </si>
  <si>
    <t>U04864</t>
  </si>
  <si>
    <t>U04865</t>
  </si>
  <si>
    <t>U04866</t>
  </si>
  <si>
    <t>U04867</t>
  </si>
  <si>
    <t>U04868</t>
  </si>
  <si>
    <t>U04869</t>
  </si>
  <si>
    <t>U04870</t>
  </si>
  <si>
    <t>U04871</t>
  </si>
  <si>
    <t>U04872</t>
  </si>
  <si>
    <t>U04873</t>
  </si>
  <si>
    <t>U04874</t>
  </si>
  <si>
    <t>U04875</t>
  </si>
  <si>
    <t>U04876</t>
  </si>
  <si>
    <t>U04877</t>
  </si>
  <si>
    <t>U04878</t>
  </si>
  <si>
    <t>U04879</t>
  </si>
  <si>
    <t>U04880</t>
  </si>
  <si>
    <t>U04881</t>
  </si>
  <si>
    <t>U04882</t>
  </si>
  <si>
    <t>U04883</t>
  </si>
  <si>
    <t>U04884</t>
  </si>
  <si>
    <t>U04885</t>
  </si>
  <si>
    <t>U04886</t>
  </si>
  <si>
    <t>U04887</t>
  </si>
  <si>
    <t>U04888</t>
  </si>
  <si>
    <t>U04889</t>
  </si>
  <si>
    <t>U04890</t>
  </si>
  <si>
    <t>U04891</t>
  </si>
  <si>
    <t>U04892</t>
  </si>
  <si>
    <t>U04893</t>
  </si>
  <si>
    <t>U04894</t>
  </si>
  <si>
    <t>U04895</t>
  </si>
  <si>
    <t>U04896</t>
  </si>
  <si>
    <t>U04897</t>
  </si>
  <si>
    <t>U04898</t>
  </si>
  <si>
    <t>U04899</t>
  </si>
  <si>
    <t>U04900</t>
  </si>
  <si>
    <t>U04901</t>
  </si>
  <si>
    <t>U04902</t>
  </si>
  <si>
    <t>U04903</t>
  </si>
  <si>
    <t>U04904</t>
  </si>
  <si>
    <t>U04905</t>
  </si>
  <si>
    <t>U04906</t>
  </si>
  <si>
    <t>U04907</t>
  </si>
  <si>
    <t>U04908</t>
  </si>
  <si>
    <t>U04909</t>
  </si>
  <si>
    <t>U04910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</si>
  <si>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</si>
  <si>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</si>
  <si>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</si>
  <si>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</si>
  <si>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</si>
  <si>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</si>
  <si>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</si>
  <si>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</si>
  <si>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U04919</t>
  </si>
  <si>
    <t>U04920</t>
  </si>
  <si>
    <t>U04921</t>
  </si>
  <si>
    <t>U04922</t>
  </si>
  <si>
    <t>U04923</t>
  </si>
  <si>
    <t>U04924</t>
  </si>
  <si>
    <t>U04925</t>
  </si>
  <si>
    <t>U04926</t>
  </si>
  <si>
    <t>U04927</t>
  </si>
  <si>
    <t>U04928</t>
  </si>
  <si>
    <t>U04929</t>
  </si>
  <si>
    <t>U04930</t>
  </si>
  <si>
    <t>U04931</t>
  </si>
  <si>
    <t>U04932</t>
  </si>
  <si>
    <t>U04933</t>
  </si>
  <si>
    <t>U04934</t>
  </si>
  <si>
    <t>U04935</t>
  </si>
  <si>
    <t>U04936</t>
  </si>
  <si>
    <t>U04937</t>
  </si>
  <si>
    <t>U04938</t>
  </si>
  <si>
    <t>U04939</t>
  </si>
  <si>
    <t>U04940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</si>
  <si>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</si>
  <si>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</si>
  <si>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</si>
  <si>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</si>
  <si>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</si>
  <si>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</si>
  <si>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</si>
  <si>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</si>
  <si>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U04949</t>
  </si>
  <si>
    <t>U04950</t>
  </si>
  <si>
    <t>U04951</t>
  </si>
  <si>
    <t>U04952</t>
  </si>
  <si>
    <t>U04953</t>
  </si>
  <si>
    <t>U04954</t>
  </si>
  <si>
    <t>U04955</t>
  </si>
  <si>
    <t>U04956</t>
  </si>
  <si>
    <t>U04957</t>
  </si>
  <si>
    <t>U04958</t>
  </si>
  <si>
    <t>U04959</t>
  </si>
  <si>
    <t>U04960</t>
  </si>
  <si>
    <t>U04961</t>
  </si>
  <si>
    <t>U04962</t>
  </si>
  <si>
    <t>U04963</t>
  </si>
  <si>
    <t>U04964</t>
  </si>
  <si>
    <t>U04965</t>
  </si>
  <si>
    <t>U04966</t>
  </si>
  <si>
    <t>U04967</t>
  </si>
  <si>
    <t>U04968</t>
  </si>
  <si>
    <t>U04969</t>
  </si>
  <si>
    <t>U04970</t>
  </si>
  <si>
    <t>U04971</t>
  </si>
  <si>
    <t>U04972</t>
  </si>
  <si>
    <t>U04973</t>
  </si>
  <si>
    <t>U04974</t>
  </si>
  <si>
    <t>U04975</t>
  </si>
  <si>
    <t>U04976</t>
  </si>
  <si>
    <t>U04977</t>
  </si>
  <si>
    <t>U04978</t>
  </si>
  <si>
    <t>U04979</t>
  </si>
  <si>
    <t>U04980</t>
  </si>
  <si>
    <t>U04981</t>
  </si>
  <si>
    <t>U04982</t>
  </si>
  <si>
    <t>U04983</t>
  </si>
  <si>
    <t>U04984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</si>
  <si>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</si>
  <si>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</si>
  <si>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</si>
  <si>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</si>
  <si>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</si>
  <si>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</si>
  <si>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</si>
  <si>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</si>
  <si>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U04993</t>
  </si>
  <si>
    <t>U04994</t>
  </si>
  <si>
    <t>U04995</t>
  </si>
  <si>
    <t>U04996</t>
  </si>
  <si>
    <t>U04997</t>
  </si>
  <si>
    <t>U04998</t>
  </si>
  <si>
    <t>U04999</t>
  </si>
  <si>
    <t>U05000</t>
  </si>
  <si>
    <t>Female</t>
  </si>
  <si>
    <t>Male</t>
  </si>
  <si>
    <t>Basic</t>
  </si>
  <si>
    <t>Standard</t>
  </si>
  <si>
    <t>Premium</t>
  </si>
  <si>
    <t>USA</t>
  </si>
  <si>
    <t>India</t>
  </si>
  <si>
    <t>Canada</t>
  </si>
  <si>
    <t>UK</t>
  </si>
  <si>
    <t>Australia</t>
  </si>
  <si>
    <t>Action</t>
  </si>
  <si>
    <t>Drama</t>
  </si>
  <si>
    <t>Thriller</t>
  </si>
  <si>
    <t>Comedy</t>
  </si>
  <si>
    <t>Family</t>
  </si>
  <si>
    <t>Descriptive Statistics</t>
  </si>
  <si>
    <t>Mean</t>
  </si>
  <si>
    <t xml:space="preserve">Median </t>
  </si>
  <si>
    <t xml:space="preserve">Mode </t>
  </si>
  <si>
    <t>Maximum</t>
  </si>
  <si>
    <t>Minimum</t>
  </si>
  <si>
    <t>Range</t>
  </si>
  <si>
    <t>Q1</t>
  </si>
  <si>
    <t>IQR</t>
  </si>
  <si>
    <t>Variance</t>
  </si>
  <si>
    <t>SD</t>
  </si>
  <si>
    <t>Skewness</t>
  </si>
  <si>
    <t>Kurtosis</t>
  </si>
  <si>
    <t>P85</t>
  </si>
  <si>
    <t>P70</t>
  </si>
  <si>
    <t>Q3</t>
  </si>
  <si>
    <t>P39</t>
  </si>
  <si>
    <t>Standard Error</t>
  </si>
  <si>
    <t>Median</t>
  </si>
  <si>
    <t>Mode</t>
  </si>
  <si>
    <t>Standard Deviation</t>
  </si>
  <si>
    <t>Sample Variance</t>
  </si>
  <si>
    <t>Sum</t>
  </si>
  <si>
    <t>Count</t>
  </si>
  <si>
    <t xml:space="preserve">Anual Statistics </t>
  </si>
  <si>
    <t>Row Labels</t>
  </si>
  <si>
    <t>Grand Total</t>
  </si>
  <si>
    <t>Count of Subscription_Plan</t>
  </si>
  <si>
    <t>Relative Frequency</t>
  </si>
  <si>
    <t>Subscription Plan</t>
  </si>
  <si>
    <t>Frequency</t>
  </si>
  <si>
    <t>Relative frequency</t>
  </si>
  <si>
    <t>percentage</t>
  </si>
  <si>
    <t>Average of Satisfaction_Score</t>
  </si>
  <si>
    <t>Count of Gender</t>
  </si>
  <si>
    <t>Average of Watch_Hours_Month</t>
  </si>
  <si>
    <t>CLASS INTERVALS</t>
  </si>
  <si>
    <t>3---8</t>
  </si>
  <si>
    <t>8---13</t>
  </si>
  <si>
    <t>13---18</t>
  </si>
  <si>
    <t>18---23</t>
  </si>
  <si>
    <t>23---28</t>
  </si>
  <si>
    <t>FREQUENCY</t>
  </si>
  <si>
    <t>MID POINT</t>
  </si>
  <si>
    <t>RELATIVE FREQUENCY</t>
  </si>
  <si>
    <t>Column Labels</t>
  </si>
  <si>
    <t>Annual Income</t>
  </si>
  <si>
    <t>GENDER\BAND</t>
  </si>
  <si>
    <t>A</t>
  </si>
  <si>
    <t>B</t>
  </si>
  <si>
    <t xml:space="preserve">MALE 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</si>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</sst>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Sitka Text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0" xfId="0" applyFont="1" applyFill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pivotButton="1" applyBorder="1"/>
    <xf numFmtId="0" fontId="2" fillId="0" borderId="1" xfId="0" applyFont="1" applyBorder="1" applyAlignment="1">
      <alignment horizontal="centerContinuous"/>
    </xf>
    <xf numFmtId="0" fontId="1" fillId="0" borderId="1" xfId="0" applyFont="1" applyBorder="1"/>
    <xf numFmtId="0" fontId="1" fillId="4" borderId="2" xfId="0" applyFont="1" applyFill="1" applyBorder="1"/>
    <xf numFmtId="0" fontId="1" fillId="4" borderId="1" xfId="0" applyFont="1" applyFill="1" applyBorder="1"/>
    <xf numFmtId="0" fontId="3" fillId="0" borderId="5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[Amazon_Prime_Customers_Data_4.xlsx]Sheet1!PivotTable2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Sheet1!$AW$7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Sheet1!$AV$8:$AV$11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Sheet1!$AW$8:$AW$11</c:f>
              <c:numCache>
                <c:formatCode>General</c:formatCode>
                <c:ptCount val="3"/>
                <c:pt idx="0">
                  <c:v>5.5786569148936094</c:v>
                </c:pt>
                <c:pt idx="1">
                  <c:v>5.51415220293726</c:v>
                </c:pt>
                <c:pt idx="2">
                  <c:v>5.5366366366366364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A-432A-8088-4D0154AAE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50313311"/>
        <c:axId val="1150330111"/>
      </c:barChart>
      <c:catAx>
        <c:axId val="115031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330111"/>
        <c:crosses val="autoZero"/>
        <c:auto val="1"/>
        <c:lblAlgn val="ctr"/>
        <c:lblOffset val="100"/>
        <c:noMultiLvlLbl val="0"/>
      </c:catAx>
      <c:valAx>
        <c:axId val="115033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31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[Amazon_Prime_Customers_Data_4.xlsx]Sheet1!PivotTable3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Sheet1!$AQ$14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59D-4731-834B-E2618EF3581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59D-4731-834B-E2618EF358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Sheet1!$AP$15:$AP$17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Sheet1!$AQ$15:$AQ$17</c:f>
              <c:numCache>
                <c:formatCode>General</c:formatCode>
                <c:ptCount val="2"/>
                <c:pt idx="0">
                  <c:v>2447</c:v>
                </c:pt>
                <c:pt idx="1">
                  <c:v>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1-4BD3-B559-14F07B51E47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[Amazon_Prime_Customers_Data_4.xlsx]Sheet1!PivotTable4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Sheet1!$BC$5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Sheet1!$BB$6:$BB$18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Sheet1!$BC$6:$BC$18</c:f>
              <c:numCache>
                <c:formatCode>General</c:formatCode>
                <c:ptCount val="12"/>
                <c:pt idx="0">
                  <c:v>55.667108167770422</c:v>
                </c:pt>
                <c:pt idx="1">
                  <c:v>54.225373134328365</c:v>
                </c:pt>
                <c:pt idx="2">
                  <c:v>54.926036866359418</c:v>
                </c:pt>
                <c:pt idx="3">
                  <c:v>56.387684729064013</c:v>
                </c:pt>
                <c:pt idx="4">
                  <c:v>55.46643518518519</c:v>
                </c:pt>
                <c:pt idx="5">
                  <c:v>53.800237529691216</c:v>
                </c:pt>
                <c:pt idx="6">
                  <c:v>54.462690355329983</c:v>
                </c:pt>
                <c:pt idx="7">
                  <c:v>55.373860911271009</c:v>
                </c:pt>
                <c:pt idx="8">
                  <c:v>52.896904761904779</c:v>
                </c:pt>
                <c:pt idx="9">
                  <c:v>56.971960297766721</c:v>
                </c:pt>
                <c:pt idx="10">
                  <c:v>54.478306878306867</c:v>
                </c:pt>
                <c:pt idx="11">
                  <c:v>55.267500000000034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F-4A32-9656-F7F3C208B75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6480079"/>
        <c:axId val="1176480559"/>
      </c:lineChart>
      <c:catAx>
        <c:axId val="11764800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80559"/>
        <c:crosses val="autoZero"/>
        <c:auto val="1"/>
        <c:lblAlgn val="ctr"/>
        <c:lblOffset val="100"/>
        <c:noMultiLvlLbl val="0"/>
      </c:catAx>
      <c:valAx>
        <c:axId val="117648055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8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048279084322664E-2"/>
          <c:y val="0.14582130940652158"/>
          <c:w val="0.89008580628592182"/>
          <c:h val="0.7333450583435346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Annual_Income_INR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Sheet1!$I$2:$I$5001</c:f>
              <c:numCache>
                <c:formatCode>General</c:formatCode>
                <c:ptCount val="5000"/>
                <c:pt idx="0">
                  <c:v>8.1</c:v>
                </c:pt>
                <c:pt idx="1">
                  <c:v>3.9</c:v>
                </c:pt>
                <c:pt idx="2">
                  <c:v>8.3000000000000007</c:v>
                </c:pt>
                <c:pt idx="3">
                  <c:v>4.5999999999999996</c:v>
                </c:pt>
                <c:pt idx="4">
                  <c:v>6</c:v>
                </c:pt>
                <c:pt idx="5">
                  <c:v>2.6</c:v>
                </c:pt>
                <c:pt idx="6">
                  <c:v>9.3000000000000007</c:v>
                </c:pt>
                <c:pt idx="7">
                  <c:v>7.3</c:v>
                </c:pt>
                <c:pt idx="8">
                  <c:v>8.6999999999999993</c:v>
                </c:pt>
                <c:pt idx="9">
                  <c:v>2.9</c:v>
                </c:pt>
                <c:pt idx="10">
                  <c:v>1.6</c:v>
                </c:pt>
                <c:pt idx="11">
                  <c:v>4</c:v>
                </c:pt>
                <c:pt idx="12">
                  <c:v>5.7</c:v>
                </c:pt>
                <c:pt idx="13">
                  <c:v>8.1999999999999993</c:v>
                </c:pt>
                <c:pt idx="14">
                  <c:v>4.5999999999999996</c:v>
                </c:pt>
                <c:pt idx="15">
                  <c:v>3.4</c:v>
                </c:pt>
                <c:pt idx="16">
                  <c:v>4.4000000000000004</c:v>
                </c:pt>
                <c:pt idx="17">
                  <c:v>7.3</c:v>
                </c:pt>
                <c:pt idx="18">
                  <c:v>4</c:v>
                </c:pt>
                <c:pt idx="19">
                  <c:v>9.8000000000000007</c:v>
                </c:pt>
                <c:pt idx="20">
                  <c:v>2.6</c:v>
                </c:pt>
                <c:pt idx="21">
                  <c:v>7.8</c:v>
                </c:pt>
                <c:pt idx="22">
                  <c:v>6.3</c:v>
                </c:pt>
                <c:pt idx="23">
                  <c:v>3.1</c:v>
                </c:pt>
                <c:pt idx="24">
                  <c:v>7.8</c:v>
                </c:pt>
                <c:pt idx="25">
                  <c:v>5</c:v>
                </c:pt>
                <c:pt idx="26">
                  <c:v>7.1</c:v>
                </c:pt>
                <c:pt idx="27">
                  <c:v>7</c:v>
                </c:pt>
                <c:pt idx="28">
                  <c:v>2</c:v>
                </c:pt>
                <c:pt idx="29">
                  <c:v>8.6</c:v>
                </c:pt>
                <c:pt idx="30">
                  <c:v>7.1</c:v>
                </c:pt>
                <c:pt idx="31">
                  <c:v>8</c:v>
                </c:pt>
                <c:pt idx="32">
                  <c:v>5</c:v>
                </c:pt>
                <c:pt idx="33">
                  <c:v>2.8</c:v>
                </c:pt>
                <c:pt idx="34">
                  <c:v>3.9</c:v>
                </c:pt>
                <c:pt idx="35">
                  <c:v>9.1</c:v>
                </c:pt>
                <c:pt idx="36">
                  <c:v>9.4</c:v>
                </c:pt>
                <c:pt idx="37">
                  <c:v>5.3</c:v>
                </c:pt>
                <c:pt idx="38">
                  <c:v>3.7</c:v>
                </c:pt>
                <c:pt idx="39">
                  <c:v>7.6</c:v>
                </c:pt>
                <c:pt idx="40">
                  <c:v>7.9</c:v>
                </c:pt>
                <c:pt idx="41">
                  <c:v>8.3000000000000007</c:v>
                </c:pt>
                <c:pt idx="42">
                  <c:v>1.3</c:v>
                </c:pt>
                <c:pt idx="43">
                  <c:v>1.1000000000000001</c:v>
                </c:pt>
                <c:pt idx="44">
                  <c:v>4.2</c:v>
                </c:pt>
                <c:pt idx="45">
                  <c:v>2.4</c:v>
                </c:pt>
                <c:pt idx="46">
                  <c:v>8.1999999999999993</c:v>
                </c:pt>
                <c:pt idx="47">
                  <c:v>5.8</c:v>
                </c:pt>
                <c:pt idx="48">
                  <c:v>8.4</c:v>
                </c:pt>
                <c:pt idx="49">
                  <c:v>2.6</c:v>
                </c:pt>
                <c:pt idx="50">
                  <c:v>6.6</c:v>
                </c:pt>
                <c:pt idx="51">
                  <c:v>6.2</c:v>
                </c:pt>
                <c:pt idx="52">
                  <c:v>4.0999999999999996</c:v>
                </c:pt>
                <c:pt idx="53">
                  <c:v>5.7</c:v>
                </c:pt>
                <c:pt idx="54">
                  <c:v>6.3</c:v>
                </c:pt>
                <c:pt idx="55">
                  <c:v>9</c:v>
                </c:pt>
                <c:pt idx="56">
                  <c:v>1.5</c:v>
                </c:pt>
                <c:pt idx="57">
                  <c:v>8.4</c:v>
                </c:pt>
                <c:pt idx="58">
                  <c:v>9.8000000000000007</c:v>
                </c:pt>
                <c:pt idx="59">
                  <c:v>7.6</c:v>
                </c:pt>
                <c:pt idx="60">
                  <c:v>7.6</c:v>
                </c:pt>
                <c:pt idx="61">
                  <c:v>3</c:v>
                </c:pt>
                <c:pt idx="62">
                  <c:v>5.7</c:v>
                </c:pt>
                <c:pt idx="63">
                  <c:v>7.4</c:v>
                </c:pt>
                <c:pt idx="64">
                  <c:v>6.4</c:v>
                </c:pt>
                <c:pt idx="65">
                  <c:v>4.5</c:v>
                </c:pt>
                <c:pt idx="66">
                  <c:v>9.5</c:v>
                </c:pt>
                <c:pt idx="67">
                  <c:v>5.6</c:v>
                </c:pt>
                <c:pt idx="68">
                  <c:v>9.6999999999999993</c:v>
                </c:pt>
                <c:pt idx="69">
                  <c:v>6.1</c:v>
                </c:pt>
                <c:pt idx="70">
                  <c:v>8.1</c:v>
                </c:pt>
                <c:pt idx="71">
                  <c:v>7.7</c:v>
                </c:pt>
                <c:pt idx="72">
                  <c:v>6.9</c:v>
                </c:pt>
                <c:pt idx="73">
                  <c:v>1.1000000000000001</c:v>
                </c:pt>
                <c:pt idx="74">
                  <c:v>1.7</c:v>
                </c:pt>
                <c:pt idx="75">
                  <c:v>6.2</c:v>
                </c:pt>
                <c:pt idx="76">
                  <c:v>9.1999999999999993</c:v>
                </c:pt>
                <c:pt idx="77">
                  <c:v>6.4</c:v>
                </c:pt>
                <c:pt idx="78">
                  <c:v>3.1</c:v>
                </c:pt>
                <c:pt idx="79">
                  <c:v>3.9</c:v>
                </c:pt>
                <c:pt idx="80">
                  <c:v>6.6</c:v>
                </c:pt>
                <c:pt idx="81">
                  <c:v>6.4</c:v>
                </c:pt>
                <c:pt idx="82">
                  <c:v>9.6</c:v>
                </c:pt>
                <c:pt idx="83">
                  <c:v>5.8</c:v>
                </c:pt>
                <c:pt idx="84">
                  <c:v>4.2</c:v>
                </c:pt>
                <c:pt idx="85">
                  <c:v>5.7</c:v>
                </c:pt>
                <c:pt idx="86">
                  <c:v>8.1</c:v>
                </c:pt>
                <c:pt idx="87">
                  <c:v>5.9</c:v>
                </c:pt>
                <c:pt idx="88">
                  <c:v>3.9</c:v>
                </c:pt>
                <c:pt idx="89">
                  <c:v>4</c:v>
                </c:pt>
                <c:pt idx="90">
                  <c:v>7.8</c:v>
                </c:pt>
                <c:pt idx="91">
                  <c:v>1.6</c:v>
                </c:pt>
                <c:pt idx="92">
                  <c:v>3.5</c:v>
                </c:pt>
                <c:pt idx="93">
                  <c:v>2.4</c:v>
                </c:pt>
                <c:pt idx="94">
                  <c:v>9.5</c:v>
                </c:pt>
                <c:pt idx="95">
                  <c:v>1.8</c:v>
                </c:pt>
                <c:pt idx="96">
                  <c:v>7.8</c:v>
                </c:pt>
                <c:pt idx="97">
                  <c:v>6.7</c:v>
                </c:pt>
                <c:pt idx="98">
                  <c:v>6.7</c:v>
                </c:pt>
                <c:pt idx="99">
                  <c:v>7.9</c:v>
                </c:pt>
                <c:pt idx="100">
                  <c:v>4.5999999999999996</c:v>
                </c:pt>
                <c:pt idx="101">
                  <c:v>4.5999999999999996</c:v>
                </c:pt>
                <c:pt idx="102">
                  <c:v>3.6</c:v>
                </c:pt>
                <c:pt idx="103">
                  <c:v>6.4</c:v>
                </c:pt>
                <c:pt idx="104">
                  <c:v>9.4</c:v>
                </c:pt>
                <c:pt idx="105">
                  <c:v>9.3000000000000007</c:v>
                </c:pt>
                <c:pt idx="106">
                  <c:v>7.3</c:v>
                </c:pt>
                <c:pt idx="107">
                  <c:v>9.1999999999999993</c:v>
                </c:pt>
                <c:pt idx="108">
                  <c:v>9.6999999999999993</c:v>
                </c:pt>
                <c:pt idx="109">
                  <c:v>8.1999999999999993</c:v>
                </c:pt>
                <c:pt idx="110">
                  <c:v>4.7</c:v>
                </c:pt>
                <c:pt idx="111">
                  <c:v>5.3</c:v>
                </c:pt>
                <c:pt idx="112">
                  <c:v>9.4</c:v>
                </c:pt>
                <c:pt idx="113">
                  <c:v>7</c:v>
                </c:pt>
                <c:pt idx="114">
                  <c:v>8.4</c:v>
                </c:pt>
                <c:pt idx="115">
                  <c:v>2</c:v>
                </c:pt>
                <c:pt idx="116">
                  <c:v>2.7</c:v>
                </c:pt>
                <c:pt idx="117">
                  <c:v>4.0999999999999996</c:v>
                </c:pt>
                <c:pt idx="118">
                  <c:v>2.7</c:v>
                </c:pt>
                <c:pt idx="119">
                  <c:v>9.1999999999999993</c:v>
                </c:pt>
                <c:pt idx="120">
                  <c:v>3</c:v>
                </c:pt>
                <c:pt idx="121">
                  <c:v>6</c:v>
                </c:pt>
                <c:pt idx="122">
                  <c:v>1.8</c:v>
                </c:pt>
                <c:pt idx="123">
                  <c:v>2.4</c:v>
                </c:pt>
                <c:pt idx="124">
                  <c:v>3.2</c:v>
                </c:pt>
                <c:pt idx="125">
                  <c:v>9.8000000000000007</c:v>
                </c:pt>
                <c:pt idx="126">
                  <c:v>8.1999999999999993</c:v>
                </c:pt>
                <c:pt idx="127">
                  <c:v>7.1</c:v>
                </c:pt>
                <c:pt idx="128">
                  <c:v>9.1999999999999993</c:v>
                </c:pt>
                <c:pt idx="129">
                  <c:v>9.6</c:v>
                </c:pt>
                <c:pt idx="130">
                  <c:v>5.0999999999999996</c:v>
                </c:pt>
                <c:pt idx="131">
                  <c:v>3.9</c:v>
                </c:pt>
                <c:pt idx="132">
                  <c:v>3.8</c:v>
                </c:pt>
                <c:pt idx="133">
                  <c:v>1.3</c:v>
                </c:pt>
                <c:pt idx="134">
                  <c:v>3.5</c:v>
                </c:pt>
                <c:pt idx="135">
                  <c:v>4.2</c:v>
                </c:pt>
                <c:pt idx="136">
                  <c:v>1.3</c:v>
                </c:pt>
                <c:pt idx="137">
                  <c:v>8.9</c:v>
                </c:pt>
                <c:pt idx="138">
                  <c:v>8.6</c:v>
                </c:pt>
                <c:pt idx="139">
                  <c:v>3.3</c:v>
                </c:pt>
                <c:pt idx="140">
                  <c:v>8.1999999999999993</c:v>
                </c:pt>
                <c:pt idx="141">
                  <c:v>8.1999999999999993</c:v>
                </c:pt>
                <c:pt idx="142">
                  <c:v>4</c:v>
                </c:pt>
                <c:pt idx="143">
                  <c:v>7.3</c:v>
                </c:pt>
                <c:pt idx="144">
                  <c:v>3.6</c:v>
                </c:pt>
                <c:pt idx="145">
                  <c:v>1.6</c:v>
                </c:pt>
                <c:pt idx="146">
                  <c:v>5.5</c:v>
                </c:pt>
                <c:pt idx="147">
                  <c:v>4.9000000000000004</c:v>
                </c:pt>
                <c:pt idx="148">
                  <c:v>2.2000000000000002</c:v>
                </c:pt>
                <c:pt idx="149">
                  <c:v>5.4</c:v>
                </c:pt>
                <c:pt idx="150">
                  <c:v>9.5</c:v>
                </c:pt>
                <c:pt idx="151">
                  <c:v>7.6</c:v>
                </c:pt>
                <c:pt idx="152">
                  <c:v>7.6</c:v>
                </c:pt>
                <c:pt idx="153">
                  <c:v>7.8</c:v>
                </c:pt>
                <c:pt idx="154">
                  <c:v>7.7</c:v>
                </c:pt>
                <c:pt idx="155">
                  <c:v>1.2</c:v>
                </c:pt>
                <c:pt idx="156">
                  <c:v>9.3000000000000007</c:v>
                </c:pt>
                <c:pt idx="157">
                  <c:v>8.5</c:v>
                </c:pt>
                <c:pt idx="158">
                  <c:v>3.5</c:v>
                </c:pt>
                <c:pt idx="159">
                  <c:v>6</c:v>
                </c:pt>
                <c:pt idx="160">
                  <c:v>6.5</c:v>
                </c:pt>
                <c:pt idx="161">
                  <c:v>2.2000000000000002</c:v>
                </c:pt>
                <c:pt idx="162">
                  <c:v>3.3</c:v>
                </c:pt>
                <c:pt idx="163">
                  <c:v>1.2</c:v>
                </c:pt>
                <c:pt idx="164">
                  <c:v>8.8000000000000007</c:v>
                </c:pt>
                <c:pt idx="165">
                  <c:v>1.2</c:v>
                </c:pt>
                <c:pt idx="166">
                  <c:v>3.9</c:v>
                </c:pt>
                <c:pt idx="167">
                  <c:v>1.7</c:v>
                </c:pt>
                <c:pt idx="168">
                  <c:v>8</c:v>
                </c:pt>
                <c:pt idx="169">
                  <c:v>9.3000000000000007</c:v>
                </c:pt>
                <c:pt idx="170">
                  <c:v>6.1</c:v>
                </c:pt>
                <c:pt idx="171">
                  <c:v>2.2999999999999998</c:v>
                </c:pt>
                <c:pt idx="172">
                  <c:v>6</c:v>
                </c:pt>
                <c:pt idx="173">
                  <c:v>7.9</c:v>
                </c:pt>
                <c:pt idx="174">
                  <c:v>7.5</c:v>
                </c:pt>
                <c:pt idx="175">
                  <c:v>7.7</c:v>
                </c:pt>
                <c:pt idx="176">
                  <c:v>3.5</c:v>
                </c:pt>
                <c:pt idx="177">
                  <c:v>1.7</c:v>
                </c:pt>
                <c:pt idx="178">
                  <c:v>2.2999999999999998</c:v>
                </c:pt>
                <c:pt idx="179">
                  <c:v>9.6</c:v>
                </c:pt>
                <c:pt idx="180">
                  <c:v>6.5</c:v>
                </c:pt>
                <c:pt idx="181">
                  <c:v>7.6</c:v>
                </c:pt>
                <c:pt idx="182">
                  <c:v>9.1</c:v>
                </c:pt>
                <c:pt idx="183">
                  <c:v>8.6999999999999993</c:v>
                </c:pt>
                <c:pt idx="184">
                  <c:v>3</c:v>
                </c:pt>
                <c:pt idx="185">
                  <c:v>1.5</c:v>
                </c:pt>
                <c:pt idx="186">
                  <c:v>9.3000000000000007</c:v>
                </c:pt>
                <c:pt idx="187">
                  <c:v>9.8000000000000007</c:v>
                </c:pt>
                <c:pt idx="188">
                  <c:v>6.1</c:v>
                </c:pt>
                <c:pt idx="189">
                  <c:v>9</c:v>
                </c:pt>
                <c:pt idx="190">
                  <c:v>3.1</c:v>
                </c:pt>
                <c:pt idx="191">
                  <c:v>2</c:v>
                </c:pt>
                <c:pt idx="192">
                  <c:v>5.5</c:v>
                </c:pt>
                <c:pt idx="193">
                  <c:v>8.3000000000000007</c:v>
                </c:pt>
                <c:pt idx="194">
                  <c:v>6.9</c:v>
                </c:pt>
                <c:pt idx="195">
                  <c:v>6.7</c:v>
                </c:pt>
                <c:pt idx="196">
                  <c:v>1.2</c:v>
                </c:pt>
                <c:pt idx="197">
                  <c:v>3.9</c:v>
                </c:pt>
                <c:pt idx="198">
                  <c:v>9.5</c:v>
                </c:pt>
                <c:pt idx="199">
                  <c:v>2.2000000000000002</c:v>
                </c:pt>
                <c:pt idx="200">
                  <c:v>7.5</c:v>
                </c:pt>
                <c:pt idx="201">
                  <c:v>7.8</c:v>
                </c:pt>
                <c:pt idx="202">
                  <c:v>7.6</c:v>
                </c:pt>
                <c:pt idx="203">
                  <c:v>9.9</c:v>
                </c:pt>
                <c:pt idx="204">
                  <c:v>4.7</c:v>
                </c:pt>
                <c:pt idx="205">
                  <c:v>7.1</c:v>
                </c:pt>
                <c:pt idx="206">
                  <c:v>2.7</c:v>
                </c:pt>
                <c:pt idx="207">
                  <c:v>4.5999999999999996</c:v>
                </c:pt>
                <c:pt idx="208">
                  <c:v>5.4</c:v>
                </c:pt>
                <c:pt idx="209">
                  <c:v>2.9</c:v>
                </c:pt>
                <c:pt idx="210">
                  <c:v>9.1999999999999993</c:v>
                </c:pt>
                <c:pt idx="211">
                  <c:v>7.4</c:v>
                </c:pt>
                <c:pt idx="212">
                  <c:v>3.6</c:v>
                </c:pt>
                <c:pt idx="213">
                  <c:v>2.2000000000000002</c:v>
                </c:pt>
                <c:pt idx="214">
                  <c:v>3.6</c:v>
                </c:pt>
                <c:pt idx="215">
                  <c:v>6.6</c:v>
                </c:pt>
                <c:pt idx="216">
                  <c:v>8.4</c:v>
                </c:pt>
                <c:pt idx="217">
                  <c:v>5.5</c:v>
                </c:pt>
                <c:pt idx="218">
                  <c:v>1.9</c:v>
                </c:pt>
                <c:pt idx="219">
                  <c:v>3.2</c:v>
                </c:pt>
                <c:pt idx="220">
                  <c:v>4.0999999999999996</c:v>
                </c:pt>
                <c:pt idx="221">
                  <c:v>6.7</c:v>
                </c:pt>
                <c:pt idx="222">
                  <c:v>3.2</c:v>
                </c:pt>
                <c:pt idx="223">
                  <c:v>3.1</c:v>
                </c:pt>
                <c:pt idx="224">
                  <c:v>3.6</c:v>
                </c:pt>
                <c:pt idx="225">
                  <c:v>6.3</c:v>
                </c:pt>
                <c:pt idx="226">
                  <c:v>5.4</c:v>
                </c:pt>
                <c:pt idx="227">
                  <c:v>8.6</c:v>
                </c:pt>
                <c:pt idx="228">
                  <c:v>7.3</c:v>
                </c:pt>
                <c:pt idx="229">
                  <c:v>7</c:v>
                </c:pt>
                <c:pt idx="230">
                  <c:v>2.4</c:v>
                </c:pt>
                <c:pt idx="231">
                  <c:v>1.5</c:v>
                </c:pt>
                <c:pt idx="232">
                  <c:v>5.6</c:v>
                </c:pt>
                <c:pt idx="233">
                  <c:v>1.6</c:v>
                </c:pt>
                <c:pt idx="234">
                  <c:v>4.3</c:v>
                </c:pt>
                <c:pt idx="235">
                  <c:v>1.2</c:v>
                </c:pt>
                <c:pt idx="236">
                  <c:v>2.6</c:v>
                </c:pt>
                <c:pt idx="237">
                  <c:v>2</c:v>
                </c:pt>
                <c:pt idx="238">
                  <c:v>8.1999999999999993</c:v>
                </c:pt>
                <c:pt idx="239">
                  <c:v>4.0999999999999996</c:v>
                </c:pt>
                <c:pt idx="240">
                  <c:v>1.7</c:v>
                </c:pt>
                <c:pt idx="241">
                  <c:v>3.4</c:v>
                </c:pt>
                <c:pt idx="242">
                  <c:v>7.1</c:v>
                </c:pt>
                <c:pt idx="243">
                  <c:v>7.7</c:v>
                </c:pt>
                <c:pt idx="244">
                  <c:v>2.1</c:v>
                </c:pt>
                <c:pt idx="245">
                  <c:v>8</c:v>
                </c:pt>
                <c:pt idx="246">
                  <c:v>4.3</c:v>
                </c:pt>
                <c:pt idx="247">
                  <c:v>7.1</c:v>
                </c:pt>
                <c:pt idx="248">
                  <c:v>7</c:v>
                </c:pt>
                <c:pt idx="249">
                  <c:v>8.1</c:v>
                </c:pt>
                <c:pt idx="250">
                  <c:v>7.3</c:v>
                </c:pt>
                <c:pt idx="251">
                  <c:v>1.3</c:v>
                </c:pt>
                <c:pt idx="252">
                  <c:v>5.7</c:v>
                </c:pt>
                <c:pt idx="253">
                  <c:v>2.5</c:v>
                </c:pt>
                <c:pt idx="254">
                  <c:v>9.6999999999999993</c:v>
                </c:pt>
                <c:pt idx="255">
                  <c:v>3.3</c:v>
                </c:pt>
                <c:pt idx="256">
                  <c:v>4.8</c:v>
                </c:pt>
                <c:pt idx="257">
                  <c:v>2.8</c:v>
                </c:pt>
                <c:pt idx="258">
                  <c:v>2.2000000000000002</c:v>
                </c:pt>
                <c:pt idx="259">
                  <c:v>6.4</c:v>
                </c:pt>
                <c:pt idx="260">
                  <c:v>5.4</c:v>
                </c:pt>
                <c:pt idx="261">
                  <c:v>4.4000000000000004</c:v>
                </c:pt>
                <c:pt idx="262">
                  <c:v>1.8</c:v>
                </c:pt>
                <c:pt idx="263">
                  <c:v>7.6</c:v>
                </c:pt>
                <c:pt idx="264">
                  <c:v>1.1000000000000001</c:v>
                </c:pt>
                <c:pt idx="265">
                  <c:v>5.0999999999999996</c:v>
                </c:pt>
                <c:pt idx="266">
                  <c:v>6.7</c:v>
                </c:pt>
                <c:pt idx="267">
                  <c:v>4.9000000000000004</c:v>
                </c:pt>
                <c:pt idx="268">
                  <c:v>2.1</c:v>
                </c:pt>
                <c:pt idx="269">
                  <c:v>8</c:v>
                </c:pt>
                <c:pt idx="270">
                  <c:v>3.9</c:v>
                </c:pt>
                <c:pt idx="271">
                  <c:v>2.2000000000000002</c:v>
                </c:pt>
                <c:pt idx="272">
                  <c:v>6</c:v>
                </c:pt>
                <c:pt idx="273">
                  <c:v>1.2</c:v>
                </c:pt>
                <c:pt idx="274">
                  <c:v>3.9</c:v>
                </c:pt>
                <c:pt idx="275">
                  <c:v>7.8</c:v>
                </c:pt>
                <c:pt idx="276">
                  <c:v>9.1999999999999993</c:v>
                </c:pt>
                <c:pt idx="277">
                  <c:v>6.3</c:v>
                </c:pt>
                <c:pt idx="278">
                  <c:v>3</c:v>
                </c:pt>
                <c:pt idx="279">
                  <c:v>3</c:v>
                </c:pt>
                <c:pt idx="280">
                  <c:v>6.4</c:v>
                </c:pt>
                <c:pt idx="281">
                  <c:v>4.7</c:v>
                </c:pt>
                <c:pt idx="282">
                  <c:v>2.6</c:v>
                </c:pt>
                <c:pt idx="283">
                  <c:v>8.1</c:v>
                </c:pt>
                <c:pt idx="284">
                  <c:v>2.8</c:v>
                </c:pt>
                <c:pt idx="285">
                  <c:v>3.9</c:v>
                </c:pt>
                <c:pt idx="286">
                  <c:v>1.6</c:v>
                </c:pt>
                <c:pt idx="287">
                  <c:v>7.3</c:v>
                </c:pt>
                <c:pt idx="288">
                  <c:v>3.5</c:v>
                </c:pt>
                <c:pt idx="289">
                  <c:v>3.1</c:v>
                </c:pt>
                <c:pt idx="290">
                  <c:v>3.7</c:v>
                </c:pt>
                <c:pt idx="291">
                  <c:v>8.9</c:v>
                </c:pt>
                <c:pt idx="292">
                  <c:v>5.7</c:v>
                </c:pt>
                <c:pt idx="293">
                  <c:v>2.4</c:v>
                </c:pt>
                <c:pt idx="294">
                  <c:v>8</c:v>
                </c:pt>
                <c:pt idx="295">
                  <c:v>2.9</c:v>
                </c:pt>
                <c:pt idx="296">
                  <c:v>4.7</c:v>
                </c:pt>
                <c:pt idx="297">
                  <c:v>6.1</c:v>
                </c:pt>
                <c:pt idx="298">
                  <c:v>6.3</c:v>
                </c:pt>
                <c:pt idx="299">
                  <c:v>1.6</c:v>
                </c:pt>
                <c:pt idx="300">
                  <c:v>8.5</c:v>
                </c:pt>
                <c:pt idx="301">
                  <c:v>5.3</c:v>
                </c:pt>
                <c:pt idx="302">
                  <c:v>9.9</c:v>
                </c:pt>
                <c:pt idx="303">
                  <c:v>7.5</c:v>
                </c:pt>
                <c:pt idx="304">
                  <c:v>9.9</c:v>
                </c:pt>
                <c:pt idx="305">
                  <c:v>5.0999999999999996</c:v>
                </c:pt>
                <c:pt idx="306">
                  <c:v>2.2999999999999998</c:v>
                </c:pt>
                <c:pt idx="307">
                  <c:v>7.5</c:v>
                </c:pt>
                <c:pt idx="308">
                  <c:v>8</c:v>
                </c:pt>
                <c:pt idx="309">
                  <c:v>8.6999999999999993</c:v>
                </c:pt>
                <c:pt idx="310">
                  <c:v>3.7</c:v>
                </c:pt>
                <c:pt idx="311">
                  <c:v>5.6</c:v>
                </c:pt>
                <c:pt idx="312">
                  <c:v>8.6999999999999993</c:v>
                </c:pt>
                <c:pt idx="313">
                  <c:v>8.8000000000000007</c:v>
                </c:pt>
                <c:pt idx="314">
                  <c:v>1.2</c:v>
                </c:pt>
                <c:pt idx="315">
                  <c:v>7</c:v>
                </c:pt>
                <c:pt idx="316">
                  <c:v>6.4</c:v>
                </c:pt>
                <c:pt idx="317">
                  <c:v>1.8</c:v>
                </c:pt>
                <c:pt idx="318">
                  <c:v>9.4</c:v>
                </c:pt>
                <c:pt idx="319">
                  <c:v>5</c:v>
                </c:pt>
                <c:pt idx="320">
                  <c:v>7.1</c:v>
                </c:pt>
                <c:pt idx="321">
                  <c:v>8.9</c:v>
                </c:pt>
                <c:pt idx="322">
                  <c:v>2.2000000000000002</c:v>
                </c:pt>
                <c:pt idx="323">
                  <c:v>8.6999999999999993</c:v>
                </c:pt>
                <c:pt idx="324">
                  <c:v>7.5</c:v>
                </c:pt>
                <c:pt idx="325">
                  <c:v>8.6</c:v>
                </c:pt>
                <c:pt idx="326">
                  <c:v>5.5</c:v>
                </c:pt>
                <c:pt idx="327">
                  <c:v>1.3</c:v>
                </c:pt>
                <c:pt idx="328">
                  <c:v>7</c:v>
                </c:pt>
                <c:pt idx="329">
                  <c:v>4.4000000000000004</c:v>
                </c:pt>
                <c:pt idx="330">
                  <c:v>4.5999999999999996</c:v>
                </c:pt>
                <c:pt idx="331">
                  <c:v>5</c:v>
                </c:pt>
                <c:pt idx="332">
                  <c:v>5.4</c:v>
                </c:pt>
                <c:pt idx="333">
                  <c:v>7</c:v>
                </c:pt>
                <c:pt idx="334">
                  <c:v>7.5</c:v>
                </c:pt>
                <c:pt idx="335">
                  <c:v>8</c:v>
                </c:pt>
                <c:pt idx="336">
                  <c:v>7</c:v>
                </c:pt>
                <c:pt idx="337">
                  <c:v>8.1999999999999993</c:v>
                </c:pt>
                <c:pt idx="338">
                  <c:v>2.1</c:v>
                </c:pt>
                <c:pt idx="339">
                  <c:v>8.5</c:v>
                </c:pt>
                <c:pt idx="340">
                  <c:v>4.5</c:v>
                </c:pt>
                <c:pt idx="341">
                  <c:v>5.8</c:v>
                </c:pt>
                <c:pt idx="342">
                  <c:v>4.9000000000000004</c:v>
                </c:pt>
                <c:pt idx="343">
                  <c:v>5.3</c:v>
                </c:pt>
                <c:pt idx="344">
                  <c:v>3.6</c:v>
                </c:pt>
                <c:pt idx="345">
                  <c:v>2.5</c:v>
                </c:pt>
                <c:pt idx="346">
                  <c:v>1.9</c:v>
                </c:pt>
                <c:pt idx="347">
                  <c:v>5.0999999999999996</c:v>
                </c:pt>
                <c:pt idx="348">
                  <c:v>2.1</c:v>
                </c:pt>
                <c:pt idx="349">
                  <c:v>3.2</c:v>
                </c:pt>
                <c:pt idx="350">
                  <c:v>2.2000000000000002</c:v>
                </c:pt>
                <c:pt idx="351">
                  <c:v>2</c:v>
                </c:pt>
                <c:pt idx="352">
                  <c:v>8.9</c:v>
                </c:pt>
                <c:pt idx="353">
                  <c:v>7.1</c:v>
                </c:pt>
                <c:pt idx="354">
                  <c:v>9.3000000000000007</c:v>
                </c:pt>
                <c:pt idx="355">
                  <c:v>6.8</c:v>
                </c:pt>
                <c:pt idx="356">
                  <c:v>8.6</c:v>
                </c:pt>
                <c:pt idx="357">
                  <c:v>6</c:v>
                </c:pt>
                <c:pt idx="358">
                  <c:v>5.2</c:v>
                </c:pt>
                <c:pt idx="359">
                  <c:v>5.8</c:v>
                </c:pt>
                <c:pt idx="360">
                  <c:v>3.9</c:v>
                </c:pt>
                <c:pt idx="361">
                  <c:v>6.9</c:v>
                </c:pt>
                <c:pt idx="362">
                  <c:v>9.1</c:v>
                </c:pt>
                <c:pt idx="363">
                  <c:v>8</c:v>
                </c:pt>
                <c:pt idx="364">
                  <c:v>5.2</c:v>
                </c:pt>
                <c:pt idx="365">
                  <c:v>9.6</c:v>
                </c:pt>
                <c:pt idx="366">
                  <c:v>9.9</c:v>
                </c:pt>
                <c:pt idx="367">
                  <c:v>5.4</c:v>
                </c:pt>
                <c:pt idx="368">
                  <c:v>8.8000000000000007</c:v>
                </c:pt>
                <c:pt idx="369">
                  <c:v>1</c:v>
                </c:pt>
                <c:pt idx="370">
                  <c:v>1.6</c:v>
                </c:pt>
                <c:pt idx="371">
                  <c:v>1.2</c:v>
                </c:pt>
                <c:pt idx="372">
                  <c:v>8</c:v>
                </c:pt>
                <c:pt idx="373">
                  <c:v>1.7</c:v>
                </c:pt>
                <c:pt idx="374">
                  <c:v>1.2</c:v>
                </c:pt>
                <c:pt idx="375">
                  <c:v>2.2999999999999998</c:v>
                </c:pt>
                <c:pt idx="376">
                  <c:v>3.8</c:v>
                </c:pt>
                <c:pt idx="377">
                  <c:v>5.2</c:v>
                </c:pt>
                <c:pt idx="378">
                  <c:v>1.6</c:v>
                </c:pt>
                <c:pt idx="379">
                  <c:v>5.5</c:v>
                </c:pt>
                <c:pt idx="380">
                  <c:v>3.2</c:v>
                </c:pt>
                <c:pt idx="381">
                  <c:v>3.5</c:v>
                </c:pt>
                <c:pt idx="382">
                  <c:v>8.4</c:v>
                </c:pt>
                <c:pt idx="383">
                  <c:v>9.9</c:v>
                </c:pt>
                <c:pt idx="384">
                  <c:v>5.2</c:v>
                </c:pt>
                <c:pt idx="385">
                  <c:v>3.9</c:v>
                </c:pt>
                <c:pt idx="386">
                  <c:v>9.4</c:v>
                </c:pt>
                <c:pt idx="387">
                  <c:v>5.5</c:v>
                </c:pt>
                <c:pt idx="388">
                  <c:v>7.6</c:v>
                </c:pt>
                <c:pt idx="389">
                  <c:v>4.7</c:v>
                </c:pt>
                <c:pt idx="390">
                  <c:v>2.8</c:v>
                </c:pt>
                <c:pt idx="391">
                  <c:v>6.9</c:v>
                </c:pt>
                <c:pt idx="392">
                  <c:v>7</c:v>
                </c:pt>
                <c:pt idx="393">
                  <c:v>5.0999999999999996</c:v>
                </c:pt>
                <c:pt idx="394">
                  <c:v>3.4</c:v>
                </c:pt>
                <c:pt idx="395">
                  <c:v>8.5</c:v>
                </c:pt>
                <c:pt idx="396">
                  <c:v>3.5</c:v>
                </c:pt>
                <c:pt idx="397">
                  <c:v>6.9</c:v>
                </c:pt>
                <c:pt idx="398">
                  <c:v>4.5</c:v>
                </c:pt>
                <c:pt idx="399">
                  <c:v>5.3</c:v>
                </c:pt>
                <c:pt idx="400">
                  <c:v>2.9</c:v>
                </c:pt>
                <c:pt idx="401">
                  <c:v>6.8</c:v>
                </c:pt>
                <c:pt idx="402">
                  <c:v>3</c:v>
                </c:pt>
                <c:pt idx="403">
                  <c:v>5.4</c:v>
                </c:pt>
                <c:pt idx="404">
                  <c:v>4</c:v>
                </c:pt>
                <c:pt idx="405">
                  <c:v>9.6999999999999993</c:v>
                </c:pt>
                <c:pt idx="406">
                  <c:v>9.8000000000000007</c:v>
                </c:pt>
                <c:pt idx="407">
                  <c:v>7.8</c:v>
                </c:pt>
                <c:pt idx="408">
                  <c:v>9.9</c:v>
                </c:pt>
                <c:pt idx="409">
                  <c:v>2</c:v>
                </c:pt>
                <c:pt idx="410">
                  <c:v>9.9</c:v>
                </c:pt>
                <c:pt idx="411">
                  <c:v>1.9</c:v>
                </c:pt>
                <c:pt idx="412">
                  <c:v>4.7</c:v>
                </c:pt>
                <c:pt idx="413">
                  <c:v>3.2</c:v>
                </c:pt>
                <c:pt idx="414">
                  <c:v>9.6</c:v>
                </c:pt>
                <c:pt idx="415">
                  <c:v>6.7</c:v>
                </c:pt>
                <c:pt idx="416">
                  <c:v>6.4</c:v>
                </c:pt>
                <c:pt idx="417">
                  <c:v>10</c:v>
                </c:pt>
                <c:pt idx="418">
                  <c:v>6.5</c:v>
                </c:pt>
                <c:pt idx="419">
                  <c:v>6.8</c:v>
                </c:pt>
                <c:pt idx="420">
                  <c:v>1.4</c:v>
                </c:pt>
                <c:pt idx="421">
                  <c:v>8.6999999999999993</c:v>
                </c:pt>
                <c:pt idx="422">
                  <c:v>9.6999999999999993</c:v>
                </c:pt>
                <c:pt idx="423">
                  <c:v>9.6</c:v>
                </c:pt>
                <c:pt idx="424">
                  <c:v>3</c:v>
                </c:pt>
                <c:pt idx="425">
                  <c:v>3</c:v>
                </c:pt>
                <c:pt idx="426">
                  <c:v>4.3</c:v>
                </c:pt>
                <c:pt idx="427">
                  <c:v>3.8</c:v>
                </c:pt>
                <c:pt idx="428">
                  <c:v>3.8</c:v>
                </c:pt>
                <c:pt idx="429">
                  <c:v>6.4</c:v>
                </c:pt>
                <c:pt idx="430">
                  <c:v>8.3000000000000007</c:v>
                </c:pt>
                <c:pt idx="431">
                  <c:v>9.4</c:v>
                </c:pt>
                <c:pt idx="432">
                  <c:v>1.6</c:v>
                </c:pt>
                <c:pt idx="433">
                  <c:v>3.5</c:v>
                </c:pt>
                <c:pt idx="434">
                  <c:v>3.3</c:v>
                </c:pt>
                <c:pt idx="435">
                  <c:v>4.2</c:v>
                </c:pt>
                <c:pt idx="436">
                  <c:v>4.8</c:v>
                </c:pt>
                <c:pt idx="437">
                  <c:v>4.5</c:v>
                </c:pt>
                <c:pt idx="438">
                  <c:v>9.6</c:v>
                </c:pt>
                <c:pt idx="439">
                  <c:v>4.9000000000000004</c:v>
                </c:pt>
                <c:pt idx="440">
                  <c:v>6</c:v>
                </c:pt>
                <c:pt idx="441">
                  <c:v>7.7</c:v>
                </c:pt>
                <c:pt idx="442">
                  <c:v>7.5</c:v>
                </c:pt>
                <c:pt idx="443">
                  <c:v>6.2</c:v>
                </c:pt>
                <c:pt idx="444">
                  <c:v>8.6999999999999993</c:v>
                </c:pt>
                <c:pt idx="445">
                  <c:v>6.6</c:v>
                </c:pt>
                <c:pt idx="446">
                  <c:v>8.9</c:v>
                </c:pt>
                <c:pt idx="447">
                  <c:v>3.7</c:v>
                </c:pt>
                <c:pt idx="448">
                  <c:v>2.2000000000000002</c:v>
                </c:pt>
                <c:pt idx="449">
                  <c:v>8.4</c:v>
                </c:pt>
                <c:pt idx="450">
                  <c:v>4.4000000000000004</c:v>
                </c:pt>
                <c:pt idx="451">
                  <c:v>6.9</c:v>
                </c:pt>
                <c:pt idx="452">
                  <c:v>7.6</c:v>
                </c:pt>
                <c:pt idx="453">
                  <c:v>3.9</c:v>
                </c:pt>
                <c:pt idx="454">
                  <c:v>5.5</c:v>
                </c:pt>
                <c:pt idx="455">
                  <c:v>9.1</c:v>
                </c:pt>
                <c:pt idx="456">
                  <c:v>8.9</c:v>
                </c:pt>
                <c:pt idx="457">
                  <c:v>7.7</c:v>
                </c:pt>
                <c:pt idx="458">
                  <c:v>7.9</c:v>
                </c:pt>
                <c:pt idx="459">
                  <c:v>9.1</c:v>
                </c:pt>
                <c:pt idx="460">
                  <c:v>7.6</c:v>
                </c:pt>
                <c:pt idx="461">
                  <c:v>4.0999999999999996</c:v>
                </c:pt>
                <c:pt idx="462">
                  <c:v>2.1</c:v>
                </c:pt>
                <c:pt idx="463">
                  <c:v>4.8</c:v>
                </c:pt>
                <c:pt idx="464">
                  <c:v>1.8</c:v>
                </c:pt>
                <c:pt idx="465">
                  <c:v>2</c:v>
                </c:pt>
                <c:pt idx="466">
                  <c:v>9.6</c:v>
                </c:pt>
                <c:pt idx="467">
                  <c:v>7.1</c:v>
                </c:pt>
                <c:pt idx="468">
                  <c:v>8.6999999999999993</c:v>
                </c:pt>
                <c:pt idx="469">
                  <c:v>6.8</c:v>
                </c:pt>
                <c:pt idx="470">
                  <c:v>4.8</c:v>
                </c:pt>
                <c:pt idx="471">
                  <c:v>1.2</c:v>
                </c:pt>
                <c:pt idx="472">
                  <c:v>9.6</c:v>
                </c:pt>
                <c:pt idx="473">
                  <c:v>1.6</c:v>
                </c:pt>
                <c:pt idx="474">
                  <c:v>6.5</c:v>
                </c:pt>
                <c:pt idx="475">
                  <c:v>1.9</c:v>
                </c:pt>
                <c:pt idx="476">
                  <c:v>3.6</c:v>
                </c:pt>
                <c:pt idx="477">
                  <c:v>2.7</c:v>
                </c:pt>
                <c:pt idx="478">
                  <c:v>6</c:v>
                </c:pt>
                <c:pt idx="479">
                  <c:v>9</c:v>
                </c:pt>
                <c:pt idx="480">
                  <c:v>6.7</c:v>
                </c:pt>
                <c:pt idx="481">
                  <c:v>7</c:v>
                </c:pt>
                <c:pt idx="482">
                  <c:v>9.1999999999999993</c:v>
                </c:pt>
                <c:pt idx="483">
                  <c:v>7.7</c:v>
                </c:pt>
                <c:pt idx="484">
                  <c:v>8.8000000000000007</c:v>
                </c:pt>
                <c:pt idx="485">
                  <c:v>4.7</c:v>
                </c:pt>
                <c:pt idx="486">
                  <c:v>8.8000000000000007</c:v>
                </c:pt>
                <c:pt idx="487">
                  <c:v>6.8</c:v>
                </c:pt>
                <c:pt idx="488">
                  <c:v>2.2000000000000002</c:v>
                </c:pt>
                <c:pt idx="489">
                  <c:v>1.3</c:v>
                </c:pt>
                <c:pt idx="490">
                  <c:v>3.2</c:v>
                </c:pt>
                <c:pt idx="491">
                  <c:v>4.4000000000000004</c:v>
                </c:pt>
                <c:pt idx="492">
                  <c:v>8.5</c:v>
                </c:pt>
                <c:pt idx="493">
                  <c:v>7.7</c:v>
                </c:pt>
                <c:pt idx="494">
                  <c:v>9.6</c:v>
                </c:pt>
                <c:pt idx="495">
                  <c:v>6</c:v>
                </c:pt>
                <c:pt idx="496">
                  <c:v>7.7</c:v>
                </c:pt>
                <c:pt idx="497">
                  <c:v>3.5</c:v>
                </c:pt>
                <c:pt idx="498">
                  <c:v>7.1</c:v>
                </c:pt>
                <c:pt idx="499">
                  <c:v>7.4</c:v>
                </c:pt>
                <c:pt idx="500">
                  <c:v>8.6</c:v>
                </c:pt>
                <c:pt idx="501">
                  <c:v>5.8</c:v>
                </c:pt>
                <c:pt idx="502">
                  <c:v>6.8</c:v>
                </c:pt>
                <c:pt idx="503">
                  <c:v>2.8</c:v>
                </c:pt>
                <c:pt idx="504">
                  <c:v>7.6</c:v>
                </c:pt>
                <c:pt idx="505">
                  <c:v>8.5</c:v>
                </c:pt>
                <c:pt idx="506">
                  <c:v>6.3</c:v>
                </c:pt>
                <c:pt idx="507">
                  <c:v>2</c:v>
                </c:pt>
                <c:pt idx="508">
                  <c:v>3.8</c:v>
                </c:pt>
                <c:pt idx="509">
                  <c:v>5.3</c:v>
                </c:pt>
                <c:pt idx="510">
                  <c:v>7.1</c:v>
                </c:pt>
                <c:pt idx="511">
                  <c:v>3.9</c:v>
                </c:pt>
                <c:pt idx="512">
                  <c:v>8.6</c:v>
                </c:pt>
                <c:pt idx="513">
                  <c:v>4.3</c:v>
                </c:pt>
                <c:pt idx="514">
                  <c:v>1.4</c:v>
                </c:pt>
                <c:pt idx="515">
                  <c:v>8.1</c:v>
                </c:pt>
                <c:pt idx="516">
                  <c:v>6.8</c:v>
                </c:pt>
                <c:pt idx="517">
                  <c:v>8.1999999999999993</c:v>
                </c:pt>
                <c:pt idx="518">
                  <c:v>4.0999999999999996</c:v>
                </c:pt>
                <c:pt idx="519">
                  <c:v>1.2</c:v>
                </c:pt>
                <c:pt idx="520">
                  <c:v>1.7</c:v>
                </c:pt>
                <c:pt idx="521">
                  <c:v>2</c:v>
                </c:pt>
                <c:pt idx="522">
                  <c:v>8.1999999999999993</c:v>
                </c:pt>
                <c:pt idx="523">
                  <c:v>3.7</c:v>
                </c:pt>
                <c:pt idx="524">
                  <c:v>10</c:v>
                </c:pt>
                <c:pt idx="525">
                  <c:v>7.8</c:v>
                </c:pt>
                <c:pt idx="526">
                  <c:v>6.4</c:v>
                </c:pt>
                <c:pt idx="527">
                  <c:v>9.9</c:v>
                </c:pt>
                <c:pt idx="528">
                  <c:v>3.8</c:v>
                </c:pt>
                <c:pt idx="529">
                  <c:v>2.5</c:v>
                </c:pt>
                <c:pt idx="530">
                  <c:v>7.6</c:v>
                </c:pt>
                <c:pt idx="531">
                  <c:v>3.5</c:v>
                </c:pt>
                <c:pt idx="532">
                  <c:v>9.6</c:v>
                </c:pt>
                <c:pt idx="533">
                  <c:v>9.9</c:v>
                </c:pt>
                <c:pt idx="534">
                  <c:v>9.3000000000000007</c:v>
                </c:pt>
                <c:pt idx="535">
                  <c:v>9.5</c:v>
                </c:pt>
                <c:pt idx="536">
                  <c:v>6.5</c:v>
                </c:pt>
                <c:pt idx="537">
                  <c:v>7.2</c:v>
                </c:pt>
                <c:pt idx="538">
                  <c:v>1.8</c:v>
                </c:pt>
                <c:pt idx="539">
                  <c:v>7.9</c:v>
                </c:pt>
                <c:pt idx="540">
                  <c:v>2.8</c:v>
                </c:pt>
                <c:pt idx="541">
                  <c:v>8.6</c:v>
                </c:pt>
                <c:pt idx="542">
                  <c:v>9.6999999999999993</c:v>
                </c:pt>
                <c:pt idx="543">
                  <c:v>2.9</c:v>
                </c:pt>
                <c:pt idx="544">
                  <c:v>1.7</c:v>
                </c:pt>
                <c:pt idx="545">
                  <c:v>5.4</c:v>
                </c:pt>
                <c:pt idx="546">
                  <c:v>8.1</c:v>
                </c:pt>
                <c:pt idx="547">
                  <c:v>7.9</c:v>
                </c:pt>
                <c:pt idx="548">
                  <c:v>7.3</c:v>
                </c:pt>
                <c:pt idx="549">
                  <c:v>8.4</c:v>
                </c:pt>
                <c:pt idx="550">
                  <c:v>2.6</c:v>
                </c:pt>
                <c:pt idx="551">
                  <c:v>6.9</c:v>
                </c:pt>
                <c:pt idx="552">
                  <c:v>6.5</c:v>
                </c:pt>
                <c:pt idx="553">
                  <c:v>2.4</c:v>
                </c:pt>
                <c:pt idx="554">
                  <c:v>4.7</c:v>
                </c:pt>
                <c:pt idx="555">
                  <c:v>8.6999999999999993</c:v>
                </c:pt>
                <c:pt idx="556">
                  <c:v>9.6999999999999993</c:v>
                </c:pt>
                <c:pt idx="557">
                  <c:v>7</c:v>
                </c:pt>
                <c:pt idx="558">
                  <c:v>9.3000000000000007</c:v>
                </c:pt>
                <c:pt idx="559">
                  <c:v>2.2000000000000002</c:v>
                </c:pt>
                <c:pt idx="560">
                  <c:v>9.8000000000000007</c:v>
                </c:pt>
                <c:pt idx="561">
                  <c:v>1.3</c:v>
                </c:pt>
                <c:pt idx="562">
                  <c:v>5.7</c:v>
                </c:pt>
                <c:pt idx="563">
                  <c:v>3.6</c:v>
                </c:pt>
                <c:pt idx="564">
                  <c:v>8.3000000000000007</c:v>
                </c:pt>
                <c:pt idx="565">
                  <c:v>3</c:v>
                </c:pt>
                <c:pt idx="566">
                  <c:v>1.1000000000000001</c:v>
                </c:pt>
                <c:pt idx="567">
                  <c:v>4.7</c:v>
                </c:pt>
                <c:pt idx="568">
                  <c:v>1.6</c:v>
                </c:pt>
                <c:pt idx="569">
                  <c:v>3.6</c:v>
                </c:pt>
                <c:pt idx="570">
                  <c:v>6.8</c:v>
                </c:pt>
                <c:pt idx="571">
                  <c:v>3.7</c:v>
                </c:pt>
                <c:pt idx="572">
                  <c:v>3.2</c:v>
                </c:pt>
                <c:pt idx="573">
                  <c:v>2.4</c:v>
                </c:pt>
                <c:pt idx="574">
                  <c:v>2.2000000000000002</c:v>
                </c:pt>
                <c:pt idx="575">
                  <c:v>5.7</c:v>
                </c:pt>
                <c:pt idx="576">
                  <c:v>7.1</c:v>
                </c:pt>
                <c:pt idx="577">
                  <c:v>5.0999999999999996</c:v>
                </c:pt>
                <c:pt idx="578">
                  <c:v>2.1</c:v>
                </c:pt>
                <c:pt idx="579">
                  <c:v>6.8</c:v>
                </c:pt>
                <c:pt idx="580">
                  <c:v>6</c:v>
                </c:pt>
                <c:pt idx="581">
                  <c:v>4.4000000000000004</c:v>
                </c:pt>
                <c:pt idx="582">
                  <c:v>4</c:v>
                </c:pt>
                <c:pt idx="583">
                  <c:v>2.6</c:v>
                </c:pt>
                <c:pt idx="584">
                  <c:v>2.2999999999999998</c:v>
                </c:pt>
                <c:pt idx="585">
                  <c:v>4</c:v>
                </c:pt>
                <c:pt idx="586">
                  <c:v>1.4</c:v>
                </c:pt>
                <c:pt idx="587">
                  <c:v>4.9000000000000004</c:v>
                </c:pt>
                <c:pt idx="588">
                  <c:v>6.4</c:v>
                </c:pt>
                <c:pt idx="589">
                  <c:v>9.5</c:v>
                </c:pt>
                <c:pt idx="590">
                  <c:v>6.6</c:v>
                </c:pt>
                <c:pt idx="591">
                  <c:v>6.6</c:v>
                </c:pt>
                <c:pt idx="592">
                  <c:v>4.4000000000000004</c:v>
                </c:pt>
                <c:pt idx="593">
                  <c:v>2.2000000000000002</c:v>
                </c:pt>
                <c:pt idx="594">
                  <c:v>5</c:v>
                </c:pt>
                <c:pt idx="595">
                  <c:v>6.4</c:v>
                </c:pt>
                <c:pt idx="596">
                  <c:v>7.5</c:v>
                </c:pt>
                <c:pt idx="597">
                  <c:v>8.4</c:v>
                </c:pt>
                <c:pt idx="598">
                  <c:v>3.3</c:v>
                </c:pt>
                <c:pt idx="599">
                  <c:v>3.2</c:v>
                </c:pt>
                <c:pt idx="600">
                  <c:v>6.1</c:v>
                </c:pt>
                <c:pt idx="601">
                  <c:v>6.1</c:v>
                </c:pt>
                <c:pt idx="602">
                  <c:v>3</c:v>
                </c:pt>
                <c:pt idx="603">
                  <c:v>6.3</c:v>
                </c:pt>
                <c:pt idx="604">
                  <c:v>4.0999999999999996</c:v>
                </c:pt>
                <c:pt idx="605">
                  <c:v>6.8</c:v>
                </c:pt>
                <c:pt idx="606">
                  <c:v>3.6</c:v>
                </c:pt>
                <c:pt idx="607">
                  <c:v>6.3</c:v>
                </c:pt>
                <c:pt idx="608">
                  <c:v>7.9</c:v>
                </c:pt>
                <c:pt idx="609">
                  <c:v>9.8000000000000007</c:v>
                </c:pt>
                <c:pt idx="610">
                  <c:v>9.1999999999999993</c:v>
                </c:pt>
                <c:pt idx="611">
                  <c:v>5.5</c:v>
                </c:pt>
                <c:pt idx="612">
                  <c:v>5.4</c:v>
                </c:pt>
                <c:pt idx="613">
                  <c:v>4.9000000000000004</c:v>
                </c:pt>
                <c:pt idx="614">
                  <c:v>1.2</c:v>
                </c:pt>
                <c:pt idx="615">
                  <c:v>2.5</c:v>
                </c:pt>
                <c:pt idx="616">
                  <c:v>1.5</c:v>
                </c:pt>
                <c:pt idx="617">
                  <c:v>7.3</c:v>
                </c:pt>
                <c:pt idx="618">
                  <c:v>4.7</c:v>
                </c:pt>
                <c:pt idx="619">
                  <c:v>1.6</c:v>
                </c:pt>
                <c:pt idx="620">
                  <c:v>7.2</c:v>
                </c:pt>
                <c:pt idx="621">
                  <c:v>6.8</c:v>
                </c:pt>
                <c:pt idx="622">
                  <c:v>7.5</c:v>
                </c:pt>
                <c:pt idx="623">
                  <c:v>6.4</c:v>
                </c:pt>
                <c:pt idx="624">
                  <c:v>2.5</c:v>
                </c:pt>
                <c:pt idx="625">
                  <c:v>1.6</c:v>
                </c:pt>
                <c:pt idx="626">
                  <c:v>8.4</c:v>
                </c:pt>
                <c:pt idx="627">
                  <c:v>2.9</c:v>
                </c:pt>
                <c:pt idx="628">
                  <c:v>5.9</c:v>
                </c:pt>
                <c:pt idx="629">
                  <c:v>5.4</c:v>
                </c:pt>
                <c:pt idx="630">
                  <c:v>9.3000000000000007</c:v>
                </c:pt>
                <c:pt idx="631">
                  <c:v>6</c:v>
                </c:pt>
                <c:pt idx="632">
                  <c:v>6.2</c:v>
                </c:pt>
                <c:pt idx="633">
                  <c:v>3.9</c:v>
                </c:pt>
                <c:pt idx="634">
                  <c:v>9.6</c:v>
                </c:pt>
                <c:pt idx="635">
                  <c:v>6.5</c:v>
                </c:pt>
                <c:pt idx="636">
                  <c:v>1</c:v>
                </c:pt>
                <c:pt idx="637">
                  <c:v>6</c:v>
                </c:pt>
                <c:pt idx="638">
                  <c:v>4.3</c:v>
                </c:pt>
                <c:pt idx="639">
                  <c:v>1.3</c:v>
                </c:pt>
                <c:pt idx="640">
                  <c:v>4.9000000000000004</c:v>
                </c:pt>
                <c:pt idx="641">
                  <c:v>8</c:v>
                </c:pt>
                <c:pt idx="642">
                  <c:v>5.5</c:v>
                </c:pt>
                <c:pt idx="643">
                  <c:v>6.8</c:v>
                </c:pt>
                <c:pt idx="644">
                  <c:v>6.8</c:v>
                </c:pt>
                <c:pt idx="645">
                  <c:v>7</c:v>
                </c:pt>
                <c:pt idx="646">
                  <c:v>4.5</c:v>
                </c:pt>
                <c:pt idx="647">
                  <c:v>4.3</c:v>
                </c:pt>
                <c:pt idx="648">
                  <c:v>1</c:v>
                </c:pt>
                <c:pt idx="649">
                  <c:v>2.4</c:v>
                </c:pt>
                <c:pt idx="650">
                  <c:v>9.6</c:v>
                </c:pt>
                <c:pt idx="651">
                  <c:v>8.6</c:v>
                </c:pt>
                <c:pt idx="652">
                  <c:v>3.5</c:v>
                </c:pt>
                <c:pt idx="653">
                  <c:v>4.5999999999999996</c:v>
                </c:pt>
                <c:pt idx="654">
                  <c:v>9.5</c:v>
                </c:pt>
                <c:pt idx="655">
                  <c:v>3.3</c:v>
                </c:pt>
                <c:pt idx="656">
                  <c:v>5.8</c:v>
                </c:pt>
                <c:pt idx="657">
                  <c:v>1.2</c:v>
                </c:pt>
                <c:pt idx="658">
                  <c:v>6.6</c:v>
                </c:pt>
                <c:pt idx="659">
                  <c:v>9.4</c:v>
                </c:pt>
                <c:pt idx="660">
                  <c:v>9</c:v>
                </c:pt>
                <c:pt idx="661">
                  <c:v>5.5</c:v>
                </c:pt>
                <c:pt idx="662">
                  <c:v>6.8</c:v>
                </c:pt>
                <c:pt idx="663">
                  <c:v>6.1</c:v>
                </c:pt>
                <c:pt idx="664">
                  <c:v>1.6</c:v>
                </c:pt>
                <c:pt idx="665">
                  <c:v>2.4</c:v>
                </c:pt>
                <c:pt idx="666">
                  <c:v>9.6999999999999993</c:v>
                </c:pt>
                <c:pt idx="667">
                  <c:v>3.3</c:v>
                </c:pt>
                <c:pt idx="668">
                  <c:v>4.5</c:v>
                </c:pt>
                <c:pt idx="669">
                  <c:v>5.6</c:v>
                </c:pt>
                <c:pt idx="670">
                  <c:v>9.8000000000000007</c:v>
                </c:pt>
                <c:pt idx="671">
                  <c:v>7.2</c:v>
                </c:pt>
                <c:pt idx="672">
                  <c:v>6.7</c:v>
                </c:pt>
                <c:pt idx="673">
                  <c:v>5.7</c:v>
                </c:pt>
                <c:pt idx="674">
                  <c:v>7.3</c:v>
                </c:pt>
                <c:pt idx="675">
                  <c:v>7</c:v>
                </c:pt>
                <c:pt idx="676">
                  <c:v>9.1</c:v>
                </c:pt>
                <c:pt idx="677">
                  <c:v>5.9</c:v>
                </c:pt>
                <c:pt idx="678">
                  <c:v>4.8</c:v>
                </c:pt>
                <c:pt idx="679">
                  <c:v>8.3000000000000007</c:v>
                </c:pt>
                <c:pt idx="680">
                  <c:v>8.1999999999999993</c:v>
                </c:pt>
                <c:pt idx="681">
                  <c:v>2.5</c:v>
                </c:pt>
                <c:pt idx="682">
                  <c:v>3.1</c:v>
                </c:pt>
                <c:pt idx="683">
                  <c:v>9.6</c:v>
                </c:pt>
                <c:pt idx="684">
                  <c:v>5</c:v>
                </c:pt>
                <c:pt idx="685">
                  <c:v>5.7</c:v>
                </c:pt>
                <c:pt idx="686">
                  <c:v>3.8</c:v>
                </c:pt>
                <c:pt idx="687">
                  <c:v>5.3</c:v>
                </c:pt>
                <c:pt idx="688">
                  <c:v>7.7</c:v>
                </c:pt>
                <c:pt idx="689">
                  <c:v>5.3</c:v>
                </c:pt>
                <c:pt idx="690">
                  <c:v>3.8</c:v>
                </c:pt>
                <c:pt idx="691">
                  <c:v>1.9</c:v>
                </c:pt>
                <c:pt idx="692">
                  <c:v>9.4</c:v>
                </c:pt>
                <c:pt idx="693">
                  <c:v>8.8000000000000007</c:v>
                </c:pt>
                <c:pt idx="694">
                  <c:v>8.1</c:v>
                </c:pt>
                <c:pt idx="695">
                  <c:v>7.2</c:v>
                </c:pt>
                <c:pt idx="696">
                  <c:v>5.6</c:v>
                </c:pt>
                <c:pt idx="697">
                  <c:v>9.1</c:v>
                </c:pt>
                <c:pt idx="698">
                  <c:v>8.1</c:v>
                </c:pt>
                <c:pt idx="699">
                  <c:v>8.3000000000000007</c:v>
                </c:pt>
                <c:pt idx="700">
                  <c:v>3.8</c:v>
                </c:pt>
                <c:pt idx="701">
                  <c:v>4.8</c:v>
                </c:pt>
                <c:pt idx="702">
                  <c:v>7.4</c:v>
                </c:pt>
                <c:pt idx="703">
                  <c:v>4.3</c:v>
                </c:pt>
                <c:pt idx="704">
                  <c:v>5.4</c:v>
                </c:pt>
                <c:pt idx="705">
                  <c:v>6.8</c:v>
                </c:pt>
                <c:pt idx="706">
                  <c:v>4.9000000000000004</c:v>
                </c:pt>
                <c:pt idx="707">
                  <c:v>8.1</c:v>
                </c:pt>
                <c:pt idx="708">
                  <c:v>2</c:v>
                </c:pt>
                <c:pt idx="709">
                  <c:v>7.5</c:v>
                </c:pt>
                <c:pt idx="710">
                  <c:v>2.2999999999999998</c:v>
                </c:pt>
                <c:pt idx="711">
                  <c:v>9.4</c:v>
                </c:pt>
                <c:pt idx="712">
                  <c:v>3.8</c:v>
                </c:pt>
                <c:pt idx="713">
                  <c:v>8.1999999999999993</c:v>
                </c:pt>
                <c:pt idx="714">
                  <c:v>5.7</c:v>
                </c:pt>
                <c:pt idx="715">
                  <c:v>1.8</c:v>
                </c:pt>
                <c:pt idx="716">
                  <c:v>6.2</c:v>
                </c:pt>
                <c:pt idx="717">
                  <c:v>9.1999999999999993</c:v>
                </c:pt>
                <c:pt idx="718">
                  <c:v>2.4</c:v>
                </c:pt>
                <c:pt idx="719">
                  <c:v>3.9</c:v>
                </c:pt>
                <c:pt idx="720">
                  <c:v>5</c:v>
                </c:pt>
                <c:pt idx="721">
                  <c:v>3.5</c:v>
                </c:pt>
                <c:pt idx="722">
                  <c:v>9.5</c:v>
                </c:pt>
                <c:pt idx="723">
                  <c:v>4.4000000000000004</c:v>
                </c:pt>
                <c:pt idx="724">
                  <c:v>6.9</c:v>
                </c:pt>
                <c:pt idx="725">
                  <c:v>3</c:v>
                </c:pt>
                <c:pt idx="726">
                  <c:v>3</c:v>
                </c:pt>
                <c:pt idx="727">
                  <c:v>2.6</c:v>
                </c:pt>
                <c:pt idx="728">
                  <c:v>4.9000000000000004</c:v>
                </c:pt>
                <c:pt idx="729">
                  <c:v>5.8</c:v>
                </c:pt>
                <c:pt idx="730">
                  <c:v>1.1000000000000001</c:v>
                </c:pt>
                <c:pt idx="731">
                  <c:v>8.5</c:v>
                </c:pt>
                <c:pt idx="732">
                  <c:v>5.6</c:v>
                </c:pt>
                <c:pt idx="733">
                  <c:v>2.4</c:v>
                </c:pt>
                <c:pt idx="734">
                  <c:v>1.6</c:v>
                </c:pt>
                <c:pt idx="735">
                  <c:v>1.6</c:v>
                </c:pt>
                <c:pt idx="736">
                  <c:v>3.3</c:v>
                </c:pt>
                <c:pt idx="737">
                  <c:v>5.5</c:v>
                </c:pt>
                <c:pt idx="738">
                  <c:v>8.6999999999999993</c:v>
                </c:pt>
                <c:pt idx="739">
                  <c:v>9.1</c:v>
                </c:pt>
                <c:pt idx="740">
                  <c:v>8.5</c:v>
                </c:pt>
                <c:pt idx="741">
                  <c:v>4</c:v>
                </c:pt>
                <c:pt idx="742">
                  <c:v>3.8</c:v>
                </c:pt>
                <c:pt idx="743">
                  <c:v>9.9</c:v>
                </c:pt>
                <c:pt idx="744">
                  <c:v>7.1</c:v>
                </c:pt>
                <c:pt idx="745">
                  <c:v>3.7</c:v>
                </c:pt>
                <c:pt idx="746">
                  <c:v>4</c:v>
                </c:pt>
                <c:pt idx="747">
                  <c:v>4.9000000000000004</c:v>
                </c:pt>
                <c:pt idx="748">
                  <c:v>6.6</c:v>
                </c:pt>
                <c:pt idx="749">
                  <c:v>9.1</c:v>
                </c:pt>
                <c:pt idx="750">
                  <c:v>2.8</c:v>
                </c:pt>
                <c:pt idx="751">
                  <c:v>1.8</c:v>
                </c:pt>
                <c:pt idx="752">
                  <c:v>4.7</c:v>
                </c:pt>
                <c:pt idx="753">
                  <c:v>3.2</c:v>
                </c:pt>
                <c:pt idx="754">
                  <c:v>6.2</c:v>
                </c:pt>
                <c:pt idx="755">
                  <c:v>7.3</c:v>
                </c:pt>
                <c:pt idx="756">
                  <c:v>3.8</c:v>
                </c:pt>
                <c:pt idx="757">
                  <c:v>7.2</c:v>
                </c:pt>
                <c:pt idx="758">
                  <c:v>4.0999999999999996</c:v>
                </c:pt>
                <c:pt idx="759">
                  <c:v>6.7</c:v>
                </c:pt>
                <c:pt idx="760">
                  <c:v>6.7</c:v>
                </c:pt>
                <c:pt idx="761">
                  <c:v>3.5</c:v>
                </c:pt>
                <c:pt idx="762">
                  <c:v>6.7</c:v>
                </c:pt>
                <c:pt idx="763">
                  <c:v>4.4000000000000004</c:v>
                </c:pt>
                <c:pt idx="764">
                  <c:v>4</c:v>
                </c:pt>
                <c:pt idx="765">
                  <c:v>3.6</c:v>
                </c:pt>
                <c:pt idx="766">
                  <c:v>4.0999999999999996</c:v>
                </c:pt>
                <c:pt idx="767">
                  <c:v>8.1</c:v>
                </c:pt>
                <c:pt idx="768">
                  <c:v>3.2</c:v>
                </c:pt>
                <c:pt idx="769">
                  <c:v>7.1</c:v>
                </c:pt>
                <c:pt idx="770">
                  <c:v>9.1</c:v>
                </c:pt>
                <c:pt idx="771">
                  <c:v>4.2</c:v>
                </c:pt>
                <c:pt idx="772">
                  <c:v>1.3</c:v>
                </c:pt>
                <c:pt idx="773">
                  <c:v>1.2</c:v>
                </c:pt>
                <c:pt idx="774">
                  <c:v>2.2999999999999998</c:v>
                </c:pt>
                <c:pt idx="775">
                  <c:v>2</c:v>
                </c:pt>
                <c:pt idx="776">
                  <c:v>7.7</c:v>
                </c:pt>
                <c:pt idx="777">
                  <c:v>3.7</c:v>
                </c:pt>
                <c:pt idx="778">
                  <c:v>6.9</c:v>
                </c:pt>
                <c:pt idx="779">
                  <c:v>1.4</c:v>
                </c:pt>
                <c:pt idx="780">
                  <c:v>3.7</c:v>
                </c:pt>
                <c:pt idx="781">
                  <c:v>3.1</c:v>
                </c:pt>
                <c:pt idx="782">
                  <c:v>3.5</c:v>
                </c:pt>
                <c:pt idx="783">
                  <c:v>2.7</c:v>
                </c:pt>
                <c:pt idx="784">
                  <c:v>6.6</c:v>
                </c:pt>
                <c:pt idx="785">
                  <c:v>7</c:v>
                </c:pt>
                <c:pt idx="786">
                  <c:v>2.2999999999999998</c:v>
                </c:pt>
                <c:pt idx="787">
                  <c:v>7.7</c:v>
                </c:pt>
                <c:pt idx="788">
                  <c:v>3.3</c:v>
                </c:pt>
                <c:pt idx="789">
                  <c:v>3.5</c:v>
                </c:pt>
                <c:pt idx="790">
                  <c:v>8.5</c:v>
                </c:pt>
                <c:pt idx="791">
                  <c:v>9.1</c:v>
                </c:pt>
                <c:pt idx="792">
                  <c:v>8.4</c:v>
                </c:pt>
                <c:pt idx="793">
                  <c:v>2.2999999999999998</c:v>
                </c:pt>
                <c:pt idx="794">
                  <c:v>10</c:v>
                </c:pt>
                <c:pt idx="795">
                  <c:v>7</c:v>
                </c:pt>
                <c:pt idx="796">
                  <c:v>5.6</c:v>
                </c:pt>
                <c:pt idx="797">
                  <c:v>9.6</c:v>
                </c:pt>
                <c:pt idx="798">
                  <c:v>8.4</c:v>
                </c:pt>
                <c:pt idx="799">
                  <c:v>7.2</c:v>
                </c:pt>
                <c:pt idx="800">
                  <c:v>8.5</c:v>
                </c:pt>
                <c:pt idx="801">
                  <c:v>4.5</c:v>
                </c:pt>
                <c:pt idx="802">
                  <c:v>7.2</c:v>
                </c:pt>
                <c:pt idx="803">
                  <c:v>2.7</c:v>
                </c:pt>
                <c:pt idx="804">
                  <c:v>9.9</c:v>
                </c:pt>
                <c:pt idx="805">
                  <c:v>6.3</c:v>
                </c:pt>
                <c:pt idx="806">
                  <c:v>8.3000000000000007</c:v>
                </c:pt>
                <c:pt idx="807">
                  <c:v>4.7</c:v>
                </c:pt>
                <c:pt idx="808">
                  <c:v>7.8</c:v>
                </c:pt>
                <c:pt idx="809">
                  <c:v>4.5</c:v>
                </c:pt>
                <c:pt idx="810">
                  <c:v>6.3</c:v>
                </c:pt>
                <c:pt idx="811">
                  <c:v>8</c:v>
                </c:pt>
                <c:pt idx="812">
                  <c:v>2</c:v>
                </c:pt>
                <c:pt idx="813">
                  <c:v>4.2</c:v>
                </c:pt>
                <c:pt idx="814">
                  <c:v>5.9</c:v>
                </c:pt>
                <c:pt idx="815">
                  <c:v>4</c:v>
                </c:pt>
                <c:pt idx="816">
                  <c:v>3.8</c:v>
                </c:pt>
                <c:pt idx="817">
                  <c:v>3.5</c:v>
                </c:pt>
                <c:pt idx="818">
                  <c:v>3.1</c:v>
                </c:pt>
                <c:pt idx="819">
                  <c:v>8.6</c:v>
                </c:pt>
                <c:pt idx="820">
                  <c:v>9.3000000000000007</c:v>
                </c:pt>
                <c:pt idx="821">
                  <c:v>7.3</c:v>
                </c:pt>
                <c:pt idx="822">
                  <c:v>1.3</c:v>
                </c:pt>
                <c:pt idx="823">
                  <c:v>8.1</c:v>
                </c:pt>
                <c:pt idx="824">
                  <c:v>5.8</c:v>
                </c:pt>
                <c:pt idx="825">
                  <c:v>7.8</c:v>
                </c:pt>
                <c:pt idx="826">
                  <c:v>4.9000000000000004</c:v>
                </c:pt>
                <c:pt idx="827">
                  <c:v>1.4</c:v>
                </c:pt>
                <c:pt idx="828">
                  <c:v>7.1</c:v>
                </c:pt>
                <c:pt idx="829">
                  <c:v>5</c:v>
                </c:pt>
                <c:pt idx="830">
                  <c:v>8.9</c:v>
                </c:pt>
                <c:pt idx="831">
                  <c:v>7.6</c:v>
                </c:pt>
                <c:pt idx="832">
                  <c:v>4.2</c:v>
                </c:pt>
                <c:pt idx="833">
                  <c:v>7.5</c:v>
                </c:pt>
                <c:pt idx="834">
                  <c:v>5.5</c:v>
                </c:pt>
                <c:pt idx="835">
                  <c:v>2.8</c:v>
                </c:pt>
                <c:pt idx="836">
                  <c:v>4.8</c:v>
                </c:pt>
                <c:pt idx="837">
                  <c:v>3</c:v>
                </c:pt>
                <c:pt idx="838">
                  <c:v>1</c:v>
                </c:pt>
                <c:pt idx="839">
                  <c:v>3.2</c:v>
                </c:pt>
                <c:pt idx="840">
                  <c:v>2.9</c:v>
                </c:pt>
                <c:pt idx="841">
                  <c:v>1</c:v>
                </c:pt>
                <c:pt idx="842">
                  <c:v>8.1</c:v>
                </c:pt>
                <c:pt idx="843">
                  <c:v>1.7</c:v>
                </c:pt>
                <c:pt idx="844">
                  <c:v>5</c:v>
                </c:pt>
                <c:pt idx="845">
                  <c:v>4.8</c:v>
                </c:pt>
                <c:pt idx="846">
                  <c:v>2.6</c:v>
                </c:pt>
                <c:pt idx="847">
                  <c:v>9.6999999999999993</c:v>
                </c:pt>
                <c:pt idx="848">
                  <c:v>6.4</c:v>
                </c:pt>
                <c:pt idx="849">
                  <c:v>8.3000000000000007</c:v>
                </c:pt>
                <c:pt idx="850">
                  <c:v>5.5</c:v>
                </c:pt>
                <c:pt idx="851">
                  <c:v>7.5</c:v>
                </c:pt>
                <c:pt idx="852">
                  <c:v>9.6999999999999993</c:v>
                </c:pt>
                <c:pt idx="853">
                  <c:v>4.0999999999999996</c:v>
                </c:pt>
                <c:pt idx="854">
                  <c:v>5.5</c:v>
                </c:pt>
                <c:pt idx="855">
                  <c:v>5.6</c:v>
                </c:pt>
                <c:pt idx="856">
                  <c:v>9.9</c:v>
                </c:pt>
                <c:pt idx="857">
                  <c:v>3.1</c:v>
                </c:pt>
                <c:pt idx="858">
                  <c:v>7.1</c:v>
                </c:pt>
                <c:pt idx="859">
                  <c:v>2.2000000000000002</c:v>
                </c:pt>
                <c:pt idx="860">
                  <c:v>9.3000000000000007</c:v>
                </c:pt>
                <c:pt idx="861">
                  <c:v>6.3</c:v>
                </c:pt>
                <c:pt idx="862">
                  <c:v>8.6999999999999993</c:v>
                </c:pt>
                <c:pt idx="863">
                  <c:v>9.1</c:v>
                </c:pt>
                <c:pt idx="864">
                  <c:v>6</c:v>
                </c:pt>
                <c:pt idx="865">
                  <c:v>7.1</c:v>
                </c:pt>
                <c:pt idx="866">
                  <c:v>7.3</c:v>
                </c:pt>
                <c:pt idx="867">
                  <c:v>5.0999999999999996</c:v>
                </c:pt>
                <c:pt idx="868">
                  <c:v>4.9000000000000004</c:v>
                </c:pt>
                <c:pt idx="869">
                  <c:v>2.7</c:v>
                </c:pt>
                <c:pt idx="870">
                  <c:v>4.5</c:v>
                </c:pt>
                <c:pt idx="871">
                  <c:v>9.9</c:v>
                </c:pt>
                <c:pt idx="872">
                  <c:v>3.4</c:v>
                </c:pt>
                <c:pt idx="873">
                  <c:v>7.9</c:v>
                </c:pt>
                <c:pt idx="874">
                  <c:v>1.5</c:v>
                </c:pt>
                <c:pt idx="875">
                  <c:v>5.2</c:v>
                </c:pt>
                <c:pt idx="876">
                  <c:v>1.5</c:v>
                </c:pt>
                <c:pt idx="877">
                  <c:v>5.3</c:v>
                </c:pt>
                <c:pt idx="878">
                  <c:v>1.2</c:v>
                </c:pt>
                <c:pt idx="879">
                  <c:v>6.5</c:v>
                </c:pt>
                <c:pt idx="880">
                  <c:v>6.3</c:v>
                </c:pt>
                <c:pt idx="881">
                  <c:v>8.1999999999999993</c:v>
                </c:pt>
                <c:pt idx="882">
                  <c:v>6.2</c:v>
                </c:pt>
                <c:pt idx="883">
                  <c:v>9.3000000000000007</c:v>
                </c:pt>
                <c:pt idx="884">
                  <c:v>8</c:v>
                </c:pt>
                <c:pt idx="885">
                  <c:v>2.2000000000000002</c:v>
                </c:pt>
                <c:pt idx="886">
                  <c:v>3.4</c:v>
                </c:pt>
                <c:pt idx="887">
                  <c:v>1.2</c:v>
                </c:pt>
                <c:pt idx="888">
                  <c:v>4.5</c:v>
                </c:pt>
                <c:pt idx="889">
                  <c:v>5.6</c:v>
                </c:pt>
                <c:pt idx="890">
                  <c:v>9.5</c:v>
                </c:pt>
                <c:pt idx="891">
                  <c:v>5.7</c:v>
                </c:pt>
                <c:pt idx="892">
                  <c:v>8</c:v>
                </c:pt>
                <c:pt idx="893">
                  <c:v>3.4</c:v>
                </c:pt>
                <c:pt idx="894">
                  <c:v>2.4</c:v>
                </c:pt>
                <c:pt idx="895">
                  <c:v>8.3000000000000007</c:v>
                </c:pt>
                <c:pt idx="896">
                  <c:v>3.2</c:v>
                </c:pt>
                <c:pt idx="897">
                  <c:v>8.8000000000000007</c:v>
                </c:pt>
                <c:pt idx="898">
                  <c:v>2.5</c:v>
                </c:pt>
                <c:pt idx="899">
                  <c:v>8.6999999999999993</c:v>
                </c:pt>
                <c:pt idx="900">
                  <c:v>8</c:v>
                </c:pt>
                <c:pt idx="901">
                  <c:v>6.5</c:v>
                </c:pt>
                <c:pt idx="902">
                  <c:v>8.6999999999999993</c:v>
                </c:pt>
                <c:pt idx="903">
                  <c:v>4</c:v>
                </c:pt>
                <c:pt idx="904">
                  <c:v>2.5</c:v>
                </c:pt>
                <c:pt idx="905">
                  <c:v>2.4</c:v>
                </c:pt>
                <c:pt idx="906">
                  <c:v>3.4</c:v>
                </c:pt>
                <c:pt idx="907">
                  <c:v>5</c:v>
                </c:pt>
                <c:pt idx="908">
                  <c:v>8.9</c:v>
                </c:pt>
                <c:pt idx="909">
                  <c:v>1.8</c:v>
                </c:pt>
                <c:pt idx="910">
                  <c:v>9.1999999999999993</c:v>
                </c:pt>
                <c:pt idx="911">
                  <c:v>9.3000000000000007</c:v>
                </c:pt>
                <c:pt idx="912">
                  <c:v>7.5</c:v>
                </c:pt>
                <c:pt idx="913">
                  <c:v>9.1</c:v>
                </c:pt>
                <c:pt idx="914">
                  <c:v>7.9</c:v>
                </c:pt>
                <c:pt idx="915">
                  <c:v>5.8</c:v>
                </c:pt>
                <c:pt idx="916">
                  <c:v>6.4</c:v>
                </c:pt>
                <c:pt idx="917">
                  <c:v>6.7</c:v>
                </c:pt>
                <c:pt idx="918">
                  <c:v>2.1</c:v>
                </c:pt>
                <c:pt idx="919">
                  <c:v>2.7</c:v>
                </c:pt>
                <c:pt idx="920">
                  <c:v>5.7</c:v>
                </c:pt>
                <c:pt idx="921">
                  <c:v>2</c:v>
                </c:pt>
                <c:pt idx="922">
                  <c:v>9.6999999999999993</c:v>
                </c:pt>
                <c:pt idx="923">
                  <c:v>5.6</c:v>
                </c:pt>
                <c:pt idx="924">
                  <c:v>4.4000000000000004</c:v>
                </c:pt>
                <c:pt idx="925">
                  <c:v>2.4</c:v>
                </c:pt>
                <c:pt idx="926">
                  <c:v>4.7</c:v>
                </c:pt>
                <c:pt idx="927">
                  <c:v>3.7</c:v>
                </c:pt>
                <c:pt idx="928">
                  <c:v>1.8</c:v>
                </c:pt>
                <c:pt idx="929">
                  <c:v>9.6999999999999993</c:v>
                </c:pt>
                <c:pt idx="930">
                  <c:v>3.4</c:v>
                </c:pt>
                <c:pt idx="931">
                  <c:v>7.2</c:v>
                </c:pt>
                <c:pt idx="932">
                  <c:v>1.8</c:v>
                </c:pt>
                <c:pt idx="933">
                  <c:v>9.1999999999999993</c:v>
                </c:pt>
                <c:pt idx="934">
                  <c:v>6.3</c:v>
                </c:pt>
                <c:pt idx="935">
                  <c:v>6.9</c:v>
                </c:pt>
                <c:pt idx="936">
                  <c:v>8</c:v>
                </c:pt>
                <c:pt idx="937">
                  <c:v>6.5</c:v>
                </c:pt>
                <c:pt idx="938">
                  <c:v>1.6</c:v>
                </c:pt>
                <c:pt idx="939">
                  <c:v>4.9000000000000004</c:v>
                </c:pt>
                <c:pt idx="940">
                  <c:v>3.4</c:v>
                </c:pt>
                <c:pt idx="941">
                  <c:v>5.4</c:v>
                </c:pt>
                <c:pt idx="942">
                  <c:v>4.5999999999999996</c:v>
                </c:pt>
                <c:pt idx="943">
                  <c:v>8.4</c:v>
                </c:pt>
                <c:pt idx="944">
                  <c:v>3.2</c:v>
                </c:pt>
                <c:pt idx="945">
                  <c:v>2.8</c:v>
                </c:pt>
                <c:pt idx="946">
                  <c:v>9.6</c:v>
                </c:pt>
                <c:pt idx="947">
                  <c:v>9.5</c:v>
                </c:pt>
                <c:pt idx="948">
                  <c:v>9.9</c:v>
                </c:pt>
                <c:pt idx="949">
                  <c:v>6.1</c:v>
                </c:pt>
                <c:pt idx="950">
                  <c:v>2</c:v>
                </c:pt>
                <c:pt idx="951">
                  <c:v>8.9</c:v>
                </c:pt>
                <c:pt idx="952">
                  <c:v>2.2999999999999998</c:v>
                </c:pt>
                <c:pt idx="953">
                  <c:v>2.4</c:v>
                </c:pt>
                <c:pt idx="954">
                  <c:v>2.7</c:v>
                </c:pt>
                <c:pt idx="955">
                  <c:v>6.9</c:v>
                </c:pt>
                <c:pt idx="956">
                  <c:v>2</c:v>
                </c:pt>
                <c:pt idx="957">
                  <c:v>8</c:v>
                </c:pt>
                <c:pt idx="958">
                  <c:v>1.5</c:v>
                </c:pt>
                <c:pt idx="959">
                  <c:v>2</c:v>
                </c:pt>
                <c:pt idx="960">
                  <c:v>4.9000000000000004</c:v>
                </c:pt>
                <c:pt idx="961">
                  <c:v>4.4000000000000004</c:v>
                </c:pt>
                <c:pt idx="962">
                  <c:v>9.9</c:v>
                </c:pt>
                <c:pt idx="963">
                  <c:v>9.6999999999999993</c:v>
                </c:pt>
                <c:pt idx="964">
                  <c:v>2.7</c:v>
                </c:pt>
                <c:pt idx="965">
                  <c:v>9.5</c:v>
                </c:pt>
                <c:pt idx="966">
                  <c:v>7.2</c:v>
                </c:pt>
                <c:pt idx="967">
                  <c:v>4.7</c:v>
                </c:pt>
                <c:pt idx="968">
                  <c:v>7.7</c:v>
                </c:pt>
                <c:pt idx="969">
                  <c:v>9.1</c:v>
                </c:pt>
                <c:pt idx="970">
                  <c:v>2.6</c:v>
                </c:pt>
                <c:pt idx="971">
                  <c:v>2.8</c:v>
                </c:pt>
                <c:pt idx="972">
                  <c:v>4.7</c:v>
                </c:pt>
                <c:pt idx="973">
                  <c:v>2.5</c:v>
                </c:pt>
                <c:pt idx="974">
                  <c:v>4.2</c:v>
                </c:pt>
                <c:pt idx="975">
                  <c:v>6.8</c:v>
                </c:pt>
                <c:pt idx="976">
                  <c:v>8.3000000000000007</c:v>
                </c:pt>
                <c:pt idx="977">
                  <c:v>3.7</c:v>
                </c:pt>
                <c:pt idx="978">
                  <c:v>3.5</c:v>
                </c:pt>
                <c:pt idx="979">
                  <c:v>8</c:v>
                </c:pt>
                <c:pt idx="980">
                  <c:v>4.4000000000000004</c:v>
                </c:pt>
                <c:pt idx="981">
                  <c:v>8.4</c:v>
                </c:pt>
                <c:pt idx="982">
                  <c:v>9.9</c:v>
                </c:pt>
                <c:pt idx="983">
                  <c:v>9.8000000000000007</c:v>
                </c:pt>
                <c:pt idx="984">
                  <c:v>7</c:v>
                </c:pt>
                <c:pt idx="985">
                  <c:v>4.4000000000000004</c:v>
                </c:pt>
                <c:pt idx="986">
                  <c:v>1.6</c:v>
                </c:pt>
                <c:pt idx="987">
                  <c:v>7.6</c:v>
                </c:pt>
                <c:pt idx="988">
                  <c:v>9.8000000000000007</c:v>
                </c:pt>
                <c:pt idx="989">
                  <c:v>1.6</c:v>
                </c:pt>
                <c:pt idx="990">
                  <c:v>1.1000000000000001</c:v>
                </c:pt>
                <c:pt idx="991">
                  <c:v>8.5</c:v>
                </c:pt>
                <c:pt idx="992">
                  <c:v>1.9</c:v>
                </c:pt>
                <c:pt idx="993">
                  <c:v>1.7</c:v>
                </c:pt>
                <c:pt idx="994">
                  <c:v>9.1999999999999993</c:v>
                </c:pt>
                <c:pt idx="995">
                  <c:v>1.7</c:v>
                </c:pt>
                <c:pt idx="996">
                  <c:v>2</c:v>
                </c:pt>
                <c:pt idx="997">
                  <c:v>6.1</c:v>
                </c:pt>
                <c:pt idx="998">
                  <c:v>7.8</c:v>
                </c:pt>
                <c:pt idx="999">
                  <c:v>4.5999999999999996</c:v>
                </c:pt>
                <c:pt idx="1000">
                  <c:v>4.8</c:v>
                </c:pt>
                <c:pt idx="1001">
                  <c:v>6.7</c:v>
                </c:pt>
                <c:pt idx="1002">
                  <c:v>5.5</c:v>
                </c:pt>
                <c:pt idx="1003">
                  <c:v>1.2</c:v>
                </c:pt>
                <c:pt idx="1004">
                  <c:v>2</c:v>
                </c:pt>
                <c:pt idx="1005">
                  <c:v>6.2</c:v>
                </c:pt>
                <c:pt idx="1006">
                  <c:v>8.1</c:v>
                </c:pt>
                <c:pt idx="1007">
                  <c:v>7.9</c:v>
                </c:pt>
                <c:pt idx="1008">
                  <c:v>7.7</c:v>
                </c:pt>
                <c:pt idx="1009">
                  <c:v>7.9</c:v>
                </c:pt>
                <c:pt idx="1010">
                  <c:v>1.4</c:v>
                </c:pt>
                <c:pt idx="1011">
                  <c:v>9.1</c:v>
                </c:pt>
                <c:pt idx="1012">
                  <c:v>9</c:v>
                </c:pt>
                <c:pt idx="1013">
                  <c:v>5.8</c:v>
                </c:pt>
                <c:pt idx="1014">
                  <c:v>3.2</c:v>
                </c:pt>
                <c:pt idx="1015">
                  <c:v>6.3</c:v>
                </c:pt>
                <c:pt idx="1016">
                  <c:v>6</c:v>
                </c:pt>
                <c:pt idx="1017">
                  <c:v>3</c:v>
                </c:pt>
                <c:pt idx="1018">
                  <c:v>6.4</c:v>
                </c:pt>
                <c:pt idx="1019">
                  <c:v>8.1999999999999993</c:v>
                </c:pt>
                <c:pt idx="1020">
                  <c:v>8.3000000000000007</c:v>
                </c:pt>
                <c:pt idx="1021">
                  <c:v>1.5</c:v>
                </c:pt>
                <c:pt idx="1022">
                  <c:v>2.8</c:v>
                </c:pt>
                <c:pt idx="1023">
                  <c:v>7</c:v>
                </c:pt>
                <c:pt idx="1024">
                  <c:v>8.6999999999999993</c:v>
                </c:pt>
                <c:pt idx="1025">
                  <c:v>5.7</c:v>
                </c:pt>
                <c:pt idx="1026">
                  <c:v>7.4</c:v>
                </c:pt>
                <c:pt idx="1027">
                  <c:v>1.2</c:v>
                </c:pt>
                <c:pt idx="1028">
                  <c:v>6.5</c:v>
                </c:pt>
                <c:pt idx="1029">
                  <c:v>9.6999999999999993</c:v>
                </c:pt>
                <c:pt idx="1030">
                  <c:v>6.9</c:v>
                </c:pt>
                <c:pt idx="1031">
                  <c:v>9.3000000000000007</c:v>
                </c:pt>
                <c:pt idx="1032">
                  <c:v>6.1</c:v>
                </c:pt>
                <c:pt idx="1033">
                  <c:v>8.6</c:v>
                </c:pt>
                <c:pt idx="1034">
                  <c:v>2.1</c:v>
                </c:pt>
                <c:pt idx="1035">
                  <c:v>2.1</c:v>
                </c:pt>
                <c:pt idx="1036">
                  <c:v>2.1</c:v>
                </c:pt>
                <c:pt idx="1037">
                  <c:v>5.4</c:v>
                </c:pt>
                <c:pt idx="1038">
                  <c:v>4</c:v>
                </c:pt>
                <c:pt idx="1039">
                  <c:v>7.5</c:v>
                </c:pt>
                <c:pt idx="1040">
                  <c:v>9.1</c:v>
                </c:pt>
                <c:pt idx="1041">
                  <c:v>6.6</c:v>
                </c:pt>
                <c:pt idx="1042">
                  <c:v>2.9</c:v>
                </c:pt>
                <c:pt idx="1043">
                  <c:v>9.4</c:v>
                </c:pt>
                <c:pt idx="1044">
                  <c:v>5.8</c:v>
                </c:pt>
                <c:pt idx="1045">
                  <c:v>7.5</c:v>
                </c:pt>
                <c:pt idx="1046">
                  <c:v>9</c:v>
                </c:pt>
                <c:pt idx="1047">
                  <c:v>9.9</c:v>
                </c:pt>
                <c:pt idx="1048">
                  <c:v>5.6</c:v>
                </c:pt>
                <c:pt idx="1049">
                  <c:v>8.3000000000000007</c:v>
                </c:pt>
                <c:pt idx="1050">
                  <c:v>6.1</c:v>
                </c:pt>
                <c:pt idx="1051">
                  <c:v>5.4</c:v>
                </c:pt>
                <c:pt idx="1052">
                  <c:v>5.8</c:v>
                </c:pt>
                <c:pt idx="1053">
                  <c:v>5.4</c:v>
                </c:pt>
                <c:pt idx="1054">
                  <c:v>4.8</c:v>
                </c:pt>
                <c:pt idx="1055">
                  <c:v>7.5</c:v>
                </c:pt>
                <c:pt idx="1056">
                  <c:v>3.2</c:v>
                </c:pt>
                <c:pt idx="1057">
                  <c:v>6.5</c:v>
                </c:pt>
                <c:pt idx="1058">
                  <c:v>7.4</c:v>
                </c:pt>
                <c:pt idx="1059">
                  <c:v>9</c:v>
                </c:pt>
                <c:pt idx="1060">
                  <c:v>4</c:v>
                </c:pt>
                <c:pt idx="1061">
                  <c:v>8.6999999999999993</c:v>
                </c:pt>
                <c:pt idx="1062">
                  <c:v>9.5</c:v>
                </c:pt>
                <c:pt idx="1063">
                  <c:v>6.8</c:v>
                </c:pt>
                <c:pt idx="1064">
                  <c:v>7.9</c:v>
                </c:pt>
                <c:pt idx="1065">
                  <c:v>4.7</c:v>
                </c:pt>
                <c:pt idx="1066">
                  <c:v>9.6</c:v>
                </c:pt>
                <c:pt idx="1067">
                  <c:v>7</c:v>
                </c:pt>
                <c:pt idx="1068">
                  <c:v>3.8</c:v>
                </c:pt>
                <c:pt idx="1069">
                  <c:v>4.5999999999999996</c:v>
                </c:pt>
                <c:pt idx="1070">
                  <c:v>6.6</c:v>
                </c:pt>
                <c:pt idx="1071">
                  <c:v>3.1</c:v>
                </c:pt>
                <c:pt idx="1072">
                  <c:v>7.8</c:v>
                </c:pt>
                <c:pt idx="1073">
                  <c:v>3</c:v>
                </c:pt>
                <c:pt idx="1074">
                  <c:v>6.3</c:v>
                </c:pt>
                <c:pt idx="1075">
                  <c:v>7.3</c:v>
                </c:pt>
                <c:pt idx="1076">
                  <c:v>8.6999999999999993</c:v>
                </c:pt>
                <c:pt idx="1077">
                  <c:v>7.6</c:v>
                </c:pt>
                <c:pt idx="1078">
                  <c:v>8.1999999999999993</c:v>
                </c:pt>
                <c:pt idx="1079">
                  <c:v>9.1999999999999993</c:v>
                </c:pt>
                <c:pt idx="1080">
                  <c:v>6.4</c:v>
                </c:pt>
                <c:pt idx="1081">
                  <c:v>8.6</c:v>
                </c:pt>
                <c:pt idx="1082">
                  <c:v>3.1</c:v>
                </c:pt>
                <c:pt idx="1083">
                  <c:v>8.3000000000000007</c:v>
                </c:pt>
                <c:pt idx="1084">
                  <c:v>3</c:v>
                </c:pt>
                <c:pt idx="1085">
                  <c:v>9.4</c:v>
                </c:pt>
                <c:pt idx="1086">
                  <c:v>4</c:v>
                </c:pt>
                <c:pt idx="1087">
                  <c:v>2.5</c:v>
                </c:pt>
                <c:pt idx="1088">
                  <c:v>2.2999999999999998</c:v>
                </c:pt>
                <c:pt idx="1089">
                  <c:v>2.7</c:v>
                </c:pt>
                <c:pt idx="1090">
                  <c:v>5</c:v>
                </c:pt>
                <c:pt idx="1091">
                  <c:v>5.7</c:v>
                </c:pt>
                <c:pt idx="1092">
                  <c:v>9.1999999999999993</c:v>
                </c:pt>
                <c:pt idx="1093">
                  <c:v>4.4000000000000004</c:v>
                </c:pt>
                <c:pt idx="1094">
                  <c:v>3</c:v>
                </c:pt>
                <c:pt idx="1095">
                  <c:v>7.7</c:v>
                </c:pt>
                <c:pt idx="1096">
                  <c:v>2.2000000000000002</c:v>
                </c:pt>
                <c:pt idx="1097">
                  <c:v>9</c:v>
                </c:pt>
                <c:pt idx="1098">
                  <c:v>4.7</c:v>
                </c:pt>
                <c:pt idx="1099">
                  <c:v>6.5</c:v>
                </c:pt>
                <c:pt idx="1100">
                  <c:v>2.7</c:v>
                </c:pt>
                <c:pt idx="1101">
                  <c:v>2.2999999999999998</c:v>
                </c:pt>
                <c:pt idx="1102">
                  <c:v>8.1999999999999993</c:v>
                </c:pt>
                <c:pt idx="1103">
                  <c:v>4.9000000000000004</c:v>
                </c:pt>
                <c:pt idx="1104">
                  <c:v>9.9</c:v>
                </c:pt>
                <c:pt idx="1105">
                  <c:v>5.7</c:v>
                </c:pt>
                <c:pt idx="1106">
                  <c:v>8.6</c:v>
                </c:pt>
                <c:pt idx="1107">
                  <c:v>9.8000000000000007</c:v>
                </c:pt>
                <c:pt idx="1108">
                  <c:v>3.5</c:v>
                </c:pt>
                <c:pt idx="1109">
                  <c:v>8.1999999999999993</c:v>
                </c:pt>
                <c:pt idx="1110">
                  <c:v>1.2</c:v>
                </c:pt>
                <c:pt idx="1111">
                  <c:v>7.1</c:v>
                </c:pt>
                <c:pt idx="1112">
                  <c:v>7.7</c:v>
                </c:pt>
                <c:pt idx="1113">
                  <c:v>5.3</c:v>
                </c:pt>
                <c:pt idx="1114">
                  <c:v>2.5</c:v>
                </c:pt>
                <c:pt idx="1115">
                  <c:v>6.6</c:v>
                </c:pt>
                <c:pt idx="1116">
                  <c:v>9.1</c:v>
                </c:pt>
                <c:pt idx="1117">
                  <c:v>9.4</c:v>
                </c:pt>
                <c:pt idx="1118">
                  <c:v>7.7</c:v>
                </c:pt>
                <c:pt idx="1119">
                  <c:v>3.4</c:v>
                </c:pt>
                <c:pt idx="1120">
                  <c:v>8.8000000000000007</c:v>
                </c:pt>
                <c:pt idx="1121">
                  <c:v>9</c:v>
                </c:pt>
                <c:pt idx="1122">
                  <c:v>4.3</c:v>
                </c:pt>
                <c:pt idx="1123">
                  <c:v>2.6</c:v>
                </c:pt>
                <c:pt idx="1124">
                  <c:v>8.9</c:v>
                </c:pt>
                <c:pt idx="1125">
                  <c:v>9</c:v>
                </c:pt>
                <c:pt idx="1126">
                  <c:v>1.9</c:v>
                </c:pt>
                <c:pt idx="1127">
                  <c:v>9.6999999999999993</c:v>
                </c:pt>
                <c:pt idx="1128">
                  <c:v>5.8</c:v>
                </c:pt>
                <c:pt idx="1129">
                  <c:v>9.9</c:v>
                </c:pt>
                <c:pt idx="1130">
                  <c:v>5</c:v>
                </c:pt>
                <c:pt idx="1131">
                  <c:v>5.8</c:v>
                </c:pt>
                <c:pt idx="1132">
                  <c:v>3.4</c:v>
                </c:pt>
                <c:pt idx="1133">
                  <c:v>9.1</c:v>
                </c:pt>
                <c:pt idx="1134">
                  <c:v>5</c:v>
                </c:pt>
                <c:pt idx="1135">
                  <c:v>8.3000000000000007</c:v>
                </c:pt>
                <c:pt idx="1136">
                  <c:v>1.7</c:v>
                </c:pt>
                <c:pt idx="1137">
                  <c:v>8.1</c:v>
                </c:pt>
                <c:pt idx="1138">
                  <c:v>5.4</c:v>
                </c:pt>
                <c:pt idx="1139">
                  <c:v>1</c:v>
                </c:pt>
                <c:pt idx="1140">
                  <c:v>3</c:v>
                </c:pt>
                <c:pt idx="1141">
                  <c:v>2.7</c:v>
                </c:pt>
                <c:pt idx="1142">
                  <c:v>7.8</c:v>
                </c:pt>
                <c:pt idx="1143">
                  <c:v>5.3</c:v>
                </c:pt>
                <c:pt idx="1144">
                  <c:v>2.4</c:v>
                </c:pt>
                <c:pt idx="1145">
                  <c:v>3.3</c:v>
                </c:pt>
                <c:pt idx="1146">
                  <c:v>5.5</c:v>
                </c:pt>
                <c:pt idx="1147">
                  <c:v>1.2</c:v>
                </c:pt>
                <c:pt idx="1148">
                  <c:v>4.8</c:v>
                </c:pt>
                <c:pt idx="1149">
                  <c:v>7.1</c:v>
                </c:pt>
                <c:pt idx="1150">
                  <c:v>5.7</c:v>
                </c:pt>
                <c:pt idx="1151">
                  <c:v>6.4</c:v>
                </c:pt>
                <c:pt idx="1152">
                  <c:v>3.9</c:v>
                </c:pt>
                <c:pt idx="1153">
                  <c:v>2.6</c:v>
                </c:pt>
                <c:pt idx="1154">
                  <c:v>8.3000000000000007</c:v>
                </c:pt>
                <c:pt idx="1155">
                  <c:v>9.1999999999999993</c:v>
                </c:pt>
                <c:pt idx="1156">
                  <c:v>5.6</c:v>
                </c:pt>
                <c:pt idx="1157">
                  <c:v>3.7</c:v>
                </c:pt>
                <c:pt idx="1158">
                  <c:v>5.6</c:v>
                </c:pt>
                <c:pt idx="1159">
                  <c:v>8.9</c:v>
                </c:pt>
                <c:pt idx="1160">
                  <c:v>7.2</c:v>
                </c:pt>
                <c:pt idx="1161">
                  <c:v>8.6999999999999993</c:v>
                </c:pt>
                <c:pt idx="1162">
                  <c:v>4</c:v>
                </c:pt>
                <c:pt idx="1163">
                  <c:v>7.4</c:v>
                </c:pt>
                <c:pt idx="1164">
                  <c:v>6.9</c:v>
                </c:pt>
                <c:pt idx="1165">
                  <c:v>6.1</c:v>
                </c:pt>
                <c:pt idx="1166">
                  <c:v>5.8</c:v>
                </c:pt>
                <c:pt idx="1167">
                  <c:v>6</c:v>
                </c:pt>
                <c:pt idx="1168">
                  <c:v>8.6</c:v>
                </c:pt>
                <c:pt idx="1169">
                  <c:v>9.1999999999999993</c:v>
                </c:pt>
                <c:pt idx="1170">
                  <c:v>2</c:v>
                </c:pt>
                <c:pt idx="1171">
                  <c:v>6.1</c:v>
                </c:pt>
                <c:pt idx="1172">
                  <c:v>9.3000000000000007</c:v>
                </c:pt>
                <c:pt idx="1173">
                  <c:v>2.2000000000000002</c:v>
                </c:pt>
                <c:pt idx="1174">
                  <c:v>4.7</c:v>
                </c:pt>
                <c:pt idx="1175">
                  <c:v>1.8</c:v>
                </c:pt>
                <c:pt idx="1176">
                  <c:v>2</c:v>
                </c:pt>
                <c:pt idx="1177">
                  <c:v>9.1</c:v>
                </c:pt>
                <c:pt idx="1178">
                  <c:v>5</c:v>
                </c:pt>
                <c:pt idx="1179">
                  <c:v>7.2</c:v>
                </c:pt>
                <c:pt idx="1180">
                  <c:v>2.2999999999999998</c:v>
                </c:pt>
                <c:pt idx="1181">
                  <c:v>1.2</c:v>
                </c:pt>
                <c:pt idx="1182">
                  <c:v>9</c:v>
                </c:pt>
                <c:pt idx="1183">
                  <c:v>6.2</c:v>
                </c:pt>
                <c:pt idx="1184">
                  <c:v>1.2</c:v>
                </c:pt>
                <c:pt idx="1185">
                  <c:v>9.9</c:v>
                </c:pt>
                <c:pt idx="1186">
                  <c:v>5.4</c:v>
                </c:pt>
                <c:pt idx="1187">
                  <c:v>5.3</c:v>
                </c:pt>
                <c:pt idx="1188">
                  <c:v>6.6</c:v>
                </c:pt>
                <c:pt idx="1189">
                  <c:v>1.1000000000000001</c:v>
                </c:pt>
                <c:pt idx="1190">
                  <c:v>6.1</c:v>
                </c:pt>
                <c:pt idx="1191">
                  <c:v>6.7</c:v>
                </c:pt>
                <c:pt idx="1192">
                  <c:v>3.7</c:v>
                </c:pt>
                <c:pt idx="1193">
                  <c:v>7.5</c:v>
                </c:pt>
                <c:pt idx="1194">
                  <c:v>4.4000000000000004</c:v>
                </c:pt>
                <c:pt idx="1195">
                  <c:v>7.5</c:v>
                </c:pt>
                <c:pt idx="1196">
                  <c:v>2.2999999999999998</c:v>
                </c:pt>
                <c:pt idx="1197">
                  <c:v>9.1999999999999993</c:v>
                </c:pt>
                <c:pt idx="1198">
                  <c:v>8.9</c:v>
                </c:pt>
                <c:pt idx="1199">
                  <c:v>2.4</c:v>
                </c:pt>
                <c:pt idx="1200">
                  <c:v>9.4</c:v>
                </c:pt>
                <c:pt idx="1201">
                  <c:v>6</c:v>
                </c:pt>
                <c:pt idx="1202">
                  <c:v>7.3</c:v>
                </c:pt>
                <c:pt idx="1203">
                  <c:v>8.6</c:v>
                </c:pt>
                <c:pt idx="1204">
                  <c:v>1.8</c:v>
                </c:pt>
                <c:pt idx="1205">
                  <c:v>2.5</c:v>
                </c:pt>
                <c:pt idx="1206">
                  <c:v>3.6</c:v>
                </c:pt>
                <c:pt idx="1207">
                  <c:v>5.3</c:v>
                </c:pt>
                <c:pt idx="1208">
                  <c:v>4.0999999999999996</c:v>
                </c:pt>
                <c:pt idx="1209">
                  <c:v>5.6</c:v>
                </c:pt>
                <c:pt idx="1210">
                  <c:v>2.7</c:v>
                </c:pt>
                <c:pt idx="1211">
                  <c:v>7.1</c:v>
                </c:pt>
                <c:pt idx="1212">
                  <c:v>1.5</c:v>
                </c:pt>
                <c:pt idx="1213">
                  <c:v>4.3</c:v>
                </c:pt>
                <c:pt idx="1214">
                  <c:v>2.6</c:v>
                </c:pt>
                <c:pt idx="1215">
                  <c:v>7.6</c:v>
                </c:pt>
                <c:pt idx="1216">
                  <c:v>9</c:v>
                </c:pt>
                <c:pt idx="1217">
                  <c:v>1.7</c:v>
                </c:pt>
                <c:pt idx="1218">
                  <c:v>8.1</c:v>
                </c:pt>
                <c:pt idx="1219">
                  <c:v>9.1</c:v>
                </c:pt>
                <c:pt idx="1220">
                  <c:v>9.8000000000000007</c:v>
                </c:pt>
                <c:pt idx="1221">
                  <c:v>6.2</c:v>
                </c:pt>
                <c:pt idx="1222">
                  <c:v>3.9</c:v>
                </c:pt>
                <c:pt idx="1223">
                  <c:v>3.9</c:v>
                </c:pt>
                <c:pt idx="1224">
                  <c:v>4.4000000000000004</c:v>
                </c:pt>
                <c:pt idx="1225">
                  <c:v>6.5</c:v>
                </c:pt>
                <c:pt idx="1226">
                  <c:v>5.4</c:v>
                </c:pt>
                <c:pt idx="1227">
                  <c:v>6.9</c:v>
                </c:pt>
                <c:pt idx="1228">
                  <c:v>1.4</c:v>
                </c:pt>
                <c:pt idx="1229">
                  <c:v>2</c:v>
                </c:pt>
                <c:pt idx="1230">
                  <c:v>9.8000000000000007</c:v>
                </c:pt>
                <c:pt idx="1231">
                  <c:v>10</c:v>
                </c:pt>
                <c:pt idx="1232">
                  <c:v>7.7</c:v>
                </c:pt>
                <c:pt idx="1233">
                  <c:v>3.3</c:v>
                </c:pt>
                <c:pt idx="1234">
                  <c:v>9.6</c:v>
                </c:pt>
                <c:pt idx="1235">
                  <c:v>2.9</c:v>
                </c:pt>
                <c:pt idx="1236">
                  <c:v>7.6</c:v>
                </c:pt>
                <c:pt idx="1237">
                  <c:v>2</c:v>
                </c:pt>
                <c:pt idx="1238">
                  <c:v>6.8</c:v>
                </c:pt>
                <c:pt idx="1239">
                  <c:v>7.8</c:v>
                </c:pt>
                <c:pt idx="1240">
                  <c:v>8.6999999999999993</c:v>
                </c:pt>
                <c:pt idx="1241">
                  <c:v>7.6</c:v>
                </c:pt>
                <c:pt idx="1242">
                  <c:v>9.3000000000000007</c:v>
                </c:pt>
                <c:pt idx="1243">
                  <c:v>5.7</c:v>
                </c:pt>
                <c:pt idx="1244">
                  <c:v>7.1</c:v>
                </c:pt>
                <c:pt idx="1245">
                  <c:v>4.3</c:v>
                </c:pt>
                <c:pt idx="1246">
                  <c:v>1.1000000000000001</c:v>
                </c:pt>
                <c:pt idx="1247">
                  <c:v>7.8</c:v>
                </c:pt>
                <c:pt idx="1248">
                  <c:v>8.8000000000000007</c:v>
                </c:pt>
                <c:pt idx="1249">
                  <c:v>2.6</c:v>
                </c:pt>
                <c:pt idx="1250">
                  <c:v>1.3</c:v>
                </c:pt>
                <c:pt idx="1251">
                  <c:v>2.5</c:v>
                </c:pt>
                <c:pt idx="1252">
                  <c:v>9.1</c:v>
                </c:pt>
                <c:pt idx="1253">
                  <c:v>3.7</c:v>
                </c:pt>
                <c:pt idx="1254">
                  <c:v>3.1</c:v>
                </c:pt>
                <c:pt idx="1255">
                  <c:v>1.1000000000000001</c:v>
                </c:pt>
                <c:pt idx="1256">
                  <c:v>3.7</c:v>
                </c:pt>
                <c:pt idx="1257">
                  <c:v>7.4</c:v>
                </c:pt>
                <c:pt idx="1258">
                  <c:v>9.6</c:v>
                </c:pt>
                <c:pt idx="1259">
                  <c:v>3.8</c:v>
                </c:pt>
                <c:pt idx="1260">
                  <c:v>3.2</c:v>
                </c:pt>
                <c:pt idx="1261">
                  <c:v>9</c:v>
                </c:pt>
                <c:pt idx="1262">
                  <c:v>8.6999999999999993</c:v>
                </c:pt>
                <c:pt idx="1263">
                  <c:v>4</c:v>
                </c:pt>
                <c:pt idx="1264">
                  <c:v>1.6</c:v>
                </c:pt>
                <c:pt idx="1265">
                  <c:v>9.9</c:v>
                </c:pt>
                <c:pt idx="1266">
                  <c:v>7.1</c:v>
                </c:pt>
                <c:pt idx="1267">
                  <c:v>9.3000000000000007</c:v>
                </c:pt>
                <c:pt idx="1268">
                  <c:v>4.0999999999999996</c:v>
                </c:pt>
                <c:pt idx="1269">
                  <c:v>6.8</c:v>
                </c:pt>
                <c:pt idx="1270">
                  <c:v>7.1</c:v>
                </c:pt>
                <c:pt idx="1271">
                  <c:v>8.9</c:v>
                </c:pt>
                <c:pt idx="1272">
                  <c:v>9.9</c:v>
                </c:pt>
                <c:pt idx="1273">
                  <c:v>2</c:v>
                </c:pt>
                <c:pt idx="1274">
                  <c:v>6.7</c:v>
                </c:pt>
                <c:pt idx="1275">
                  <c:v>4</c:v>
                </c:pt>
                <c:pt idx="1276">
                  <c:v>8.3000000000000007</c:v>
                </c:pt>
                <c:pt idx="1277">
                  <c:v>7.8</c:v>
                </c:pt>
                <c:pt idx="1278">
                  <c:v>9</c:v>
                </c:pt>
                <c:pt idx="1279">
                  <c:v>4.0999999999999996</c:v>
                </c:pt>
                <c:pt idx="1280">
                  <c:v>2.7</c:v>
                </c:pt>
                <c:pt idx="1281">
                  <c:v>1.2</c:v>
                </c:pt>
                <c:pt idx="1282">
                  <c:v>3.3</c:v>
                </c:pt>
                <c:pt idx="1283">
                  <c:v>4.3</c:v>
                </c:pt>
                <c:pt idx="1284">
                  <c:v>9.5</c:v>
                </c:pt>
                <c:pt idx="1285">
                  <c:v>5.4</c:v>
                </c:pt>
                <c:pt idx="1286">
                  <c:v>6</c:v>
                </c:pt>
                <c:pt idx="1287">
                  <c:v>8.9</c:v>
                </c:pt>
                <c:pt idx="1288">
                  <c:v>9</c:v>
                </c:pt>
                <c:pt idx="1289">
                  <c:v>5.8</c:v>
                </c:pt>
                <c:pt idx="1290">
                  <c:v>2</c:v>
                </c:pt>
                <c:pt idx="1291">
                  <c:v>3.4</c:v>
                </c:pt>
                <c:pt idx="1292">
                  <c:v>5.0999999999999996</c:v>
                </c:pt>
                <c:pt idx="1293">
                  <c:v>7.8</c:v>
                </c:pt>
                <c:pt idx="1294">
                  <c:v>7.4</c:v>
                </c:pt>
                <c:pt idx="1295">
                  <c:v>6.8</c:v>
                </c:pt>
                <c:pt idx="1296">
                  <c:v>8.9</c:v>
                </c:pt>
                <c:pt idx="1297">
                  <c:v>8.1999999999999993</c:v>
                </c:pt>
                <c:pt idx="1298">
                  <c:v>9.8000000000000007</c:v>
                </c:pt>
                <c:pt idx="1299">
                  <c:v>9</c:v>
                </c:pt>
                <c:pt idx="1300">
                  <c:v>2.8</c:v>
                </c:pt>
                <c:pt idx="1301">
                  <c:v>1.5</c:v>
                </c:pt>
                <c:pt idx="1302">
                  <c:v>4.7</c:v>
                </c:pt>
                <c:pt idx="1303">
                  <c:v>6.6</c:v>
                </c:pt>
                <c:pt idx="1304">
                  <c:v>6.8</c:v>
                </c:pt>
                <c:pt idx="1305">
                  <c:v>3.4</c:v>
                </c:pt>
                <c:pt idx="1306">
                  <c:v>8.6999999999999993</c:v>
                </c:pt>
                <c:pt idx="1307">
                  <c:v>4</c:v>
                </c:pt>
                <c:pt idx="1308">
                  <c:v>9.3000000000000007</c:v>
                </c:pt>
                <c:pt idx="1309">
                  <c:v>5.2</c:v>
                </c:pt>
                <c:pt idx="1310">
                  <c:v>1.1000000000000001</c:v>
                </c:pt>
                <c:pt idx="1311">
                  <c:v>2.5</c:v>
                </c:pt>
                <c:pt idx="1312">
                  <c:v>1.9</c:v>
                </c:pt>
                <c:pt idx="1313">
                  <c:v>1.4</c:v>
                </c:pt>
                <c:pt idx="1314">
                  <c:v>7.4</c:v>
                </c:pt>
                <c:pt idx="1315">
                  <c:v>2.7</c:v>
                </c:pt>
                <c:pt idx="1316">
                  <c:v>8.5</c:v>
                </c:pt>
                <c:pt idx="1317">
                  <c:v>3.4</c:v>
                </c:pt>
                <c:pt idx="1318">
                  <c:v>1.3</c:v>
                </c:pt>
                <c:pt idx="1319">
                  <c:v>8.4</c:v>
                </c:pt>
                <c:pt idx="1320">
                  <c:v>5.2</c:v>
                </c:pt>
                <c:pt idx="1321">
                  <c:v>6.4</c:v>
                </c:pt>
                <c:pt idx="1322">
                  <c:v>4</c:v>
                </c:pt>
                <c:pt idx="1323">
                  <c:v>1.4</c:v>
                </c:pt>
                <c:pt idx="1324">
                  <c:v>4.3</c:v>
                </c:pt>
                <c:pt idx="1325">
                  <c:v>5.7</c:v>
                </c:pt>
                <c:pt idx="1326">
                  <c:v>1.1000000000000001</c:v>
                </c:pt>
                <c:pt idx="1327">
                  <c:v>6.2</c:v>
                </c:pt>
                <c:pt idx="1328">
                  <c:v>9</c:v>
                </c:pt>
                <c:pt idx="1329">
                  <c:v>3</c:v>
                </c:pt>
                <c:pt idx="1330">
                  <c:v>9.3000000000000007</c:v>
                </c:pt>
                <c:pt idx="1331">
                  <c:v>1.9</c:v>
                </c:pt>
                <c:pt idx="1332">
                  <c:v>8.4</c:v>
                </c:pt>
                <c:pt idx="1333">
                  <c:v>8.6</c:v>
                </c:pt>
                <c:pt idx="1334">
                  <c:v>3.3</c:v>
                </c:pt>
                <c:pt idx="1335">
                  <c:v>9.6</c:v>
                </c:pt>
                <c:pt idx="1336">
                  <c:v>4.7</c:v>
                </c:pt>
                <c:pt idx="1337">
                  <c:v>2.2999999999999998</c:v>
                </c:pt>
                <c:pt idx="1338">
                  <c:v>6.3</c:v>
                </c:pt>
                <c:pt idx="1339">
                  <c:v>10</c:v>
                </c:pt>
                <c:pt idx="1340">
                  <c:v>9.1</c:v>
                </c:pt>
                <c:pt idx="1341">
                  <c:v>3.5</c:v>
                </c:pt>
                <c:pt idx="1342">
                  <c:v>6.2</c:v>
                </c:pt>
                <c:pt idx="1343">
                  <c:v>2</c:v>
                </c:pt>
                <c:pt idx="1344">
                  <c:v>5.2</c:v>
                </c:pt>
                <c:pt idx="1345">
                  <c:v>5.7</c:v>
                </c:pt>
                <c:pt idx="1346">
                  <c:v>3.8</c:v>
                </c:pt>
                <c:pt idx="1347">
                  <c:v>5.4</c:v>
                </c:pt>
                <c:pt idx="1348">
                  <c:v>9.3000000000000007</c:v>
                </c:pt>
                <c:pt idx="1349">
                  <c:v>5.5</c:v>
                </c:pt>
                <c:pt idx="1350">
                  <c:v>8.5</c:v>
                </c:pt>
                <c:pt idx="1351">
                  <c:v>3.9</c:v>
                </c:pt>
                <c:pt idx="1352">
                  <c:v>9.6999999999999993</c:v>
                </c:pt>
                <c:pt idx="1353">
                  <c:v>1.8</c:v>
                </c:pt>
                <c:pt idx="1354">
                  <c:v>6.3</c:v>
                </c:pt>
                <c:pt idx="1355">
                  <c:v>8.1</c:v>
                </c:pt>
                <c:pt idx="1356">
                  <c:v>8.3000000000000007</c:v>
                </c:pt>
                <c:pt idx="1357">
                  <c:v>2.8</c:v>
                </c:pt>
                <c:pt idx="1358">
                  <c:v>4.5999999999999996</c:v>
                </c:pt>
                <c:pt idx="1359">
                  <c:v>6.6</c:v>
                </c:pt>
                <c:pt idx="1360">
                  <c:v>3.8</c:v>
                </c:pt>
                <c:pt idx="1361">
                  <c:v>6.9</c:v>
                </c:pt>
                <c:pt idx="1362">
                  <c:v>4.4000000000000004</c:v>
                </c:pt>
                <c:pt idx="1363">
                  <c:v>4.2</c:v>
                </c:pt>
                <c:pt idx="1364">
                  <c:v>2</c:v>
                </c:pt>
                <c:pt idx="1365">
                  <c:v>1.4</c:v>
                </c:pt>
                <c:pt idx="1366">
                  <c:v>8.5</c:v>
                </c:pt>
                <c:pt idx="1367">
                  <c:v>5.4</c:v>
                </c:pt>
                <c:pt idx="1368">
                  <c:v>6.1</c:v>
                </c:pt>
                <c:pt idx="1369">
                  <c:v>4.3</c:v>
                </c:pt>
                <c:pt idx="1370">
                  <c:v>2.2000000000000002</c:v>
                </c:pt>
                <c:pt idx="1371">
                  <c:v>5</c:v>
                </c:pt>
                <c:pt idx="1372">
                  <c:v>3.1</c:v>
                </c:pt>
                <c:pt idx="1373">
                  <c:v>8.5</c:v>
                </c:pt>
                <c:pt idx="1374">
                  <c:v>9.9</c:v>
                </c:pt>
                <c:pt idx="1375">
                  <c:v>9</c:v>
                </c:pt>
                <c:pt idx="1376">
                  <c:v>5.8</c:v>
                </c:pt>
                <c:pt idx="1377">
                  <c:v>6.7</c:v>
                </c:pt>
                <c:pt idx="1378">
                  <c:v>9.5</c:v>
                </c:pt>
                <c:pt idx="1379">
                  <c:v>5.8</c:v>
                </c:pt>
                <c:pt idx="1380">
                  <c:v>6.7</c:v>
                </c:pt>
                <c:pt idx="1381">
                  <c:v>6.7</c:v>
                </c:pt>
                <c:pt idx="1382">
                  <c:v>7.4</c:v>
                </c:pt>
                <c:pt idx="1383">
                  <c:v>6.8</c:v>
                </c:pt>
                <c:pt idx="1384">
                  <c:v>7</c:v>
                </c:pt>
                <c:pt idx="1385">
                  <c:v>7.5</c:v>
                </c:pt>
                <c:pt idx="1386">
                  <c:v>8.3000000000000007</c:v>
                </c:pt>
                <c:pt idx="1387">
                  <c:v>4.5999999999999996</c:v>
                </c:pt>
                <c:pt idx="1388">
                  <c:v>7.7</c:v>
                </c:pt>
                <c:pt idx="1389">
                  <c:v>1.9</c:v>
                </c:pt>
                <c:pt idx="1390">
                  <c:v>8.9</c:v>
                </c:pt>
                <c:pt idx="1391">
                  <c:v>3.6</c:v>
                </c:pt>
                <c:pt idx="1392">
                  <c:v>4.5999999999999996</c:v>
                </c:pt>
                <c:pt idx="1393">
                  <c:v>8.1999999999999993</c:v>
                </c:pt>
                <c:pt idx="1394">
                  <c:v>6.7</c:v>
                </c:pt>
                <c:pt idx="1395">
                  <c:v>3.8</c:v>
                </c:pt>
                <c:pt idx="1396">
                  <c:v>3</c:v>
                </c:pt>
                <c:pt idx="1397">
                  <c:v>9.6</c:v>
                </c:pt>
                <c:pt idx="1398">
                  <c:v>1.8</c:v>
                </c:pt>
                <c:pt idx="1399">
                  <c:v>1</c:v>
                </c:pt>
                <c:pt idx="1400">
                  <c:v>7.1</c:v>
                </c:pt>
                <c:pt idx="1401">
                  <c:v>6.5</c:v>
                </c:pt>
                <c:pt idx="1402">
                  <c:v>7.6</c:v>
                </c:pt>
                <c:pt idx="1403">
                  <c:v>7.6</c:v>
                </c:pt>
                <c:pt idx="1404">
                  <c:v>8.8000000000000007</c:v>
                </c:pt>
                <c:pt idx="1405">
                  <c:v>9.3000000000000007</c:v>
                </c:pt>
                <c:pt idx="1406">
                  <c:v>8</c:v>
                </c:pt>
                <c:pt idx="1407">
                  <c:v>3.1</c:v>
                </c:pt>
                <c:pt idx="1408">
                  <c:v>5.2</c:v>
                </c:pt>
                <c:pt idx="1409">
                  <c:v>6.8</c:v>
                </c:pt>
                <c:pt idx="1410">
                  <c:v>5.9</c:v>
                </c:pt>
                <c:pt idx="1411">
                  <c:v>2.4</c:v>
                </c:pt>
                <c:pt idx="1412">
                  <c:v>6.3</c:v>
                </c:pt>
                <c:pt idx="1413">
                  <c:v>9</c:v>
                </c:pt>
                <c:pt idx="1414">
                  <c:v>4.8</c:v>
                </c:pt>
                <c:pt idx="1415">
                  <c:v>7</c:v>
                </c:pt>
                <c:pt idx="1416">
                  <c:v>6.5</c:v>
                </c:pt>
                <c:pt idx="1417">
                  <c:v>4.4000000000000004</c:v>
                </c:pt>
                <c:pt idx="1418">
                  <c:v>6.1</c:v>
                </c:pt>
                <c:pt idx="1419">
                  <c:v>2.9</c:v>
                </c:pt>
                <c:pt idx="1420">
                  <c:v>5.9</c:v>
                </c:pt>
                <c:pt idx="1421">
                  <c:v>8.1999999999999993</c:v>
                </c:pt>
                <c:pt idx="1422">
                  <c:v>7.8</c:v>
                </c:pt>
                <c:pt idx="1423">
                  <c:v>4.2</c:v>
                </c:pt>
                <c:pt idx="1424">
                  <c:v>2</c:v>
                </c:pt>
                <c:pt idx="1425">
                  <c:v>8.1999999999999993</c:v>
                </c:pt>
                <c:pt idx="1426">
                  <c:v>3.4</c:v>
                </c:pt>
                <c:pt idx="1427">
                  <c:v>1.5</c:v>
                </c:pt>
                <c:pt idx="1428">
                  <c:v>5</c:v>
                </c:pt>
                <c:pt idx="1429">
                  <c:v>7.7</c:v>
                </c:pt>
                <c:pt idx="1430">
                  <c:v>8.3000000000000007</c:v>
                </c:pt>
                <c:pt idx="1431">
                  <c:v>9.8000000000000007</c:v>
                </c:pt>
                <c:pt idx="1432">
                  <c:v>2.7</c:v>
                </c:pt>
                <c:pt idx="1433">
                  <c:v>3.6</c:v>
                </c:pt>
                <c:pt idx="1434">
                  <c:v>6.5</c:v>
                </c:pt>
                <c:pt idx="1435">
                  <c:v>8.3000000000000007</c:v>
                </c:pt>
                <c:pt idx="1436">
                  <c:v>3.1</c:v>
                </c:pt>
                <c:pt idx="1437">
                  <c:v>4.7</c:v>
                </c:pt>
                <c:pt idx="1438">
                  <c:v>4.7</c:v>
                </c:pt>
                <c:pt idx="1439">
                  <c:v>8</c:v>
                </c:pt>
                <c:pt idx="1440">
                  <c:v>3.2</c:v>
                </c:pt>
                <c:pt idx="1441">
                  <c:v>9.6999999999999993</c:v>
                </c:pt>
                <c:pt idx="1442">
                  <c:v>5.6</c:v>
                </c:pt>
                <c:pt idx="1443">
                  <c:v>3.5</c:v>
                </c:pt>
                <c:pt idx="1444">
                  <c:v>3.6</c:v>
                </c:pt>
                <c:pt idx="1445">
                  <c:v>1.2</c:v>
                </c:pt>
                <c:pt idx="1446">
                  <c:v>7.2</c:v>
                </c:pt>
                <c:pt idx="1447">
                  <c:v>8</c:v>
                </c:pt>
                <c:pt idx="1448">
                  <c:v>1.3</c:v>
                </c:pt>
                <c:pt idx="1449">
                  <c:v>6.3</c:v>
                </c:pt>
                <c:pt idx="1450">
                  <c:v>8</c:v>
                </c:pt>
                <c:pt idx="1451">
                  <c:v>4.4000000000000004</c:v>
                </c:pt>
                <c:pt idx="1452">
                  <c:v>4.9000000000000004</c:v>
                </c:pt>
                <c:pt idx="1453">
                  <c:v>4.3</c:v>
                </c:pt>
                <c:pt idx="1454">
                  <c:v>3.8</c:v>
                </c:pt>
                <c:pt idx="1455">
                  <c:v>5.4</c:v>
                </c:pt>
                <c:pt idx="1456">
                  <c:v>2.5</c:v>
                </c:pt>
                <c:pt idx="1457">
                  <c:v>5</c:v>
                </c:pt>
                <c:pt idx="1458">
                  <c:v>9.5</c:v>
                </c:pt>
                <c:pt idx="1459">
                  <c:v>1.2</c:v>
                </c:pt>
                <c:pt idx="1460">
                  <c:v>2.5</c:v>
                </c:pt>
                <c:pt idx="1461">
                  <c:v>8</c:v>
                </c:pt>
                <c:pt idx="1462">
                  <c:v>2.2000000000000002</c:v>
                </c:pt>
                <c:pt idx="1463">
                  <c:v>3.4</c:v>
                </c:pt>
                <c:pt idx="1464">
                  <c:v>5.0999999999999996</c:v>
                </c:pt>
                <c:pt idx="1465">
                  <c:v>9.5</c:v>
                </c:pt>
                <c:pt idx="1466">
                  <c:v>2.7</c:v>
                </c:pt>
                <c:pt idx="1467">
                  <c:v>9.3000000000000007</c:v>
                </c:pt>
                <c:pt idx="1468">
                  <c:v>7.5</c:v>
                </c:pt>
                <c:pt idx="1469">
                  <c:v>7</c:v>
                </c:pt>
                <c:pt idx="1470">
                  <c:v>7.5</c:v>
                </c:pt>
                <c:pt idx="1471">
                  <c:v>1.3</c:v>
                </c:pt>
                <c:pt idx="1472">
                  <c:v>1.9</c:v>
                </c:pt>
                <c:pt idx="1473">
                  <c:v>4</c:v>
                </c:pt>
                <c:pt idx="1474">
                  <c:v>1.7</c:v>
                </c:pt>
                <c:pt idx="1475">
                  <c:v>9.9</c:v>
                </c:pt>
                <c:pt idx="1476">
                  <c:v>6.2</c:v>
                </c:pt>
                <c:pt idx="1477">
                  <c:v>5.4</c:v>
                </c:pt>
                <c:pt idx="1478">
                  <c:v>8.1</c:v>
                </c:pt>
                <c:pt idx="1479">
                  <c:v>9.8000000000000007</c:v>
                </c:pt>
                <c:pt idx="1480">
                  <c:v>9.6</c:v>
                </c:pt>
                <c:pt idx="1481">
                  <c:v>8.1</c:v>
                </c:pt>
                <c:pt idx="1482">
                  <c:v>4.4000000000000004</c:v>
                </c:pt>
                <c:pt idx="1483">
                  <c:v>1.6</c:v>
                </c:pt>
                <c:pt idx="1484">
                  <c:v>1.9</c:v>
                </c:pt>
                <c:pt idx="1485">
                  <c:v>1</c:v>
                </c:pt>
                <c:pt idx="1486">
                  <c:v>1</c:v>
                </c:pt>
                <c:pt idx="1487">
                  <c:v>9.4</c:v>
                </c:pt>
                <c:pt idx="1488">
                  <c:v>9.3000000000000007</c:v>
                </c:pt>
                <c:pt idx="1489">
                  <c:v>7</c:v>
                </c:pt>
                <c:pt idx="1490">
                  <c:v>7.5</c:v>
                </c:pt>
                <c:pt idx="1491">
                  <c:v>5.6</c:v>
                </c:pt>
                <c:pt idx="1492">
                  <c:v>3.1</c:v>
                </c:pt>
                <c:pt idx="1493">
                  <c:v>9.1999999999999993</c:v>
                </c:pt>
                <c:pt idx="1494">
                  <c:v>3.5</c:v>
                </c:pt>
                <c:pt idx="1495">
                  <c:v>7.7</c:v>
                </c:pt>
                <c:pt idx="1496">
                  <c:v>3.2</c:v>
                </c:pt>
                <c:pt idx="1497">
                  <c:v>8.8000000000000007</c:v>
                </c:pt>
                <c:pt idx="1498">
                  <c:v>6.9</c:v>
                </c:pt>
                <c:pt idx="1499">
                  <c:v>6.8</c:v>
                </c:pt>
                <c:pt idx="1500">
                  <c:v>1.9</c:v>
                </c:pt>
                <c:pt idx="1501">
                  <c:v>4.8</c:v>
                </c:pt>
                <c:pt idx="1502">
                  <c:v>5.7</c:v>
                </c:pt>
                <c:pt idx="1503">
                  <c:v>3.6</c:v>
                </c:pt>
                <c:pt idx="1504">
                  <c:v>8.9</c:v>
                </c:pt>
                <c:pt idx="1505">
                  <c:v>8.5</c:v>
                </c:pt>
                <c:pt idx="1506">
                  <c:v>5.4</c:v>
                </c:pt>
                <c:pt idx="1507">
                  <c:v>4.0999999999999996</c:v>
                </c:pt>
                <c:pt idx="1508">
                  <c:v>8.1999999999999993</c:v>
                </c:pt>
                <c:pt idx="1509">
                  <c:v>2.8</c:v>
                </c:pt>
                <c:pt idx="1510">
                  <c:v>1.6</c:v>
                </c:pt>
                <c:pt idx="1511">
                  <c:v>1.4</c:v>
                </c:pt>
                <c:pt idx="1512">
                  <c:v>1.3</c:v>
                </c:pt>
                <c:pt idx="1513">
                  <c:v>5.4</c:v>
                </c:pt>
                <c:pt idx="1514">
                  <c:v>3.3</c:v>
                </c:pt>
                <c:pt idx="1515">
                  <c:v>7.2</c:v>
                </c:pt>
                <c:pt idx="1516">
                  <c:v>6.9</c:v>
                </c:pt>
                <c:pt idx="1517">
                  <c:v>5.9</c:v>
                </c:pt>
                <c:pt idx="1518">
                  <c:v>4.2</c:v>
                </c:pt>
                <c:pt idx="1519">
                  <c:v>8.6999999999999993</c:v>
                </c:pt>
                <c:pt idx="1520">
                  <c:v>7.4</c:v>
                </c:pt>
                <c:pt idx="1521">
                  <c:v>3.4</c:v>
                </c:pt>
                <c:pt idx="1522">
                  <c:v>5.5</c:v>
                </c:pt>
                <c:pt idx="1523">
                  <c:v>2.4</c:v>
                </c:pt>
                <c:pt idx="1524">
                  <c:v>4</c:v>
                </c:pt>
                <c:pt idx="1525">
                  <c:v>10</c:v>
                </c:pt>
                <c:pt idx="1526">
                  <c:v>3</c:v>
                </c:pt>
                <c:pt idx="1527">
                  <c:v>7.3</c:v>
                </c:pt>
                <c:pt idx="1528">
                  <c:v>3.1</c:v>
                </c:pt>
                <c:pt idx="1529">
                  <c:v>9.4</c:v>
                </c:pt>
                <c:pt idx="1530">
                  <c:v>3.8</c:v>
                </c:pt>
                <c:pt idx="1531">
                  <c:v>4.0999999999999996</c:v>
                </c:pt>
                <c:pt idx="1532">
                  <c:v>6.3</c:v>
                </c:pt>
                <c:pt idx="1533">
                  <c:v>6.3</c:v>
                </c:pt>
                <c:pt idx="1534">
                  <c:v>6.2</c:v>
                </c:pt>
                <c:pt idx="1535">
                  <c:v>6.2</c:v>
                </c:pt>
                <c:pt idx="1536">
                  <c:v>3.8</c:v>
                </c:pt>
                <c:pt idx="1537">
                  <c:v>4.9000000000000004</c:v>
                </c:pt>
                <c:pt idx="1538">
                  <c:v>6.3</c:v>
                </c:pt>
                <c:pt idx="1539">
                  <c:v>7</c:v>
                </c:pt>
                <c:pt idx="1540">
                  <c:v>3.3</c:v>
                </c:pt>
                <c:pt idx="1541">
                  <c:v>7.3</c:v>
                </c:pt>
                <c:pt idx="1542">
                  <c:v>9.3000000000000007</c:v>
                </c:pt>
                <c:pt idx="1543">
                  <c:v>7.8</c:v>
                </c:pt>
                <c:pt idx="1544">
                  <c:v>1.8</c:v>
                </c:pt>
                <c:pt idx="1545">
                  <c:v>5.2</c:v>
                </c:pt>
                <c:pt idx="1546">
                  <c:v>4.9000000000000004</c:v>
                </c:pt>
                <c:pt idx="1547">
                  <c:v>4</c:v>
                </c:pt>
                <c:pt idx="1548">
                  <c:v>5.4</c:v>
                </c:pt>
                <c:pt idx="1549">
                  <c:v>5</c:v>
                </c:pt>
                <c:pt idx="1550">
                  <c:v>1.1000000000000001</c:v>
                </c:pt>
                <c:pt idx="1551">
                  <c:v>3.1</c:v>
                </c:pt>
                <c:pt idx="1552">
                  <c:v>2.9</c:v>
                </c:pt>
                <c:pt idx="1553">
                  <c:v>4.0999999999999996</c:v>
                </c:pt>
                <c:pt idx="1554">
                  <c:v>2.6</c:v>
                </c:pt>
                <c:pt idx="1555">
                  <c:v>1.6</c:v>
                </c:pt>
                <c:pt idx="1556">
                  <c:v>2.8</c:v>
                </c:pt>
                <c:pt idx="1557">
                  <c:v>8.6999999999999993</c:v>
                </c:pt>
                <c:pt idx="1558">
                  <c:v>8.1999999999999993</c:v>
                </c:pt>
                <c:pt idx="1559">
                  <c:v>5</c:v>
                </c:pt>
                <c:pt idx="1560">
                  <c:v>8.9</c:v>
                </c:pt>
                <c:pt idx="1561">
                  <c:v>3.1</c:v>
                </c:pt>
                <c:pt idx="1562">
                  <c:v>6.3</c:v>
                </c:pt>
                <c:pt idx="1563">
                  <c:v>2.2999999999999998</c:v>
                </c:pt>
                <c:pt idx="1564">
                  <c:v>8.5</c:v>
                </c:pt>
                <c:pt idx="1565">
                  <c:v>2.2000000000000002</c:v>
                </c:pt>
                <c:pt idx="1566">
                  <c:v>1.3</c:v>
                </c:pt>
                <c:pt idx="1567">
                  <c:v>3.5</c:v>
                </c:pt>
                <c:pt idx="1568">
                  <c:v>9.1</c:v>
                </c:pt>
                <c:pt idx="1569">
                  <c:v>2.2000000000000002</c:v>
                </c:pt>
                <c:pt idx="1570">
                  <c:v>4</c:v>
                </c:pt>
                <c:pt idx="1571">
                  <c:v>3.8</c:v>
                </c:pt>
                <c:pt idx="1572">
                  <c:v>8.1999999999999993</c:v>
                </c:pt>
                <c:pt idx="1573">
                  <c:v>4.8</c:v>
                </c:pt>
                <c:pt idx="1574">
                  <c:v>6.5</c:v>
                </c:pt>
                <c:pt idx="1575">
                  <c:v>4.5999999999999996</c:v>
                </c:pt>
                <c:pt idx="1576">
                  <c:v>6</c:v>
                </c:pt>
                <c:pt idx="1577">
                  <c:v>1.6</c:v>
                </c:pt>
                <c:pt idx="1578">
                  <c:v>4.4000000000000004</c:v>
                </c:pt>
                <c:pt idx="1579">
                  <c:v>8.6999999999999993</c:v>
                </c:pt>
                <c:pt idx="1580">
                  <c:v>7.2</c:v>
                </c:pt>
                <c:pt idx="1581">
                  <c:v>9.8000000000000007</c:v>
                </c:pt>
                <c:pt idx="1582">
                  <c:v>8.1</c:v>
                </c:pt>
                <c:pt idx="1583">
                  <c:v>5.0999999999999996</c:v>
                </c:pt>
                <c:pt idx="1584">
                  <c:v>7.1</c:v>
                </c:pt>
                <c:pt idx="1585">
                  <c:v>8</c:v>
                </c:pt>
                <c:pt idx="1586">
                  <c:v>3.4</c:v>
                </c:pt>
                <c:pt idx="1587">
                  <c:v>1.5</c:v>
                </c:pt>
                <c:pt idx="1588">
                  <c:v>4.7</c:v>
                </c:pt>
                <c:pt idx="1589">
                  <c:v>2.2999999999999998</c:v>
                </c:pt>
                <c:pt idx="1590">
                  <c:v>3.5</c:v>
                </c:pt>
                <c:pt idx="1591">
                  <c:v>9.5</c:v>
                </c:pt>
                <c:pt idx="1592">
                  <c:v>8.6</c:v>
                </c:pt>
                <c:pt idx="1593">
                  <c:v>6.3</c:v>
                </c:pt>
                <c:pt idx="1594">
                  <c:v>4.5999999999999996</c:v>
                </c:pt>
                <c:pt idx="1595">
                  <c:v>3.4</c:v>
                </c:pt>
                <c:pt idx="1596">
                  <c:v>6.1</c:v>
                </c:pt>
                <c:pt idx="1597">
                  <c:v>5.8</c:v>
                </c:pt>
                <c:pt idx="1598">
                  <c:v>8</c:v>
                </c:pt>
                <c:pt idx="1599">
                  <c:v>9.4</c:v>
                </c:pt>
                <c:pt idx="1600">
                  <c:v>4</c:v>
                </c:pt>
                <c:pt idx="1601">
                  <c:v>2.9</c:v>
                </c:pt>
                <c:pt idx="1602">
                  <c:v>4.5999999999999996</c:v>
                </c:pt>
                <c:pt idx="1603">
                  <c:v>4.9000000000000004</c:v>
                </c:pt>
                <c:pt idx="1604">
                  <c:v>1.4</c:v>
                </c:pt>
                <c:pt idx="1605">
                  <c:v>8.8000000000000007</c:v>
                </c:pt>
                <c:pt idx="1606">
                  <c:v>10</c:v>
                </c:pt>
                <c:pt idx="1607">
                  <c:v>9.3000000000000007</c:v>
                </c:pt>
                <c:pt idx="1608">
                  <c:v>8.6999999999999993</c:v>
                </c:pt>
                <c:pt idx="1609">
                  <c:v>9.9</c:v>
                </c:pt>
                <c:pt idx="1610">
                  <c:v>9.1999999999999993</c:v>
                </c:pt>
                <c:pt idx="1611">
                  <c:v>7.2</c:v>
                </c:pt>
                <c:pt idx="1612">
                  <c:v>2.5</c:v>
                </c:pt>
                <c:pt idx="1613">
                  <c:v>2.4</c:v>
                </c:pt>
                <c:pt idx="1614">
                  <c:v>1.4</c:v>
                </c:pt>
                <c:pt idx="1615">
                  <c:v>4.7</c:v>
                </c:pt>
                <c:pt idx="1616">
                  <c:v>8.3000000000000007</c:v>
                </c:pt>
                <c:pt idx="1617">
                  <c:v>5.4</c:v>
                </c:pt>
                <c:pt idx="1618">
                  <c:v>4.3</c:v>
                </c:pt>
                <c:pt idx="1619">
                  <c:v>2</c:v>
                </c:pt>
                <c:pt idx="1620">
                  <c:v>1.5</c:v>
                </c:pt>
                <c:pt idx="1621">
                  <c:v>4.5999999999999996</c:v>
                </c:pt>
                <c:pt idx="1622">
                  <c:v>1.9</c:v>
                </c:pt>
                <c:pt idx="1623">
                  <c:v>1.9</c:v>
                </c:pt>
                <c:pt idx="1624">
                  <c:v>4.5999999999999996</c:v>
                </c:pt>
                <c:pt idx="1625">
                  <c:v>5.5</c:v>
                </c:pt>
                <c:pt idx="1626">
                  <c:v>2.7</c:v>
                </c:pt>
                <c:pt idx="1627">
                  <c:v>7.2</c:v>
                </c:pt>
                <c:pt idx="1628">
                  <c:v>4.8</c:v>
                </c:pt>
                <c:pt idx="1629">
                  <c:v>1.8</c:v>
                </c:pt>
                <c:pt idx="1630">
                  <c:v>6.7</c:v>
                </c:pt>
                <c:pt idx="1631">
                  <c:v>4.2</c:v>
                </c:pt>
                <c:pt idx="1632">
                  <c:v>1.5</c:v>
                </c:pt>
                <c:pt idx="1633">
                  <c:v>9.5</c:v>
                </c:pt>
                <c:pt idx="1634">
                  <c:v>6.1</c:v>
                </c:pt>
                <c:pt idx="1635">
                  <c:v>5.3</c:v>
                </c:pt>
                <c:pt idx="1636">
                  <c:v>8.6999999999999993</c:v>
                </c:pt>
                <c:pt idx="1637">
                  <c:v>9.4</c:v>
                </c:pt>
                <c:pt idx="1638">
                  <c:v>3</c:v>
                </c:pt>
                <c:pt idx="1639">
                  <c:v>8.3000000000000007</c:v>
                </c:pt>
                <c:pt idx="1640">
                  <c:v>8.5</c:v>
                </c:pt>
                <c:pt idx="1641">
                  <c:v>1.5</c:v>
                </c:pt>
                <c:pt idx="1642">
                  <c:v>7.4</c:v>
                </c:pt>
                <c:pt idx="1643">
                  <c:v>1.6</c:v>
                </c:pt>
                <c:pt idx="1644">
                  <c:v>6.4</c:v>
                </c:pt>
                <c:pt idx="1645">
                  <c:v>7</c:v>
                </c:pt>
                <c:pt idx="1646">
                  <c:v>4.3</c:v>
                </c:pt>
                <c:pt idx="1647">
                  <c:v>8.9</c:v>
                </c:pt>
                <c:pt idx="1648">
                  <c:v>8.1999999999999993</c:v>
                </c:pt>
                <c:pt idx="1649">
                  <c:v>9.3000000000000007</c:v>
                </c:pt>
                <c:pt idx="1650">
                  <c:v>3.8</c:v>
                </c:pt>
                <c:pt idx="1651">
                  <c:v>1.2</c:v>
                </c:pt>
                <c:pt idx="1652">
                  <c:v>8.3000000000000007</c:v>
                </c:pt>
                <c:pt idx="1653">
                  <c:v>3</c:v>
                </c:pt>
                <c:pt idx="1654">
                  <c:v>5.2</c:v>
                </c:pt>
                <c:pt idx="1655">
                  <c:v>8.4</c:v>
                </c:pt>
                <c:pt idx="1656">
                  <c:v>2.9</c:v>
                </c:pt>
                <c:pt idx="1657">
                  <c:v>3.8</c:v>
                </c:pt>
                <c:pt idx="1658">
                  <c:v>5</c:v>
                </c:pt>
                <c:pt idx="1659">
                  <c:v>3.4</c:v>
                </c:pt>
                <c:pt idx="1660">
                  <c:v>5.2</c:v>
                </c:pt>
                <c:pt idx="1661">
                  <c:v>1.1000000000000001</c:v>
                </c:pt>
                <c:pt idx="1662">
                  <c:v>2.9</c:v>
                </c:pt>
                <c:pt idx="1663">
                  <c:v>8.5</c:v>
                </c:pt>
                <c:pt idx="1664">
                  <c:v>4.7</c:v>
                </c:pt>
                <c:pt idx="1665">
                  <c:v>6.7</c:v>
                </c:pt>
                <c:pt idx="1666">
                  <c:v>3.1</c:v>
                </c:pt>
                <c:pt idx="1667">
                  <c:v>6.8</c:v>
                </c:pt>
                <c:pt idx="1668">
                  <c:v>10</c:v>
                </c:pt>
                <c:pt idx="1669">
                  <c:v>6.4</c:v>
                </c:pt>
                <c:pt idx="1670">
                  <c:v>6.7</c:v>
                </c:pt>
                <c:pt idx="1671">
                  <c:v>2</c:v>
                </c:pt>
                <c:pt idx="1672">
                  <c:v>4.5999999999999996</c:v>
                </c:pt>
                <c:pt idx="1673">
                  <c:v>8.6999999999999993</c:v>
                </c:pt>
                <c:pt idx="1674">
                  <c:v>8.5</c:v>
                </c:pt>
                <c:pt idx="1675">
                  <c:v>5.7</c:v>
                </c:pt>
                <c:pt idx="1676">
                  <c:v>9.1</c:v>
                </c:pt>
                <c:pt idx="1677">
                  <c:v>2.2999999999999998</c:v>
                </c:pt>
                <c:pt idx="1678">
                  <c:v>6.9</c:v>
                </c:pt>
                <c:pt idx="1679">
                  <c:v>3.2</c:v>
                </c:pt>
                <c:pt idx="1680">
                  <c:v>6.8</c:v>
                </c:pt>
                <c:pt idx="1681">
                  <c:v>1.8</c:v>
                </c:pt>
                <c:pt idx="1682">
                  <c:v>9.5</c:v>
                </c:pt>
                <c:pt idx="1683">
                  <c:v>8.1</c:v>
                </c:pt>
                <c:pt idx="1684">
                  <c:v>2.8</c:v>
                </c:pt>
                <c:pt idx="1685">
                  <c:v>6.7</c:v>
                </c:pt>
                <c:pt idx="1686">
                  <c:v>7.8</c:v>
                </c:pt>
                <c:pt idx="1687">
                  <c:v>2.9</c:v>
                </c:pt>
                <c:pt idx="1688">
                  <c:v>1.8</c:v>
                </c:pt>
                <c:pt idx="1689">
                  <c:v>4.2</c:v>
                </c:pt>
                <c:pt idx="1690">
                  <c:v>2.2000000000000002</c:v>
                </c:pt>
                <c:pt idx="1691">
                  <c:v>6.1</c:v>
                </c:pt>
                <c:pt idx="1692">
                  <c:v>4.8</c:v>
                </c:pt>
                <c:pt idx="1693">
                  <c:v>5.2</c:v>
                </c:pt>
                <c:pt idx="1694">
                  <c:v>5.9</c:v>
                </c:pt>
                <c:pt idx="1695">
                  <c:v>9.8000000000000007</c:v>
                </c:pt>
                <c:pt idx="1696">
                  <c:v>8.1</c:v>
                </c:pt>
                <c:pt idx="1697">
                  <c:v>6.7</c:v>
                </c:pt>
                <c:pt idx="1698">
                  <c:v>4.3</c:v>
                </c:pt>
                <c:pt idx="1699">
                  <c:v>1.2</c:v>
                </c:pt>
                <c:pt idx="1700">
                  <c:v>2</c:v>
                </c:pt>
                <c:pt idx="1701">
                  <c:v>7.6</c:v>
                </c:pt>
                <c:pt idx="1702">
                  <c:v>4.3</c:v>
                </c:pt>
                <c:pt idx="1703">
                  <c:v>4</c:v>
                </c:pt>
                <c:pt idx="1704">
                  <c:v>9</c:v>
                </c:pt>
                <c:pt idx="1705">
                  <c:v>5.4</c:v>
                </c:pt>
                <c:pt idx="1706">
                  <c:v>9.1</c:v>
                </c:pt>
                <c:pt idx="1707">
                  <c:v>9</c:v>
                </c:pt>
                <c:pt idx="1708">
                  <c:v>1.7</c:v>
                </c:pt>
                <c:pt idx="1709">
                  <c:v>9.5</c:v>
                </c:pt>
                <c:pt idx="1710">
                  <c:v>1.7</c:v>
                </c:pt>
                <c:pt idx="1711">
                  <c:v>9.6999999999999993</c:v>
                </c:pt>
                <c:pt idx="1712">
                  <c:v>5.0999999999999996</c:v>
                </c:pt>
                <c:pt idx="1713">
                  <c:v>7.8</c:v>
                </c:pt>
                <c:pt idx="1714">
                  <c:v>7.4</c:v>
                </c:pt>
                <c:pt idx="1715">
                  <c:v>5.7</c:v>
                </c:pt>
                <c:pt idx="1716">
                  <c:v>6.6</c:v>
                </c:pt>
                <c:pt idx="1717">
                  <c:v>9.5</c:v>
                </c:pt>
                <c:pt idx="1718">
                  <c:v>9.3000000000000007</c:v>
                </c:pt>
                <c:pt idx="1719">
                  <c:v>6.9</c:v>
                </c:pt>
                <c:pt idx="1720">
                  <c:v>6.9</c:v>
                </c:pt>
                <c:pt idx="1721">
                  <c:v>3.2</c:v>
                </c:pt>
                <c:pt idx="1722">
                  <c:v>8.5</c:v>
                </c:pt>
                <c:pt idx="1723">
                  <c:v>6.7</c:v>
                </c:pt>
                <c:pt idx="1724">
                  <c:v>8.4</c:v>
                </c:pt>
                <c:pt idx="1725">
                  <c:v>6.9</c:v>
                </c:pt>
                <c:pt idx="1726">
                  <c:v>3.7</c:v>
                </c:pt>
                <c:pt idx="1727">
                  <c:v>2.7</c:v>
                </c:pt>
                <c:pt idx="1728">
                  <c:v>1.7</c:v>
                </c:pt>
                <c:pt idx="1729">
                  <c:v>6.3</c:v>
                </c:pt>
                <c:pt idx="1730">
                  <c:v>3.6</c:v>
                </c:pt>
                <c:pt idx="1731">
                  <c:v>6.7</c:v>
                </c:pt>
                <c:pt idx="1732">
                  <c:v>1.5</c:v>
                </c:pt>
                <c:pt idx="1733">
                  <c:v>4.4000000000000004</c:v>
                </c:pt>
                <c:pt idx="1734">
                  <c:v>3.3</c:v>
                </c:pt>
                <c:pt idx="1735">
                  <c:v>4.3</c:v>
                </c:pt>
                <c:pt idx="1736">
                  <c:v>1.5</c:v>
                </c:pt>
                <c:pt idx="1737">
                  <c:v>7.5</c:v>
                </c:pt>
                <c:pt idx="1738">
                  <c:v>2.1</c:v>
                </c:pt>
                <c:pt idx="1739">
                  <c:v>1.1000000000000001</c:v>
                </c:pt>
                <c:pt idx="1740">
                  <c:v>9.5</c:v>
                </c:pt>
                <c:pt idx="1741">
                  <c:v>2.7</c:v>
                </c:pt>
                <c:pt idx="1742">
                  <c:v>8.5</c:v>
                </c:pt>
                <c:pt idx="1743">
                  <c:v>9.6999999999999993</c:v>
                </c:pt>
                <c:pt idx="1744">
                  <c:v>5.8</c:v>
                </c:pt>
                <c:pt idx="1745">
                  <c:v>5.7</c:v>
                </c:pt>
                <c:pt idx="1746">
                  <c:v>4.3</c:v>
                </c:pt>
                <c:pt idx="1747">
                  <c:v>4.8</c:v>
                </c:pt>
                <c:pt idx="1748">
                  <c:v>5.3</c:v>
                </c:pt>
                <c:pt idx="1749">
                  <c:v>2.4</c:v>
                </c:pt>
                <c:pt idx="1750">
                  <c:v>4.3</c:v>
                </c:pt>
                <c:pt idx="1751">
                  <c:v>8.3000000000000007</c:v>
                </c:pt>
                <c:pt idx="1752">
                  <c:v>2.6</c:v>
                </c:pt>
                <c:pt idx="1753">
                  <c:v>7.6</c:v>
                </c:pt>
                <c:pt idx="1754">
                  <c:v>6.9</c:v>
                </c:pt>
                <c:pt idx="1755">
                  <c:v>1.5</c:v>
                </c:pt>
                <c:pt idx="1756">
                  <c:v>1.2</c:v>
                </c:pt>
                <c:pt idx="1757">
                  <c:v>4.2</c:v>
                </c:pt>
                <c:pt idx="1758">
                  <c:v>7.2</c:v>
                </c:pt>
                <c:pt idx="1759">
                  <c:v>4</c:v>
                </c:pt>
                <c:pt idx="1760">
                  <c:v>7</c:v>
                </c:pt>
                <c:pt idx="1761">
                  <c:v>7</c:v>
                </c:pt>
                <c:pt idx="1762">
                  <c:v>8.3000000000000007</c:v>
                </c:pt>
                <c:pt idx="1763">
                  <c:v>1.9</c:v>
                </c:pt>
                <c:pt idx="1764">
                  <c:v>6.2</c:v>
                </c:pt>
                <c:pt idx="1765">
                  <c:v>1.6</c:v>
                </c:pt>
                <c:pt idx="1766">
                  <c:v>2.6</c:v>
                </c:pt>
                <c:pt idx="1767">
                  <c:v>3.9</c:v>
                </c:pt>
                <c:pt idx="1768">
                  <c:v>7.4</c:v>
                </c:pt>
                <c:pt idx="1769">
                  <c:v>9.8000000000000007</c:v>
                </c:pt>
                <c:pt idx="1770">
                  <c:v>4.0999999999999996</c:v>
                </c:pt>
                <c:pt idx="1771">
                  <c:v>5.7</c:v>
                </c:pt>
                <c:pt idx="1772">
                  <c:v>3.3</c:v>
                </c:pt>
                <c:pt idx="1773">
                  <c:v>7.1</c:v>
                </c:pt>
                <c:pt idx="1774">
                  <c:v>4.3</c:v>
                </c:pt>
                <c:pt idx="1775">
                  <c:v>5.3</c:v>
                </c:pt>
                <c:pt idx="1776">
                  <c:v>6.1</c:v>
                </c:pt>
                <c:pt idx="1777">
                  <c:v>7.2</c:v>
                </c:pt>
                <c:pt idx="1778">
                  <c:v>1.5</c:v>
                </c:pt>
                <c:pt idx="1779">
                  <c:v>6</c:v>
                </c:pt>
                <c:pt idx="1780">
                  <c:v>4.9000000000000004</c:v>
                </c:pt>
                <c:pt idx="1781">
                  <c:v>2.2000000000000002</c:v>
                </c:pt>
                <c:pt idx="1782">
                  <c:v>2.9</c:v>
                </c:pt>
                <c:pt idx="1783">
                  <c:v>9</c:v>
                </c:pt>
                <c:pt idx="1784">
                  <c:v>8.8000000000000007</c:v>
                </c:pt>
                <c:pt idx="1785">
                  <c:v>1.3</c:v>
                </c:pt>
                <c:pt idx="1786">
                  <c:v>7.2</c:v>
                </c:pt>
                <c:pt idx="1787">
                  <c:v>6</c:v>
                </c:pt>
                <c:pt idx="1788">
                  <c:v>9.5</c:v>
                </c:pt>
                <c:pt idx="1789">
                  <c:v>9.1999999999999993</c:v>
                </c:pt>
                <c:pt idx="1790">
                  <c:v>6.2</c:v>
                </c:pt>
                <c:pt idx="1791">
                  <c:v>2.2999999999999998</c:v>
                </c:pt>
                <c:pt idx="1792">
                  <c:v>5.0999999999999996</c:v>
                </c:pt>
                <c:pt idx="1793">
                  <c:v>7.5</c:v>
                </c:pt>
                <c:pt idx="1794">
                  <c:v>9.6</c:v>
                </c:pt>
                <c:pt idx="1795">
                  <c:v>4.3</c:v>
                </c:pt>
                <c:pt idx="1796">
                  <c:v>8.1</c:v>
                </c:pt>
                <c:pt idx="1797">
                  <c:v>7.2</c:v>
                </c:pt>
                <c:pt idx="1798">
                  <c:v>1.7</c:v>
                </c:pt>
                <c:pt idx="1799">
                  <c:v>6</c:v>
                </c:pt>
                <c:pt idx="1800">
                  <c:v>2.7</c:v>
                </c:pt>
                <c:pt idx="1801">
                  <c:v>7.2</c:v>
                </c:pt>
                <c:pt idx="1802">
                  <c:v>6.5</c:v>
                </c:pt>
                <c:pt idx="1803">
                  <c:v>9.8000000000000007</c:v>
                </c:pt>
                <c:pt idx="1804">
                  <c:v>9.4</c:v>
                </c:pt>
                <c:pt idx="1805">
                  <c:v>1.1000000000000001</c:v>
                </c:pt>
                <c:pt idx="1806">
                  <c:v>1.7</c:v>
                </c:pt>
                <c:pt idx="1807">
                  <c:v>7.9</c:v>
                </c:pt>
                <c:pt idx="1808">
                  <c:v>7.2</c:v>
                </c:pt>
                <c:pt idx="1809">
                  <c:v>8.1999999999999993</c:v>
                </c:pt>
                <c:pt idx="1810">
                  <c:v>3.4</c:v>
                </c:pt>
                <c:pt idx="1811">
                  <c:v>8.6</c:v>
                </c:pt>
                <c:pt idx="1812">
                  <c:v>5</c:v>
                </c:pt>
                <c:pt idx="1813">
                  <c:v>3.4</c:v>
                </c:pt>
                <c:pt idx="1814">
                  <c:v>1.1000000000000001</c:v>
                </c:pt>
                <c:pt idx="1815">
                  <c:v>8.8000000000000007</c:v>
                </c:pt>
                <c:pt idx="1816">
                  <c:v>5.8</c:v>
                </c:pt>
                <c:pt idx="1817">
                  <c:v>9.8000000000000007</c:v>
                </c:pt>
                <c:pt idx="1818">
                  <c:v>7.4</c:v>
                </c:pt>
                <c:pt idx="1819">
                  <c:v>1.7</c:v>
                </c:pt>
                <c:pt idx="1820">
                  <c:v>6.3</c:v>
                </c:pt>
                <c:pt idx="1821">
                  <c:v>1.2</c:v>
                </c:pt>
                <c:pt idx="1822">
                  <c:v>6</c:v>
                </c:pt>
                <c:pt idx="1823">
                  <c:v>4.2</c:v>
                </c:pt>
                <c:pt idx="1824">
                  <c:v>6.8</c:v>
                </c:pt>
                <c:pt idx="1825">
                  <c:v>5.9</c:v>
                </c:pt>
                <c:pt idx="1826">
                  <c:v>3.4</c:v>
                </c:pt>
                <c:pt idx="1827">
                  <c:v>2.5</c:v>
                </c:pt>
                <c:pt idx="1828">
                  <c:v>4.5999999999999996</c:v>
                </c:pt>
                <c:pt idx="1829">
                  <c:v>9.9</c:v>
                </c:pt>
                <c:pt idx="1830">
                  <c:v>4.9000000000000004</c:v>
                </c:pt>
                <c:pt idx="1831">
                  <c:v>7.7</c:v>
                </c:pt>
                <c:pt idx="1832">
                  <c:v>1.5</c:v>
                </c:pt>
                <c:pt idx="1833">
                  <c:v>4.4000000000000004</c:v>
                </c:pt>
                <c:pt idx="1834">
                  <c:v>6.2</c:v>
                </c:pt>
                <c:pt idx="1835">
                  <c:v>7.8</c:v>
                </c:pt>
                <c:pt idx="1836">
                  <c:v>5.8</c:v>
                </c:pt>
                <c:pt idx="1837">
                  <c:v>5.6</c:v>
                </c:pt>
                <c:pt idx="1838">
                  <c:v>7.9</c:v>
                </c:pt>
                <c:pt idx="1839">
                  <c:v>3.8</c:v>
                </c:pt>
                <c:pt idx="1840">
                  <c:v>1.8</c:v>
                </c:pt>
                <c:pt idx="1841">
                  <c:v>4.0999999999999996</c:v>
                </c:pt>
                <c:pt idx="1842">
                  <c:v>2.4</c:v>
                </c:pt>
                <c:pt idx="1843">
                  <c:v>9.6999999999999993</c:v>
                </c:pt>
                <c:pt idx="1844">
                  <c:v>6.2</c:v>
                </c:pt>
                <c:pt idx="1845">
                  <c:v>5</c:v>
                </c:pt>
                <c:pt idx="1846">
                  <c:v>9.1999999999999993</c:v>
                </c:pt>
                <c:pt idx="1847">
                  <c:v>9.1</c:v>
                </c:pt>
                <c:pt idx="1848">
                  <c:v>4.7</c:v>
                </c:pt>
                <c:pt idx="1849">
                  <c:v>8.9</c:v>
                </c:pt>
                <c:pt idx="1850">
                  <c:v>1.6</c:v>
                </c:pt>
                <c:pt idx="1851">
                  <c:v>9</c:v>
                </c:pt>
                <c:pt idx="1852">
                  <c:v>3.8</c:v>
                </c:pt>
                <c:pt idx="1853">
                  <c:v>6.1</c:v>
                </c:pt>
                <c:pt idx="1854">
                  <c:v>3.4</c:v>
                </c:pt>
                <c:pt idx="1855">
                  <c:v>9.9</c:v>
                </c:pt>
                <c:pt idx="1856">
                  <c:v>1.6</c:v>
                </c:pt>
                <c:pt idx="1857">
                  <c:v>5</c:v>
                </c:pt>
                <c:pt idx="1858">
                  <c:v>6.6</c:v>
                </c:pt>
                <c:pt idx="1859">
                  <c:v>6.5</c:v>
                </c:pt>
                <c:pt idx="1860">
                  <c:v>7.6</c:v>
                </c:pt>
                <c:pt idx="1861">
                  <c:v>7.5</c:v>
                </c:pt>
                <c:pt idx="1862">
                  <c:v>8.1</c:v>
                </c:pt>
                <c:pt idx="1863">
                  <c:v>3.1</c:v>
                </c:pt>
                <c:pt idx="1864">
                  <c:v>4.3</c:v>
                </c:pt>
                <c:pt idx="1865">
                  <c:v>4.4000000000000004</c:v>
                </c:pt>
                <c:pt idx="1866">
                  <c:v>9.6</c:v>
                </c:pt>
                <c:pt idx="1867">
                  <c:v>4.7</c:v>
                </c:pt>
                <c:pt idx="1868">
                  <c:v>3</c:v>
                </c:pt>
                <c:pt idx="1869">
                  <c:v>6.7</c:v>
                </c:pt>
                <c:pt idx="1870">
                  <c:v>4.8</c:v>
                </c:pt>
                <c:pt idx="1871">
                  <c:v>3.3</c:v>
                </c:pt>
                <c:pt idx="1872">
                  <c:v>7.4</c:v>
                </c:pt>
                <c:pt idx="1873">
                  <c:v>2.7</c:v>
                </c:pt>
                <c:pt idx="1874">
                  <c:v>6.7</c:v>
                </c:pt>
                <c:pt idx="1875">
                  <c:v>4.9000000000000004</c:v>
                </c:pt>
                <c:pt idx="1876">
                  <c:v>3.9</c:v>
                </c:pt>
                <c:pt idx="1877">
                  <c:v>9.5</c:v>
                </c:pt>
                <c:pt idx="1878">
                  <c:v>3.9</c:v>
                </c:pt>
                <c:pt idx="1879">
                  <c:v>4.0999999999999996</c:v>
                </c:pt>
                <c:pt idx="1880">
                  <c:v>8.8000000000000007</c:v>
                </c:pt>
                <c:pt idx="1881">
                  <c:v>2.2000000000000002</c:v>
                </c:pt>
                <c:pt idx="1882">
                  <c:v>2</c:v>
                </c:pt>
                <c:pt idx="1883">
                  <c:v>3.5</c:v>
                </c:pt>
                <c:pt idx="1884">
                  <c:v>6.3</c:v>
                </c:pt>
                <c:pt idx="1885">
                  <c:v>4.5</c:v>
                </c:pt>
                <c:pt idx="1886">
                  <c:v>6.5</c:v>
                </c:pt>
                <c:pt idx="1887">
                  <c:v>2.4</c:v>
                </c:pt>
                <c:pt idx="1888">
                  <c:v>3.4</c:v>
                </c:pt>
                <c:pt idx="1889">
                  <c:v>6.1</c:v>
                </c:pt>
                <c:pt idx="1890">
                  <c:v>3</c:v>
                </c:pt>
                <c:pt idx="1891">
                  <c:v>4.8</c:v>
                </c:pt>
                <c:pt idx="1892">
                  <c:v>6.2</c:v>
                </c:pt>
                <c:pt idx="1893">
                  <c:v>9.8000000000000007</c:v>
                </c:pt>
                <c:pt idx="1894">
                  <c:v>1.7</c:v>
                </c:pt>
                <c:pt idx="1895">
                  <c:v>5.0999999999999996</c:v>
                </c:pt>
                <c:pt idx="1896">
                  <c:v>4.5999999999999996</c:v>
                </c:pt>
                <c:pt idx="1897">
                  <c:v>8.4</c:v>
                </c:pt>
                <c:pt idx="1898">
                  <c:v>9.1</c:v>
                </c:pt>
                <c:pt idx="1899">
                  <c:v>9.1999999999999993</c:v>
                </c:pt>
                <c:pt idx="1900">
                  <c:v>4.4000000000000004</c:v>
                </c:pt>
                <c:pt idx="1901">
                  <c:v>3.7</c:v>
                </c:pt>
                <c:pt idx="1902">
                  <c:v>5</c:v>
                </c:pt>
                <c:pt idx="1903">
                  <c:v>4.0999999999999996</c:v>
                </c:pt>
                <c:pt idx="1904">
                  <c:v>7.5</c:v>
                </c:pt>
                <c:pt idx="1905">
                  <c:v>2.9</c:v>
                </c:pt>
                <c:pt idx="1906">
                  <c:v>6.9</c:v>
                </c:pt>
                <c:pt idx="1907">
                  <c:v>9.3000000000000007</c:v>
                </c:pt>
                <c:pt idx="1908">
                  <c:v>3.5</c:v>
                </c:pt>
                <c:pt idx="1909">
                  <c:v>7.1</c:v>
                </c:pt>
                <c:pt idx="1910">
                  <c:v>2.2999999999999998</c:v>
                </c:pt>
                <c:pt idx="1911">
                  <c:v>2.1</c:v>
                </c:pt>
                <c:pt idx="1912">
                  <c:v>2</c:v>
                </c:pt>
                <c:pt idx="1913">
                  <c:v>2.2000000000000002</c:v>
                </c:pt>
                <c:pt idx="1914">
                  <c:v>2.9</c:v>
                </c:pt>
                <c:pt idx="1915">
                  <c:v>6.1</c:v>
                </c:pt>
                <c:pt idx="1916">
                  <c:v>7.9</c:v>
                </c:pt>
                <c:pt idx="1917">
                  <c:v>2.1</c:v>
                </c:pt>
                <c:pt idx="1918">
                  <c:v>8.8000000000000007</c:v>
                </c:pt>
                <c:pt idx="1919">
                  <c:v>8.6</c:v>
                </c:pt>
                <c:pt idx="1920">
                  <c:v>7.5</c:v>
                </c:pt>
                <c:pt idx="1921">
                  <c:v>4.8</c:v>
                </c:pt>
                <c:pt idx="1922">
                  <c:v>1</c:v>
                </c:pt>
                <c:pt idx="1923">
                  <c:v>7.6</c:v>
                </c:pt>
                <c:pt idx="1924">
                  <c:v>8.9</c:v>
                </c:pt>
                <c:pt idx="1925">
                  <c:v>4</c:v>
                </c:pt>
                <c:pt idx="1926">
                  <c:v>7.5</c:v>
                </c:pt>
                <c:pt idx="1927">
                  <c:v>1.6</c:v>
                </c:pt>
                <c:pt idx="1928">
                  <c:v>7.4</c:v>
                </c:pt>
                <c:pt idx="1929">
                  <c:v>1.6</c:v>
                </c:pt>
                <c:pt idx="1930">
                  <c:v>6.3</c:v>
                </c:pt>
                <c:pt idx="1931">
                  <c:v>6.4</c:v>
                </c:pt>
                <c:pt idx="1932">
                  <c:v>3.7</c:v>
                </c:pt>
                <c:pt idx="1933">
                  <c:v>1.7</c:v>
                </c:pt>
                <c:pt idx="1934">
                  <c:v>9.5</c:v>
                </c:pt>
                <c:pt idx="1935">
                  <c:v>5.8</c:v>
                </c:pt>
                <c:pt idx="1936">
                  <c:v>6.2</c:v>
                </c:pt>
                <c:pt idx="1937">
                  <c:v>6.5</c:v>
                </c:pt>
                <c:pt idx="1938">
                  <c:v>9</c:v>
                </c:pt>
                <c:pt idx="1939">
                  <c:v>1.5</c:v>
                </c:pt>
                <c:pt idx="1940">
                  <c:v>9</c:v>
                </c:pt>
                <c:pt idx="1941">
                  <c:v>3.2</c:v>
                </c:pt>
                <c:pt idx="1942">
                  <c:v>1.7</c:v>
                </c:pt>
                <c:pt idx="1943">
                  <c:v>6.9</c:v>
                </c:pt>
                <c:pt idx="1944">
                  <c:v>9.8000000000000007</c:v>
                </c:pt>
                <c:pt idx="1945">
                  <c:v>1.5</c:v>
                </c:pt>
                <c:pt idx="1946">
                  <c:v>4.8</c:v>
                </c:pt>
                <c:pt idx="1947">
                  <c:v>5.8</c:v>
                </c:pt>
                <c:pt idx="1948">
                  <c:v>3.3</c:v>
                </c:pt>
                <c:pt idx="1949">
                  <c:v>9.8000000000000007</c:v>
                </c:pt>
                <c:pt idx="1950">
                  <c:v>6.8</c:v>
                </c:pt>
                <c:pt idx="1951">
                  <c:v>8.6</c:v>
                </c:pt>
                <c:pt idx="1952">
                  <c:v>4.7</c:v>
                </c:pt>
                <c:pt idx="1953">
                  <c:v>4.2</c:v>
                </c:pt>
                <c:pt idx="1954">
                  <c:v>6</c:v>
                </c:pt>
                <c:pt idx="1955">
                  <c:v>4.9000000000000004</c:v>
                </c:pt>
                <c:pt idx="1956">
                  <c:v>7.4</c:v>
                </c:pt>
                <c:pt idx="1957">
                  <c:v>3.4</c:v>
                </c:pt>
                <c:pt idx="1958">
                  <c:v>5</c:v>
                </c:pt>
                <c:pt idx="1959">
                  <c:v>9.1</c:v>
                </c:pt>
                <c:pt idx="1960">
                  <c:v>7.8</c:v>
                </c:pt>
                <c:pt idx="1961">
                  <c:v>2.5</c:v>
                </c:pt>
                <c:pt idx="1962">
                  <c:v>9</c:v>
                </c:pt>
                <c:pt idx="1963">
                  <c:v>6.3</c:v>
                </c:pt>
                <c:pt idx="1964">
                  <c:v>7.1</c:v>
                </c:pt>
                <c:pt idx="1965">
                  <c:v>3.6</c:v>
                </c:pt>
                <c:pt idx="1966">
                  <c:v>5</c:v>
                </c:pt>
                <c:pt idx="1967">
                  <c:v>8.3000000000000007</c:v>
                </c:pt>
                <c:pt idx="1968">
                  <c:v>4</c:v>
                </c:pt>
                <c:pt idx="1969">
                  <c:v>2.5</c:v>
                </c:pt>
                <c:pt idx="1970">
                  <c:v>4.4000000000000004</c:v>
                </c:pt>
                <c:pt idx="1971">
                  <c:v>1.6</c:v>
                </c:pt>
                <c:pt idx="1972">
                  <c:v>7.5</c:v>
                </c:pt>
                <c:pt idx="1973">
                  <c:v>2.2999999999999998</c:v>
                </c:pt>
                <c:pt idx="1974">
                  <c:v>3.6</c:v>
                </c:pt>
                <c:pt idx="1975">
                  <c:v>8.9</c:v>
                </c:pt>
                <c:pt idx="1976">
                  <c:v>5.9</c:v>
                </c:pt>
                <c:pt idx="1977">
                  <c:v>3.9</c:v>
                </c:pt>
                <c:pt idx="1978">
                  <c:v>5.9</c:v>
                </c:pt>
                <c:pt idx="1979">
                  <c:v>3</c:v>
                </c:pt>
                <c:pt idx="1980">
                  <c:v>1.2</c:v>
                </c:pt>
                <c:pt idx="1981">
                  <c:v>6.4</c:v>
                </c:pt>
                <c:pt idx="1982">
                  <c:v>7.4</c:v>
                </c:pt>
                <c:pt idx="1983">
                  <c:v>8.9</c:v>
                </c:pt>
                <c:pt idx="1984">
                  <c:v>7.9</c:v>
                </c:pt>
                <c:pt idx="1985">
                  <c:v>9.3000000000000007</c:v>
                </c:pt>
                <c:pt idx="1986">
                  <c:v>9.9</c:v>
                </c:pt>
                <c:pt idx="1987">
                  <c:v>7.7</c:v>
                </c:pt>
                <c:pt idx="1988">
                  <c:v>8.8000000000000007</c:v>
                </c:pt>
                <c:pt idx="1989">
                  <c:v>7.1</c:v>
                </c:pt>
                <c:pt idx="1990">
                  <c:v>2.5</c:v>
                </c:pt>
                <c:pt idx="1991">
                  <c:v>2.6</c:v>
                </c:pt>
                <c:pt idx="1992">
                  <c:v>2</c:v>
                </c:pt>
                <c:pt idx="1993">
                  <c:v>9.5</c:v>
                </c:pt>
                <c:pt idx="1994">
                  <c:v>7.1</c:v>
                </c:pt>
                <c:pt idx="1995">
                  <c:v>8.1</c:v>
                </c:pt>
                <c:pt idx="1996">
                  <c:v>4</c:v>
                </c:pt>
                <c:pt idx="1997">
                  <c:v>5.0999999999999996</c:v>
                </c:pt>
                <c:pt idx="1998">
                  <c:v>1.4</c:v>
                </c:pt>
                <c:pt idx="1999">
                  <c:v>9</c:v>
                </c:pt>
                <c:pt idx="2000">
                  <c:v>8.6999999999999993</c:v>
                </c:pt>
                <c:pt idx="2001">
                  <c:v>8.1</c:v>
                </c:pt>
                <c:pt idx="2002">
                  <c:v>1.5</c:v>
                </c:pt>
                <c:pt idx="2003">
                  <c:v>2.6</c:v>
                </c:pt>
                <c:pt idx="2004">
                  <c:v>4</c:v>
                </c:pt>
                <c:pt idx="2005">
                  <c:v>3.4</c:v>
                </c:pt>
                <c:pt idx="2006">
                  <c:v>8.5</c:v>
                </c:pt>
                <c:pt idx="2007">
                  <c:v>2.8</c:v>
                </c:pt>
                <c:pt idx="2008">
                  <c:v>5.8</c:v>
                </c:pt>
                <c:pt idx="2009">
                  <c:v>6.1</c:v>
                </c:pt>
                <c:pt idx="2010">
                  <c:v>4.8</c:v>
                </c:pt>
                <c:pt idx="2011">
                  <c:v>3.2</c:v>
                </c:pt>
                <c:pt idx="2012">
                  <c:v>9.6</c:v>
                </c:pt>
                <c:pt idx="2013">
                  <c:v>4.7</c:v>
                </c:pt>
                <c:pt idx="2014">
                  <c:v>7.5</c:v>
                </c:pt>
                <c:pt idx="2015">
                  <c:v>2.7</c:v>
                </c:pt>
                <c:pt idx="2016">
                  <c:v>8.4</c:v>
                </c:pt>
                <c:pt idx="2017">
                  <c:v>2.9</c:v>
                </c:pt>
                <c:pt idx="2018">
                  <c:v>7.1</c:v>
                </c:pt>
                <c:pt idx="2019">
                  <c:v>5.6</c:v>
                </c:pt>
                <c:pt idx="2020">
                  <c:v>2.2999999999999998</c:v>
                </c:pt>
                <c:pt idx="2021">
                  <c:v>1.2</c:v>
                </c:pt>
                <c:pt idx="2022">
                  <c:v>9.4</c:v>
                </c:pt>
                <c:pt idx="2023">
                  <c:v>2.1</c:v>
                </c:pt>
                <c:pt idx="2024">
                  <c:v>7.3</c:v>
                </c:pt>
                <c:pt idx="2025">
                  <c:v>6.9</c:v>
                </c:pt>
                <c:pt idx="2026">
                  <c:v>4.0999999999999996</c:v>
                </c:pt>
                <c:pt idx="2027">
                  <c:v>2.7</c:v>
                </c:pt>
                <c:pt idx="2028">
                  <c:v>2.6</c:v>
                </c:pt>
                <c:pt idx="2029">
                  <c:v>6.3</c:v>
                </c:pt>
                <c:pt idx="2030">
                  <c:v>5.9</c:v>
                </c:pt>
                <c:pt idx="2031">
                  <c:v>8.9</c:v>
                </c:pt>
                <c:pt idx="2032">
                  <c:v>6.8</c:v>
                </c:pt>
                <c:pt idx="2033">
                  <c:v>8.4</c:v>
                </c:pt>
                <c:pt idx="2034">
                  <c:v>1.3</c:v>
                </c:pt>
                <c:pt idx="2035">
                  <c:v>7</c:v>
                </c:pt>
                <c:pt idx="2036">
                  <c:v>3.1</c:v>
                </c:pt>
                <c:pt idx="2037">
                  <c:v>3.3</c:v>
                </c:pt>
                <c:pt idx="2038">
                  <c:v>7.5</c:v>
                </c:pt>
                <c:pt idx="2039">
                  <c:v>8.1</c:v>
                </c:pt>
                <c:pt idx="2040">
                  <c:v>4.3</c:v>
                </c:pt>
                <c:pt idx="2041">
                  <c:v>8.1</c:v>
                </c:pt>
                <c:pt idx="2042">
                  <c:v>5</c:v>
                </c:pt>
                <c:pt idx="2043">
                  <c:v>8.6999999999999993</c:v>
                </c:pt>
                <c:pt idx="2044">
                  <c:v>1.2</c:v>
                </c:pt>
                <c:pt idx="2045">
                  <c:v>1.8</c:v>
                </c:pt>
                <c:pt idx="2046">
                  <c:v>8</c:v>
                </c:pt>
                <c:pt idx="2047">
                  <c:v>6.6</c:v>
                </c:pt>
                <c:pt idx="2048">
                  <c:v>6</c:v>
                </c:pt>
                <c:pt idx="2049">
                  <c:v>6.5</c:v>
                </c:pt>
                <c:pt idx="2050">
                  <c:v>9.4</c:v>
                </c:pt>
                <c:pt idx="2051">
                  <c:v>6.9</c:v>
                </c:pt>
                <c:pt idx="2052">
                  <c:v>6.8</c:v>
                </c:pt>
                <c:pt idx="2053">
                  <c:v>7.8</c:v>
                </c:pt>
                <c:pt idx="2054">
                  <c:v>8.8000000000000007</c:v>
                </c:pt>
                <c:pt idx="2055">
                  <c:v>3.4</c:v>
                </c:pt>
                <c:pt idx="2056">
                  <c:v>6.6</c:v>
                </c:pt>
                <c:pt idx="2057">
                  <c:v>6.3</c:v>
                </c:pt>
                <c:pt idx="2058">
                  <c:v>2.2000000000000002</c:v>
                </c:pt>
                <c:pt idx="2059">
                  <c:v>5.7</c:v>
                </c:pt>
                <c:pt idx="2060">
                  <c:v>1.6</c:v>
                </c:pt>
                <c:pt idx="2061">
                  <c:v>2.7</c:v>
                </c:pt>
                <c:pt idx="2062">
                  <c:v>9.1999999999999993</c:v>
                </c:pt>
                <c:pt idx="2063">
                  <c:v>2.1</c:v>
                </c:pt>
                <c:pt idx="2064">
                  <c:v>6.2</c:v>
                </c:pt>
                <c:pt idx="2065">
                  <c:v>3.9</c:v>
                </c:pt>
                <c:pt idx="2066">
                  <c:v>6</c:v>
                </c:pt>
                <c:pt idx="2067">
                  <c:v>3.1</c:v>
                </c:pt>
                <c:pt idx="2068">
                  <c:v>5</c:v>
                </c:pt>
                <c:pt idx="2069">
                  <c:v>8.8000000000000007</c:v>
                </c:pt>
                <c:pt idx="2070">
                  <c:v>4.4000000000000004</c:v>
                </c:pt>
                <c:pt idx="2071">
                  <c:v>4.2</c:v>
                </c:pt>
                <c:pt idx="2072">
                  <c:v>5</c:v>
                </c:pt>
                <c:pt idx="2073">
                  <c:v>1.9</c:v>
                </c:pt>
                <c:pt idx="2074">
                  <c:v>4.5</c:v>
                </c:pt>
                <c:pt idx="2075">
                  <c:v>1.1000000000000001</c:v>
                </c:pt>
                <c:pt idx="2076">
                  <c:v>5.5</c:v>
                </c:pt>
                <c:pt idx="2077">
                  <c:v>8.6</c:v>
                </c:pt>
                <c:pt idx="2078">
                  <c:v>6</c:v>
                </c:pt>
                <c:pt idx="2079">
                  <c:v>6.5</c:v>
                </c:pt>
                <c:pt idx="2080">
                  <c:v>1.3</c:v>
                </c:pt>
                <c:pt idx="2081">
                  <c:v>8.6999999999999993</c:v>
                </c:pt>
                <c:pt idx="2082">
                  <c:v>4.5</c:v>
                </c:pt>
                <c:pt idx="2083">
                  <c:v>9.8000000000000007</c:v>
                </c:pt>
                <c:pt idx="2084">
                  <c:v>2.1</c:v>
                </c:pt>
                <c:pt idx="2085">
                  <c:v>9.5</c:v>
                </c:pt>
                <c:pt idx="2086">
                  <c:v>6.7</c:v>
                </c:pt>
                <c:pt idx="2087">
                  <c:v>1.5</c:v>
                </c:pt>
                <c:pt idx="2088">
                  <c:v>9.6999999999999993</c:v>
                </c:pt>
                <c:pt idx="2089">
                  <c:v>1.1000000000000001</c:v>
                </c:pt>
                <c:pt idx="2090">
                  <c:v>7.6</c:v>
                </c:pt>
                <c:pt idx="2091">
                  <c:v>9</c:v>
                </c:pt>
                <c:pt idx="2092">
                  <c:v>2.6</c:v>
                </c:pt>
                <c:pt idx="2093">
                  <c:v>4.0999999999999996</c:v>
                </c:pt>
                <c:pt idx="2094">
                  <c:v>6.1</c:v>
                </c:pt>
                <c:pt idx="2095">
                  <c:v>7.1</c:v>
                </c:pt>
                <c:pt idx="2096">
                  <c:v>8.8000000000000007</c:v>
                </c:pt>
                <c:pt idx="2097">
                  <c:v>7.8</c:v>
                </c:pt>
                <c:pt idx="2098">
                  <c:v>4.3</c:v>
                </c:pt>
                <c:pt idx="2099">
                  <c:v>8.4</c:v>
                </c:pt>
                <c:pt idx="2100">
                  <c:v>9.6999999999999993</c:v>
                </c:pt>
                <c:pt idx="2101">
                  <c:v>3</c:v>
                </c:pt>
                <c:pt idx="2102">
                  <c:v>1.7</c:v>
                </c:pt>
                <c:pt idx="2103">
                  <c:v>4.8</c:v>
                </c:pt>
                <c:pt idx="2104">
                  <c:v>8.9</c:v>
                </c:pt>
                <c:pt idx="2105">
                  <c:v>2.4</c:v>
                </c:pt>
                <c:pt idx="2106">
                  <c:v>9</c:v>
                </c:pt>
                <c:pt idx="2107">
                  <c:v>9.9</c:v>
                </c:pt>
                <c:pt idx="2108">
                  <c:v>1.5</c:v>
                </c:pt>
                <c:pt idx="2109">
                  <c:v>5.5</c:v>
                </c:pt>
                <c:pt idx="2110">
                  <c:v>4</c:v>
                </c:pt>
                <c:pt idx="2111">
                  <c:v>4.5</c:v>
                </c:pt>
                <c:pt idx="2112">
                  <c:v>5.0999999999999996</c:v>
                </c:pt>
                <c:pt idx="2113">
                  <c:v>7.7</c:v>
                </c:pt>
                <c:pt idx="2114">
                  <c:v>6.3</c:v>
                </c:pt>
                <c:pt idx="2115">
                  <c:v>9.6999999999999993</c:v>
                </c:pt>
                <c:pt idx="2116">
                  <c:v>4</c:v>
                </c:pt>
                <c:pt idx="2117">
                  <c:v>5.9</c:v>
                </c:pt>
                <c:pt idx="2118">
                  <c:v>8.3000000000000007</c:v>
                </c:pt>
                <c:pt idx="2119">
                  <c:v>4.4000000000000004</c:v>
                </c:pt>
                <c:pt idx="2120">
                  <c:v>5.2</c:v>
                </c:pt>
                <c:pt idx="2121">
                  <c:v>7.2</c:v>
                </c:pt>
                <c:pt idx="2122">
                  <c:v>8.6999999999999993</c:v>
                </c:pt>
                <c:pt idx="2123">
                  <c:v>4.7</c:v>
                </c:pt>
                <c:pt idx="2124">
                  <c:v>5.8</c:v>
                </c:pt>
                <c:pt idx="2125">
                  <c:v>9.8000000000000007</c:v>
                </c:pt>
                <c:pt idx="2126">
                  <c:v>1.4</c:v>
                </c:pt>
                <c:pt idx="2127">
                  <c:v>5</c:v>
                </c:pt>
                <c:pt idx="2128">
                  <c:v>6.7</c:v>
                </c:pt>
                <c:pt idx="2129">
                  <c:v>1.1000000000000001</c:v>
                </c:pt>
                <c:pt idx="2130">
                  <c:v>6.4</c:v>
                </c:pt>
                <c:pt idx="2131">
                  <c:v>1.5</c:v>
                </c:pt>
                <c:pt idx="2132">
                  <c:v>8.6999999999999993</c:v>
                </c:pt>
                <c:pt idx="2133">
                  <c:v>8.3000000000000007</c:v>
                </c:pt>
                <c:pt idx="2134">
                  <c:v>1.3</c:v>
                </c:pt>
                <c:pt idx="2135">
                  <c:v>1.4</c:v>
                </c:pt>
                <c:pt idx="2136">
                  <c:v>7.8</c:v>
                </c:pt>
                <c:pt idx="2137">
                  <c:v>4.3</c:v>
                </c:pt>
                <c:pt idx="2138">
                  <c:v>6.2</c:v>
                </c:pt>
                <c:pt idx="2139">
                  <c:v>3.4</c:v>
                </c:pt>
                <c:pt idx="2140">
                  <c:v>2.6</c:v>
                </c:pt>
                <c:pt idx="2141">
                  <c:v>3.7</c:v>
                </c:pt>
                <c:pt idx="2142">
                  <c:v>3.2</c:v>
                </c:pt>
                <c:pt idx="2143">
                  <c:v>5</c:v>
                </c:pt>
                <c:pt idx="2144">
                  <c:v>7.7</c:v>
                </c:pt>
                <c:pt idx="2145">
                  <c:v>6</c:v>
                </c:pt>
                <c:pt idx="2146">
                  <c:v>6.5</c:v>
                </c:pt>
                <c:pt idx="2147">
                  <c:v>5.2</c:v>
                </c:pt>
                <c:pt idx="2148">
                  <c:v>3.9</c:v>
                </c:pt>
                <c:pt idx="2149">
                  <c:v>2.2999999999999998</c:v>
                </c:pt>
                <c:pt idx="2150">
                  <c:v>4.2</c:v>
                </c:pt>
                <c:pt idx="2151">
                  <c:v>7</c:v>
                </c:pt>
                <c:pt idx="2152">
                  <c:v>7.6</c:v>
                </c:pt>
                <c:pt idx="2153">
                  <c:v>5.2</c:v>
                </c:pt>
                <c:pt idx="2154">
                  <c:v>6.8</c:v>
                </c:pt>
                <c:pt idx="2155">
                  <c:v>2.9</c:v>
                </c:pt>
                <c:pt idx="2156">
                  <c:v>8.6999999999999993</c:v>
                </c:pt>
                <c:pt idx="2157">
                  <c:v>8.8000000000000007</c:v>
                </c:pt>
                <c:pt idx="2158">
                  <c:v>3.9</c:v>
                </c:pt>
                <c:pt idx="2159">
                  <c:v>5.9</c:v>
                </c:pt>
                <c:pt idx="2160">
                  <c:v>6.5</c:v>
                </c:pt>
                <c:pt idx="2161">
                  <c:v>5.3</c:v>
                </c:pt>
                <c:pt idx="2162">
                  <c:v>9.1999999999999993</c:v>
                </c:pt>
                <c:pt idx="2163">
                  <c:v>7.7</c:v>
                </c:pt>
                <c:pt idx="2164">
                  <c:v>7.1</c:v>
                </c:pt>
                <c:pt idx="2165">
                  <c:v>5.7</c:v>
                </c:pt>
                <c:pt idx="2166">
                  <c:v>1.8</c:v>
                </c:pt>
                <c:pt idx="2167">
                  <c:v>2</c:v>
                </c:pt>
                <c:pt idx="2168">
                  <c:v>3.7</c:v>
                </c:pt>
                <c:pt idx="2169">
                  <c:v>2.9</c:v>
                </c:pt>
                <c:pt idx="2170">
                  <c:v>9.6</c:v>
                </c:pt>
                <c:pt idx="2171">
                  <c:v>4.7</c:v>
                </c:pt>
                <c:pt idx="2172">
                  <c:v>8.9</c:v>
                </c:pt>
                <c:pt idx="2173">
                  <c:v>8.4</c:v>
                </c:pt>
                <c:pt idx="2174">
                  <c:v>8.3000000000000007</c:v>
                </c:pt>
                <c:pt idx="2175">
                  <c:v>2.9</c:v>
                </c:pt>
                <c:pt idx="2176">
                  <c:v>5</c:v>
                </c:pt>
                <c:pt idx="2177">
                  <c:v>3.9</c:v>
                </c:pt>
                <c:pt idx="2178">
                  <c:v>9.6999999999999993</c:v>
                </c:pt>
                <c:pt idx="2179">
                  <c:v>8.9</c:v>
                </c:pt>
                <c:pt idx="2180">
                  <c:v>3.2</c:v>
                </c:pt>
                <c:pt idx="2181">
                  <c:v>3.8</c:v>
                </c:pt>
                <c:pt idx="2182">
                  <c:v>5.8</c:v>
                </c:pt>
                <c:pt idx="2183">
                  <c:v>3.5</c:v>
                </c:pt>
                <c:pt idx="2184">
                  <c:v>8.4</c:v>
                </c:pt>
                <c:pt idx="2185">
                  <c:v>8.4</c:v>
                </c:pt>
                <c:pt idx="2186">
                  <c:v>7.5</c:v>
                </c:pt>
                <c:pt idx="2187">
                  <c:v>7.2</c:v>
                </c:pt>
                <c:pt idx="2188">
                  <c:v>5.9</c:v>
                </c:pt>
                <c:pt idx="2189">
                  <c:v>4.0999999999999996</c:v>
                </c:pt>
                <c:pt idx="2190">
                  <c:v>8.5</c:v>
                </c:pt>
                <c:pt idx="2191">
                  <c:v>8.6999999999999993</c:v>
                </c:pt>
                <c:pt idx="2192">
                  <c:v>1.4</c:v>
                </c:pt>
                <c:pt idx="2193">
                  <c:v>4.5999999999999996</c:v>
                </c:pt>
                <c:pt idx="2194">
                  <c:v>1.2</c:v>
                </c:pt>
                <c:pt idx="2195">
                  <c:v>8.6</c:v>
                </c:pt>
                <c:pt idx="2196">
                  <c:v>2.6</c:v>
                </c:pt>
                <c:pt idx="2197">
                  <c:v>7.1</c:v>
                </c:pt>
                <c:pt idx="2198">
                  <c:v>4.2</c:v>
                </c:pt>
                <c:pt idx="2199">
                  <c:v>8.3000000000000007</c:v>
                </c:pt>
                <c:pt idx="2200">
                  <c:v>5.6</c:v>
                </c:pt>
                <c:pt idx="2201">
                  <c:v>3.9</c:v>
                </c:pt>
                <c:pt idx="2202">
                  <c:v>3.9</c:v>
                </c:pt>
                <c:pt idx="2203">
                  <c:v>3.9</c:v>
                </c:pt>
                <c:pt idx="2204">
                  <c:v>8.1</c:v>
                </c:pt>
                <c:pt idx="2205">
                  <c:v>7.4</c:v>
                </c:pt>
                <c:pt idx="2206">
                  <c:v>3.9</c:v>
                </c:pt>
                <c:pt idx="2207">
                  <c:v>5.4</c:v>
                </c:pt>
                <c:pt idx="2208">
                  <c:v>1.7</c:v>
                </c:pt>
                <c:pt idx="2209">
                  <c:v>8.4</c:v>
                </c:pt>
                <c:pt idx="2210">
                  <c:v>3.4</c:v>
                </c:pt>
                <c:pt idx="2211">
                  <c:v>9</c:v>
                </c:pt>
                <c:pt idx="2212">
                  <c:v>6.4</c:v>
                </c:pt>
                <c:pt idx="2213">
                  <c:v>6.1</c:v>
                </c:pt>
                <c:pt idx="2214">
                  <c:v>2.5</c:v>
                </c:pt>
                <c:pt idx="2215">
                  <c:v>1.6</c:v>
                </c:pt>
                <c:pt idx="2216">
                  <c:v>6</c:v>
                </c:pt>
                <c:pt idx="2217">
                  <c:v>5.2</c:v>
                </c:pt>
                <c:pt idx="2218">
                  <c:v>2.1</c:v>
                </c:pt>
                <c:pt idx="2219">
                  <c:v>8.5</c:v>
                </c:pt>
                <c:pt idx="2220">
                  <c:v>4.8</c:v>
                </c:pt>
                <c:pt idx="2221">
                  <c:v>3.3</c:v>
                </c:pt>
                <c:pt idx="2222">
                  <c:v>8.1</c:v>
                </c:pt>
                <c:pt idx="2223">
                  <c:v>9.1999999999999993</c:v>
                </c:pt>
                <c:pt idx="2224">
                  <c:v>3.8</c:v>
                </c:pt>
                <c:pt idx="2225">
                  <c:v>8</c:v>
                </c:pt>
                <c:pt idx="2226">
                  <c:v>6.9</c:v>
                </c:pt>
                <c:pt idx="2227">
                  <c:v>9.9</c:v>
                </c:pt>
                <c:pt idx="2228">
                  <c:v>2.8</c:v>
                </c:pt>
                <c:pt idx="2229">
                  <c:v>9.6</c:v>
                </c:pt>
                <c:pt idx="2230">
                  <c:v>3.8</c:v>
                </c:pt>
                <c:pt idx="2231">
                  <c:v>4.7</c:v>
                </c:pt>
                <c:pt idx="2232">
                  <c:v>4.2</c:v>
                </c:pt>
                <c:pt idx="2233">
                  <c:v>3.4</c:v>
                </c:pt>
                <c:pt idx="2234">
                  <c:v>7.2</c:v>
                </c:pt>
                <c:pt idx="2235">
                  <c:v>6.3</c:v>
                </c:pt>
                <c:pt idx="2236">
                  <c:v>3.8</c:v>
                </c:pt>
                <c:pt idx="2237">
                  <c:v>2.2000000000000002</c:v>
                </c:pt>
                <c:pt idx="2238">
                  <c:v>3.9</c:v>
                </c:pt>
                <c:pt idx="2239">
                  <c:v>4.4000000000000004</c:v>
                </c:pt>
                <c:pt idx="2240">
                  <c:v>4.4000000000000004</c:v>
                </c:pt>
                <c:pt idx="2241">
                  <c:v>4.2</c:v>
                </c:pt>
                <c:pt idx="2242">
                  <c:v>1.4</c:v>
                </c:pt>
                <c:pt idx="2243">
                  <c:v>5.2</c:v>
                </c:pt>
                <c:pt idx="2244">
                  <c:v>8.5</c:v>
                </c:pt>
                <c:pt idx="2245">
                  <c:v>2.6</c:v>
                </c:pt>
                <c:pt idx="2246">
                  <c:v>2.2999999999999998</c:v>
                </c:pt>
                <c:pt idx="2247">
                  <c:v>5.2</c:v>
                </c:pt>
                <c:pt idx="2248">
                  <c:v>4.3</c:v>
                </c:pt>
                <c:pt idx="2249">
                  <c:v>6.1</c:v>
                </c:pt>
                <c:pt idx="2250">
                  <c:v>9.5</c:v>
                </c:pt>
                <c:pt idx="2251">
                  <c:v>7.8</c:v>
                </c:pt>
                <c:pt idx="2252">
                  <c:v>7.2</c:v>
                </c:pt>
                <c:pt idx="2253">
                  <c:v>4.7</c:v>
                </c:pt>
                <c:pt idx="2254">
                  <c:v>3.6</c:v>
                </c:pt>
                <c:pt idx="2255">
                  <c:v>5.9</c:v>
                </c:pt>
                <c:pt idx="2256">
                  <c:v>9</c:v>
                </c:pt>
                <c:pt idx="2257">
                  <c:v>8.9</c:v>
                </c:pt>
                <c:pt idx="2258">
                  <c:v>5</c:v>
                </c:pt>
                <c:pt idx="2259">
                  <c:v>3.2</c:v>
                </c:pt>
                <c:pt idx="2260">
                  <c:v>3</c:v>
                </c:pt>
                <c:pt idx="2261">
                  <c:v>1.3</c:v>
                </c:pt>
                <c:pt idx="2262">
                  <c:v>8.6</c:v>
                </c:pt>
                <c:pt idx="2263">
                  <c:v>3.4</c:v>
                </c:pt>
                <c:pt idx="2264">
                  <c:v>4.2</c:v>
                </c:pt>
                <c:pt idx="2265">
                  <c:v>8.3000000000000007</c:v>
                </c:pt>
                <c:pt idx="2266">
                  <c:v>2.1</c:v>
                </c:pt>
                <c:pt idx="2267">
                  <c:v>5.2</c:v>
                </c:pt>
                <c:pt idx="2268">
                  <c:v>2.1</c:v>
                </c:pt>
                <c:pt idx="2269">
                  <c:v>5</c:v>
                </c:pt>
                <c:pt idx="2270">
                  <c:v>1.4</c:v>
                </c:pt>
                <c:pt idx="2271">
                  <c:v>5.7</c:v>
                </c:pt>
                <c:pt idx="2272">
                  <c:v>8.1999999999999993</c:v>
                </c:pt>
                <c:pt idx="2273">
                  <c:v>7.1</c:v>
                </c:pt>
                <c:pt idx="2274">
                  <c:v>5.6</c:v>
                </c:pt>
                <c:pt idx="2275">
                  <c:v>8.5</c:v>
                </c:pt>
                <c:pt idx="2276">
                  <c:v>3.1</c:v>
                </c:pt>
                <c:pt idx="2277">
                  <c:v>8.5</c:v>
                </c:pt>
                <c:pt idx="2278">
                  <c:v>3.5</c:v>
                </c:pt>
                <c:pt idx="2279">
                  <c:v>4.3</c:v>
                </c:pt>
                <c:pt idx="2280">
                  <c:v>2.2000000000000002</c:v>
                </c:pt>
                <c:pt idx="2281">
                  <c:v>1.9</c:v>
                </c:pt>
                <c:pt idx="2282">
                  <c:v>9.4</c:v>
                </c:pt>
                <c:pt idx="2283">
                  <c:v>2.7</c:v>
                </c:pt>
                <c:pt idx="2284">
                  <c:v>4</c:v>
                </c:pt>
                <c:pt idx="2285">
                  <c:v>5.8</c:v>
                </c:pt>
                <c:pt idx="2286">
                  <c:v>4.0999999999999996</c:v>
                </c:pt>
                <c:pt idx="2287">
                  <c:v>8.8000000000000007</c:v>
                </c:pt>
                <c:pt idx="2288">
                  <c:v>9.1</c:v>
                </c:pt>
                <c:pt idx="2289">
                  <c:v>3.9</c:v>
                </c:pt>
                <c:pt idx="2290">
                  <c:v>1.8</c:v>
                </c:pt>
                <c:pt idx="2291">
                  <c:v>2.9</c:v>
                </c:pt>
                <c:pt idx="2292">
                  <c:v>5.3</c:v>
                </c:pt>
                <c:pt idx="2293">
                  <c:v>3.6</c:v>
                </c:pt>
                <c:pt idx="2294">
                  <c:v>5.0999999999999996</c:v>
                </c:pt>
                <c:pt idx="2295">
                  <c:v>7.8</c:v>
                </c:pt>
                <c:pt idx="2296">
                  <c:v>4.8</c:v>
                </c:pt>
                <c:pt idx="2297">
                  <c:v>2.8</c:v>
                </c:pt>
                <c:pt idx="2298">
                  <c:v>4.2</c:v>
                </c:pt>
                <c:pt idx="2299">
                  <c:v>7.7</c:v>
                </c:pt>
                <c:pt idx="2300">
                  <c:v>4.8</c:v>
                </c:pt>
                <c:pt idx="2301">
                  <c:v>3.2</c:v>
                </c:pt>
                <c:pt idx="2302">
                  <c:v>4.8</c:v>
                </c:pt>
                <c:pt idx="2303">
                  <c:v>5.0999999999999996</c:v>
                </c:pt>
                <c:pt idx="2304">
                  <c:v>3.7</c:v>
                </c:pt>
                <c:pt idx="2305">
                  <c:v>10</c:v>
                </c:pt>
                <c:pt idx="2306">
                  <c:v>7.9</c:v>
                </c:pt>
                <c:pt idx="2307">
                  <c:v>7.2</c:v>
                </c:pt>
                <c:pt idx="2308">
                  <c:v>8.6999999999999993</c:v>
                </c:pt>
                <c:pt idx="2309">
                  <c:v>7</c:v>
                </c:pt>
                <c:pt idx="2310">
                  <c:v>8.1</c:v>
                </c:pt>
                <c:pt idx="2311">
                  <c:v>4.7</c:v>
                </c:pt>
                <c:pt idx="2312">
                  <c:v>5.5</c:v>
                </c:pt>
                <c:pt idx="2313">
                  <c:v>1.4</c:v>
                </c:pt>
                <c:pt idx="2314">
                  <c:v>3.5</c:v>
                </c:pt>
                <c:pt idx="2315">
                  <c:v>4.3</c:v>
                </c:pt>
                <c:pt idx="2316">
                  <c:v>6.6</c:v>
                </c:pt>
                <c:pt idx="2317">
                  <c:v>5.2</c:v>
                </c:pt>
                <c:pt idx="2318">
                  <c:v>6.5</c:v>
                </c:pt>
                <c:pt idx="2319">
                  <c:v>7.4</c:v>
                </c:pt>
                <c:pt idx="2320">
                  <c:v>1.4</c:v>
                </c:pt>
                <c:pt idx="2321">
                  <c:v>3.3</c:v>
                </c:pt>
                <c:pt idx="2322">
                  <c:v>2.5</c:v>
                </c:pt>
                <c:pt idx="2323">
                  <c:v>2.7</c:v>
                </c:pt>
                <c:pt idx="2324">
                  <c:v>5.5</c:v>
                </c:pt>
                <c:pt idx="2325">
                  <c:v>7.7</c:v>
                </c:pt>
                <c:pt idx="2326">
                  <c:v>3.5</c:v>
                </c:pt>
                <c:pt idx="2327">
                  <c:v>8.4</c:v>
                </c:pt>
                <c:pt idx="2328">
                  <c:v>9</c:v>
                </c:pt>
                <c:pt idx="2329">
                  <c:v>4.2</c:v>
                </c:pt>
                <c:pt idx="2330">
                  <c:v>7.1</c:v>
                </c:pt>
                <c:pt idx="2331">
                  <c:v>2.1</c:v>
                </c:pt>
                <c:pt idx="2332">
                  <c:v>7.7</c:v>
                </c:pt>
                <c:pt idx="2333">
                  <c:v>2.5</c:v>
                </c:pt>
                <c:pt idx="2334">
                  <c:v>7.2</c:v>
                </c:pt>
                <c:pt idx="2335">
                  <c:v>4.8</c:v>
                </c:pt>
                <c:pt idx="2336">
                  <c:v>9.4</c:v>
                </c:pt>
                <c:pt idx="2337">
                  <c:v>5.2</c:v>
                </c:pt>
                <c:pt idx="2338">
                  <c:v>1.3</c:v>
                </c:pt>
                <c:pt idx="2339">
                  <c:v>5.3</c:v>
                </c:pt>
                <c:pt idx="2340">
                  <c:v>8.1999999999999993</c:v>
                </c:pt>
                <c:pt idx="2341">
                  <c:v>6.8</c:v>
                </c:pt>
                <c:pt idx="2342">
                  <c:v>9.6999999999999993</c:v>
                </c:pt>
                <c:pt idx="2343">
                  <c:v>8.6</c:v>
                </c:pt>
                <c:pt idx="2344">
                  <c:v>5.7</c:v>
                </c:pt>
                <c:pt idx="2345">
                  <c:v>2.9</c:v>
                </c:pt>
                <c:pt idx="2346">
                  <c:v>1</c:v>
                </c:pt>
                <c:pt idx="2347">
                  <c:v>9.8000000000000007</c:v>
                </c:pt>
                <c:pt idx="2348">
                  <c:v>9.4</c:v>
                </c:pt>
                <c:pt idx="2349">
                  <c:v>3.5</c:v>
                </c:pt>
                <c:pt idx="2350">
                  <c:v>6.7</c:v>
                </c:pt>
                <c:pt idx="2351">
                  <c:v>7.6</c:v>
                </c:pt>
                <c:pt idx="2352">
                  <c:v>6.2</c:v>
                </c:pt>
                <c:pt idx="2353">
                  <c:v>8.6</c:v>
                </c:pt>
                <c:pt idx="2354">
                  <c:v>1.7</c:v>
                </c:pt>
                <c:pt idx="2355">
                  <c:v>9.1</c:v>
                </c:pt>
                <c:pt idx="2356">
                  <c:v>4.5</c:v>
                </c:pt>
                <c:pt idx="2357">
                  <c:v>5.3</c:v>
                </c:pt>
                <c:pt idx="2358">
                  <c:v>5</c:v>
                </c:pt>
                <c:pt idx="2359">
                  <c:v>5.8</c:v>
                </c:pt>
                <c:pt idx="2360">
                  <c:v>6.4</c:v>
                </c:pt>
                <c:pt idx="2361">
                  <c:v>7.4</c:v>
                </c:pt>
                <c:pt idx="2362">
                  <c:v>5.7</c:v>
                </c:pt>
                <c:pt idx="2363">
                  <c:v>7.2</c:v>
                </c:pt>
                <c:pt idx="2364">
                  <c:v>4</c:v>
                </c:pt>
                <c:pt idx="2365">
                  <c:v>9.4</c:v>
                </c:pt>
                <c:pt idx="2366">
                  <c:v>1.6</c:v>
                </c:pt>
                <c:pt idx="2367">
                  <c:v>5.9</c:v>
                </c:pt>
                <c:pt idx="2368">
                  <c:v>1.8</c:v>
                </c:pt>
                <c:pt idx="2369">
                  <c:v>5</c:v>
                </c:pt>
                <c:pt idx="2370">
                  <c:v>3.3</c:v>
                </c:pt>
                <c:pt idx="2371">
                  <c:v>9.4</c:v>
                </c:pt>
                <c:pt idx="2372">
                  <c:v>1.1000000000000001</c:v>
                </c:pt>
                <c:pt idx="2373">
                  <c:v>4.5</c:v>
                </c:pt>
                <c:pt idx="2374">
                  <c:v>8</c:v>
                </c:pt>
                <c:pt idx="2375">
                  <c:v>2.7</c:v>
                </c:pt>
                <c:pt idx="2376">
                  <c:v>8.3000000000000007</c:v>
                </c:pt>
                <c:pt idx="2377">
                  <c:v>8.6999999999999993</c:v>
                </c:pt>
                <c:pt idx="2378">
                  <c:v>7.4</c:v>
                </c:pt>
                <c:pt idx="2379">
                  <c:v>2.9</c:v>
                </c:pt>
                <c:pt idx="2380">
                  <c:v>3.4</c:v>
                </c:pt>
                <c:pt idx="2381">
                  <c:v>2.5</c:v>
                </c:pt>
                <c:pt idx="2382">
                  <c:v>2.7</c:v>
                </c:pt>
                <c:pt idx="2383">
                  <c:v>1.3</c:v>
                </c:pt>
                <c:pt idx="2384">
                  <c:v>8.6999999999999993</c:v>
                </c:pt>
                <c:pt idx="2385">
                  <c:v>5.8</c:v>
                </c:pt>
                <c:pt idx="2386">
                  <c:v>3.9</c:v>
                </c:pt>
                <c:pt idx="2387">
                  <c:v>3.6</c:v>
                </c:pt>
                <c:pt idx="2388">
                  <c:v>5.9</c:v>
                </c:pt>
                <c:pt idx="2389">
                  <c:v>3.9</c:v>
                </c:pt>
                <c:pt idx="2390">
                  <c:v>8.8000000000000007</c:v>
                </c:pt>
                <c:pt idx="2391">
                  <c:v>2.9</c:v>
                </c:pt>
                <c:pt idx="2392">
                  <c:v>8.9</c:v>
                </c:pt>
                <c:pt idx="2393">
                  <c:v>7</c:v>
                </c:pt>
                <c:pt idx="2394">
                  <c:v>9.6</c:v>
                </c:pt>
                <c:pt idx="2395">
                  <c:v>1.1000000000000001</c:v>
                </c:pt>
                <c:pt idx="2396">
                  <c:v>1.5</c:v>
                </c:pt>
                <c:pt idx="2397">
                  <c:v>5.5</c:v>
                </c:pt>
                <c:pt idx="2398">
                  <c:v>9.1999999999999993</c:v>
                </c:pt>
                <c:pt idx="2399">
                  <c:v>7.6</c:v>
                </c:pt>
                <c:pt idx="2400">
                  <c:v>6.6</c:v>
                </c:pt>
                <c:pt idx="2401">
                  <c:v>1.3</c:v>
                </c:pt>
                <c:pt idx="2402">
                  <c:v>4.2</c:v>
                </c:pt>
                <c:pt idx="2403">
                  <c:v>4.0999999999999996</c:v>
                </c:pt>
                <c:pt idx="2404">
                  <c:v>5.9</c:v>
                </c:pt>
                <c:pt idx="2405">
                  <c:v>3.3</c:v>
                </c:pt>
                <c:pt idx="2406">
                  <c:v>3.4</c:v>
                </c:pt>
                <c:pt idx="2407">
                  <c:v>6.6</c:v>
                </c:pt>
                <c:pt idx="2408">
                  <c:v>9.5</c:v>
                </c:pt>
                <c:pt idx="2409">
                  <c:v>6.9</c:v>
                </c:pt>
                <c:pt idx="2410">
                  <c:v>7</c:v>
                </c:pt>
                <c:pt idx="2411">
                  <c:v>9.9</c:v>
                </c:pt>
                <c:pt idx="2412">
                  <c:v>2.4</c:v>
                </c:pt>
                <c:pt idx="2413">
                  <c:v>1.3</c:v>
                </c:pt>
                <c:pt idx="2414">
                  <c:v>7.7</c:v>
                </c:pt>
                <c:pt idx="2415">
                  <c:v>4.9000000000000004</c:v>
                </c:pt>
                <c:pt idx="2416">
                  <c:v>4.9000000000000004</c:v>
                </c:pt>
                <c:pt idx="2417">
                  <c:v>3</c:v>
                </c:pt>
                <c:pt idx="2418">
                  <c:v>5.6</c:v>
                </c:pt>
                <c:pt idx="2419">
                  <c:v>5</c:v>
                </c:pt>
                <c:pt idx="2420">
                  <c:v>4.0999999999999996</c:v>
                </c:pt>
                <c:pt idx="2421">
                  <c:v>5</c:v>
                </c:pt>
                <c:pt idx="2422">
                  <c:v>4.5</c:v>
                </c:pt>
                <c:pt idx="2423">
                  <c:v>9.5</c:v>
                </c:pt>
                <c:pt idx="2424">
                  <c:v>9.8000000000000007</c:v>
                </c:pt>
                <c:pt idx="2425">
                  <c:v>8.6</c:v>
                </c:pt>
                <c:pt idx="2426">
                  <c:v>9.9</c:v>
                </c:pt>
                <c:pt idx="2427">
                  <c:v>3.4</c:v>
                </c:pt>
                <c:pt idx="2428">
                  <c:v>8.6</c:v>
                </c:pt>
                <c:pt idx="2429">
                  <c:v>4.7</c:v>
                </c:pt>
                <c:pt idx="2430">
                  <c:v>7.7</c:v>
                </c:pt>
                <c:pt idx="2431">
                  <c:v>2.8</c:v>
                </c:pt>
                <c:pt idx="2432">
                  <c:v>8.3000000000000007</c:v>
                </c:pt>
                <c:pt idx="2433">
                  <c:v>1.8</c:v>
                </c:pt>
                <c:pt idx="2434">
                  <c:v>3.4</c:v>
                </c:pt>
                <c:pt idx="2435">
                  <c:v>8.4</c:v>
                </c:pt>
                <c:pt idx="2436">
                  <c:v>7.7</c:v>
                </c:pt>
                <c:pt idx="2437">
                  <c:v>5.5</c:v>
                </c:pt>
                <c:pt idx="2438">
                  <c:v>7.1</c:v>
                </c:pt>
                <c:pt idx="2439">
                  <c:v>2.7</c:v>
                </c:pt>
                <c:pt idx="2440">
                  <c:v>7</c:v>
                </c:pt>
                <c:pt idx="2441">
                  <c:v>1.1000000000000001</c:v>
                </c:pt>
                <c:pt idx="2442">
                  <c:v>8.5</c:v>
                </c:pt>
                <c:pt idx="2443">
                  <c:v>5.6</c:v>
                </c:pt>
                <c:pt idx="2444">
                  <c:v>9.5</c:v>
                </c:pt>
                <c:pt idx="2445">
                  <c:v>5.3</c:v>
                </c:pt>
                <c:pt idx="2446">
                  <c:v>4.9000000000000004</c:v>
                </c:pt>
                <c:pt idx="2447">
                  <c:v>5.0999999999999996</c:v>
                </c:pt>
                <c:pt idx="2448">
                  <c:v>4.2</c:v>
                </c:pt>
                <c:pt idx="2449">
                  <c:v>2.5</c:v>
                </c:pt>
                <c:pt idx="2450">
                  <c:v>8.6</c:v>
                </c:pt>
                <c:pt idx="2451">
                  <c:v>4.5</c:v>
                </c:pt>
                <c:pt idx="2452">
                  <c:v>5.8</c:v>
                </c:pt>
                <c:pt idx="2453">
                  <c:v>1.2</c:v>
                </c:pt>
                <c:pt idx="2454">
                  <c:v>1.5</c:v>
                </c:pt>
                <c:pt idx="2455">
                  <c:v>6.4</c:v>
                </c:pt>
                <c:pt idx="2456">
                  <c:v>8.9</c:v>
                </c:pt>
                <c:pt idx="2457">
                  <c:v>5.4</c:v>
                </c:pt>
                <c:pt idx="2458">
                  <c:v>2.5</c:v>
                </c:pt>
                <c:pt idx="2459">
                  <c:v>2</c:v>
                </c:pt>
                <c:pt idx="2460">
                  <c:v>9.1</c:v>
                </c:pt>
                <c:pt idx="2461">
                  <c:v>7.3</c:v>
                </c:pt>
                <c:pt idx="2462">
                  <c:v>9.6999999999999993</c:v>
                </c:pt>
                <c:pt idx="2463">
                  <c:v>1.7</c:v>
                </c:pt>
                <c:pt idx="2464">
                  <c:v>9.1</c:v>
                </c:pt>
                <c:pt idx="2465">
                  <c:v>8.6</c:v>
                </c:pt>
                <c:pt idx="2466">
                  <c:v>9</c:v>
                </c:pt>
                <c:pt idx="2467">
                  <c:v>1.1000000000000001</c:v>
                </c:pt>
                <c:pt idx="2468">
                  <c:v>7.7</c:v>
                </c:pt>
                <c:pt idx="2469">
                  <c:v>5.9</c:v>
                </c:pt>
                <c:pt idx="2470">
                  <c:v>6.2</c:v>
                </c:pt>
                <c:pt idx="2471">
                  <c:v>5.2</c:v>
                </c:pt>
                <c:pt idx="2472">
                  <c:v>7.7</c:v>
                </c:pt>
                <c:pt idx="2473">
                  <c:v>10</c:v>
                </c:pt>
                <c:pt idx="2474">
                  <c:v>7.4</c:v>
                </c:pt>
                <c:pt idx="2475">
                  <c:v>7.1</c:v>
                </c:pt>
                <c:pt idx="2476">
                  <c:v>6.9</c:v>
                </c:pt>
                <c:pt idx="2477">
                  <c:v>7.3</c:v>
                </c:pt>
                <c:pt idx="2478">
                  <c:v>4.0999999999999996</c:v>
                </c:pt>
                <c:pt idx="2479">
                  <c:v>3.9</c:v>
                </c:pt>
                <c:pt idx="2480">
                  <c:v>8.1</c:v>
                </c:pt>
                <c:pt idx="2481">
                  <c:v>1.5</c:v>
                </c:pt>
                <c:pt idx="2482">
                  <c:v>7.8</c:v>
                </c:pt>
                <c:pt idx="2483">
                  <c:v>8.3000000000000007</c:v>
                </c:pt>
                <c:pt idx="2484">
                  <c:v>5.7</c:v>
                </c:pt>
                <c:pt idx="2485">
                  <c:v>9.1999999999999993</c:v>
                </c:pt>
                <c:pt idx="2486">
                  <c:v>5.3</c:v>
                </c:pt>
                <c:pt idx="2487">
                  <c:v>2.6</c:v>
                </c:pt>
                <c:pt idx="2488">
                  <c:v>4.3</c:v>
                </c:pt>
                <c:pt idx="2489">
                  <c:v>9.1999999999999993</c:v>
                </c:pt>
                <c:pt idx="2490">
                  <c:v>9.9</c:v>
                </c:pt>
                <c:pt idx="2491">
                  <c:v>4.8</c:v>
                </c:pt>
                <c:pt idx="2492">
                  <c:v>2.5</c:v>
                </c:pt>
                <c:pt idx="2493">
                  <c:v>3.6</c:v>
                </c:pt>
                <c:pt idx="2494">
                  <c:v>6</c:v>
                </c:pt>
                <c:pt idx="2495">
                  <c:v>6.1</c:v>
                </c:pt>
                <c:pt idx="2496">
                  <c:v>6.7</c:v>
                </c:pt>
                <c:pt idx="2497">
                  <c:v>8.5</c:v>
                </c:pt>
                <c:pt idx="2498">
                  <c:v>7.4</c:v>
                </c:pt>
                <c:pt idx="2499">
                  <c:v>3.3</c:v>
                </c:pt>
                <c:pt idx="2500">
                  <c:v>4.5999999999999996</c:v>
                </c:pt>
                <c:pt idx="2501">
                  <c:v>8.6</c:v>
                </c:pt>
                <c:pt idx="2502">
                  <c:v>6.7</c:v>
                </c:pt>
                <c:pt idx="2503">
                  <c:v>2.5</c:v>
                </c:pt>
                <c:pt idx="2504">
                  <c:v>3.9</c:v>
                </c:pt>
                <c:pt idx="2505">
                  <c:v>8.1</c:v>
                </c:pt>
                <c:pt idx="2506">
                  <c:v>2.5</c:v>
                </c:pt>
                <c:pt idx="2507">
                  <c:v>7.2</c:v>
                </c:pt>
                <c:pt idx="2508">
                  <c:v>6.1</c:v>
                </c:pt>
                <c:pt idx="2509">
                  <c:v>2.2999999999999998</c:v>
                </c:pt>
                <c:pt idx="2510">
                  <c:v>7.2</c:v>
                </c:pt>
                <c:pt idx="2511">
                  <c:v>2.2999999999999998</c:v>
                </c:pt>
                <c:pt idx="2512">
                  <c:v>4.5999999999999996</c:v>
                </c:pt>
                <c:pt idx="2513">
                  <c:v>3.8</c:v>
                </c:pt>
                <c:pt idx="2514">
                  <c:v>7.2</c:v>
                </c:pt>
                <c:pt idx="2515">
                  <c:v>8</c:v>
                </c:pt>
                <c:pt idx="2516">
                  <c:v>2.5</c:v>
                </c:pt>
                <c:pt idx="2517">
                  <c:v>8.3000000000000007</c:v>
                </c:pt>
                <c:pt idx="2518">
                  <c:v>1.1000000000000001</c:v>
                </c:pt>
                <c:pt idx="2519">
                  <c:v>5.8</c:v>
                </c:pt>
                <c:pt idx="2520">
                  <c:v>5.7</c:v>
                </c:pt>
                <c:pt idx="2521">
                  <c:v>6.6</c:v>
                </c:pt>
                <c:pt idx="2522">
                  <c:v>3.2</c:v>
                </c:pt>
                <c:pt idx="2523">
                  <c:v>1.1000000000000001</c:v>
                </c:pt>
                <c:pt idx="2524">
                  <c:v>5.0999999999999996</c:v>
                </c:pt>
                <c:pt idx="2525">
                  <c:v>1.6</c:v>
                </c:pt>
                <c:pt idx="2526">
                  <c:v>9</c:v>
                </c:pt>
                <c:pt idx="2527">
                  <c:v>2.6</c:v>
                </c:pt>
                <c:pt idx="2528">
                  <c:v>4.8</c:v>
                </c:pt>
                <c:pt idx="2529">
                  <c:v>4.9000000000000004</c:v>
                </c:pt>
                <c:pt idx="2530">
                  <c:v>6</c:v>
                </c:pt>
                <c:pt idx="2531">
                  <c:v>8</c:v>
                </c:pt>
                <c:pt idx="2532">
                  <c:v>5.2</c:v>
                </c:pt>
                <c:pt idx="2533">
                  <c:v>1.2</c:v>
                </c:pt>
                <c:pt idx="2534">
                  <c:v>7.9</c:v>
                </c:pt>
                <c:pt idx="2535">
                  <c:v>1.7</c:v>
                </c:pt>
                <c:pt idx="2536">
                  <c:v>6.8</c:v>
                </c:pt>
                <c:pt idx="2537">
                  <c:v>8.1999999999999993</c:v>
                </c:pt>
                <c:pt idx="2538">
                  <c:v>3.5</c:v>
                </c:pt>
                <c:pt idx="2539">
                  <c:v>5</c:v>
                </c:pt>
                <c:pt idx="2540">
                  <c:v>1.1000000000000001</c:v>
                </c:pt>
                <c:pt idx="2541">
                  <c:v>8.1999999999999993</c:v>
                </c:pt>
                <c:pt idx="2542">
                  <c:v>7.3</c:v>
                </c:pt>
                <c:pt idx="2543">
                  <c:v>3.1</c:v>
                </c:pt>
                <c:pt idx="2544">
                  <c:v>4.5</c:v>
                </c:pt>
                <c:pt idx="2545">
                  <c:v>7.3</c:v>
                </c:pt>
                <c:pt idx="2546">
                  <c:v>4.2</c:v>
                </c:pt>
                <c:pt idx="2547">
                  <c:v>2.5</c:v>
                </c:pt>
                <c:pt idx="2548">
                  <c:v>5.7</c:v>
                </c:pt>
                <c:pt idx="2549">
                  <c:v>7.5</c:v>
                </c:pt>
                <c:pt idx="2550">
                  <c:v>3.9</c:v>
                </c:pt>
                <c:pt idx="2551">
                  <c:v>2.1</c:v>
                </c:pt>
                <c:pt idx="2552">
                  <c:v>8.5</c:v>
                </c:pt>
                <c:pt idx="2553">
                  <c:v>3.3</c:v>
                </c:pt>
                <c:pt idx="2554">
                  <c:v>5.6</c:v>
                </c:pt>
                <c:pt idx="2555">
                  <c:v>7.2</c:v>
                </c:pt>
                <c:pt idx="2556">
                  <c:v>3.9</c:v>
                </c:pt>
                <c:pt idx="2557">
                  <c:v>6.8</c:v>
                </c:pt>
                <c:pt idx="2558">
                  <c:v>5.0999999999999996</c:v>
                </c:pt>
                <c:pt idx="2559">
                  <c:v>6.1</c:v>
                </c:pt>
                <c:pt idx="2560">
                  <c:v>6.3</c:v>
                </c:pt>
                <c:pt idx="2561">
                  <c:v>8.4</c:v>
                </c:pt>
                <c:pt idx="2562">
                  <c:v>6.9</c:v>
                </c:pt>
                <c:pt idx="2563">
                  <c:v>3.4</c:v>
                </c:pt>
                <c:pt idx="2564">
                  <c:v>1.5</c:v>
                </c:pt>
                <c:pt idx="2565">
                  <c:v>1</c:v>
                </c:pt>
                <c:pt idx="2566">
                  <c:v>9.1</c:v>
                </c:pt>
                <c:pt idx="2567">
                  <c:v>9.5</c:v>
                </c:pt>
                <c:pt idx="2568">
                  <c:v>1.8</c:v>
                </c:pt>
                <c:pt idx="2569">
                  <c:v>5.4</c:v>
                </c:pt>
                <c:pt idx="2570">
                  <c:v>2.4</c:v>
                </c:pt>
                <c:pt idx="2571">
                  <c:v>9.5</c:v>
                </c:pt>
                <c:pt idx="2572">
                  <c:v>3.2</c:v>
                </c:pt>
                <c:pt idx="2573">
                  <c:v>5.5</c:v>
                </c:pt>
                <c:pt idx="2574">
                  <c:v>2.5</c:v>
                </c:pt>
                <c:pt idx="2575">
                  <c:v>4</c:v>
                </c:pt>
                <c:pt idx="2576">
                  <c:v>3.4</c:v>
                </c:pt>
                <c:pt idx="2577">
                  <c:v>5.3</c:v>
                </c:pt>
                <c:pt idx="2578">
                  <c:v>4.8</c:v>
                </c:pt>
                <c:pt idx="2579">
                  <c:v>4</c:v>
                </c:pt>
                <c:pt idx="2580">
                  <c:v>2</c:v>
                </c:pt>
                <c:pt idx="2581">
                  <c:v>5.4</c:v>
                </c:pt>
                <c:pt idx="2582">
                  <c:v>8.6999999999999993</c:v>
                </c:pt>
                <c:pt idx="2583">
                  <c:v>7.6</c:v>
                </c:pt>
                <c:pt idx="2584">
                  <c:v>7.5</c:v>
                </c:pt>
                <c:pt idx="2585">
                  <c:v>4.3</c:v>
                </c:pt>
                <c:pt idx="2586">
                  <c:v>7.4</c:v>
                </c:pt>
                <c:pt idx="2587">
                  <c:v>5.2</c:v>
                </c:pt>
                <c:pt idx="2588">
                  <c:v>2.4</c:v>
                </c:pt>
                <c:pt idx="2589">
                  <c:v>4.8</c:v>
                </c:pt>
                <c:pt idx="2590">
                  <c:v>2.2000000000000002</c:v>
                </c:pt>
                <c:pt idx="2591">
                  <c:v>2</c:v>
                </c:pt>
                <c:pt idx="2592">
                  <c:v>1.2</c:v>
                </c:pt>
                <c:pt idx="2593">
                  <c:v>3.5</c:v>
                </c:pt>
                <c:pt idx="2594">
                  <c:v>4</c:v>
                </c:pt>
                <c:pt idx="2595">
                  <c:v>7.3</c:v>
                </c:pt>
                <c:pt idx="2596">
                  <c:v>5.8</c:v>
                </c:pt>
                <c:pt idx="2597">
                  <c:v>8.6999999999999993</c:v>
                </c:pt>
                <c:pt idx="2598">
                  <c:v>2.6</c:v>
                </c:pt>
                <c:pt idx="2599">
                  <c:v>3.4</c:v>
                </c:pt>
                <c:pt idx="2600">
                  <c:v>9.5</c:v>
                </c:pt>
                <c:pt idx="2601">
                  <c:v>5</c:v>
                </c:pt>
                <c:pt idx="2602">
                  <c:v>8.1</c:v>
                </c:pt>
                <c:pt idx="2603">
                  <c:v>5.4</c:v>
                </c:pt>
                <c:pt idx="2604">
                  <c:v>5.2</c:v>
                </c:pt>
                <c:pt idx="2605">
                  <c:v>2.2999999999999998</c:v>
                </c:pt>
                <c:pt idx="2606">
                  <c:v>8.6999999999999993</c:v>
                </c:pt>
                <c:pt idx="2607">
                  <c:v>1.7</c:v>
                </c:pt>
                <c:pt idx="2608">
                  <c:v>3.8</c:v>
                </c:pt>
                <c:pt idx="2609">
                  <c:v>7.1</c:v>
                </c:pt>
                <c:pt idx="2610">
                  <c:v>5.6</c:v>
                </c:pt>
                <c:pt idx="2611">
                  <c:v>8.9</c:v>
                </c:pt>
                <c:pt idx="2612">
                  <c:v>1.4</c:v>
                </c:pt>
                <c:pt idx="2613">
                  <c:v>6.8</c:v>
                </c:pt>
                <c:pt idx="2614">
                  <c:v>5.3</c:v>
                </c:pt>
                <c:pt idx="2615">
                  <c:v>2.4</c:v>
                </c:pt>
                <c:pt idx="2616">
                  <c:v>7.7</c:v>
                </c:pt>
                <c:pt idx="2617">
                  <c:v>4.7</c:v>
                </c:pt>
                <c:pt idx="2618">
                  <c:v>5.8</c:v>
                </c:pt>
                <c:pt idx="2619">
                  <c:v>9.6999999999999993</c:v>
                </c:pt>
                <c:pt idx="2620">
                  <c:v>5.4</c:v>
                </c:pt>
                <c:pt idx="2621">
                  <c:v>8.4</c:v>
                </c:pt>
                <c:pt idx="2622">
                  <c:v>7.9</c:v>
                </c:pt>
                <c:pt idx="2623">
                  <c:v>7</c:v>
                </c:pt>
                <c:pt idx="2624">
                  <c:v>9.1</c:v>
                </c:pt>
                <c:pt idx="2625">
                  <c:v>3.3</c:v>
                </c:pt>
                <c:pt idx="2626">
                  <c:v>8.4</c:v>
                </c:pt>
                <c:pt idx="2627">
                  <c:v>4.4000000000000004</c:v>
                </c:pt>
                <c:pt idx="2628">
                  <c:v>8.3000000000000007</c:v>
                </c:pt>
                <c:pt idx="2629">
                  <c:v>5.4</c:v>
                </c:pt>
                <c:pt idx="2630">
                  <c:v>8.6999999999999993</c:v>
                </c:pt>
                <c:pt idx="2631">
                  <c:v>9.1</c:v>
                </c:pt>
                <c:pt idx="2632">
                  <c:v>6.4</c:v>
                </c:pt>
                <c:pt idx="2633">
                  <c:v>5.6</c:v>
                </c:pt>
                <c:pt idx="2634">
                  <c:v>8</c:v>
                </c:pt>
                <c:pt idx="2635">
                  <c:v>3.4</c:v>
                </c:pt>
                <c:pt idx="2636">
                  <c:v>1.1000000000000001</c:v>
                </c:pt>
                <c:pt idx="2637">
                  <c:v>4.7</c:v>
                </c:pt>
                <c:pt idx="2638">
                  <c:v>5.6</c:v>
                </c:pt>
                <c:pt idx="2639">
                  <c:v>3.7</c:v>
                </c:pt>
                <c:pt idx="2640">
                  <c:v>4.5</c:v>
                </c:pt>
                <c:pt idx="2641">
                  <c:v>2.2000000000000002</c:v>
                </c:pt>
                <c:pt idx="2642">
                  <c:v>3.5</c:v>
                </c:pt>
                <c:pt idx="2643">
                  <c:v>3.2</c:v>
                </c:pt>
                <c:pt idx="2644">
                  <c:v>3.7</c:v>
                </c:pt>
                <c:pt idx="2645">
                  <c:v>3.7</c:v>
                </c:pt>
                <c:pt idx="2646">
                  <c:v>6</c:v>
                </c:pt>
                <c:pt idx="2647">
                  <c:v>3.3</c:v>
                </c:pt>
                <c:pt idx="2648">
                  <c:v>9.5</c:v>
                </c:pt>
                <c:pt idx="2649">
                  <c:v>5.6</c:v>
                </c:pt>
                <c:pt idx="2650">
                  <c:v>2.2000000000000002</c:v>
                </c:pt>
                <c:pt idx="2651">
                  <c:v>3.5</c:v>
                </c:pt>
                <c:pt idx="2652">
                  <c:v>7.6</c:v>
                </c:pt>
                <c:pt idx="2653">
                  <c:v>1.1000000000000001</c:v>
                </c:pt>
                <c:pt idx="2654">
                  <c:v>9.4</c:v>
                </c:pt>
                <c:pt idx="2655">
                  <c:v>5</c:v>
                </c:pt>
                <c:pt idx="2656">
                  <c:v>5.7</c:v>
                </c:pt>
                <c:pt idx="2657">
                  <c:v>9.9</c:v>
                </c:pt>
                <c:pt idx="2658">
                  <c:v>5.5</c:v>
                </c:pt>
                <c:pt idx="2659">
                  <c:v>9.5</c:v>
                </c:pt>
                <c:pt idx="2660">
                  <c:v>9.1999999999999993</c:v>
                </c:pt>
                <c:pt idx="2661">
                  <c:v>9.5</c:v>
                </c:pt>
                <c:pt idx="2662">
                  <c:v>8.3000000000000007</c:v>
                </c:pt>
                <c:pt idx="2663">
                  <c:v>3.7</c:v>
                </c:pt>
                <c:pt idx="2664">
                  <c:v>4.0999999999999996</c:v>
                </c:pt>
                <c:pt idx="2665">
                  <c:v>4.3</c:v>
                </c:pt>
                <c:pt idx="2666">
                  <c:v>9.8000000000000007</c:v>
                </c:pt>
                <c:pt idx="2667">
                  <c:v>4.2</c:v>
                </c:pt>
                <c:pt idx="2668">
                  <c:v>2</c:v>
                </c:pt>
                <c:pt idx="2669">
                  <c:v>8</c:v>
                </c:pt>
                <c:pt idx="2670">
                  <c:v>4.3</c:v>
                </c:pt>
                <c:pt idx="2671">
                  <c:v>6.6</c:v>
                </c:pt>
                <c:pt idx="2672">
                  <c:v>9.3000000000000007</c:v>
                </c:pt>
                <c:pt idx="2673">
                  <c:v>6.2</c:v>
                </c:pt>
                <c:pt idx="2674">
                  <c:v>6.7</c:v>
                </c:pt>
                <c:pt idx="2675">
                  <c:v>6.8</c:v>
                </c:pt>
                <c:pt idx="2676">
                  <c:v>6.5</c:v>
                </c:pt>
                <c:pt idx="2677">
                  <c:v>2.4</c:v>
                </c:pt>
                <c:pt idx="2678">
                  <c:v>5.0999999999999996</c:v>
                </c:pt>
                <c:pt idx="2679">
                  <c:v>1.1000000000000001</c:v>
                </c:pt>
                <c:pt idx="2680">
                  <c:v>6.6</c:v>
                </c:pt>
                <c:pt idx="2681">
                  <c:v>6.2</c:v>
                </c:pt>
                <c:pt idx="2682">
                  <c:v>3.9</c:v>
                </c:pt>
                <c:pt idx="2683">
                  <c:v>5.7</c:v>
                </c:pt>
                <c:pt idx="2684">
                  <c:v>5.4</c:v>
                </c:pt>
                <c:pt idx="2685">
                  <c:v>3.3</c:v>
                </c:pt>
                <c:pt idx="2686">
                  <c:v>3.6</c:v>
                </c:pt>
                <c:pt idx="2687">
                  <c:v>7.9</c:v>
                </c:pt>
                <c:pt idx="2688">
                  <c:v>7.8</c:v>
                </c:pt>
                <c:pt idx="2689">
                  <c:v>5.2</c:v>
                </c:pt>
                <c:pt idx="2690">
                  <c:v>7.5</c:v>
                </c:pt>
                <c:pt idx="2691">
                  <c:v>5.0999999999999996</c:v>
                </c:pt>
                <c:pt idx="2692">
                  <c:v>8.6999999999999993</c:v>
                </c:pt>
                <c:pt idx="2693">
                  <c:v>4</c:v>
                </c:pt>
                <c:pt idx="2694">
                  <c:v>9.3000000000000007</c:v>
                </c:pt>
                <c:pt idx="2695">
                  <c:v>5.9</c:v>
                </c:pt>
                <c:pt idx="2696">
                  <c:v>5.8</c:v>
                </c:pt>
                <c:pt idx="2697">
                  <c:v>7</c:v>
                </c:pt>
                <c:pt idx="2698">
                  <c:v>4.0999999999999996</c:v>
                </c:pt>
                <c:pt idx="2699">
                  <c:v>7.5</c:v>
                </c:pt>
                <c:pt idx="2700">
                  <c:v>3.9</c:v>
                </c:pt>
                <c:pt idx="2701">
                  <c:v>4.5999999999999996</c:v>
                </c:pt>
                <c:pt idx="2702">
                  <c:v>7.1</c:v>
                </c:pt>
                <c:pt idx="2703">
                  <c:v>4.4000000000000004</c:v>
                </c:pt>
                <c:pt idx="2704">
                  <c:v>2.8</c:v>
                </c:pt>
                <c:pt idx="2705">
                  <c:v>8.8000000000000007</c:v>
                </c:pt>
                <c:pt idx="2706">
                  <c:v>9.3000000000000007</c:v>
                </c:pt>
                <c:pt idx="2707">
                  <c:v>6.6</c:v>
                </c:pt>
                <c:pt idx="2708">
                  <c:v>8.3000000000000007</c:v>
                </c:pt>
                <c:pt idx="2709">
                  <c:v>9.9</c:v>
                </c:pt>
                <c:pt idx="2710">
                  <c:v>6.5</c:v>
                </c:pt>
                <c:pt idx="2711">
                  <c:v>9.1999999999999993</c:v>
                </c:pt>
                <c:pt idx="2712">
                  <c:v>4.2</c:v>
                </c:pt>
                <c:pt idx="2713">
                  <c:v>7.3</c:v>
                </c:pt>
                <c:pt idx="2714">
                  <c:v>1.5</c:v>
                </c:pt>
                <c:pt idx="2715">
                  <c:v>8.1</c:v>
                </c:pt>
                <c:pt idx="2716">
                  <c:v>8.5</c:v>
                </c:pt>
                <c:pt idx="2717">
                  <c:v>4.5999999999999996</c:v>
                </c:pt>
                <c:pt idx="2718">
                  <c:v>6.8</c:v>
                </c:pt>
                <c:pt idx="2719">
                  <c:v>8.6999999999999993</c:v>
                </c:pt>
                <c:pt idx="2720">
                  <c:v>9</c:v>
                </c:pt>
                <c:pt idx="2721">
                  <c:v>2</c:v>
                </c:pt>
                <c:pt idx="2722">
                  <c:v>8.4</c:v>
                </c:pt>
                <c:pt idx="2723">
                  <c:v>3.5</c:v>
                </c:pt>
                <c:pt idx="2724">
                  <c:v>7.5</c:v>
                </c:pt>
                <c:pt idx="2725">
                  <c:v>3.9</c:v>
                </c:pt>
                <c:pt idx="2726">
                  <c:v>1.5</c:v>
                </c:pt>
                <c:pt idx="2727">
                  <c:v>2.9</c:v>
                </c:pt>
                <c:pt idx="2728">
                  <c:v>4.7</c:v>
                </c:pt>
                <c:pt idx="2729">
                  <c:v>7.7</c:v>
                </c:pt>
                <c:pt idx="2730">
                  <c:v>1.9</c:v>
                </c:pt>
                <c:pt idx="2731">
                  <c:v>8.3000000000000007</c:v>
                </c:pt>
                <c:pt idx="2732">
                  <c:v>10</c:v>
                </c:pt>
                <c:pt idx="2733">
                  <c:v>8.1</c:v>
                </c:pt>
                <c:pt idx="2734">
                  <c:v>5.3</c:v>
                </c:pt>
                <c:pt idx="2735">
                  <c:v>6.1</c:v>
                </c:pt>
                <c:pt idx="2736">
                  <c:v>1.1000000000000001</c:v>
                </c:pt>
                <c:pt idx="2737">
                  <c:v>2.9</c:v>
                </c:pt>
                <c:pt idx="2738">
                  <c:v>9.1</c:v>
                </c:pt>
                <c:pt idx="2739">
                  <c:v>1.2</c:v>
                </c:pt>
                <c:pt idx="2740">
                  <c:v>9.1</c:v>
                </c:pt>
                <c:pt idx="2741">
                  <c:v>2</c:v>
                </c:pt>
                <c:pt idx="2742">
                  <c:v>2.2000000000000002</c:v>
                </c:pt>
                <c:pt idx="2743">
                  <c:v>2.6</c:v>
                </c:pt>
                <c:pt idx="2744">
                  <c:v>8.1999999999999993</c:v>
                </c:pt>
                <c:pt idx="2745">
                  <c:v>5.3</c:v>
                </c:pt>
                <c:pt idx="2746">
                  <c:v>2.2999999999999998</c:v>
                </c:pt>
                <c:pt idx="2747">
                  <c:v>7.2</c:v>
                </c:pt>
                <c:pt idx="2748">
                  <c:v>9.5</c:v>
                </c:pt>
                <c:pt idx="2749">
                  <c:v>6.2</c:v>
                </c:pt>
                <c:pt idx="2750">
                  <c:v>1.9</c:v>
                </c:pt>
                <c:pt idx="2751">
                  <c:v>1.5</c:v>
                </c:pt>
                <c:pt idx="2752">
                  <c:v>8.1999999999999993</c:v>
                </c:pt>
                <c:pt idx="2753">
                  <c:v>6.6</c:v>
                </c:pt>
                <c:pt idx="2754">
                  <c:v>9.3000000000000007</c:v>
                </c:pt>
                <c:pt idx="2755">
                  <c:v>5.9</c:v>
                </c:pt>
                <c:pt idx="2756">
                  <c:v>1.6</c:v>
                </c:pt>
                <c:pt idx="2757">
                  <c:v>4.5999999999999996</c:v>
                </c:pt>
                <c:pt idx="2758">
                  <c:v>6.9</c:v>
                </c:pt>
                <c:pt idx="2759">
                  <c:v>4.5</c:v>
                </c:pt>
                <c:pt idx="2760">
                  <c:v>10</c:v>
                </c:pt>
                <c:pt idx="2761">
                  <c:v>4.5999999999999996</c:v>
                </c:pt>
                <c:pt idx="2762">
                  <c:v>5.9</c:v>
                </c:pt>
                <c:pt idx="2763">
                  <c:v>3</c:v>
                </c:pt>
                <c:pt idx="2764">
                  <c:v>2.4</c:v>
                </c:pt>
                <c:pt idx="2765">
                  <c:v>6.8</c:v>
                </c:pt>
                <c:pt idx="2766">
                  <c:v>6.3</c:v>
                </c:pt>
                <c:pt idx="2767">
                  <c:v>1</c:v>
                </c:pt>
                <c:pt idx="2768">
                  <c:v>3.6</c:v>
                </c:pt>
                <c:pt idx="2769">
                  <c:v>6.8</c:v>
                </c:pt>
                <c:pt idx="2770">
                  <c:v>8.3000000000000007</c:v>
                </c:pt>
                <c:pt idx="2771">
                  <c:v>3.8</c:v>
                </c:pt>
                <c:pt idx="2772">
                  <c:v>6.8</c:v>
                </c:pt>
                <c:pt idx="2773">
                  <c:v>3.4</c:v>
                </c:pt>
                <c:pt idx="2774">
                  <c:v>7.2</c:v>
                </c:pt>
                <c:pt idx="2775">
                  <c:v>7.3</c:v>
                </c:pt>
                <c:pt idx="2776">
                  <c:v>2.2000000000000002</c:v>
                </c:pt>
                <c:pt idx="2777">
                  <c:v>7</c:v>
                </c:pt>
                <c:pt idx="2778">
                  <c:v>4</c:v>
                </c:pt>
                <c:pt idx="2779">
                  <c:v>2.6</c:v>
                </c:pt>
                <c:pt idx="2780">
                  <c:v>5.5</c:v>
                </c:pt>
                <c:pt idx="2781">
                  <c:v>5.0999999999999996</c:v>
                </c:pt>
                <c:pt idx="2782">
                  <c:v>8</c:v>
                </c:pt>
                <c:pt idx="2783">
                  <c:v>1.8</c:v>
                </c:pt>
                <c:pt idx="2784">
                  <c:v>8.1</c:v>
                </c:pt>
                <c:pt idx="2785">
                  <c:v>2</c:v>
                </c:pt>
                <c:pt idx="2786">
                  <c:v>2.9</c:v>
                </c:pt>
                <c:pt idx="2787">
                  <c:v>5.6</c:v>
                </c:pt>
                <c:pt idx="2788">
                  <c:v>5.2</c:v>
                </c:pt>
                <c:pt idx="2789">
                  <c:v>9.9</c:v>
                </c:pt>
                <c:pt idx="2790">
                  <c:v>6.3</c:v>
                </c:pt>
                <c:pt idx="2791">
                  <c:v>3.9</c:v>
                </c:pt>
                <c:pt idx="2792">
                  <c:v>9.1</c:v>
                </c:pt>
                <c:pt idx="2793">
                  <c:v>3.8</c:v>
                </c:pt>
                <c:pt idx="2794">
                  <c:v>3.5</c:v>
                </c:pt>
                <c:pt idx="2795">
                  <c:v>5.4</c:v>
                </c:pt>
                <c:pt idx="2796">
                  <c:v>9.1999999999999993</c:v>
                </c:pt>
                <c:pt idx="2797">
                  <c:v>7.4</c:v>
                </c:pt>
                <c:pt idx="2798">
                  <c:v>7.1</c:v>
                </c:pt>
                <c:pt idx="2799">
                  <c:v>7.5</c:v>
                </c:pt>
                <c:pt idx="2800">
                  <c:v>6.9</c:v>
                </c:pt>
                <c:pt idx="2801">
                  <c:v>7.8</c:v>
                </c:pt>
                <c:pt idx="2802">
                  <c:v>2.7</c:v>
                </c:pt>
                <c:pt idx="2803">
                  <c:v>2.6</c:v>
                </c:pt>
                <c:pt idx="2804">
                  <c:v>4.3</c:v>
                </c:pt>
                <c:pt idx="2805">
                  <c:v>8.6999999999999993</c:v>
                </c:pt>
                <c:pt idx="2806">
                  <c:v>7.4</c:v>
                </c:pt>
                <c:pt idx="2807">
                  <c:v>6.1</c:v>
                </c:pt>
                <c:pt idx="2808">
                  <c:v>1.2</c:v>
                </c:pt>
                <c:pt idx="2809">
                  <c:v>3.1</c:v>
                </c:pt>
                <c:pt idx="2810">
                  <c:v>8.1999999999999993</c:v>
                </c:pt>
                <c:pt idx="2811">
                  <c:v>3.2</c:v>
                </c:pt>
                <c:pt idx="2812">
                  <c:v>7.6</c:v>
                </c:pt>
                <c:pt idx="2813">
                  <c:v>2.7</c:v>
                </c:pt>
                <c:pt idx="2814">
                  <c:v>6.5</c:v>
                </c:pt>
                <c:pt idx="2815">
                  <c:v>6.7</c:v>
                </c:pt>
                <c:pt idx="2816">
                  <c:v>7.8</c:v>
                </c:pt>
                <c:pt idx="2817">
                  <c:v>4.9000000000000004</c:v>
                </c:pt>
                <c:pt idx="2818">
                  <c:v>6.7</c:v>
                </c:pt>
                <c:pt idx="2819">
                  <c:v>5.4</c:v>
                </c:pt>
                <c:pt idx="2820">
                  <c:v>9.5</c:v>
                </c:pt>
                <c:pt idx="2821">
                  <c:v>5.7</c:v>
                </c:pt>
                <c:pt idx="2822">
                  <c:v>2.9</c:v>
                </c:pt>
                <c:pt idx="2823">
                  <c:v>7</c:v>
                </c:pt>
                <c:pt idx="2824">
                  <c:v>5.9</c:v>
                </c:pt>
                <c:pt idx="2825">
                  <c:v>8.1999999999999993</c:v>
                </c:pt>
                <c:pt idx="2826">
                  <c:v>2.6</c:v>
                </c:pt>
                <c:pt idx="2827">
                  <c:v>3.3</c:v>
                </c:pt>
                <c:pt idx="2828">
                  <c:v>9.3000000000000007</c:v>
                </c:pt>
                <c:pt idx="2829">
                  <c:v>9.4</c:v>
                </c:pt>
                <c:pt idx="2830">
                  <c:v>5</c:v>
                </c:pt>
                <c:pt idx="2831">
                  <c:v>1.4</c:v>
                </c:pt>
                <c:pt idx="2832">
                  <c:v>3.8</c:v>
                </c:pt>
                <c:pt idx="2833">
                  <c:v>3.2</c:v>
                </c:pt>
                <c:pt idx="2834">
                  <c:v>4.7</c:v>
                </c:pt>
                <c:pt idx="2835">
                  <c:v>3.9</c:v>
                </c:pt>
                <c:pt idx="2836">
                  <c:v>8.5</c:v>
                </c:pt>
                <c:pt idx="2837">
                  <c:v>1</c:v>
                </c:pt>
                <c:pt idx="2838">
                  <c:v>6.8</c:v>
                </c:pt>
                <c:pt idx="2839">
                  <c:v>7</c:v>
                </c:pt>
                <c:pt idx="2840">
                  <c:v>6.9</c:v>
                </c:pt>
                <c:pt idx="2841">
                  <c:v>5.7</c:v>
                </c:pt>
                <c:pt idx="2842">
                  <c:v>6.5</c:v>
                </c:pt>
                <c:pt idx="2843">
                  <c:v>8.3000000000000007</c:v>
                </c:pt>
                <c:pt idx="2844">
                  <c:v>8.1</c:v>
                </c:pt>
                <c:pt idx="2845">
                  <c:v>1.3</c:v>
                </c:pt>
                <c:pt idx="2846">
                  <c:v>1.3</c:v>
                </c:pt>
                <c:pt idx="2847">
                  <c:v>8.6</c:v>
                </c:pt>
                <c:pt idx="2848">
                  <c:v>6.2</c:v>
                </c:pt>
                <c:pt idx="2849">
                  <c:v>9.6</c:v>
                </c:pt>
                <c:pt idx="2850">
                  <c:v>4.9000000000000004</c:v>
                </c:pt>
                <c:pt idx="2851">
                  <c:v>2.6</c:v>
                </c:pt>
                <c:pt idx="2852">
                  <c:v>5.3</c:v>
                </c:pt>
                <c:pt idx="2853">
                  <c:v>4.9000000000000004</c:v>
                </c:pt>
                <c:pt idx="2854">
                  <c:v>5.7</c:v>
                </c:pt>
                <c:pt idx="2855">
                  <c:v>8.3000000000000007</c:v>
                </c:pt>
                <c:pt idx="2856">
                  <c:v>6.9</c:v>
                </c:pt>
                <c:pt idx="2857">
                  <c:v>2.7</c:v>
                </c:pt>
                <c:pt idx="2858">
                  <c:v>7.6</c:v>
                </c:pt>
                <c:pt idx="2859">
                  <c:v>6.3</c:v>
                </c:pt>
                <c:pt idx="2860">
                  <c:v>6.2</c:v>
                </c:pt>
                <c:pt idx="2861">
                  <c:v>7.1</c:v>
                </c:pt>
                <c:pt idx="2862">
                  <c:v>6.1</c:v>
                </c:pt>
                <c:pt idx="2863">
                  <c:v>5.0999999999999996</c:v>
                </c:pt>
                <c:pt idx="2864">
                  <c:v>6.8</c:v>
                </c:pt>
                <c:pt idx="2865">
                  <c:v>7.5</c:v>
                </c:pt>
                <c:pt idx="2866">
                  <c:v>3</c:v>
                </c:pt>
                <c:pt idx="2867">
                  <c:v>5.5</c:v>
                </c:pt>
                <c:pt idx="2868">
                  <c:v>5.0999999999999996</c:v>
                </c:pt>
                <c:pt idx="2869">
                  <c:v>1.4</c:v>
                </c:pt>
                <c:pt idx="2870">
                  <c:v>8.5</c:v>
                </c:pt>
                <c:pt idx="2871">
                  <c:v>4.4000000000000004</c:v>
                </c:pt>
                <c:pt idx="2872">
                  <c:v>1.7</c:v>
                </c:pt>
                <c:pt idx="2873">
                  <c:v>5.0999999999999996</c:v>
                </c:pt>
                <c:pt idx="2874">
                  <c:v>2.5</c:v>
                </c:pt>
                <c:pt idx="2875">
                  <c:v>7.3</c:v>
                </c:pt>
                <c:pt idx="2876">
                  <c:v>6.1</c:v>
                </c:pt>
                <c:pt idx="2877">
                  <c:v>3.4</c:v>
                </c:pt>
                <c:pt idx="2878">
                  <c:v>9.6</c:v>
                </c:pt>
                <c:pt idx="2879">
                  <c:v>3.6</c:v>
                </c:pt>
                <c:pt idx="2880">
                  <c:v>6</c:v>
                </c:pt>
                <c:pt idx="2881">
                  <c:v>8.1999999999999993</c:v>
                </c:pt>
                <c:pt idx="2882">
                  <c:v>5.6</c:v>
                </c:pt>
                <c:pt idx="2883">
                  <c:v>9.6</c:v>
                </c:pt>
                <c:pt idx="2884">
                  <c:v>8.6</c:v>
                </c:pt>
                <c:pt idx="2885">
                  <c:v>9.3000000000000007</c:v>
                </c:pt>
                <c:pt idx="2886">
                  <c:v>4.4000000000000004</c:v>
                </c:pt>
                <c:pt idx="2887">
                  <c:v>5.9</c:v>
                </c:pt>
                <c:pt idx="2888">
                  <c:v>8.6</c:v>
                </c:pt>
                <c:pt idx="2889">
                  <c:v>9.1</c:v>
                </c:pt>
                <c:pt idx="2890">
                  <c:v>9.5</c:v>
                </c:pt>
                <c:pt idx="2891">
                  <c:v>8.9</c:v>
                </c:pt>
                <c:pt idx="2892">
                  <c:v>7.6</c:v>
                </c:pt>
                <c:pt idx="2893">
                  <c:v>1.2</c:v>
                </c:pt>
                <c:pt idx="2894">
                  <c:v>3.8</c:v>
                </c:pt>
                <c:pt idx="2895">
                  <c:v>2.2000000000000002</c:v>
                </c:pt>
                <c:pt idx="2896">
                  <c:v>2.4</c:v>
                </c:pt>
                <c:pt idx="2897">
                  <c:v>3.6</c:v>
                </c:pt>
                <c:pt idx="2898">
                  <c:v>1.7</c:v>
                </c:pt>
                <c:pt idx="2899">
                  <c:v>3.2</c:v>
                </c:pt>
                <c:pt idx="2900">
                  <c:v>9.6</c:v>
                </c:pt>
                <c:pt idx="2901">
                  <c:v>3.8</c:v>
                </c:pt>
                <c:pt idx="2902">
                  <c:v>2.4</c:v>
                </c:pt>
                <c:pt idx="2903">
                  <c:v>7.5</c:v>
                </c:pt>
                <c:pt idx="2904">
                  <c:v>8.5</c:v>
                </c:pt>
                <c:pt idx="2905">
                  <c:v>3.8</c:v>
                </c:pt>
                <c:pt idx="2906">
                  <c:v>3.5</c:v>
                </c:pt>
                <c:pt idx="2907">
                  <c:v>3.2</c:v>
                </c:pt>
                <c:pt idx="2908">
                  <c:v>4.5</c:v>
                </c:pt>
                <c:pt idx="2909">
                  <c:v>1.8</c:v>
                </c:pt>
                <c:pt idx="2910">
                  <c:v>7</c:v>
                </c:pt>
                <c:pt idx="2911">
                  <c:v>8.4</c:v>
                </c:pt>
                <c:pt idx="2912">
                  <c:v>7</c:v>
                </c:pt>
                <c:pt idx="2913">
                  <c:v>4.8</c:v>
                </c:pt>
                <c:pt idx="2914">
                  <c:v>3.6</c:v>
                </c:pt>
                <c:pt idx="2915">
                  <c:v>4.7</c:v>
                </c:pt>
                <c:pt idx="2916">
                  <c:v>4.8</c:v>
                </c:pt>
                <c:pt idx="2917">
                  <c:v>7</c:v>
                </c:pt>
                <c:pt idx="2918">
                  <c:v>9.4</c:v>
                </c:pt>
                <c:pt idx="2919">
                  <c:v>1.6</c:v>
                </c:pt>
                <c:pt idx="2920">
                  <c:v>9.6</c:v>
                </c:pt>
                <c:pt idx="2921">
                  <c:v>9.1999999999999993</c:v>
                </c:pt>
                <c:pt idx="2922">
                  <c:v>2.1</c:v>
                </c:pt>
                <c:pt idx="2923">
                  <c:v>2.7</c:v>
                </c:pt>
                <c:pt idx="2924">
                  <c:v>3.8</c:v>
                </c:pt>
                <c:pt idx="2925">
                  <c:v>6</c:v>
                </c:pt>
                <c:pt idx="2926">
                  <c:v>2.2000000000000002</c:v>
                </c:pt>
                <c:pt idx="2927">
                  <c:v>2.8</c:v>
                </c:pt>
                <c:pt idx="2928">
                  <c:v>9.1</c:v>
                </c:pt>
                <c:pt idx="2929">
                  <c:v>2</c:v>
                </c:pt>
                <c:pt idx="2930">
                  <c:v>4.5999999999999996</c:v>
                </c:pt>
                <c:pt idx="2931">
                  <c:v>7.9</c:v>
                </c:pt>
                <c:pt idx="2932">
                  <c:v>9</c:v>
                </c:pt>
                <c:pt idx="2933">
                  <c:v>4</c:v>
                </c:pt>
                <c:pt idx="2934">
                  <c:v>2.5</c:v>
                </c:pt>
                <c:pt idx="2935">
                  <c:v>7.6</c:v>
                </c:pt>
                <c:pt idx="2936">
                  <c:v>8</c:v>
                </c:pt>
                <c:pt idx="2937">
                  <c:v>9.8000000000000007</c:v>
                </c:pt>
                <c:pt idx="2938">
                  <c:v>2.2999999999999998</c:v>
                </c:pt>
                <c:pt idx="2939">
                  <c:v>7.4</c:v>
                </c:pt>
                <c:pt idx="2940">
                  <c:v>4.8</c:v>
                </c:pt>
                <c:pt idx="2941">
                  <c:v>9.1999999999999993</c:v>
                </c:pt>
                <c:pt idx="2942">
                  <c:v>4.7</c:v>
                </c:pt>
                <c:pt idx="2943">
                  <c:v>5</c:v>
                </c:pt>
                <c:pt idx="2944">
                  <c:v>2.1</c:v>
                </c:pt>
                <c:pt idx="2945">
                  <c:v>3.9</c:v>
                </c:pt>
                <c:pt idx="2946">
                  <c:v>4.5999999999999996</c:v>
                </c:pt>
                <c:pt idx="2947">
                  <c:v>1.2</c:v>
                </c:pt>
                <c:pt idx="2948">
                  <c:v>4.9000000000000004</c:v>
                </c:pt>
                <c:pt idx="2949">
                  <c:v>4</c:v>
                </c:pt>
                <c:pt idx="2950">
                  <c:v>8.1999999999999993</c:v>
                </c:pt>
                <c:pt idx="2951">
                  <c:v>2</c:v>
                </c:pt>
                <c:pt idx="2952">
                  <c:v>7.8</c:v>
                </c:pt>
                <c:pt idx="2953">
                  <c:v>7.4</c:v>
                </c:pt>
                <c:pt idx="2954">
                  <c:v>3.2</c:v>
                </c:pt>
                <c:pt idx="2955">
                  <c:v>1.7</c:v>
                </c:pt>
                <c:pt idx="2956">
                  <c:v>8.6</c:v>
                </c:pt>
                <c:pt idx="2957">
                  <c:v>3.2</c:v>
                </c:pt>
                <c:pt idx="2958">
                  <c:v>2.2999999999999998</c:v>
                </c:pt>
                <c:pt idx="2959">
                  <c:v>4.2</c:v>
                </c:pt>
                <c:pt idx="2960">
                  <c:v>4.5999999999999996</c:v>
                </c:pt>
                <c:pt idx="2961">
                  <c:v>3.9</c:v>
                </c:pt>
                <c:pt idx="2962">
                  <c:v>9.8000000000000007</c:v>
                </c:pt>
                <c:pt idx="2963">
                  <c:v>8.9</c:v>
                </c:pt>
                <c:pt idx="2964">
                  <c:v>8.9</c:v>
                </c:pt>
                <c:pt idx="2965">
                  <c:v>4.5999999999999996</c:v>
                </c:pt>
                <c:pt idx="2966">
                  <c:v>9.6999999999999993</c:v>
                </c:pt>
                <c:pt idx="2967">
                  <c:v>7.2</c:v>
                </c:pt>
                <c:pt idx="2968">
                  <c:v>8.5</c:v>
                </c:pt>
                <c:pt idx="2969">
                  <c:v>5.5</c:v>
                </c:pt>
                <c:pt idx="2970">
                  <c:v>2.4</c:v>
                </c:pt>
                <c:pt idx="2971">
                  <c:v>9</c:v>
                </c:pt>
                <c:pt idx="2972">
                  <c:v>5.4</c:v>
                </c:pt>
                <c:pt idx="2973">
                  <c:v>9.6999999999999993</c:v>
                </c:pt>
                <c:pt idx="2974">
                  <c:v>3.3</c:v>
                </c:pt>
                <c:pt idx="2975">
                  <c:v>9.9</c:v>
                </c:pt>
                <c:pt idx="2976">
                  <c:v>3</c:v>
                </c:pt>
                <c:pt idx="2977">
                  <c:v>4.3</c:v>
                </c:pt>
                <c:pt idx="2978">
                  <c:v>6.3</c:v>
                </c:pt>
                <c:pt idx="2979">
                  <c:v>7.2</c:v>
                </c:pt>
                <c:pt idx="2980">
                  <c:v>7.5</c:v>
                </c:pt>
                <c:pt idx="2981">
                  <c:v>5.3</c:v>
                </c:pt>
                <c:pt idx="2982">
                  <c:v>1.7</c:v>
                </c:pt>
                <c:pt idx="2983">
                  <c:v>5.5</c:v>
                </c:pt>
                <c:pt idx="2984">
                  <c:v>4</c:v>
                </c:pt>
                <c:pt idx="2985">
                  <c:v>6.9</c:v>
                </c:pt>
                <c:pt idx="2986">
                  <c:v>2.6</c:v>
                </c:pt>
                <c:pt idx="2987">
                  <c:v>4.5</c:v>
                </c:pt>
                <c:pt idx="2988">
                  <c:v>9.6999999999999993</c:v>
                </c:pt>
                <c:pt idx="2989">
                  <c:v>1.8</c:v>
                </c:pt>
                <c:pt idx="2990">
                  <c:v>6.4</c:v>
                </c:pt>
                <c:pt idx="2991">
                  <c:v>1.8</c:v>
                </c:pt>
                <c:pt idx="2992">
                  <c:v>2.4</c:v>
                </c:pt>
                <c:pt idx="2993">
                  <c:v>6.4</c:v>
                </c:pt>
                <c:pt idx="2994">
                  <c:v>5</c:v>
                </c:pt>
                <c:pt idx="2995">
                  <c:v>5.9</c:v>
                </c:pt>
                <c:pt idx="2996">
                  <c:v>8.9</c:v>
                </c:pt>
                <c:pt idx="2997">
                  <c:v>8.4</c:v>
                </c:pt>
                <c:pt idx="2998">
                  <c:v>9</c:v>
                </c:pt>
                <c:pt idx="2999">
                  <c:v>6.5</c:v>
                </c:pt>
                <c:pt idx="3000">
                  <c:v>5.4</c:v>
                </c:pt>
                <c:pt idx="3001">
                  <c:v>5.0999999999999996</c:v>
                </c:pt>
                <c:pt idx="3002">
                  <c:v>7.7</c:v>
                </c:pt>
                <c:pt idx="3003">
                  <c:v>5.7</c:v>
                </c:pt>
                <c:pt idx="3004">
                  <c:v>2</c:v>
                </c:pt>
                <c:pt idx="3005">
                  <c:v>2.2999999999999998</c:v>
                </c:pt>
                <c:pt idx="3006">
                  <c:v>4.2</c:v>
                </c:pt>
                <c:pt idx="3007">
                  <c:v>1.6</c:v>
                </c:pt>
                <c:pt idx="3008">
                  <c:v>3.2</c:v>
                </c:pt>
                <c:pt idx="3009">
                  <c:v>6.9</c:v>
                </c:pt>
                <c:pt idx="3010">
                  <c:v>1.1000000000000001</c:v>
                </c:pt>
                <c:pt idx="3011">
                  <c:v>6.4</c:v>
                </c:pt>
                <c:pt idx="3012">
                  <c:v>8</c:v>
                </c:pt>
                <c:pt idx="3013">
                  <c:v>2.5</c:v>
                </c:pt>
                <c:pt idx="3014">
                  <c:v>2.6</c:v>
                </c:pt>
                <c:pt idx="3015">
                  <c:v>1.3</c:v>
                </c:pt>
                <c:pt idx="3016">
                  <c:v>5.6</c:v>
                </c:pt>
                <c:pt idx="3017">
                  <c:v>6.9</c:v>
                </c:pt>
                <c:pt idx="3018">
                  <c:v>5.0999999999999996</c:v>
                </c:pt>
                <c:pt idx="3019">
                  <c:v>4.5</c:v>
                </c:pt>
                <c:pt idx="3020">
                  <c:v>5.0999999999999996</c:v>
                </c:pt>
                <c:pt idx="3021">
                  <c:v>8</c:v>
                </c:pt>
                <c:pt idx="3022">
                  <c:v>1.3</c:v>
                </c:pt>
                <c:pt idx="3023">
                  <c:v>8.1</c:v>
                </c:pt>
                <c:pt idx="3024">
                  <c:v>7</c:v>
                </c:pt>
                <c:pt idx="3025">
                  <c:v>3.2</c:v>
                </c:pt>
                <c:pt idx="3026">
                  <c:v>5.7</c:v>
                </c:pt>
                <c:pt idx="3027">
                  <c:v>1.4</c:v>
                </c:pt>
                <c:pt idx="3028">
                  <c:v>4.4000000000000004</c:v>
                </c:pt>
                <c:pt idx="3029">
                  <c:v>2.6</c:v>
                </c:pt>
                <c:pt idx="3030">
                  <c:v>1.2</c:v>
                </c:pt>
                <c:pt idx="3031">
                  <c:v>4.2</c:v>
                </c:pt>
                <c:pt idx="3032">
                  <c:v>7.5</c:v>
                </c:pt>
                <c:pt idx="3033">
                  <c:v>9.3000000000000007</c:v>
                </c:pt>
                <c:pt idx="3034">
                  <c:v>7</c:v>
                </c:pt>
                <c:pt idx="3035">
                  <c:v>4.5999999999999996</c:v>
                </c:pt>
                <c:pt idx="3036">
                  <c:v>10</c:v>
                </c:pt>
                <c:pt idx="3037">
                  <c:v>3.5</c:v>
                </c:pt>
                <c:pt idx="3038">
                  <c:v>2.7</c:v>
                </c:pt>
                <c:pt idx="3039">
                  <c:v>5.2</c:v>
                </c:pt>
                <c:pt idx="3040">
                  <c:v>5.5</c:v>
                </c:pt>
                <c:pt idx="3041">
                  <c:v>4.2</c:v>
                </c:pt>
                <c:pt idx="3042">
                  <c:v>7.3</c:v>
                </c:pt>
                <c:pt idx="3043">
                  <c:v>2.7</c:v>
                </c:pt>
                <c:pt idx="3044">
                  <c:v>5.6</c:v>
                </c:pt>
                <c:pt idx="3045">
                  <c:v>5.5</c:v>
                </c:pt>
                <c:pt idx="3046">
                  <c:v>8.4</c:v>
                </c:pt>
                <c:pt idx="3047">
                  <c:v>9.3000000000000007</c:v>
                </c:pt>
                <c:pt idx="3048">
                  <c:v>7</c:v>
                </c:pt>
                <c:pt idx="3049">
                  <c:v>3.7</c:v>
                </c:pt>
                <c:pt idx="3050">
                  <c:v>7.2</c:v>
                </c:pt>
                <c:pt idx="3051">
                  <c:v>3.3</c:v>
                </c:pt>
                <c:pt idx="3052">
                  <c:v>9.6999999999999993</c:v>
                </c:pt>
                <c:pt idx="3053">
                  <c:v>8.4</c:v>
                </c:pt>
                <c:pt idx="3054">
                  <c:v>4.9000000000000004</c:v>
                </c:pt>
                <c:pt idx="3055">
                  <c:v>8.1</c:v>
                </c:pt>
                <c:pt idx="3056">
                  <c:v>4.7</c:v>
                </c:pt>
                <c:pt idx="3057">
                  <c:v>1.7</c:v>
                </c:pt>
                <c:pt idx="3058">
                  <c:v>7.4</c:v>
                </c:pt>
                <c:pt idx="3059">
                  <c:v>4.5999999999999996</c:v>
                </c:pt>
                <c:pt idx="3060">
                  <c:v>9.4</c:v>
                </c:pt>
                <c:pt idx="3061">
                  <c:v>3.8</c:v>
                </c:pt>
                <c:pt idx="3062">
                  <c:v>8.6</c:v>
                </c:pt>
                <c:pt idx="3063">
                  <c:v>7.1</c:v>
                </c:pt>
                <c:pt idx="3064">
                  <c:v>8.6999999999999993</c:v>
                </c:pt>
                <c:pt idx="3065">
                  <c:v>3.6</c:v>
                </c:pt>
                <c:pt idx="3066">
                  <c:v>5.2</c:v>
                </c:pt>
                <c:pt idx="3067">
                  <c:v>8.4</c:v>
                </c:pt>
                <c:pt idx="3068">
                  <c:v>6.8</c:v>
                </c:pt>
                <c:pt idx="3069">
                  <c:v>4.2</c:v>
                </c:pt>
                <c:pt idx="3070">
                  <c:v>5.6</c:v>
                </c:pt>
                <c:pt idx="3071">
                  <c:v>10</c:v>
                </c:pt>
                <c:pt idx="3072">
                  <c:v>7.7</c:v>
                </c:pt>
                <c:pt idx="3073">
                  <c:v>6.5</c:v>
                </c:pt>
                <c:pt idx="3074">
                  <c:v>8.5</c:v>
                </c:pt>
                <c:pt idx="3075">
                  <c:v>5</c:v>
                </c:pt>
                <c:pt idx="3076">
                  <c:v>9.6</c:v>
                </c:pt>
                <c:pt idx="3077">
                  <c:v>6</c:v>
                </c:pt>
                <c:pt idx="3078">
                  <c:v>3.9</c:v>
                </c:pt>
                <c:pt idx="3079">
                  <c:v>1.8</c:v>
                </c:pt>
                <c:pt idx="3080">
                  <c:v>4.4000000000000004</c:v>
                </c:pt>
                <c:pt idx="3081">
                  <c:v>6.1</c:v>
                </c:pt>
                <c:pt idx="3082">
                  <c:v>7.3</c:v>
                </c:pt>
                <c:pt idx="3083">
                  <c:v>8.9</c:v>
                </c:pt>
                <c:pt idx="3084">
                  <c:v>9.5</c:v>
                </c:pt>
                <c:pt idx="3085">
                  <c:v>1.9</c:v>
                </c:pt>
                <c:pt idx="3086">
                  <c:v>6.4</c:v>
                </c:pt>
                <c:pt idx="3087">
                  <c:v>7</c:v>
                </c:pt>
                <c:pt idx="3088">
                  <c:v>2.5</c:v>
                </c:pt>
                <c:pt idx="3089">
                  <c:v>5.9</c:v>
                </c:pt>
                <c:pt idx="3090">
                  <c:v>4</c:v>
                </c:pt>
                <c:pt idx="3091">
                  <c:v>1.7</c:v>
                </c:pt>
                <c:pt idx="3092">
                  <c:v>1.6</c:v>
                </c:pt>
                <c:pt idx="3093">
                  <c:v>7.8</c:v>
                </c:pt>
                <c:pt idx="3094">
                  <c:v>6.5</c:v>
                </c:pt>
                <c:pt idx="3095">
                  <c:v>7.4</c:v>
                </c:pt>
                <c:pt idx="3096">
                  <c:v>7.2</c:v>
                </c:pt>
                <c:pt idx="3097">
                  <c:v>2.2000000000000002</c:v>
                </c:pt>
                <c:pt idx="3098">
                  <c:v>2.4</c:v>
                </c:pt>
                <c:pt idx="3099">
                  <c:v>3.3</c:v>
                </c:pt>
                <c:pt idx="3100">
                  <c:v>4.5999999999999996</c:v>
                </c:pt>
                <c:pt idx="3101">
                  <c:v>9.5</c:v>
                </c:pt>
                <c:pt idx="3102">
                  <c:v>7.1</c:v>
                </c:pt>
                <c:pt idx="3103">
                  <c:v>3.3</c:v>
                </c:pt>
                <c:pt idx="3104">
                  <c:v>1.5</c:v>
                </c:pt>
                <c:pt idx="3105">
                  <c:v>7.2</c:v>
                </c:pt>
                <c:pt idx="3106">
                  <c:v>6.6</c:v>
                </c:pt>
                <c:pt idx="3107">
                  <c:v>7.1</c:v>
                </c:pt>
                <c:pt idx="3108">
                  <c:v>3.4</c:v>
                </c:pt>
                <c:pt idx="3109">
                  <c:v>5.7</c:v>
                </c:pt>
                <c:pt idx="3110">
                  <c:v>4.3</c:v>
                </c:pt>
                <c:pt idx="3111">
                  <c:v>8.4</c:v>
                </c:pt>
                <c:pt idx="3112">
                  <c:v>1.6</c:v>
                </c:pt>
                <c:pt idx="3113">
                  <c:v>3.5</c:v>
                </c:pt>
                <c:pt idx="3114">
                  <c:v>6.4</c:v>
                </c:pt>
                <c:pt idx="3115">
                  <c:v>2.8</c:v>
                </c:pt>
                <c:pt idx="3116">
                  <c:v>7.1</c:v>
                </c:pt>
                <c:pt idx="3117">
                  <c:v>2.2000000000000002</c:v>
                </c:pt>
                <c:pt idx="3118">
                  <c:v>1.2</c:v>
                </c:pt>
                <c:pt idx="3119">
                  <c:v>8.8000000000000007</c:v>
                </c:pt>
                <c:pt idx="3120">
                  <c:v>4</c:v>
                </c:pt>
                <c:pt idx="3121">
                  <c:v>2.4</c:v>
                </c:pt>
                <c:pt idx="3122">
                  <c:v>2.6</c:v>
                </c:pt>
                <c:pt idx="3123">
                  <c:v>9</c:v>
                </c:pt>
                <c:pt idx="3124">
                  <c:v>6.9</c:v>
                </c:pt>
                <c:pt idx="3125">
                  <c:v>9.6</c:v>
                </c:pt>
                <c:pt idx="3126">
                  <c:v>8.1999999999999993</c:v>
                </c:pt>
                <c:pt idx="3127">
                  <c:v>7.9</c:v>
                </c:pt>
                <c:pt idx="3128">
                  <c:v>5.5</c:v>
                </c:pt>
                <c:pt idx="3129">
                  <c:v>8.4</c:v>
                </c:pt>
                <c:pt idx="3130">
                  <c:v>4.7</c:v>
                </c:pt>
                <c:pt idx="3131">
                  <c:v>8.4</c:v>
                </c:pt>
                <c:pt idx="3132">
                  <c:v>7.8</c:v>
                </c:pt>
                <c:pt idx="3133">
                  <c:v>7.1</c:v>
                </c:pt>
                <c:pt idx="3134">
                  <c:v>4</c:v>
                </c:pt>
                <c:pt idx="3135">
                  <c:v>6.7</c:v>
                </c:pt>
                <c:pt idx="3136">
                  <c:v>5.6</c:v>
                </c:pt>
                <c:pt idx="3137">
                  <c:v>5.2</c:v>
                </c:pt>
                <c:pt idx="3138">
                  <c:v>9.9</c:v>
                </c:pt>
                <c:pt idx="3139">
                  <c:v>5.5</c:v>
                </c:pt>
                <c:pt idx="3140">
                  <c:v>1.3</c:v>
                </c:pt>
                <c:pt idx="3141">
                  <c:v>6.6</c:v>
                </c:pt>
                <c:pt idx="3142">
                  <c:v>7.6</c:v>
                </c:pt>
                <c:pt idx="3143">
                  <c:v>9</c:v>
                </c:pt>
                <c:pt idx="3144">
                  <c:v>6.7</c:v>
                </c:pt>
                <c:pt idx="3145">
                  <c:v>1.2</c:v>
                </c:pt>
                <c:pt idx="3146">
                  <c:v>2.1</c:v>
                </c:pt>
                <c:pt idx="3147">
                  <c:v>2.5</c:v>
                </c:pt>
                <c:pt idx="3148">
                  <c:v>2.9</c:v>
                </c:pt>
                <c:pt idx="3149">
                  <c:v>8.1999999999999993</c:v>
                </c:pt>
                <c:pt idx="3150">
                  <c:v>3.8</c:v>
                </c:pt>
                <c:pt idx="3151">
                  <c:v>3.8</c:v>
                </c:pt>
                <c:pt idx="3152">
                  <c:v>7.8</c:v>
                </c:pt>
                <c:pt idx="3153">
                  <c:v>4.7</c:v>
                </c:pt>
                <c:pt idx="3154">
                  <c:v>1.6</c:v>
                </c:pt>
                <c:pt idx="3155">
                  <c:v>6.3</c:v>
                </c:pt>
                <c:pt idx="3156">
                  <c:v>2.2000000000000002</c:v>
                </c:pt>
                <c:pt idx="3157">
                  <c:v>6.1</c:v>
                </c:pt>
                <c:pt idx="3158">
                  <c:v>8</c:v>
                </c:pt>
                <c:pt idx="3159">
                  <c:v>9.4</c:v>
                </c:pt>
                <c:pt idx="3160">
                  <c:v>1.6</c:v>
                </c:pt>
                <c:pt idx="3161">
                  <c:v>3.7</c:v>
                </c:pt>
                <c:pt idx="3162">
                  <c:v>6.9</c:v>
                </c:pt>
                <c:pt idx="3163">
                  <c:v>3.8</c:v>
                </c:pt>
                <c:pt idx="3164">
                  <c:v>5.0999999999999996</c:v>
                </c:pt>
                <c:pt idx="3165">
                  <c:v>1.2</c:v>
                </c:pt>
                <c:pt idx="3166">
                  <c:v>7.2</c:v>
                </c:pt>
                <c:pt idx="3167">
                  <c:v>8.9</c:v>
                </c:pt>
                <c:pt idx="3168">
                  <c:v>9.8000000000000007</c:v>
                </c:pt>
                <c:pt idx="3169">
                  <c:v>8.5</c:v>
                </c:pt>
                <c:pt idx="3170">
                  <c:v>1.3</c:v>
                </c:pt>
                <c:pt idx="3171">
                  <c:v>6.9</c:v>
                </c:pt>
                <c:pt idx="3172">
                  <c:v>5.5</c:v>
                </c:pt>
                <c:pt idx="3173">
                  <c:v>9.4</c:v>
                </c:pt>
                <c:pt idx="3174">
                  <c:v>9.1</c:v>
                </c:pt>
                <c:pt idx="3175">
                  <c:v>9.9</c:v>
                </c:pt>
                <c:pt idx="3176">
                  <c:v>8.8000000000000007</c:v>
                </c:pt>
                <c:pt idx="3177">
                  <c:v>5.9</c:v>
                </c:pt>
                <c:pt idx="3178">
                  <c:v>7.4</c:v>
                </c:pt>
                <c:pt idx="3179">
                  <c:v>9.6999999999999993</c:v>
                </c:pt>
                <c:pt idx="3180">
                  <c:v>6.2</c:v>
                </c:pt>
                <c:pt idx="3181">
                  <c:v>8.6</c:v>
                </c:pt>
                <c:pt idx="3182">
                  <c:v>9.5</c:v>
                </c:pt>
                <c:pt idx="3183">
                  <c:v>6.1</c:v>
                </c:pt>
                <c:pt idx="3184">
                  <c:v>2.4</c:v>
                </c:pt>
                <c:pt idx="3185">
                  <c:v>2.4</c:v>
                </c:pt>
                <c:pt idx="3186">
                  <c:v>2</c:v>
                </c:pt>
                <c:pt idx="3187">
                  <c:v>5.3</c:v>
                </c:pt>
                <c:pt idx="3188">
                  <c:v>5.3</c:v>
                </c:pt>
                <c:pt idx="3189">
                  <c:v>6.6</c:v>
                </c:pt>
                <c:pt idx="3190">
                  <c:v>5.3</c:v>
                </c:pt>
                <c:pt idx="3191">
                  <c:v>9.8000000000000007</c:v>
                </c:pt>
                <c:pt idx="3192">
                  <c:v>3.6</c:v>
                </c:pt>
                <c:pt idx="3193">
                  <c:v>8.9</c:v>
                </c:pt>
                <c:pt idx="3194">
                  <c:v>1.9</c:v>
                </c:pt>
                <c:pt idx="3195">
                  <c:v>6.4</c:v>
                </c:pt>
                <c:pt idx="3196">
                  <c:v>6.8</c:v>
                </c:pt>
                <c:pt idx="3197">
                  <c:v>8</c:v>
                </c:pt>
                <c:pt idx="3198">
                  <c:v>5.5</c:v>
                </c:pt>
                <c:pt idx="3199">
                  <c:v>2.8</c:v>
                </c:pt>
                <c:pt idx="3200">
                  <c:v>4.3</c:v>
                </c:pt>
                <c:pt idx="3201">
                  <c:v>3.4</c:v>
                </c:pt>
                <c:pt idx="3202">
                  <c:v>4.8</c:v>
                </c:pt>
                <c:pt idx="3203">
                  <c:v>5.8</c:v>
                </c:pt>
                <c:pt idx="3204">
                  <c:v>6.6</c:v>
                </c:pt>
                <c:pt idx="3205">
                  <c:v>8.6</c:v>
                </c:pt>
                <c:pt idx="3206">
                  <c:v>9.1999999999999993</c:v>
                </c:pt>
                <c:pt idx="3207">
                  <c:v>5.2</c:v>
                </c:pt>
                <c:pt idx="3208">
                  <c:v>1.8</c:v>
                </c:pt>
                <c:pt idx="3209">
                  <c:v>8.1999999999999993</c:v>
                </c:pt>
                <c:pt idx="3210">
                  <c:v>5.3</c:v>
                </c:pt>
                <c:pt idx="3211">
                  <c:v>5.9</c:v>
                </c:pt>
                <c:pt idx="3212">
                  <c:v>6.4</c:v>
                </c:pt>
                <c:pt idx="3213">
                  <c:v>7</c:v>
                </c:pt>
                <c:pt idx="3214">
                  <c:v>9</c:v>
                </c:pt>
                <c:pt idx="3215">
                  <c:v>9.6</c:v>
                </c:pt>
                <c:pt idx="3216">
                  <c:v>9.5</c:v>
                </c:pt>
                <c:pt idx="3217">
                  <c:v>8.3000000000000007</c:v>
                </c:pt>
                <c:pt idx="3218">
                  <c:v>9</c:v>
                </c:pt>
                <c:pt idx="3219">
                  <c:v>1.4</c:v>
                </c:pt>
                <c:pt idx="3220">
                  <c:v>8.6</c:v>
                </c:pt>
                <c:pt idx="3221">
                  <c:v>1.7</c:v>
                </c:pt>
                <c:pt idx="3222">
                  <c:v>7.7</c:v>
                </c:pt>
                <c:pt idx="3223">
                  <c:v>2.5</c:v>
                </c:pt>
                <c:pt idx="3224">
                  <c:v>4.2</c:v>
                </c:pt>
                <c:pt idx="3225">
                  <c:v>2.7</c:v>
                </c:pt>
                <c:pt idx="3226">
                  <c:v>5</c:v>
                </c:pt>
                <c:pt idx="3227">
                  <c:v>4.7</c:v>
                </c:pt>
                <c:pt idx="3228">
                  <c:v>1.4</c:v>
                </c:pt>
                <c:pt idx="3229">
                  <c:v>8.5</c:v>
                </c:pt>
                <c:pt idx="3230">
                  <c:v>8.6999999999999993</c:v>
                </c:pt>
                <c:pt idx="3231">
                  <c:v>8.1</c:v>
                </c:pt>
                <c:pt idx="3232">
                  <c:v>8.6</c:v>
                </c:pt>
                <c:pt idx="3233">
                  <c:v>7.8</c:v>
                </c:pt>
                <c:pt idx="3234">
                  <c:v>9.4</c:v>
                </c:pt>
                <c:pt idx="3235">
                  <c:v>6.2</c:v>
                </c:pt>
                <c:pt idx="3236">
                  <c:v>6.2</c:v>
                </c:pt>
                <c:pt idx="3237">
                  <c:v>8.6999999999999993</c:v>
                </c:pt>
                <c:pt idx="3238">
                  <c:v>4.0999999999999996</c:v>
                </c:pt>
                <c:pt idx="3239">
                  <c:v>1.5</c:v>
                </c:pt>
                <c:pt idx="3240">
                  <c:v>7.7</c:v>
                </c:pt>
                <c:pt idx="3241">
                  <c:v>3.3</c:v>
                </c:pt>
                <c:pt idx="3242">
                  <c:v>5.3</c:v>
                </c:pt>
                <c:pt idx="3243">
                  <c:v>3.2</c:v>
                </c:pt>
                <c:pt idx="3244">
                  <c:v>8.4</c:v>
                </c:pt>
                <c:pt idx="3245">
                  <c:v>9.6</c:v>
                </c:pt>
                <c:pt idx="3246">
                  <c:v>1.5</c:v>
                </c:pt>
                <c:pt idx="3247">
                  <c:v>3.1</c:v>
                </c:pt>
                <c:pt idx="3248">
                  <c:v>2.7</c:v>
                </c:pt>
                <c:pt idx="3249">
                  <c:v>7.1</c:v>
                </c:pt>
                <c:pt idx="3250">
                  <c:v>4.9000000000000004</c:v>
                </c:pt>
                <c:pt idx="3251">
                  <c:v>5.0999999999999996</c:v>
                </c:pt>
                <c:pt idx="3252">
                  <c:v>2.4</c:v>
                </c:pt>
                <c:pt idx="3253">
                  <c:v>4.7</c:v>
                </c:pt>
                <c:pt idx="3254">
                  <c:v>3.7</c:v>
                </c:pt>
                <c:pt idx="3255">
                  <c:v>6.5</c:v>
                </c:pt>
                <c:pt idx="3256">
                  <c:v>3</c:v>
                </c:pt>
                <c:pt idx="3257">
                  <c:v>6.5</c:v>
                </c:pt>
                <c:pt idx="3258">
                  <c:v>4.4000000000000004</c:v>
                </c:pt>
                <c:pt idx="3259">
                  <c:v>4.0999999999999996</c:v>
                </c:pt>
                <c:pt idx="3260">
                  <c:v>3.8</c:v>
                </c:pt>
                <c:pt idx="3261">
                  <c:v>7.1</c:v>
                </c:pt>
                <c:pt idx="3262">
                  <c:v>6.1</c:v>
                </c:pt>
                <c:pt idx="3263">
                  <c:v>8.6999999999999993</c:v>
                </c:pt>
                <c:pt idx="3264">
                  <c:v>3.2</c:v>
                </c:pt>
                <c:pt idx="3265">
                  <c:v>1.4</c:v>
                </c:pt>
                <c:pt idx="3266">
                  <c:v>2.6</c:v>
                </c:pt>
                <c:pt idx="3267">
                  <c:v>4.0999999999999996</c:v>
                </c:pt>
                <c:pt idx="3268">
                  <c:v>2.6</c:v>
                </c:pt>
                <c:pt idx="3269">
                  <c:v>1.8</c:v>
                </c:pt>
                <c:pt idx="3270">
                  <c:v>5</c:v>
                </c:pt>
                <c:pt idx="3271">
                  <c:v>7.1</c:v>
                </c:pt>
                <c:pt idx="3272">
                  <c:v>7.8</c:v>
                </c:pt>
                <c:pt idx="3273">
                  <c:v>4.5999999999999996</c:v>
                </c:pt>
                <c:pt idx="3274">
                  <c:v>5.3</c:v>
                </c:pt>
                <c:pt idx="3275">
                  <c:v>7.8</c:v>
                </c:pt>
                <c:pt idx="3276">
                  <c:v>4.2</c:v>
                </c:pt>
                <c:pt idx="3277">
                  <c:v>8.1</c:v>
                </c:pt>
                <c:pt idx="3278">
                  <c:v>9.6999999999999993</c:v>
                </c:pt>
                <c:pt idx="3279">
                  <c:v>8.9</c:v>
                </c:pt>
                <c:pt idx="3280">
                  <c:v>5.0999999999999996</c:v>
                </c:pt>
                <c:pt idx="3281">
                  <c:v>6.2</c:v>
                </c:pt>
                <c:pt idx="3282">
                  <c:v>7.4</c:v>
                </c:pt>
                <c:pt idx="3283">
                  <c:v>4.0999999999999996</c:v>
                </c:pt>
                <c:pt idx="3284">
                  <c:v>8.1999999999999993</c:v>
                </c:pt>
                <c:pt idx="3285">
                  <c:v>4.9000000000000004</c:v>
                </c:pt>
                <c:pt idx="3286">
                  <c:v>8.6</c:v>
                </c:pt>
                <c:pt idx="3287">
                  <c:v>3.3</c:v>
                </c:pt>
                <c:pt idx="3288">
                  <c:v>1.1000000000000001</c:v>
                </c:pt>
                <c:pt idx="3289">
                  <c:v>6.7</c:v>
                </c:pt>
                <c:pt idx="3290">
                  <c:v>5.0999999999999996</c:v>
                </c:pt>
                <c:pt idx="3291">
                  <c:v>1.5</c:v>
                </c:pt>
                <c:pt idx="3292">
                  <c:v>5.4</c:v>
                </c:pt>
                <c:pt idx="3293">
                  <c:v>2.5</c:v>
                </c:pt>
                <c:pt idx="3294">
                  <c:v>6.7</c:v>
                </c:pt>
                <c:pt idx="3295">
                  <c:v>5</c:v>
                </c:pt>
                <c:pt idx="3296">
                  <c:v>2.5</c:v>
                </c:pt>
                <c:pt idx="3297">
                  <c:v>4.7</c:v>
                </c:pt>
                <c:pt idx="3298">
                  <c:v>3.1</c:v>
                </c:pt>
                <c:pt idx="3299">
                  <c:v>6.9</c:v>
                </c:pt>
                <c:pt idx="3300">
                  <c:v>3.7</c:v>
                </c:pt>
                <c:pt idx="3301">
                  <c:v>8.4</c:v>
                </c:pt>
                <c:pt idx="3302">
                  <c:v>1.1000000000000001</c:v>
                </c:pt>
                <c:pt idx="3303">
                  <c:v>4.5999999999999996</c:v>
                </c:pt>
                <c:pt idx="3304">
                  <c:v>6.6</c:v>
                </c:pt>
                <c:pt idx="3305">
                  <c:v>1.2</c:v>
                </c:pt>
                <c:pt idx="3306">
                  <c:v>2.9</c:v>
                </c:pt>
                <c:pt idx="3307">
                  <c:v>3.9</c:v>
                </c:pt>
                <c:pt idx="3308">
                  <c:v>1.2</c:v>
                </c:pt>
                <c:pt idx="3309">
                  <c:v>5.9</c:v>
                </c:pt>
                <c:pt idx="3310">
                  <c:v>6.7</c:v>
                </c:pt>
                <c:pt idx="3311">
                  <c:v>3</c:v>
                </c:pt>
                <c:pt idx="3312">
                  <c:v>5.9</c:v>
                </c:pt>
                <c:pt idx="3313">
                  <c:v>10</c:v>
                </c:pt>
                <c:pt idx="3314">
                  <c:v>9</c:v>
                </c:pt>
                <c:pt idx="3315">
                  <c:v>1.5</c:v>
                </c:pt>
                <c:pt idx="3316">
                  <c:v>2.2000000000000002</c:v>
                </c:pt>
                <c:pt idx="3317">
                  <c:v>5.4</c:v>
                </c:pt>
                <c:pt idx="3318">
                  <c:v>3.2</c:v>
                </c:pt>
                <c:pt idx="3319">
                  <c:v>1.7</c:v>
                </c:pt>
                <c:pt idx="3320">
                  <c:v>3.3</c:v>
                </c:pt>
                <c:pt idx="3321">
                  <c:v>1.6</c:v>
                </c:pt>
                <c:pt idx="3322">
                  <c:v>5.8</c:v>
                </c:pt>
                <c:pt idx="3323">
                  <c:v>5.4</c:v>
                </c:pt>
                <c:pt idx="3324">
                  <c:v>1.1000000000000001</c:v>
                </c:pt>
                <c:pt idx="3325">
                  <c:v>5.3</c:v>
                </c:pt>
                <c:pt idx="3326">
                  <c:v>5.7</c:v>
                </c:pt>
                <c:pt idx="3327">
                  <c:v>6.5</c:v>
                </c:pt>
                <c:pt idx="3328">
                  <c:v>9.6999999999999993</c:v>
                </c:pt>
                <c:pt idx="3329">
                  <c:v>9.8000000000000007</c:v>
                </c:pt>
                <c:pt idx="3330">
                  <c:v>5.7</c:v>
                </c:pt>
                <c:pt idx="3331">
                  <c:v>8.6</c:v>
                </c:pt>
                <c:pt idx="3332">
                  <c:v>1.8</c:v>
                </c:pt>
                <c:pt idx="3333">
                  <c:v>5.8</c:v>
                </c:pt>
                <c:pt idx="3334">
                  <c:v>7.1</c:v>
                </c:pt>
                <c:pt idx="3335">
                  <c:v>6.1</c:v>
                </c:pt>
                <c:pt idx="3336">
                  <c:v>3.1</c:v>
                </c:pt>
                <c:pt idx="3337">
                  <c:v>1.6</c:v>
                </c:pt>
                <c:pt idx="3338">
                  <c:v>4.5</c:v>
                </c:pt>
                <c:pt idx="3339">
                  <c:v>6.8</c:v>
                </c:pt>
                <c:pt idx="3340">
                  <c:v>9.9</c:v>
                </c:pt>
                <c:pt idx="3341">
                  <c:v>3.1</c:v>
                </c:pt>
                <c:pt idx="3342">
                  <c:v>9.3000000000000007</c:v>
                </c:pt>
                <c:pt idx="3343">
                  <c:v>1.6</c:v>
                </c:pt>
                <c:pt idx="3344">
                  <c:v>9.4</c:v>
                </c:pt>
                <c:pt idx="3345">
                  <c:v>8.5</c:v>
                </c:pt>
                <c:pt idx="3346">
                  <c:v>1.2</c:v>
                </c:pt>
                <c:pt idx="3347">
                  <c:v>3.7</c:v>
                </c:pt>
                <c:pt idx="3348">
                  <c:v>1.5</c:v>
                </c:pt>
                <c:pt idx="3349">
                  <c:v>10</c:v>
                </c:pt>
                <c:pt idx="3350">
                  <c:v>4.9000000000000004</c:v>
                </c:pt>
                <c:pt idx="3351">
                  <c:v>7</c:v>
                </c:pt>
                <c:pt idx="3352">
                  <c:v>3.1</c:v>
                </c:pt>
                <c:pt idx="3353">
                  <c:v>9.4</c:v>
                </c:pt>
                <c:pt idx="3354">
                  <c:v>3.5</c:v>
                </c:pt>
                <c:pt idx="3355">
                  <c:v>3.3</c:v>
                </c:pt>
                <c:pt idx="3356">
                  <c:v>3.8</c:v>
                </c:pt>
                <c:pt idx="3357">
                  <c:v>5.2</c:v>
                </c:pt>
                <c:pt idx="3358">
                  <c:v>1.2</c:v>
                </c:pt>
                <c:pt idx="3359">
                  <c:v>6.4</c:v>
                </c:pt>
                <c:pt idx="3360">
                  <c:v>1.3</c:v>
                </c:pt>
                <c:pt idx="3361">
                  <c:v>5.9</c:v>
                </c:pt>
                <c:pt idx="3362">
                  <c:v>5.0999999999999996</c:v>
                </c:pt>
                <c:pt idx="3363">
                  <c:v>3.2</c:v>
                </c:pt>
                <c:pt idx="3364">
                  <c:v>4</c:v>
                </c:pt>
                <c:pt idx="3365">
                  <c:v>7.4</c:v>
                </c:pt>
                <c:pt idx="3366">
                  <c:v>1.1000000000000001</c:v>
                </c:pt>
                <c:pt idx="3367">
                  <c:v>3.8</c:v>
                </c:pt>
                <c:pt idx="3368">
                  <c:v>7.1</c:v>
                </c:pt>
                <c:pt idx="3369">
                  <c:v>2.4</c:v>
                </c:pt>
                <c:pt idx="3370">
                  <c:v>6</c:v>
                </c:pt>
                <c:pt idx="3371">
                  <c:v>2.5</c:v>
                </c:pt>
                <c:pt idx="3372">
                  <c:v>2.4</c:v>
                </c:pt>
                <c:pt idx="3373">
                  <c:v>8</c:v>
                </c:pt>
                <c:pt idx="3374">
                  <c:v>3.4</c:v>
                </c:pt>
                <c:pt idx="3375">
                  <c:v>4.4000000000000004</c:v>
                </c:pt>
                <c:pt idx="3376">
                  <c:v>7.6</c:v>
                </c:pt>
                <c:pt idx="3377">
                  <c:v>2.6</c:v>
                </c:pt>
                <c:pt idx="3378">
                  <c:v>5.8</c:v>
                </c:pt>
                <c:pt idx="3379">
                  <c:v>9.3000000000000007</c:v>
                </c:pt>
                <c:pt idx="3380">
                  <c:v>6</c:v>
                </c:pt>
                <c:pt idx="3381">
                  <c:v>1.4</c:v>
                </c:pt>
                <c:pt idx="3382">
                  <c:v>6.3</c:v>
                </c:pt>
                <c:pt idx="3383">
                  <c:v>1.8</c:v>
                </c:pt>
                <c:pt idx="3384">
                  <c:v>3.5</c:v>
                </c:pt>
                <c:pt idx="3385">
                  <c:v>8.6</c:v>
                </c:pt>
                <c:pt idx="3386">
                  <c:v>1.1000000000000001</c:v>
                </c:pt>
                <c:pt idx="3387">
                  <c:v>1.7</c:v>
                </c:pt>
                <c:pt idx="3388">
                  <c:v>4.3</c:v>
                </c:pt>
                <c:pt idx="3389">
                  <c:v>10</c:v>
                </c:pt>
                <c:pt idx="3390">
                  <c:v>3.6</c:v>
                </c:pt>
                <c:pt idx="3391">
                  <c:v>2.4</c:v>
                </c:pt>
                <c:pt idx="3392">
                  <c:v>5.9</c:v>
                </c:pt>
                <c:pt idx="3393">
                  <c:v>5.7</c:v>
                </c:pt>
                <c:pt idx="3394">
                  <c:v>5</c:v>
                </c:pt>
                <c:pt idx="3395">
                  <c:v>9.5</c:v>
                </c:pt>
                <c:pt idx="3396">
                  <c:v>3.5</c:v>
                </c:pt>
                <c:pt idx="3397">
                  <c:v>3.6</c:v>
                </c:pt>
                <c:pt idx="3398">
                  <c:v>2.2999999999999998</c:v>
                </c:pt>
                <c:pt idx="3399">
                  <c:v>7.3</c:v>
                </c:pt>
                <c:pt idx="3400">
                  <c:v>3.9</c:v>
                </c:pt>
                <c:pt idx="3401">
                  <c:v>8.1999999999999993</c:v>
                </c:pt>
                <c:pt idx="3402">
                  <c:v>9.6999999999999993</c:v>
                </c:pt>
                <c:pt idx="3403">
                  <c:v>1.4</c:v>
                </c:pt>
                <c:pt idx="3404">
                  <c:v>9.9</c:v>
                </c:pt>
                <c:pt idx="3405">
                  <c:v>3.3</c:v>
                </c:pt>
                <c:pt idx="3406">
                  <c:v>4.8</c:v>
                </c:pt>
                <c:pt idx="3407">
                  <c:v>8</c:v>
                </c:pt>
                <c:pt idx="3408">
                  <c:v>7</c:v>
                </c:pt>
                <c:pt idx="3409">
                  <c:v>8</c:v>
                </c:pt>
                <c:pt idx="3410">
                  <c:v>5.2</c:v>
                </c:pt>
                <c:pt idx="3411">
                  <c:v>9.1999999999999993</c:v>
                </c:pt>
                <c:pt idx="3412">
                  <c:v>8.1</c:v>
                </c:pt>
                <c:pt idx="3413">
                  <c:v>3.8</c:v>
                </c:pt>
                <c:pt idx="3414">
                  <c:v>9.5</c:v>
                </c:pt>
                <c:pt idx="3415">
                  <c:v>9.6</c:v>
                </c:pt>
                <c:pt idx="3416">
                  <c:v>4.7</c:v>
                </c:pt>
                <c:pt idx="3417">
                  <c:v>6.9</c:v>
                </c:pt>
                <c:pt idx="3418">
                  <c:v>8.3000000000000007</c:v>
                </c:pt>
                <c:pt idx="3419">
                  <c:v>8.4</c:v>
                </c:pt>
                <c:pt idx="3420">
                  <c:v>1.1000000000000001</c:v>
                </c:pt>
                <c:pt idx="3421">
                  <c:v>6.7</c:v>
                </c:pt>
                <c:pt idx="3422">
                  <c:v>9.8000000000000007</c:v>
                </c:pt>
                <c:pt idx="3423">
                  <c:v>3.1</c:v>
                </c:pt>
                <c:pt idx="3424">
                  <c:v>8.1999999999999993</c:v>
                </c:pt>
                <c:pt idx="3425">
                  <c:v>5.8</c:v>
                </c:pt>
                <c:pt idx="3426">
                  <c:v>3</c:v>
                </c:pt>
                <c:pt idx="3427">
                  <c:v>1.5</c:v>
                </c:pt>
                <c:pt idx="3428">
                  <c:v>7.8</c:v>
                </c:pt>
                <c:pt idx="3429">
                  <c:v>3.8</c:v>
                </c:pt>
                <c:pt idx="3430">
                  <c:v>4.4000000000000004</c:v>
                </c:pt>
                <c:pt idx="3431">
                  <c:v>5.4</c:v>
                </c:pt>
                <c:pt idx="3432">
                  <c:v>5.6</c:v>
                </c:pt>
                <c:pt idx="3433">
                  <c:v>2.9</c:v>
                </c:pt>
                <c:pt idx="3434">
                  <c:v>7</c:v>
                </c:pt>
                <c:pt idx="3435">
                  <c:v>7.2</c:v>
                </c:pt>
                <c:pt idx="3436">
                  <c:v>2.2999999999999998</c:v>
                </c:pt>
                <c:pt idx="3437">
                  <c:v>5.8</c:v>
                </c:pt>
                <c:pt idx="3438">
                  <c:v>6.5</c:v>
                </c:pt>
                <c:pt idx="3439">
                  <c:v>2.7</c:v>
                </c:pt>
                <c:pt idx="3440">
                  <c:v>9.1</c:v>
                </c:pt>
                <c:pt idx="3441">
                  <c:v>5.3</c:v>
                </c:pt>
                <c:pt idx="3442">
                  <c:v>2</c:v>
                </c:pt>
                <c:pt idx="3443">
                  <c:v>4</c:v>
                </c:pt>
                <c:pt idx="3444">
                  <c:v>5.3</c:v>
                </c:pt>
                <c:pt idx="3445">
                  <c:v>1.1000000000000001</c:v>
                </c:pt>
                <c:pt idx="3446">
                  <c:v>1.3</c:v>
                </c:pt>
                <c:pt idx="3447">
                  <c:v>1.5</c:v>
                </c:pt>
                <c:pt idx="3448">
                  <c:v>5.8</c:v>
                </c:pt>
                <c:pt idx="3449">
                  <c:v>4</c:v>
                </c:pt>
                <c:pt idx="3450">
                  <c:v>9</c:v>
                </c:pt>
                <c:pt idx="3451">
                  <c:v>6</c:v>
                </c:pt>
                <c:pt idx="3452">
                  <c:v>7.8</c:v>
                </c:pt>
                <c:pt idx="3453">
                  <c:v>7.2</c:v>
                </c:pt>
                <c:pt idx="3454">
                  <c:v>5.7</c:v>
                </c:pt>
                <c:pt idx="3455">
                  <c:v>7.7</c:v>
                </c:pt>
                <c:pt idx="3456">
                  <c:v>5.9</c:v>
                </c:pt>
                <c:pt idx="3457">
                  <c:v>4.5</c:v>
                </c:pt>
                <c:pt idx="3458">
                  <c:v>4.9000000000000004</c:v>
                </c:pt>
                <c:pt idx="3459">
                  <c:v>8.5</c:v>
                </c:pt>
                <c:pt idx="3460">
                  <c:v>6.1</c:v>
                </c:pt>
                <c:pt idx="3461">
                  <c:v>4.4000000000000004</c:v>
                </c:pt>
                <c:pt idx="3462">
                  <c:v>2.6</c:v>
                </c:pt>
                <c:pt idx="3463">
                  <c:v>5.5</c:v>
                </c:pt>
                <c:pt idx="3464">
                  <c:v>3.3</c:v>
                </c:pt>
                <c:pt idx="3465">
                  <c:v>9.6</c:v>
                </c:pt>
                <c:pt idx="3466">
                  <c:v>5.4</c:v>
                </c:pt>
                <c:pt idx="3467">
                  <c:v>1.1000000000000001</c:v>
                </c:pt>
                <c:pt idx="3468">
                  <c:v>1.8</c:v>
                </c:pt>
                <c:pt idx="3469">
                  <c:v>3.6</c:v>
                </c:pt>
                <c:pt idx="3470">
                  <c:v>1.8</c:v>
                </c:pt>
                <c:pt idx="3471">
                  <c:v>9</c:v>
                </c:pt>
                <c:pt idx="3472">
                  <c:v>8.6999999999999993</c:v>
                </c:pt>
                <c:pt idx="3473">
                  <c:v>9.6999999999999993</c:v>
                </c:pt>
                <c:pt idx="3474">
                  <c:v>7.4</c:v>
                </c:pt>
                <c:pt idx="3475">
                  <c:v>6.8</c:v>
                </c:pt>
                <c:pt idx="3476">
                  <c:v>9.3000000000000007</c:v>
                </c:pt>
                <c:pt idx="3477">
                  <c:v>9.5</c:v>
                </c:pt>
                <c:pt idx="3478">
                  <c:v>8.9</c:v>
                </c:pt>
                <c:pt idx="3479">
                  <c:v>8.8000000000000007</c:v>
                </c:pt>
                <c:pt idx="3480">
                  <c:v>7</c:v>
                </c:pt>
                <c:pt idx="3481">
                  <c:v>1</c:v>
                </c:pt>
                <c:pt idx="3482">
                  <c:v>4.9000000000000004</c:v>
                </c:pt>
                <c:pt idx="3483">
                  <c:v>6.7</c:v>
                </c:pt>
                <c:pt idx="3484">
                  <c:v>5.9</c:v>
                </c:pt>
                <c:pt idx="3485">
                  <c:v>8.4</c:v>
                </c:pt>
                <c:pt idx="3486">
                  <c:v>8.4</c:v>
                </c:pt>
                <c:pt idx="3487">
                  <c:v>6.4</c:v>
                </c:pt>
                <c:pt idx="3488">
                  <c:v>1.2</c:v>
                </c:pt>
                <c:pt idx="3489">
                  <c:v>4.3</c:v>
                </c:pt>
                <c:pt idx="3490">
                  <c:v>3.1</c:v>
                </c:pt>
                <c:pt idx="3491">
                  <c:v>4</c:v>
                </c:pt>
                <c:pt idx="3492">
                  <c:v>6.6</c:v>
                </c:pt>
                <c:pt idx="3493">
                  <c:v>1.6</c:v>
                </c:pt>
                <c:pt idx="3494">
                  <c:v>1.2</c:v>
                </c:pt>
                <c:pt idx="3495">
                  <c:v>4.9000000000000004</c:v>
                </c:pt>
                <c:pt idx="3496">
                  <c:v>8.1</c:v>
                </c:pt>
                <c:pt idx="3497">
                  <c:v>1.3</c:v>
                </c:pt>
                <c:pt idx="3498">
                  <c:v>8.6</c:v>
                </c:pt>
                <c:pt idx="3499">
                  <c:v>4.5</c:v>
                </c:pt>
                <c:pt idx="3500">
                  <c:v>2.1</c:v>
                </c:pt>
                <c:pt idx="3501">
                  <c:v>6.1</c:v>
                </c:pt>
                <c:pt idx="3502">
                  <c:v>9.6</c:v>
                </c:pt>
                <c:pt idx="3503">
                  <c:v>5.9</c:v>
                </c:pt>
                <c:pt idx="3504">
                  <c:v>7.2</c:v>
                </c:pt>
                <c:pt idx="3505">
                  <c:v>8.3000000000000007</c:v>
                </c:pt>
                <c:pt idx="3506">
                  <c:v>8.1999999999999993</c:v>
                </c:pt>
                <c:pt idx="3507">
                  <c:v>1.7</c:v>
                </c:pt>
                <c:pt idx="3508">
                  <c:v>7.7</c:v>
                </c:pt>
                <c:pt idx="3509">
                  <c:v>9.5</c:v>
                </c:pt>
                <c:pt idx="3510">
                  <c:v>7.3</c:v>
                </c:pt>
                <c:pt idx="3511">
                  <c:v>8.5</c:v>
                </c:pt>
                <c:pt idx="3512">
                  <c:v>5.4</c:v>
                </c:pt>
                <c:pt idx="3513">
                  <c:v>3.9</c:v>
                </c:pt>
                <c:pt idx="3514">
                  <c:v>7.1</c:v>
                </c:pt>
                <c:pt idx="3515">
                  <c:v>5.4</c:v>
                </c:pt>
                <c:pt idx="3516">
                  <c:v>9.1</c:v>
                </c:pt>
                <c:pt idx="3517">
                  <c:v>9.8000000000000007</c:v>
                </c:pt>
                <c:pt idx="3518">
                  <c:v>8.4</c:v>
                </c:pt>
                <c:pt idx="3519">
                  <c:v>9.9</c:v>
                </c:pt>
                <c:pt idx="3520">
                  <c:v>4.0999999999999996</c:v>
                </c:pt>
                <c:pt idx="3521">
                  <c:v>9.1</c:v>
                </c:pt>
                <c:pt idx="3522">
                  <c:v>4</c:v>
                </c:pt>
                <c:pt idx="3523">
                  <c:v>2.1</c:v>
                </c:pt>
                <c:pt idx="3524">
                  <c:v>6.6</c:v>
                </c:pt>
                <c:pt idx="3525">
                  <c:v>5.0999999999999996</c:v>
                </c:pt>
                <c:pt idx="3526">
                  <c:v>9.3000000000000007</c:v>
                </c:pt>
                <c:pt idx="3527">
                  <c:v>5.4</c:v>
                </c:pt>
                <c:pt idx="3528">
                  <c:v>9.3000000000000007</c:v>
                </c:pt>
                <c:pt idx="3529">
                  <c:v>1.7</c:v>
                </c:pt>
                <c:pt idx="3530">
                  <c:v>8.5</c:v>
                </c:pt>
                <c:pt idx="3531">
                  <c:v>7.8</c:v>
                </c:pt>
                <c:pt idx="3532">
                  <c:v>7.5</c:v>
                </c:pt>
                <c:pt idx="3533">
                  <c:v>4.2</c:v>
                </c:pt>
                <c:pt idx="3534">
                  <c:v>8.1</c:v>
                </c:pt>
                <c:pt idx="3535">
                  <c:v>5.3</c:v>
                </c:pt>
                <c:pt idx="3536">
                  <c:v>7.4</c:v>
                </c:pt>
                <c:pt idx="3537">
                  <c:v>6</c:v>
                </c:pt>
                <c:pt idx="3538">
                  <c:v>2.4</c:v>
                </c:pt>
                <c:pt idx="3539">
                  <c:v>1.6</c:v>
                </c:pt>
                <c:pt idx="3540">
                  <c:v>4.3</c:v>
                </c:pt>
                <c:pt idx="3541">
                  <c:v>9.4</c:v>
                </c:pt>
                <c:pt idx="3542">
                  <c:v>5.8</c:v>
                </c:pt>
                <c:pt idx="3543">
                  <c:v>8.1999999999999993</c:v>
                </c:pt>
                <c:pt idx="3544">
                  <c:v>6.2</c:v>
                </c:pt>
                <c:pt idx="3545">
                  <c:v>9.6</c:v>
                </c:pt>
                <c:pt idx="3546">
                  <c:v>4.3</c:v>
                </c:pt>
                <c:pt idx="3547">
                  <c:v>1.5</c:v>
                </c:pt>
                <c:pt idx="3548">
                  <c:v>8</c:v>
                </c:pt>
                <c:pt idx="3549">
                  <c:v>7.3</c:v>
                </c:pt>
                <c:pt idx="3550">
                  <c:v>5.7</c:v>
                </c:pt>
                <c:pt idx="3551">
                  <c:v>3.9</c:v>
                </c:pt>
                <c:pt idx="3552">
                  <c:v>2.7</c:v>
                </c:pt>
                <c:pt idx="3553">
                  <c:v>5.3</c:v>
                </c:pt>
                <c:pt idx="3554">
                  <c:v>7</c:v>
                </c:pt>
                <c:pt idx="3555">
                  <c:v>6.2</c:v>
                </c:pt>
                <c:pt idx="3556">
                  <c:v>4.9000000000000004</c:v>
                </c:pt>
                <c:pt idx="3557">
                  <c:v>5.9</c:v>
                </c:pt>
                <c:pt idx="3558">
                  <c:v>2</c:v>
                </c:pt>
                <c:pt idx="3559">
                  <c:v>7.3</c:v>
                </c:pt>
                <c:pt idx="3560">
                  <c:v>7.6</c:v>
                </c:pt>
                <c:pt idx="3561">
                  <c:v>1.1000000000000001</c:v>
                </c:pt>
                <c:pt idx="3562">
                  <c:v>3.4</c:v>
                </c:pt>
                <c:pt idx="3563">
                  <c:v>1.8</c:v>
                </c:pt>
                <c:pt idx="3564">
                  <c:v>10</c:v>
                </c:pt>
                <c:pt idx="3565">
                  <c:v>6.3</c:v>
                </c:pt>
                <c:pt idx="3566">
                  <c:v>5.2</c:v>
                </c:pt>
                <c:pt idx="3567">
                  <c:v>5.2</c:v>
                </c:pt>
                <c:pt idx="3568">
                  <c:v>9.6999999999999993</c:v>
                </c:pt>
                <c:pt idx="3569">
                  <c:v>6.9</c:v>
                </c:pt>
                <c:pt idx="3570">
                  <c:v>2.5</c:v>
                </c:pt>
                <c:pt idx="3571">
                  <c:v>5</c:v>
                </c:pt>
                <c:pt idx="3572">
                  <c:v>8</c:v>
                </c:pt>
                <c:pt idx="3573">
                  <c:v>4.8</c:v>
                </c:pt>
                <c:pt idx="3574">
                  <c:v>3.8</c:v>
                </c:pt>
                <c:pt idx="3575">
                  <c:v>9.9</c:v>
                </c:pt>
                <c:pt idx="3576">
                  <c:v>9.4</c:v>
                </c:pt>
                <c:pt idx="3577">
                  <c:v>9.5</c:v>
                </c:pt>
                <c:pt idx="3578">
                  <c:v>2.2000000000000002</c:v>
                </c:pt>
                <c:pt idx="3579">
                  <c:v>3.1</c:v>
                </c:pt>
                <c:pt idx="3580">
                  <c:v>5</c:v>
                </c:pt>
                <c:pt idx="3581">
                  <c:v>8.5</c:v>
                </c:pt>
                <c:pt idx="3582">
                  <c:v>7.6</c:v>
                </c:pt>
                <c:pt idx="3583">
                  <c:v>8.6</c:v>
                </c:pt>
                <c:pt idx="3584">
                  <c:v>9.3000000000000007</c:v>
                </c:pt>
                <c:pt idx="3585">
                  <c:v>8</c:v>
                </c:pt>
                <c:pt idx="3586">
                  <c:v>3.4</c:v>
                </c:pt>
                <c:pt idx="3587">
                  <c:v>3.6</c:v>
                </c:pt>
                <c:pt idx="3588">
                  <c:v>4.2</c:v>
                </c:pt>
                <c:pt idx="3589">
                  <c:v>3.7</c:v>
                </c:pt>
                <c:pt idx="3590">
                  <c:v>3.2</c:v>
                </c:pt>
                <c:pt idx="3591">
                  <c:v>7.8</c:v>
                </c:pt>
                <c:pt idx="3592">
                  <c:v>1.3</c:v>
                </c:pt>
                <c:pt idx="3593">
                  <c:v>7.6</c:v>
                </c:pt>
                <c:pt idx="3594">
                  <c:v>8.4</c:v>
                </c:pt>
                <c:pt idx="3595">
                  <c:v>1.6</c:v>
                </c:pt>
                <c:pt idx="3596">
                  <c:v>1.6</c:v>
                </c:pt>
                <c:pt idx="3597">
                  <c:v>3.6</c:v>
                </c:pt>
                <c:pt idx="3598">
                  <c:v>2.9</c:v>
                </c:pt>
                <c:pt idx="3599">
                  <c:v>6.2</c:v>
                </c:pt>
                <c:pt idx="3600">
                  <c:v>7.1</c:v>
                </c:pt>
                <c:pt idx="3601">
                  <c:v>6.7</c:v>
                </c:pt>
                <c:pt idx="3602">
                  <c:v>4.2</c:v>
                </c:pt>
                <c:pt idx="3603">
                  <c:v>5.5</c:v>
                </c:pt>
                <c:pt idx="3604">
                  <c:v>6.8</c:v>
                </c:pt>
                <c:pt idx="3605">
                  <c:v>2.1</c:v>
                </c:pt>
                <c:pt idx="3606">
                  <c:v>3.1</c:v>
                </c:pt>
                <c:pt idx="3607">
                  <c:v>9</c:v>
                </c:pt>
                <c:pt idx="3608">
                  <c:v>4.0999999999999996</c:v>
                </c:pt>
                <c:pt idx="3609">
                  <c:v>8.1999999999999993</c:v>
                </c:pt>
                <c:pt idx="3610">
                  <c:v>3.3</c:v>
                </c:pt>
                <c:pt idx="3611">
                  <c:v>1.4</c:v>
                </c:pt>
                <c:pt idx="3612">
                  <c:v>5.5</c:v>
                </c:pt>
                <c:pt idx="3613">
                  <c:v>9</c:v>
                </c:pt>
                <c:pt idx="3614">
                  <c:v>8.4</c:v>
                </c:pt>
                <c:pt idx="3615">
                  <c:v>3.3</c:v>
                </c:pt>
                <c:pt idx="3616">
                  <c:v>9.1999999999999993</c:v>
                </c:pt>
                <c:pt idx="3617">
                  <c:v>5.3</c:v>
                </c:pt>
                <c:pt idx="3618">
                  <c:v>1.4</c:v>
                </c:pt>
                <c:pt idx="3619">
                  <c:v>1.3</c:v>
                </c:pt>
                <c:pt idx="3620">
                  <c:v>5.4</c:v>
                </c:pt>
                <c:pt idx="3621">
                  <c:v>5.9</c:v>
                </c:pt>
                <c:pt idx="3622">
                  <c:v>1.7</c:v>
                </c:pt>
                <c:pt idx="3623">
                  <c:v>9.3000000000000007</c:v>
                </c:pt>
                <c:pt idx="3624">
                  <c:v>7.5</c:v>
                </c:pt>
                <c:pt idx="3625">
                  <c:v>8.1999999999999993</c:v>
                </c:pt>
                <c:pt idx="3626">
                  <c:v>6.3</c:v>
                </c:pt>
                <c:pt idx="3627">
                  <c:v>7</c:v>
                </c:pt>
                <c:pt idx="3628">
                  <c:v>4.5</c:v>
                </c:pt>
                <c:pt idx="3629">
                  <c:v>7.1</c:v>
                </c:pt>
                <c:pt idx="3630">
                  <c:v>9.8000000000000007</c:v>
                </c:pt>
                <c:pt idx="3631">
                  <c:v>6.8</c:v>
                </c:pt>
                <c:pt idx="3632">
                  <c:v>4.0999999999999996</c:v>
                </c:pt>
                <c:pt idx="3633">
                  <c:v>3.6</c:v>
                </c:pt>
                <c:pt idx="3634">
                  <c:v>9.6999999999999993</c:v>
                </c:pt>
                <c:pt idx="3635">
                  <c:v>2.7</c:v>
                </c:pt>
                <c:pt idx="3636">
                  <c:v>8.3000000000000007</c:v>
                </c:pt>
                <c:pt idx="3637">
                  <c:v>5.2</c:v>
                </c:pt>
                <c:pt idx="3638">
                  <c:v>5</c:v>
                </c:pt>
                <c:pt idx="3639">
                  <c:v>7.7</c:v>
                </c:pt>
                <c:pt idx="3640">
                  <c:v>2.2999999999999998</c:v>
                </c:pt>
                <c:pt idx="3641">
                  <c:v>5.2</c:v>
                </c:pt>
                <c:pt idx="3642">
                  <c:v>1.3</c:v>
                </c:pt>
                <c:pt idx="3643">
                  <c:v>7</c:v>
                </c:pt>
                <c:pt idx="3644">
                  <c:v>1.5</c:v>
                </c:pt>
                <c:pt idx="3645">
                  <c:v>1.8</c:v>
                </c:pt>
                <c:pt idx="3646">
                  <c:v>8.6</c:v>
                </c:pt>
                <c:pt idx="3647">
                  <c:v>5</c:v>
                </c:pt>
                <c:pt idx="3648">
                  <c:v>2.8</c:v>
                </c:pt>
                <c:pt idx="3649">
                  <c:v>6.3</c:v>
                </c:pt>
                <c:pt idx="3650">
                  <c:v>5.7</c:v>
                </c:pt>
                <c:pt idx="3651">
                  <c:v>4.7</c:v>
                </c:pt>
                <c:pt idx="3652">
                  <c:v>9.1</c:v>
                </c:pt>
                <c:pt idx="3653">
                  <c:v>7.7</c:v>
                </c:pt>
                <c:pt idx="3654">
                  <c:v>2.4</c:v>
                </c:pt>
                <c:pt idx="3655">
                  <c:v>6.1</c:v>
                </c:pt>
                <c:pt idx="3656">
                  <c:v>1.8</c:v>
                </c:pt>
                <c:pt idx="3657">
                  <c:v>3.2</c:v>
                </c:pt>
                <c:pt idx="3658">
                  <c:v>9.1999999999999993</c:v>
                </c:pt>
                <c:pt idx="3659">
                  <c:v>5.2</c:v>
                </c:pt>
                <c:pt idx="3660">
                  <c:v>9</c:v>
                </c:pt>
                <c:pt idx="3661">
                  <c:v>2.5</c:v>
                </c:pt>
                <c:pt idx="3662">
                  <c:v>2.8</c:v>
                </c:pt>
                <c:pt idx="3663">
                  <c:v>4.2</c:v>
                </c:pt>
                <c:pt idx="3664">
                  <c:v>4.3</c:v>
                </c:pt>
                <c:pt idx="3665">
                  <c:v>7.7</c:v>
                </c:pt>
                <c:pt idx="3666">
                  <c:v>6.4</c:v>
                </c:pt>
                <c:pt idx="3667">
                  <c:v>6</c:v>
                </c:pt>
                <c:pt idx="3668">
                  <c:v>6.4</c:v>
                </c:pt>
                <c:pt idx="3669">
                  <c:v>7.6</c:v>
                </c:pt>
                <c:pt idx="3670">
                  <c:v>9</c:v>
                </c:pt>
                <c:pt idx="3671">
                  <c:v>4.7</c:v>
                </c:pt>
                <c:pt idx="3672">
                  <c:v>8.1999999999999993</c:v>
                </c:pt>
                <c:pt idx="3673">
                  <c:v>5.5</c:v>
                </c:pt>
                <c:pt idx="3674">
                  <c:v>7.5</c:v>
                </c:pt>
                <c:pt idx="3675">
                  <c:v>8.9</c:v>
                </c:pt>
                <c:pt idx="3676">
                  <c:v>1.3</c:v>
                </c:pt>
                <c:pt idx="3677">
                  <c:v>5.9</c:v>
                </c:pt>
                <c:pt idx="3678">
                  <c:v>9.9</c:v>
                </c:pt>
                <c:pt idx="3679">
                  <c:v>5.5</c:v>
                </c:pt>
                <c:pt idx="3680">
                  <c:v>8.8000000000000007</c:v>
                </c:pt>
                <c:pt idx="3681">
                  <c:v>2.7</c:v>
                </c:pt>
                <c:pt idx="3682">
                  <c:v>6.4</c:v>
                </c:pt>
                <c:pt idx="3683">
                  <c:v>8.8000000000000007</c:v>
                </c:pt>
                <c:pt idx="3684">
                  <c:v>4.9000000000000004</c:v>
                </c:pt>
                <c:pt idx="3685">
                  <c:v>5.4</c:v>
                </c:pt>
                <c:pt idx="3686">
                  <c:v>1.7</c:v>
                </c:pt>
                <c:pt idx="3687">
                  <c:v>1.4</c:v>
                </c:pt>
                <c:pt idx="3688">
                  <c:v>5.2</c:v>
                </c:pt>
                <c:pt idx="3689">
                  <c:v>8.6</c:v>
                </c:pt>
                <c:pt idx="3690">
                  <c:v>9.4</c:v>
                </c:pt>
                <c:pt idx="3691">
                  <c:v>6.9</c:v>
                </c:pt>
                <c:pt idx="3692">
                  <c:v>8.4</c:v>
                </c:pt>
                <c:pt idx="3693">
                  <c:v>7.6</c:v>
                </c:pt>
                <c:pt idx="3694">
                  <c:v>7.3</c:v>
                </c:pt>
                <c:pt idx="3695">
                  <c:v>7.9</c:v>
                </c:pt>
                <c:pt idx="3696">
                  <c:v>5.5</c:v>
                </c:pt>
                <c:pt idx="3697">
                  <c:v>5.0999999999999996</c:v>
                </c:pt>
                <c:pt idx="3698">
                  <c:v>2.4</c:v>
                </c:pt>
                <c:pt idx="3699">
                  <c:v>8.6</c:v>
                </c:pt>
                <c:pt idx="3700">
                  <c:v>1.4</c:v>
                </c:pt>
                <c:pt idx="3701">
                  <c:v>3.4</c:v>
                </c:pt>
                <c:pt idx="3702">
                  <c:v>5.7</c:v>
                </c:pt>
                <c:pt idx="3703">
                  <c:v>9.6999999999999993</c:v>
                </c:pt>
                <c:pt idx="3704">
                  <c:v>8.1</c:v>
                </c:pt>
                <c:pt idx="3705">
                  <c:v>4.3</c:v>
                </c:pt>
                <c:pt idx="3706">
                  <c:v>7.4</c:v>
                </c:pt>
                <c:pt idx="3707">
                  <c:v>9.4</c:v>
                </c:pt>
                <c:pt idx="3708">
                  <c:v>5.8</c:v>
                </c:pt>
                <c:pt idx="3709">
                  <c:v>5.2</c:v>
                </c:pt>
                <c:pt idx="3710">
                  <c:v>6</c:v>
                </c:pt>
                <c:pt idx="3711">
                  <c:v>3.8</c:v>
                </c:pt>
                <c:pt idx="3712">
                  <c:v>9.1999999999999993</c:v>
                </c:pt>
                <c:pt idx="3713">
                  <c:v>8.1999999999999993</c:v>
                </c:pt>
                <c:pt idx="3714">
                  <c:v>7.3</c:v>
                </c:pt>
                <c:pt idx="3715">
                  <c:v>6.3</c:v>
                </c:pt>
                <c:pt idx="3716">
                  <c:v>9.6999999999999993</c:v>
                </c:pt>
                <c:pt idx="3717">
                  <c:v>3.7</c:v>
                </c:pt>
                <c:pt idx="3718">
                  <c:v>3.5</c:v>
                </c:pt>
                <c:pt idx="3719">
                  <c:v>3.2</c:v>
                </c:pt>
                <c:pt idx="3720">
                  <c:v>7.7</c:v>
                </c:pt>
                <c:pt idx="3721">
                  <c:v>8.1999999999999993</c:v>
                </c:pt>
                <c:pt idx="3722">
                  <c:v>6.4</c:v>
                </c:pt>
                <c:pt idx="3723">
                  <c:v>6.9</c:v>
                </c:pt>
                <c:pt idx="3724">
                  <c:v>4.0999999999999996</c:v>
                </c:pt>
                <c:pt idx="3725">
                  <c:v>1.4</c:v>
                </c:pt>
                <c:pt idx="3726">
                  <c:v>3.3</c:v>
                </c:pt>
                <c:pt idx="3727">
                  <c:v>6.3</c:v>
                </c:pt>
                <c:pt idx="3728">
                  <c:v>8.3000000000000007</c:v>
                </c:pt>
                <c:pt idx="3729">
                  <c:v>8</c:v>
                </c:pt>
                <c:pt idx="3730">
                  <c:v>2.6</c:v>
                </c:pt>
                <c:pt idx="3731">
                  <c:v>1.5</c:v>
                </c:pt>
                <c:pt idx="3732">
                  <c:v>8.6999999999999993</c:v>
                </c:pt>
                <c:pt idx="3733">
                  <c:v>1.7</c:v>
                </c:pt>
                <c:pt idx="3734">
                  <c:v>4.5</c:v>
                </c:pt>
                <c:pt idx="3735">
                  <c:v>1.8</c:v>
                </c:pt>
                <c:pt idx="3736">
                  <c:v>6.1</c:v>
                </c:pt>
                <c:pt idx="3737">
                  <c:v>4.3</c:v>
                </c:pt>
                <c:pt idx="3738">
                  <c:v>2.8</c:v>
                </c:pt>
                <c:pt idx="3739">
                  <c:v>6.4</c:v>
                </c:pt>
                <c:pt idx="3740">
                  <c:v>4.3</c:v>
                </c:pt>
                <c:pt idx="3741">
                  <c:v>2.5</c:v>
                </c:pt>
                <c:pt idx="3742">
                  <c:v>7.3</c:v>
                </c:pt>
                <c:pt idx="3743">
                  <c:v>8.5</c:v>
                </c:pt>
                <c:pt idx="3744">
                  <c:v>3.5</c:v>
                </c:pt>
                <c:pt idx="3745">
                  <c:v>2.7</c:v>
                </c:pt>
                <c:pt idx="3746">
                  <c:v>1.7</c:v>
                </c:pt>
                <c:pt idx="3747">
                  <c:v>5.8</c:v>
                </c:pt>
                <c:pt idx="3748">
                  <c:v>8.5</c:v>
                </c:pt>
                <c:pt idx="3749">
                  <c:v>3.3</c:v>
                </c:pt>
                <c:pt idx="3750">
                  <c:v>5.0999999999999996</c:v>
                </c:pt>
                <c:pt idx="3751">
                  <c:v>2.4</c:v>
                </c:pt>
                <c:pt idx="3752">
                  <c:v>4.5999999999999996</c:v>
                </c:pt>
                <c:pt idx="3753">
                  <c:v>1.1000000000000001</c:v>
                </c:pt>
                <c:pt idx="3754">
                  <c:v>9.1999999999999993</c:v>
                </c:pt>
                <c:pt idx="3755">
                  <c:v>7.1</c:v>
                </c:pt>
                <c:pt idx="3756">
                  <c:v>4</c:v>
                </c:pt>
                <c:pt idx="3757">
                  <c:v>8.9</c:v>
                </c:pt>
                <c:pt idx="3758">
                  <c:v>2.6</c:v>
                </c:pt>
                <c:pt idx="3759">
                  <c:v>1.7</c:v>
                </c:pt>
                <c:pt idx="3760">
                  <c:v>9.5</c:v>
                </c:pt>
                <c:pt idx="3761">
                  <c:v>3.8</c:v>
                </c:pt>
                <c:pt idx="3762">
                  <c:v>9.4</c:v>
                </c:pt>
                <c:pt idx="3763">
                  <c:v>6.7</c:v>
                </c:pt>
                <c:pt idx="3764">
                  <c:v>9.8000000000000007</c:v>
                </c:pt>
                <c:pt idx="3765">
                  <c:v>7.8</c:v>
                </c:pt>
                <c:pt idx="3766">
                  <c:v>1.9</c:v>
                </c:pt>
                <c:pt idx="3767">
                  <c:v>8.6999999999999993</c:v>
                </c:pt>
                <c:pt idx="3768">
                  <c:v>2.2999999999999998</c:v>
                </c:pt>
                <c:pt idx="3769">
                  <c:v>7.2</c:v>
                </c:pt>
                <c:pt idx="3770">
                  <c:v>5.5</c:v>
                </c:pt>
                <c:pt idx="3771">
                  <c:v>7.4</c:v>
                </c:pt>
                <c:pt idx="3772">
                  <c:v>7.9</c:v>
                </c:pt>
                <c:pt idx="3773">
                  <c:v>8.1999999999999993</c:v>
                </c:pt>
                <c:pt idx="3774">
                  <c:v>8.5</c:v>
                </c:pt>
                <c:pt idx="3775">
                  <c:v>8.6</c:v>
                </c:pt>
                <c:pt idx="3776">
                  <c:v>4.7</c:v>
                </c:pt>
                <c:pt idx="3777">
                  <c:v>9</c:v>
                </c:pt>
                <c:pt idx="3778">
                  <c:v>7.5</c:v>
                </c:pt>
                <c:pt idx="3779">
                  <c:v>8.6</c:v>
                </c:pt>
                <c:pt idx="3780">
                  <c:v>9.9</c:v>
                </c:pt>
                <c:pt idx="3781">
                  <c:v>2</c:v>
                </c:pt>
                <c:pt idx="3782">
                  <c:v>4.3</c:v>
                </c:pt>
                <c:pt idx="3783">
                  <c:v>8.3000000000000007</c:v>
                </c:pt>
                <c:pt idx="3784">
                  <c:v>1.8</c:v>
                </c:pt>
                <c:pt idx="3785">
                  <c:v>5.9</c:v>
                </c:pt>
                <c:pt idx="3786">
                  <c:v>8.6999999999999993</c:v>
                </c:pt>
                <c:pt idx="3787">
                  <c:v>1.2</c:v>
                </c:pt>
                <c:pt idx="3788">
                  <c:v>9.5</c:v>
                </c:pt>
                <c:pt idx="3789">
                  <c:v>9.8000000000000007</c:v>
                </c:pt>
                <c:pt idx="3790">
                  <c:v>3.9</c:v>
                </c:pt>
                <c:pt idx="3791">
                  <c:v>7.9</c:v>
                </c:pt>
                <c:pt idx="3792">
                  <c:v>2.1</c:v>
                </c:pt>
                <c:pt idx="3793">
                  <c:v>8</c:v>
                </c:pt>
                <c:pt idx="3794">
                  <c:v>5.3</c:v>
                </c:pt>
                <c:pt idx="3795">
                  <c:v>8.6999999999999993</c:v>
                </c:pt>
                <c:pt idx="3796">
                  <c:v>2.9</c:v>
                </c:pt>
                <c:pt idx="3797">
                  <c:v>7.1</c:v>
                </c:pt>
                <c:pt idx="3798">
                  <c:v>8.1</c:v>
                </c:pt>
                <c:pt idx="3799">
                  <c:v>2.8</c:v>
                </c:pt>
                <c:pt idx="3800">
                  <c:v>8.4</c:v>
                </c:pt>
                <c:pt idx="3801">
                  <c:v>9.6</c:v>
                </c:pt>
                <c:pt idx="3802">
                  <c:v>6.5</c:v>
                </c:pt>
                <c:pt idx="3803">
                  <c:v>8.1</c:v>
                </c:pt>
                <c:pt idx="3804">
                  <c:v>5.8</c:v>
                </c:pt>
                <c:pt idx="3805">
                  <c:v>6.4</c:v>
                </c:pt>
                <c:pt idx="3806">
                  <c:v>1.1000000000000001</c:v>
                </c:pt>
                <c:pt idx="3807">
                  <c:v>5.7</c:v>
                </c:pt>
                <c:pt idx="3808">
                  <c:v>6.2</c:v>
                </c:pt>
                <c:pt idx="3809">
                  <c:v>7</c:v>
                </c:pt>
                <c:pt idx="3810">
                  <c:v>2.5</c:v>
                </c:pt>
                <c:pt idx="3811">
                  <c:v>3.2</c:v>
                </c:pt>
                <c:pt idx="3812">
                  <c:v>7.8</c:v>
                </c:pt>
                <c:pt idx="3813">
                  <c:v>2.5</c:v>
                </c:pt>
                <c:pt idx="3814">
                  <c:v>4.7</c:v>
                </c:pt>
                <c:pt idx="3815">
                  <c:v>3.3</c:v>
                </c:pt>
                <c:pt idx="3816">
                  <c:v>5.9</c:v>
                </c:pt>
                <c:pt idx="3817">
                  <c:v>9.9</c:v>
                </c:pt>
                <c:pt idx="3818">
                  <c:v>8.6999999999999993</c:v>
                </c:pt>
                <c:pt idx="3819">
                  <c:v>3.4</c:v>
                </c:pt>
                <c:pt idx="3820">
                  <c:v>4.3</c:v>
                </c:pt>
                <c:pt idx="3821">
                  <c:v>9.3000000000000007</c:v>
                </c:pt>
                <c:pt idx="3822">
                  <c:v>9.1</c:v>
                </c:pt>
                <c:pt idx="3823">
                  <c:v>2.4</c:v>
                </c:pt>
                <c:pt idx="3824">
                  <c:v>8.5</c:v>
                </c:pt>
                <c:pt idx="3825">
                  <c:v>3.7</c:v>
                </c:pt>
                <c:pt idx="3826">
                  <c:v>5.9</c:v>
                </c:pt>
                <c:pt idx="3827">
                  <c:v>1</c:v>
                </c:pt>
                <c:pt idx="3828">
                  <c:v>10</c:v>
                </c:pt>
                <c:pt idx="3829">
                  <c:v>7.8</c:v>
                </c:pt>
                <c:pt idx="3830">
                  <c:v>3.2</c:v>
                </c:pt>
                <c:pt idx="3831">
                  <c:v>7.2</c:v>
                </c:pt>
                <c:pt idx="3832">
                  <c:v>3.6</c:v>
                </c:pt>
                <c:pt idx="3833">
                  <c:v>1.8</c:v>
                </c:pt>
                <c:pt idx="3834">
                  <c:v>4.8</c:v>
                </c:pt>
                <c:pt idx="3835">
                  <c:v>6.5</c:v>
                </c:pt>
                <c:pt idx="3836">
                  <c:v>1.8</c:v>
                </c:pt>
                <c:pt idx="3837">
                  <c:v>5.7</c:v>
                </c:pt>
                <c:pt idx="3838">
                  <c:v>5.6</c:v>
                </c:pt>
                <c:pt idx="3839">
                  <c:v>6.7</c:v>
                </c:pt>
                <c:pt idx="3840">
                  <c:v>3.2</c:v>
                </c:pt>
                <c:pt idx="3841">
                  <c:v>1.2</c:v>
                </c:pt>
                <c:pt idx="3842">
                  <c:v>3.9</c:v>
                </c:pt>
                <c:pt idx="3843">
                  <c:v>4.5999999999999996</c:v>
                </c:pt>
                <c:pt idx="3844">
                  <c:v>6.7</c:v>
                </c:pt>
                <c:pt idx="3845">
                  <c:v>9.4</c:v>
                </c:pt>
                <c:pt idx="3846">
                  <c:v>2.8</c:v>
                </c:pt>
                <c:pt idx="3847">
                  <c:v>7.2</c:v>
                </c:pt>
                <c:pt idx="3848">
                  <c:v>1.9</c:v>
                </c:pt>
                <c:pt idx="3849">
                  <c:v>2.7</c:v>
                </c:pt>
                <c:pt idx="3850">
                  <c:v>5.6</c:v>
                </c:pt>
                <c:pt idx="3851">
                  <c:v>7.4</c:v>
                </c:pt>
                <c:pt idx="3852">
                  <c:v>8.6999999999999993</c:v>
                </c:pt>
                <c:pt idx="3853">
                  <c:v>7.7</c:v>
                </c:pt>
                <c:pt idx="3854">
                  <c:v>1.1000000000000001</c:v>
                </c:pt>
                <c:pt idx="3855">
                  <c:v>7.2</c:v>
                </c:pt>
                <c:pt idx="3856">
                  <c:v>8.4</c:v>
                </c:pt>
                <c:pt idx="3857">
                  <c:v>5.7</c:v>
                </c:pt>
                <c:pt idx="3858">
                  <c:v>9.6999999999999993</c:v>
                </c:pt>
                <c:pt idx="3859">
                  <c:v>1</c:v>
                </c:pt>
                <c:pt idx="3860">
                  <c:v>8.4</c:v>
                </c:pt>
                <c:pt idx="3861">
                  <c:v>4</c:v>
                </c:pt>
                <c:pt idx="3862">
                  <c:v>6.9</c:v>
                </c:pt>
                <c:pt idx="3863">
                  <c:v>7.2</c:v>
                </c:pt>
                <c:pt idx="3864">
                  <c:v>3.8</c:v>
                </c:pt>
                <c:pt idx="3865">
                  <c:v>10</c:v>
                </c:pt>
                <c:pt idx="3866">
                  <c:v>1.9</c:v>
                </c:pt>
                <c:pt idx="3867">
                  <c:v>2.4</c:v>
                </c:pt>
                <c:pt idx="3868">
                  <c:v>9</c:v>
                </c:pt>
                <c:pt idx="3869">
                  <c:v>2.1</c:v>
                </c:pt>
                <c:pt idx="3870">
                  <c:v>4.4000000000000004</c:v>
                </c:pt>
                <c:pt idx="3871">
                  <c:v>7.6</c:v>
                </c:pt>
                <c:pt idx="3872">
                  <c:v>8.1</c:v>
                </c:pt>
                <c:pt idx="3873">
                  <c:v>9.6</c:v>
                </c:pt>
                <c:pt idx="3874">
                  <c:v>8.1</c:v>
                </c:pt>
                <c:pt idx="3875">
                  <c:v>8.6</c:v>
                </c:pt>
                <c:pt idx="3876">
                  <c:v>9.5</c:v>
                </c:pt>
                <c:pt idx="3877">
                  <c:v>6</c:v>
                </c:pt>
                <c:pt idx="3878">
                  <c:v>4.0999999999999996</c:v>
                </c:pt>
                <c:pt idx="3879">
                  <c:v>7.9</c:v>
                </c:pt>
                <c:pt idx="3880">
                  <c:v>2.5</c:v>
                </c:pt>
                <c:pt idx="3881">
                  <c:v>1.6</c:v>
                </c:pt>
                <c:pt idx="3882">
                  <c:v>8.1</c:v>
                </c:pt>
                <c:pt idx="3883">
                  <c:v>9.6</c:v>
                </c:pt>
                <c:pt idx="3884">
                  <c:v>5</c:v>
                </c:pt>
                <c:pt idx="3885">
                  <c:v>2.5</c:v>
                </c:pt>
                <c:pt idx="3886">
                  <c:v>5.5</c:v>
                </c:pt>
                <c:pt idx="3887">
                  <c:v>4.5</c:v>
                </c:pt>
                <c:pt idx="3888">
                  <c:v>4.4000000000000004</c:v>
                </c:pt>
                <c:pt idx="3889">
                  <c:v>6.7</c:v>
                </c:pt>
                <c:pt idx="3890">
                  <c:v>2.6</c:v>
                </c:pt>
                <c:pt idx="3891">
                  <c:v>4.4000000000000004</c:v>
                </c:pt>
                <c:pt idx="3892">
                  <c:v>8.8000000000000007</c:v>
                </c:pt>
                <c:pt idx="3893">
                  <c:v>7.6</c:v>
                </c:pt>
                <c:pt idx="3894">
                  <c:v>1.5</c:v>
                </c:pt>
                <c:pt idx="3895">
                  <c:v>5.6</c:v>
                </c:pt>
                <c:pt idx="3896">
                  <c:v>1.8</c:v>
                </c:pt>
                <c:pt idx="3897">
                  <c:v>9.6</c:v>
                </c:pt>
                <c:pt idx="3898">
                  <c:v>3.2</c:v>
                </c:pt>
                <c:pt idx="3899">
                  <c:v>9.4</c:v>
                </c:pt>
                <c:pt idx="3900">
                  <c:v>8.5</c:v>
                </c:pt>
                <c:pt idx="3901">
                  <c:v>6</c:v>
                </c:pt>
                <c:pt idx="3902">
                  <c:v>4</c:v>
                </c:pt>
                <c:pt idx="3903">
                  <c:v>8.6999999999999993</c:v>
                </c:pt>
                <c:pt idx="3904">
                  <c:v>2.4</c:v>
                </c:pt>
                <c:pt idx="3905">
                  <c:v>2.6</c:v>
                </c:pt>
                <c:pt idx="3906">
                  <c:v>3</c:v>
                </c:pt>
                <c:pt idx="3907">
                  <c:v>6.4</c:v>
                </c:pt>
                <c:pt idx="3908">
                  <c:v>3.8</c:v>
                </c:pt>
                <c:pt idx="3909">
                  <c:v>9.9</c:v>
                </c:pt>
                <c:pt idx="3910">
                  <c:v>2.8</c:v>
                </c:pt>
                <c:pt idx="3911">
                  <c:v>8.3000000000000007</c:v>
                </c:pt>
                <c:pt idx="3912">
                  <c:v>1.9</c:v>
                </c:pt>
                <c:pt idx="3913">
                  <c:v>4.2</c:v>
                </c:pt>
                <c:pt idx="3914">
                  <c:v>3.2</c:v>
                </c:pt>
                <c:pt idx="3915">
                  <c:v>9.8000000000000007</c:v>
                </c:pt>
                <c:pt idx="3916">
                  <c:v>1.2</c:v>
                </c:pt>
                <c:pt idx="3917">
                  <c:v>7.5</c:v>
                </c:pt>
                <c:pt idx="3918">
                  <c:v>3.2</c:v>
                </c:pt>
                <c:pt idx="3919">
                  <c:v>8.3000000000000007</c:v>
                </c:pt>
                <c:pt idx="3920">
                  <c:v>3.8</c:v>
                </c:pt>
                <c:pt idx="3921">
                  <c:v>2.7</c:v>
                </c:pt>
                <c:pt idx="3922">
                  <c:v>7.2</c:v>
                </c:pt>
                <c:pt idx="3923">
                  <c:v>3.3</c:v>
                </c:pt>
                <c:pt idx="3924">
                  <c:v>5.4</c:v>
                </c:pt>
                <c:pt idx="3925">
                  <c:v>2.2000000000000002</c:v>
                </c:pt>
                <c:pt idx="3926">
                  <c:v>7.5</c:v>
                </c:pt>
                <c:pt idx="3927">
                  <c:v>4.7</c:v>
                </c:pt>
                <c:pt idx="3928">
                  <c:v>2.2999999999999998</c:v>
                </c:pt>
                <c:pt idx="3929">
                  <c:v>7.7</c:v>
                </c:pt>
                <c:pt idx="3930">
                  <c:v>1.9</c:v>
                </c:pt>
                <c:pt idx="3931">
                  <c:v>6.2</c:v>
                </c:pt>
                <c:pt idx="3932">
                  <c:v>6.5</c:v>
                </c:pt>
                <c:pt idx="3933">
                  <c:v>9.4</c:v>
                </c:pt>
                <c:pt idx="3934">
                  <c:v>2.4</c:v>
                </c:pt>
                <c:pt idx="3935">
                  <c:v>6.9</c:v>
                </c:pt>
                <c:pt idx="3936">
                  <c:v>4.4000000000000004</c:v>
                </c:pt>
                <c:pt idx="3937">
                  <c:v>4.5999999999999996</c:v>
                </c:pt>
                <c:pt idx="3938">
                  <c:v>5.5</c:v>
                </c:pt>
                <c:pt idx="3939">
                  <c:v>3.1</c:v>
                </c:pt>
                <c:pt idx="3940">
                  <c:v>5.2</c:v>
                </c:pt>
                <c:pt idx="3941">
                  <c:v>7.2</c:v>
                </c:pt>
                <c:pt idx="3942">
                  <c:v>5.0999999999999996</c:v>
                </c:pt>
                <c:pt idx="3943">
                  <c:v>1.4</c:v>
                </c:pt>
                <c:pt idx="3944">
                  <c:v>3.3</c:v>
                </c:pt>
                <c:pt idx="3945">
                  <c:v>4.2</c:v>
                </c:pt>
                <c:pt idx="3946">
                  <c:v>4.2</c:v>
                </c:pt>
                <c:pt idx="3947">
                  <c:v>1.7</c:v>
                </c:pt>
                <c:pt idx="3948">
                  <c:v>5</c:v>
                </c:pt>
                <c:pt idx="3949">
                  <c:v>7.2</c:v>
                </c:pt>
                <c:pt idx="3950">
                  <c:v>1.4</c:v>
                </c:pt>
                <c:pt idx="3951">
                  <c:v>7.8</c:v>
                </c:pt>
                <c:pt idx="3952">
                  <c:v>9.6</c:v>
                </c:pt>
                <c:pt idx="3953">
                  <c:v>1.1000000000000001</c:v>
                </c:pt>
                <c:pt idx="3954">
                  <c:v>2.7</c:v>
                </c:pt>
                <c:pt idx="3955">
                  <c:v>5.9</c:v>
                </c:pt>
                <c:pt idx="3956">
                  <c:v>3</c:v>
                </c:pt>
                <c:pt idx="3957">
                  <c:v>7.9</c:v>
                </c:pt>
                <c:pt idx="3958">
                  <c:v>3.8</c:v>
                </c:pt>
                <c:pt idx="3959">
                  <c:v>3.6</c:v>
                </c:pt>
                <c:pt idx="3960">
                  <c:v>1</c:v>
                </c:pt>
                <c:pt idx="3961">
                  <c:v>3.4</c:v>
                </c:pt>
                <c:pt idx="3962">
                  <c:v>3</c:v>
                </c:pt>
                <c:pt idx="3963">
                  <c:v>4.0999999999999996</c:v>
                </c:pt>
                <c:pt idx="3964">
                  <c:v>2.2999999999999998</c:v>
                </c:pt>
                <c:pt idx="3965">
                  <c:v>6.4</c:v>
                </c:pt>
                <c:pt idx="3966">
                  <c:v>3.1</c:v>
                </c:pt>
                <c:pt idx="3967">
                  <c:v>8.5</c:v>
                </c:pt>
                <c:pt idx="3968">
                  <c:v>3.6</c:v>
                </c:pt>
                <c:pt idx="3969">
                  <c:v>2.9</c:v>
                </c:pt>
                <c:pt idx="3970">
                  <c:v>1.5</c:v>
                </c:pt>
                <c:pt idx="3971">
                  <c:v>7.7</c:v>
                </c:pt>
                <c:pt idx="3972">
                  <c:v>5.6</c:v>
                </c:pt>
                <c:pt idx="3973">
                  <c:v>2</c:v>
                </c:pt>
                <c:pt idx="3974">
                  <c:v>3</c:v>
                </c:pt>
                <c:pt idx="3975">
                  <c:v>10</c:v>
                </c:pt>
                <c:pt idx="3976">
                  <c:v>8.3000000000000007</c:v>
                </c:pt>
                <c:pt idx="3977">
                  <c:v>4.0999999999999996</c:v>
                </c:pt>
                <c:pt idx="3978">
                  <c:v>5.9</c:v>
                </c:pt>
                <c:pt idx="3979">
                  <c:v>4.7</c:v>
                </c:pt>
                <c:pt idx="3980">
                  <c:v>1.3</c:v>
                </c:pt>
                <c:pt idx="3981">
                  <c:v>8</c:v>
                </c:pt>
                <c:pt idx="3982">
                  <c:v>7.5</c:v>
                </c:pt>
                <c:pt idx="3983">
                  <c:v>4.7</c:v>
                </c:pt>
                <c:pt idx="3984">
                  <c:v>8.6</c:v>
                </c:pt>
                <c:pt idx="3985">
                  <c:v>5.8</c:v>
                </c:pt>
                <c:pt idx="3986">
                  <c:v>1.6</c:v>
                </c:pt>
                <c:pt idx="3987">
                  <c:v>3.3</c:v>
                </c:pt>
                <c:pt idx="3988">
                  <c:v>5.2</c:v>
                </c:pt>
                <c:pt idx="3989">
                  <c:v>1.9</c:v>
                </c:pt>
                <c:pt idx="3990">
                  <c:v>6.1</c:v>
                </c:pt>
                <c:pt idx="3991">
                  <c:v>2.1</c:v>
                </c:pt>
                <c:pt idx="3992">
                  <c:v>2.8</c:v>
                </c:pt>
                <c:pt idx="3993">
                  <c:v>9</c:v>
                </c:pt>
                <c:pt idx="3994">
                  <c:v>10</c:v>
                </c:pt>
                <c:pt idx="3995">
                  <c:v>6</c:v>
                </c:pt>
                <c:pt idx="3996">
                  <c:v>6.6</c:v>
                </c:pt>
                <c:pt idx="3997">
                  <c:v>8.1999999999999993</c:v>
                </c:pt>
                <c:pt idx="3998">
                  <c:v>7.3</c:v>
                </c:pt>
                <c:pt idx="3999">
                  <c:v>2.6</c:v>
                </c:pt>
                <c:pt idx="4000">
                  <c:v>4.7</c:v>
                </c:pt>
                <c:pt idx="4001">
                  <c:v>5.8</c:v>
                </c:pt>
                <c:pt idx="4002">
                  <c:v>4.2</c:v>
                </c:pt>
                <c:pt idx="4003">
                  <c:v>2.6</c:v>
                </c:pt>
                <c:pt idx="4004">
                  <c:v>7.6</c:v>
                </c:pt>
                <c:pt idx="4005">
                  <c:v>2.8</c:v>
                </c:pt>
                <c:pt idx="4006">
                  <c:v>3.3</c:v>
                </c:pt>
                <c:pt idx="4007">
                  <c:v>3.6</c:v>
                </c:pt>
                <c:pt idx="4008">
                  <c:v>2.5</c:v>
                </c:pt>
                <c:pt idx="4009">
                  <c:v>8.6</c:v>
                </c:pt>
                <c:pt idx="4010">
                  <c:v>6.5</c:v>
                </c:pt>
                <c:pt idx="4011">
                  <c:v>8.5</c:v>
                </c:pt>
                <c:pt idx="4012">
                  <c:v>5.4</c:v>
                </c:pt>
                <c:pt idx="4013">
                  <c:v>5.7</c:v>
                </c:pt>
                <c:pt idx="4014">
                  <c:v>6.5</c:v>
                </c:pt>
                <c:pt idx="4015">
                  <c:v>4.3</c:v>
                </c:pt>
                <c:pt idx="4016">
                  <c:v>5.5</c:v>
                </c:pt>
                <c:pt idx="4017">
                  <c:v>5.9</c:v>
                </c:pt>
                <c:pt idx="4018">
                  <c:v>9.6</c:v>
                </c:pt>
                <c:pt idx="4019">
                  <c:v>8.9</c:v>
                </c:pt>
                <c:pt idx="4020">
                  <c:v>2.2000000000000002</c:v>
                </c:pt>
                <c:pt idx="4021">
                  <c:v>1.4</c:v>
                </c:pt>
                <c:pt idx="4022">
                  <c:v>7.1</c:v>
                </c:pt>
                <c:pt idx="4023">
                  <c:v>1.4</c:v>
                </c:pt>
                <c:pt idx="4024">
                  <c:v>1.5</c:v>
                </c:pt>
                <c:pt idx="4025">
                  <c:v>2.4</c:v>
                </c:pt>
                <c:pt idx="4026">
                  <c:v>4.2</c:v>
                </c:pt>
                <c:pt idx="4027">
                  <c:v>4.9000000000000004</c:v>
                </c:pt>
                <c:pt idx="4028">
                  <c:v>5.7</c:v>
                </c:pt>
                <c:pt idx="4029">
                  <c:v>9.9</c:v>
                </c:pt>
                <c:pt idx="4030">
                  <c:v>4.5</c:v>
                </c:pt>
                <c:pt idx="4031">
                  <c:v>3.2</c:v>
                </c:pt>
                <c:pt idx="4032">
                  <c:v>6.2</c:v>
                </c:pt>
                <c:pt idx="4033">
                  <c:v>2.9</c:v>
                </c:pt>
                <c:pt idx="4034">
                  <c:v>9.5</c:v>
                </c:pt>
                <c:pt idx="4035">
                  <c:v>3.3</c:v>
                </c:pt>
                <c:pt idx="4036">
                  <c:v>9.9</c:v>
                </c:pt>
                <c:pt idx="4037">
                  <c:v>4.8</c:v>
                </c:pt>
                <c:pt idx="4038">
                  <c:v>8.3000000000000007</c:v>
                </c:pt>
                <c:pt idx="4039">
                  <c:v>6.8</c:v>
                </c:pt>
                <c:pt idx="4040">
                  <c:v>9.4</c:v>
                </c:pt>
                <c:pt idx="4041">
                  <c:v>6.6</c:v>
                </c:pt>
                <c:pt idx="4042">
                  <c:v>6.2</c:v>
                </c:pt>
                <c:pt idx="4043">
                  <c:v>6.9</c:v>
                </c:pt>
                <c:pt idx="4044">
                  <c:v>8.1</c:v>
                </c:pt>
                <c:pt idx="4045">
                  <c:v>9.1</c:v>
                </c:pt>
                <c:pt idx="4046">
                  <c:v>3.4</c:v>
                </c:pt>
                <c:pt idx="4047">
                  <c:v>2.8</c:v>
                </c:pt>
                <c:pt idx="4048">
                  <c:v>1.3</c:v>
                </c:pt>
                <c:pt idx="4049">
                  <c:v>4.3</c:v>
                </c:pt>
                <c:pt idx="4050">
                  <c:v>8.6</c:v>
                </c:pt>
                <c:pt idx="4051">
                  <c:v>1.6</c:v>
                </c:pt>
                <c:pt idx="4052">
                  <c:v>5.8</c:v>
                </c:pt>
                <c:pt idx="4053">
                  <c:v>7.3</c:v>
                </c:pt>
                <c:pt idx="4054">
                  <c:v>8.5</c:v>
                </c:pt>
                <c:pt idx="4055">
                  <c:v>6.3</c:v>
                </c:pt>
                <c:pt idx="4056">
                  <c:v>2.7</c:v>
                </c:pt>
                <c:pt idx="4057">
                  <c:v>9.6999999999999993</c:v>
                </c:pt>
                <c:pt idx="4058">
                  <c:v>1.9</c:v>
                </c:pt>
                <c:pt idx="4059">
                  <c:v>7.9</c:v>
                </c:pt>
                <c:pt idx="4060">
                  <c:v>1.8</c:v>
                </c:pt>
                <c:pt idx="4061">
                  <c:v>2.2999999999999998</c:v>
                </c:pt>
                <c:pt idx="4062">
                  <c:v>9.1</c:v>
                </c:pt>
                <c:pt idx="4063">
                  <c:v>7.8</c:v>
                </c:pt>
                <c:pt idx="4064">
                  <c:v>4.3</c:v>
                </c:pt>
                <c:pt idx="4065">
                  <c:v>6.7</c:v>
                </c:pt>
                <c:pt idx="4066">
                  <c:v>5.0999999999999996</c:v>
                </c:pt>
                <c:pt idx="4067">
                  <c:v>1.6</c:v>
                </c:pt>
                <c:pt idx="4068">
                  <c:v>7.5</c:v>
                </c:pt>
                <c:pt idx="4069">
                  <c:v>7.9</c:v>
                </c:pt>
                <c:pt idx="4070">
                  <c:v>8.9</c:v>
                </c:pt>
                <c:pt idx="4071">
                  <c:v>5.9</c:v>
                </c:pt>
                <c:pt idx="4072">
                  <c:v>7.1</c:v>
                </c:pt>
                <c:pt idx="4073">
                  <c:v>4.9000000000000004</c:v>
                </c:pt>
                <c:pt idx="4074">
                  <c:v>3.9</c:v>
                </c:pt>
                <c:pt idx="4075">
                  <c:v>4.7</c:v>
                </c:pt>
                <c:pt idx="4076">
                  <c:v>9.1999999999999993</c:v>
                </c:pt>
                <c:pt idx="4077">
                  <c:v>2.5</c:v>
                </c:pt>
                <c:pt idx="4078">
                  <c:v>3.2</c:v>
                </c:pt>
                <c:pt idx="4079">
                  <c:v>6.5</c:v>
                </c:pt>
                <c:pt idx="4080">
                  <c:v>2</c:v>
                </c:pt>
                <c:pt idx="4081">
                  <c:v>9</c:v>
                </c:pt>
                <c:pt idx="4082">
                  <c:v>1.4</c:v>
                </c:pt>
                <c:pt idx="4083">
                  <c:v>7.8</c:v>
                </c:pt>
                <c:pt idx="4084">
                  <c:v>4.4000000000000004</c:v>
                </c:pt>
                <c:pt idx="4085">
                  <c:v>1.5</c:v>
                </c:pt>
                <c:pt idx="4086">
                  <c:v>8.6</c:v>
                </c:pt>
                <c:pt idx="4087">
                  <c:v>6.8</c:v>
                </c:pt>
                <c:pt idx="4088">
                  <c:v>1.1000000000000001</c:v>
                </c:pt>
                <c:pt idx="4089">
                  <c:v>3.4</c:v>
                </c:pt>
                <c:pt idx="4090">
                  <c:v>4.2</c:v>
                </c:pt>
                <c:pt idx="4091">
                  <c:v>3.9</c:v>
                </c:pt>
                <c:pt idx="4092">
                  <c:v>5.5</c:v>
                </c:pt>
                <c:pt idx="4093">
                  <c:v>5.7</c:v>
                </c:pt>
                <c:pt idx="4094">
                  <c:v>4.5999999999999996</c:v>
                </c:pt>
                <c:pt idx="4095">
                  <c:v>4</c:v>
                </c:pt>
                <c:pt idx="4096">
                  <c:v>5.5</c:v>
                </c:pt>
                <c:pt idx="4097">
                  <c:v>1.3</c:v>
                </c:pt>
                <c:pt idx="4098">
                  <c:v>6.8</c:v>
                </c:pt>
                <c:pt idx="4099">
                  <c:v>6.5</c:v>
                </c:pt>
                <c:pt idx="4100">
                  <c:v>3.5</c:v>
                </c:pt>
                <c:pt idx="4101">
                  <c:v>2.6</c:v>
                </c:pt>
                <c:pt idx="4102">
                  <c:v>1.7</c:v>
                </c:pt>
                <c:pt idx="4103">
                  <c:v>6.3</c:v>
                </c:pt>
                <c:pt idx="4104">
                  <c:v>6.1</c:v>
                </c:pt>
                <c:pt idx="4105">
                  <c:v>5.8</c:v>
                </c:pt>
                <c:pt idx="4106">
                  <c:v>9.9</c:v>
                </c:pt>
                <c:pt idx="4107">
                  <c:v>5.8</c:v>
                </c:pt>
                <c:pt idx="4108">
                  <c:v>7.5</c:v>
                </c:pt>
                <c:pt idx="4109">
                  <c:v>2</c:v>
                </c:pt>
                <c:pt idx="4110">
                  <c:v>3.7</c:v>
                </c:pt>
                <c:pt idx="4111">
                  <c:v>3.5</c:v>
                </c:pt>
                <c:pt idx="4112">
                  <c:v>6.2</c:v>
                </c:pt>
                <c:pt idx="4113">
                  <c:v>4</c:v>
                </c:pt>
                <c:pt idx="4114">
                  <c:v>6.8</c:v>
                </c:pt>
                <c:pt idx="4115">
                  <c:v>7.2</c:v>
                </c:pt>
                <c:pt idx="4116">
                  <c:v>1.3</c:v>
                </c:pt>
                <c:pt idx="4117">
                  <c:v>6.8</c:v>
                </c:pt>
                <c:pt idx="4118">
                  <c:v>2.1</c:v>
                </c:pt>
                <c:pt idx="4119">
                  <c:v>5.2</c:v>
                </c:pt>
                <c:pt idx="4120">
                  <c:v>7.5</c:v>
                </c:pt>
                <c:pt idx="4121">
                  <c:v>7.3</c:v>
                </c:pt>
                <c:pt idx="4122">
                  <c:v>3.7</c:v>
                </c:pt>
                <c:pt idx="4123">
                  <c:v>3.5</c:v>
                </c:pt>
                <c:pt idx="4124">
                  <c:v>5</c:v>
                </c:pt>
                <c:pt idx="4125">
                  <c:v>2.7</c:v>
                </c:pt>
                <c:pt idx="4126">
                  <c:v>9.8000000000000007</c:v>
                </c:pt>
                <c:pt idx="4127">
                  <c:v>4.0999999999999996</c:v>
                </c:pt>
                <c:pt idx="4128">
                  <c:v>9.3000000000000007</c:v>
                </c:pt>
                <c:pt idx="4129">
                  <c:v>9.1999999999999993</c:v>
                </c:pt>
                <c:pt idx="4130">
                  <c:v>4.3</c:v>
                </c:pt>
                <c:pt idx="4131">
                  <c:v>3.3</c:v>
                </c:pt>
                <c:pt idx="4132">
                  <c:v>7.9</c:v>
                </c:pt>
                <c:pt idx="4133">
                  <c:v>3.1</c:v>
                </c:pt>
                <c:pt idx="4134">
                  <c:v>5.7</c:v>
                </c:pt>
                <c:pt idx="4135">
                  <c:v>2</c:v>
                </c:pt>
                <c:pt idx="4136">
                  <c:v>4.5</c:v>
                </c:pt>
                <c:pt idx="4137">
                  <c:v>1.7</c:v>
                </c:pt>
                <c:pt idx="4138">
                  <c:v>3.6</c:v>
                </c:pt>
                <c:pt idx="4139">
                  <c:v>7</c:v>
                </c:pt>
                <c:pt idx="4140">
                  <c:v>9.9</c:v>
                </c:pt>
                <c:pt idx="4141">
                  <c:v>3.3</c:v>
                </c:pt>
                <c:pt idx="4142">
                  <c:v>5.3</c:v>
                </c:pt>
                <c:pt idx="4143">
                  <c:v>5</c:v>
                </c:pt>
                <c:pt idx="4144">
                  <c:v>2.7</c:v>
                </c:pt>
                <c:pt idx="4145">
                  <c:v>6.5</c:v>
                </c:pt>
                <c:pt idx="4146">
                  <c:v>7.5</c:v>
                </c:pt>
                <c:pt idx="4147">
                  <c:v>2.2999999999999998</c:v>
                </c:pt>
                <c:pt idx="4148">
                  <c:v>7.8</c:v>
                </c:pt>
                <c:pt idx="4149">
                  <c:v>7.3</c:v>
                </c:pt>
                <c:pt idx="4150">
                  <c:v>2.8</c:v>
                </c:pt>
                <c:pt idx="4151">
                  <c:v>6.8</c:v>
                </c:pt>
                <c:pt idx="4152">
                  <c:v>4.5</c:v>
                </c:pt>
                <c:pt idx="4153">
                  <c:v>7.1</c:v>
                </c:pt>
                <c:pt idx="4154">
                  <c:v>5.5</c:v>
                </c:pt>
                <c:pt idx="4155">
                  <c:v>1.4</c:v>
                </c:pt>
                <c:pt idx="4156">
                  <c:v>8.1</c:v>
                </c:pt>
                <c:pt idx="4157">
                  <c:v>6</c:v>
                </c:pt>
                <c:pt idx="4158">
                  <c:v>7.5</c:v>
                </c:pt>
                <c:pt idx="4159">
                  <c:v>2.1</c:v>
                </c:pt>
                <c:pt idx="4160">
                  <c:v>7.5</c:v>
                </c:pt>
                <c:pt idx="4161">
                  <c:v>4.7</c:v>
                </c:pt>
                <c:pt idx="4162">
                  <c:v>8.1999999999999993</c:v>
                </c:pt>
                <c:pt idx="4163">
                  <c:v>6.4</c:v>
                </c:pt>
                <c:pt idx="4164">
                  <c:v>4.2</c:v>
                </c:pt>
                <c:pt idx="4165">
                  <c:v>2.8</c:v>
                </c:pt>
                <c:pt idx="4166">
                  <c:v>8.3000000000000007</c:v>
                </c:pt>
                <c:pt idx="4167">
                  <c:v>6</c:v>
                </c:pt>
                <c:pt idx="4168">
                  <c:v>9.9</c:v>
                </c:pt>
                <c:pt idx="4169">
                  <c:v>4.4000000000000004</c:v>
                </c:pt>
                <c:pt idx="4170">
                  <c:v>7.2</c:v>
                </c:pt>
                <c:pt idx="4171">
                  <c:v>6.6</c:v>
                </c:pt>
                <c:pt idx="4172">
                  <c:v>6.7</c:v>
                </c:pt>
                <c:pt idx="4173">
                  <c:v>7.6</c:v>
                </c:pt>
                <c:pt idx="4174">
                  <c:v>2.2999999999999998</c:v>
                </c:pt>
                <c:pt idx="4175">
                  <c:v>5.9</c:v>
                </c:pt>
                <c:pt idx="4176">
                  <c:v>5.6</c:v>
                </c:pt>
                <c:pt idx="4177">
                  <c:v>4.0999999999999996</c:v>
                </c:pt>
                <c:pt idx="4178">
                  <c:v>4.9000000000000004</c:v>
                </c:pt>
                <c:pt idx="4179">
                  <c:v>5.7</c:v>
                </c:pt>
                <c:pt idx="4180">
                  <c:v>3.9</c:v>
                </c:pt>
                <c:pt idx="4181">
                  <c:v>3.6</c:v>
                </c:pt>
                <c:pt idx="4182">
                  <c:v>7.6</c:v>
                </c:pt>
                <c:pt idx="4183">
                  <c:v>1.6</c:v>
                </c:pt>
                <c:pt idx="4184">
                  <c:v>3.8</c:v>
                </c:pt>
                <c:pt idx="4185">
                  <c:v>6.9</c:v>
                </c:pt>
                <c:pt idx="4186">
                  <c:v>2.9</c:v>
                </c:pt>
                <c:pt idx="4187">
                  <c:v>6.2</c:v>
                </c:pt>
                <c:pt idx="4188">
                  <c:v>3.7</c:v>
                </c:pt>
                <c:pt idx="4189">
                  <c:v>8.6</c:v>
                </c:pt>
                <c:pt idx="4190">
                  <c:v>4.0999999999999996</c:v>
                </c:pt>
                <c:pt idx="4191">
                  <c:v>3.1</c:v>
                </c:pt>
                <c:pt idx="4192">
                  <c:v>5.8</c:v>
                </c:pt>
                <c:pt idx="4193">
                  <c:v>2.2000000000000002</c:v>
                </c:pt>
                <c:pt idx="4194">
                  <c:v>8.1999999999999993</c:v>
                </c:pt>
                <c:pt idx="4195">
                  <c:v>7.1</c:v>
                </c:pt>
                <c:pt idx="4196">
                  <c:v>7.9</c:v>
                </c:pt>
                <c:pt idx="4197">
                  <c:v>4.5999999999999996</c:v>
                </c:pt>
                <c:pt idx="4198">
                  <c:v>8.5</c:v>
                </c:pt>
                <c:pt idx="4199">
                  <c:v>5.4</c:v>
                </c:pt>
                <c:pt idx="4200">
                  <c:v>1.9</c:v>
                </c:pt>
                <c:pt idx="4201">
                  <c:v>3</c:v>
                </c:pt>
                <c:pt idx="4202">
                  <c:v>7.4</c:v>
                </c:pt>
                <c:pt idx="4203">
                  <c:v>9.1</c:v>
                </c:pt>
                <c:pt idx="4204">
                  <c:v>1.9</c:v>
                </c:pt>
                <c:pt idx="4205">
                  <c:v>8.8000000000000007</c:v>
                </c:pt>
                <c:pt idx="4206">
                  <c:v>8.1999999999999993</c:v>
                </c:pt>
                <c:pt idx="4207">
                  <c:v>4.2</c:v>
                </c:pt>
                <c:pt idx="4208">
                  <c:v>7.2</c:v>
                </c:pt>
                <c:pt idx="4209">
                  <c:v>2.7</c:v>
                </c:pt>
                <c:pt idx="4210">
                  <c:v>8.3000000000000007</c:v>
                </c:pt>
                <c:pt idx="4211">
                  <c:v>6.9</c:v>
                </c:pt>
                <c:pt idx="4212">
                  <c:v>4.9000000000000004</c:v>
                </c:pt>
                <c:pt idx="4213">
                  <c:v>8.8000000000000007</c:v>
                </c:pt>
                <c:pt idx="4214">
                  <c:v>2.2999999999999998</c:v>
                </c:pt>
                <c:pt idx="4215">
                  <c:v>8.6</c:v>
                </c:pt>
                <c:pt idx="4216">
                  <c:v>1.2</c:v>
                </c:pt>
                <c:pt idx="4217">
                  <c:v>7.8</c:v>
                </c:pt>
                <c:pt idx="4218">
                  <c:v>6.2</c:v>
                </c:pt>
                <c:pt idx="4219">
                  <c:v>7.3</c:v>
                </c:pt>
                <c:pt idx="4220">
                  <c:v>4.7</c:v>
                </c:pt>
                <c:pt idx="4221">
                  <c:v>8.8000000000000007</c:v>
                </c:pt>
                <c:pt idx="4222">
                  <c:v>3.8</c:v>
                </c:pt>
                <c:pt idx="4223">
                  <c:v>3.5</c:v>
                </c:pt>
                <c:pt idx="4224">
                  <c:v>3.7</c:v>
                </c:pt>
                <c:pt idx="4225">
                  <c:v>8</c:v>
                </c:pt>
                <c:pt idx="4226">
                  <c:v>5.5</c:v>
                </c:pt>
                <c:pt idx="4227">
                  <c:v>5.8</c:v>
                </c:pt>
                <c:pt idx="4228">
                  <c:v>8.5</c:v>
                </c:pt>
                <c:pt idx="4229">
                  <c:v>8.5</c:v>
                </c:pt>
                <c:pt idx="4230">
                  <c:v>2.5</c:v>
                </c:pt>
                <c:pt idx="4231">
                  <c:v>5.9</c:v>
                </c:pt>
                <c:pt idx="4232">
                  <c:v>2.1</c:v>
                </c:pt>
                <c:pt idx="4233">
                  <c:v>8.8000000000000007</c:v>
                </c:pt>
                <c:pt idx="4234">
                  <c:v>8.5</c:v>
                </c:pt>
                <c:pt idx="4235">
                  <c:v>8.6</c:v>
                </c:pt>
                <c:pt idx="4236">
                  <c:v>7.3</c:v>
                </c:pt>
                <c:pt idx="4237">
                  <c:v>5.2</c:v>
                </c:pt>
                <c:pt idx="4238">
                  <c:v>4.5999999999999996</c:v>
                </c:pt>
                <c:pt idx="4239">
                  <c:v>4.5999999999999996</c:v>
                </c:pt>
                <c:pt idx="4240">
                  <c:v>1.6</c:v>
                </c:pt>
                <c:pt idx="4241">
                  <c:v>9.5</c:v>
                </c:pt>
                <c:pt idx="4242">
                  <c:v>5.0999999999999996</c:v>
                </c:pt>
                <c:pt idx="4243">
                  <c:v>9.4</c:v>
                </c:pt>
                <c:pt idx="4244">
                  <c:v>8.9</c:v>
                </c:pt>
                <c:pt idx="4245">
                  <c:v>8.5</c:v>
                </c:pt>
                <c:pt idx="4246">
                  <c:v>6.3</c:v>
                </c:pt>
                <c:pt idx="4247">
                  <c:v>1.9</c:v>
                </c:pt>
                <c:pt idx="4248">
                  <c:v>3.9</c:v>
                </c:pt>
                <c:pt idx="4249">
                  <c:v>6.4</c:v>
                </c:pt>
                <c:pt idx="4250">
                  <c:v>1.1000000000000001</c:v>
                </c:pt>
                <c:pt idx="4251">
                  <c:v>1.4</c:v>
                </c:pt>
                <c:pt idx="4252">
                  <c:v>7.1</c:v>
                </c:pt>
                <c:pt idx="4253">
                  <c:v>9</c:v>
                </c:pt>
                <c:pt idx="4254">
                  <c:v>8.6999999999999993</c:v>
                </c:pt>
                <c:pt idx="4255">
                  <c:v>2.5</c:v>
                </c:pt>
                <c:pt idx="4256">
                  <c:v>9.1999999999999993</c:v>
                </c:pt>
                <c:pt idx="4257">
                  <c:v>7.3</c:v>
                </c:pt>
                <c:pt idx="4258">
                  <c:v>7.4</c:v>
                </c:pt>
                <c:pt idx="4259">
                  <c:v>3.7</c:v>
                </c:pt>
                <c:pt idx="4260">
                  <c:v>7.4</c:v>
                </c:pt>
                <c:pt idx="4261">
                  <c:v>7.4</c:v>
                </c:pt>
                <c:pt idx="4262">
                  <c:v>6.4</c:v>
                </c:pt>
                <c:pt idx="4263">
                  <c:v>4.2</c:v>
                </c:pt>
                <c:pt idx="4264">
                  <c:v>8.3000000000000007</c:v>
                </c:pt>
                <c:pt idx="4265">
                  <c:v>9.4</c:v>
                </c:pt>
                <c:pt idx="4266">
                  <c:v>8.8000000000000007</c:v>
                </c:pt>
                <c:pt idx="4267">
                  <c:v>3.2</c:v>
                </c:pt>
                <c:pt idx="4268">
                  <c:v>5</c:v>
                </c:pt>
                <c:pt idx="4269">
                  <c:v>4.0999999999999996</c:v>
                </c:pt>
                <c:pt idx="4270">
                  <c:v>7.4</c:v>
                </c:pt>
                <c:pt idx="4271">
                  <c:v>8.5</c:v>
                </c:pt>
                <c:pt idx="4272">
                  <c:v>2.9</c:v>
                </c:pt>
                <c:pt idx="4273">
                  <c:v>9.5</c:v>
                </c:pt>
                <c:pt idx="4274">
                  <c:v>7.1</c:v>
                </c:pt>
                <c:pt idx="4275">
                  <c:v>3</c:v>
                </c:pt>
                <c:pt idx="4276">
                  <c:v>4.3</c:v>
                </c:pt>
                <c:pt idx="4277">
                  <c:v>1.9</c:v>
                </c:pt>
                <c:pt idx="4278">
                  <c:v>6.4</c:v>
                </c:pt>
                <c:pt idx="4279">
                  <c:v>2.5</c:v>
                </c:pt>
                <c:pt idx="4280">
                  <c:v>7.2</c:v>
                </c:pt>
                <c:pt idx="4281">
                  <c:v>7.6</c:v>
                </c:pt>
                <c:pt idx="4282">
                  <c:v>5.3</c:v>
                </c:pt>
                <c:pt idx="4283">
                  <c:v>1.8</c:v>
                </c:pt>
                <c:pt idx="4284">
                  <c:v>6.5</c:v>
                </c:pt>
                <c:pt idx="4285">
                  <c:v>4.3</c:v>
                </c:pt>
                <c:pt idx="4286">
                  <c:v>9.5</c:v>
                </c:pt>
                <c:pt idx="4287">
                  <c:v>5.6</c:v>
                </c:pt>
                <c:pt idx="4288">
                  <c:v>1.7</c:v>
                </c:pt>
                <c:pt idx="4289">
                  <c:v>6.7</c:v>
                </c:pt>
                <c:pt idx="4290">
                  <c:v>8</c:v>
                </c:pt>
                <c:pt idx="4291">
                  <c:v>2.4</c:v>
                </c:pt>
                <c:pt idx="4292">
                  <c:v>5</c:v>
                </c:pt>
                <c:pt idx="4293">
                  <c:v>7.7</c:v>
                </c:pt>
                <c:pt idx="4294">
                  <c:v>1.2</c:v>
                </c:pt>
                <c:pt idx="4295">
                  <c:v>1.3</c:v>
                </c:pt>
                <c:pt idx="4296">
                  <c:v>7.1</c:v>
                </c:pt>
                <c:pt idx="4297">
                  <c:v>7.5</c:v>
                </c:pt>
                <c:pt idx="4298">
                  <c:v>8.6</c:v>
                </c:pt>
                <c:pt idx="4299">
                  <c:v>4.5999999999999996</c:v>
                </c:pt>
                <c:pt idx="4300">
                  <c:v>4.5</c:v>
                </c:pt>
                <c:pt idx="4301">
                  <c:v>6</c:v>
                </c:pt>
                <c:pt idx="4302">
                  <c:v>7.8</c:v>
                </c:pt>
                <c:pt idx="4303">
                  <c:v>6.8</c:v>
                </c:pt>
                <c:pt idx="4304">
                  <c:v>3.9</c:v>
                </c:pt>
                <c:pt idx="4305">
                  <c:v>4.0999999999999996</c:v>
                </c:pt>
                <c:pt idx="4306">
                  <c:v>7.9</c:v>
                </c:pt>
                <c:pt idx="4307">
                  <c:v>5.8</c:v>
                </c:pt>
                <c:pt idx="4308">
                  <c:v>1.9</c:v>
                </c:pt>
                <c:pt idx="4309">
                  <c:v>2.4</c:v>
                </c:pt>
                <c:pt idx="4310">
                  <c:v>8.6999999999999993</c:v>
                </c:pt>
                <c:pt idx="4311">
                  <c:v>10</c:v>
                </c:pt>
                <c:pt idx="4312">
                  <c:v>4</c:v>
                </c:pt>
                <c:pt idx="4313">
                  <c:v>4.5</c:v>
                </c:pt>
                <c:pt idx="4314">
                  <c:v>2.4</c:v>
                </c:pt>
                <c:pt idx="4315">
                  <c:v>3.1</c:v>
                </c:pt>
                <c:pt idx="4316">
                  <c:v>4.8</c:v>
                </c:pt>
                <c:pt idx="4317">
                  <c:v>3.6</c:v>
                </c:pt>
                <c:pt idx="4318">
                  <c:v>7.3</c:v>
                </c:pt>
                <c:pt idx="4319">
                  <c:v>5.8</c:v>
                </c:pt>
                <c:pt idx="4320">
                  <c:v>8.4</c:v>
                </c:pt>
                <c:pt idx="4321">
                  <c:v>7.5</c:v>
                </c:pt>
                <c:pt idx="4322">
                  <c:v>2.2000000000000002</c:v>
                </c:pt>
                <c:pt idx="4323">
                  <c:v>2.1</c:v>
                </c:pt>
                <c:pt idx="4324">
                  <c:v>9.1</c:v>
                </c:pt>
                <c:pt idx="4325">
                  <c:v>8.4</c:v>
                </c:pt>
                <c:pt idx="4326">
                  <c:v>5.2</c:v>
                </c:pt>
                <c:pt idx="4327">
                  <c:v>2.2000000000000002</c:v>
                </c:pt>
                <c:pt idx="4328">
                  <c:v>9.1</c:v>
                </c:pt>
                <c:pt idx="4329">
                  <c:v>3.1</c:v>
                </c:pt>
                <c:pt idx="4330">
                  <c:v>1.3</c:v>
                </c:pt>
                <c:pt idx="4331">
                  <c:v>9.3000000000000007</c:v>
                </c:pt>
                <c:pt idx="4332">
                  <c:v>8.3000000000000007</c:v>
                </c:pt>
                <c:pt idx="4333">
                  <c:v>7.2</c:v>
                </c:pt>
                <c:pt idx="4334">
                  <c:v>1.3</c:v>
                </c:pt>
                <c:pt idx="4335">
                  <c:v>5.8</c:v>
                </c:pt>
                <c:pt idx="4336">
                  <c:v>6.9</c:v>
                </c:pt>
                <c:pt idx="4337">
                  <c:v>7.8</c:v>
                </c:pt>
                <c:pt idx="4338">
                  <c:v>5.2</c:v>
                </c:pt>
                <c:pt idx="4339">
                  <c:v>9.6</c:v>
                </c:pt>
                <c:pt idx="4340">
                  <c:v>3.2</c:v>
                </c:pt>
                <c:pt idx="4341">
                  <c:v>1.6</c:v>
                </c:pt>
                <c:pt idx="4342">
                  <c:v>4</c:v>
                </c:pt>
                <c:pt idx="4343">
                  <c:v>7</c:v>
                </c:pt>
                <c:pt idx="4344">
                  <c:v>7.6</c:v>
                </c:pt>
                <c:pt idx="4345">
                  <c:v>7.6</c:v>
                </c:pt>
                <c:pt idx="4346">
                  <c:v>2</c:v>
                </c:pt>
                <c:pt idx="4347">
                  <c:v>9</c:v>
                </c:pt>
                <c:pt idx="4348">
                  <c:v>3.5</c:v>
                </c:pt>
                <c:pt idx="4349">
                  <c:v>2.9</c:v>
                </c:pt>
                <c:pt idx="4350">
                  <c:v>6.5</c:v>
                </c:pt>
                <c:pt idx="4351">
                  <c:v>2.9</c:v>
                </c:pt>
                <c:pt idx="4352">
                  <c:v>5.6</c:v>
                </c:pt>
                <c:pt idx="4353">
                  <c:v>4.7</c:v>
                </c:pt>
                <c:pt idx="4354">
                  <c:v>3.1</c:v>
                </c:pt>
                <c:pt idx="4355">
                  <c:v>3.6</c:v>
                </c:pt>
                <c:pt idx="4356">
                  <c:v>4.8</c:v>
                </c:pt>
                <c:pt idx="4357">
                  <c:v>4.0999999999999996</c:v>
                </c:pt>
                <c:pt idx="4358">
                  <c:v>4.4000000000000004</c:v>
                </c:pt>
                <c:pt idx="4359">
                  <c:v>7.6</c:v>
                </c:pt>
                <c:pt idx="4360">
                  <c:v>2.5</c:v>
                </c:pt>
                <c:pt idx="4361">
                  <c:v>6.6</c:v>
                </c:pt>
                <c:pt idx="4362">
                  <c:v>7.1</c:v>
                </c:pt>
                <c:pt idx="4363">
                  <c:v>8.1999999999999993</c:v>
                </c:pt>
                <c:pt idx="4364">
                  <c:v>8.6</c:v>
                </c:pt>
                <c:pt idx="4365">
                  <c:v>2.4</c:v>
                </c:pt>
                <c:pt idx="4366">
                  <c:v>2.2000000000000002</c:v>
                </c:pt>
                <c:pt idx="4367">
                  <c:v>6.5</c:v>
                </c:pt>
                <c:pt idx="4368">
                  <c:v>7.8</c:v>
                </c:pt>
                <c:pt idx="4369">
                  <c:v>3.5</c:v>
                </c:pt>
                <c:pt idx="4370">
                  <c:v>5.7</c:v>
                </c:pt>
                <c:pt idx="4371">
                  <c:v>8</c:v>
                </c:pt>
                <c:pt idx="4372">
                  <c:v>7.9</c:v>
                </c:pt>
                <c:pt idx="4373">
                  <c:v>6.9</c:v>
                </c:pt>
                <c:pt idx="4374">
                  <c:v>1.7</c:v>
                </c:pt>
                <c:pt idx="4375">
                  <c:v>1.5</c:v>
                </c:pt>
                <c:pt idx="4376">
                  <c:v>4.5</c:v>
                </c:pt>
                <c:pt idx="4377">
                  <c:v>1.2</c:v>
                </c:pt>
                <c:pt idx="4378">
                  <c:v>9.1</c:v>
                </c:pt>
                <c:pt idx="4379">
                  <c:v>1.2</c:v>
                </c:pt>
                <c:pt idx="4380">
                  <c:v>1.3</c:v>
                </c:pt>
                <c:pt idx="4381">
                  <c:v>2.5</c:v>
                </c:pt>
                <c:pt idx="4382">
                  <c:v>6.6</c:v>
                </c:pt>
                <c:pt idx="4383">
                  <c:v>5.9</c:v>
                </c:pt>
                <c:pt idx="4384">
                  <c:v>6.9</c:v>
                </c:pt>
                <c:pt idx="4385">
                  <c:v>9</c:v>
                </c:pt>
                <c:pt idx="4386">
                  <c:v>5.0999999999999996</c:v>
                </c:pt>
                <c:pt idx="4387">
                  <c:v>1.4</c:v>
                </c:pt>
                <c:pt idx="4388">
                  <c:v>7.9</c:v>
                </c:pt>
                <c:pt idx="4389">
                  <c:v>8.3000000000000007</c:v>
                </c:pt>
                <c:pt idx="4390">
                  <c:v>1.4</c:v>
                </c:pt>
                <c:pt idx="4391">
                  <c:v>3.2</c:v>
                </c:pt>
                <c:pt idx="4392">
                  <c:v>7.9</c:v>
                </c:pt>
                <c:pt idx="4393">
                  <c:v>4.4000000000000004</c:v>
                </c:pt>
                <c:pt idx="4394">
                  <c:v>5.3</c:v>
                </c:pt>
                <c:pt idx="4395">
                  <c:v>8.4</c:v>
                </c:pt>
                <c:pt idx="4396">
                  <c:v>1.9</c:v>
                </c:pt>
                <c:pt idx="4397">
                  <c:v>7.1</c:v>
                </c:pt>
                <c:pt idx="4398">
                  <c:v>2.9</c:v>
                </c:pt>
                <c:pt idx="4399">
                  <c:v>1.6</c:v>
                </c:pt>
                <c:pt idx="4400">
                  <c:v>7</c:v>
                </c:pt>
                <c:pt idx="4401">
                  <c:v>2.1</c:v>
                </c:pt>
                <c:pt idx="4402">
                  <c:v>7.7</c:v>
                </c:pt>
                <c:pt idx="4403">
                  <c:v>2.8</c:v>
                </c:pt>
                <c:pt idx="4404">
                  <c:v>1.4</c:v>
                </c:pt>
                <c:pt idx="4405">
                  <c:v>1.9</c:v>
                </c:pt>
                <c:pt idx="4406">
                  <c:v>8.6</c:v>
                </c:pt>
                <c:pt idx="4407">
                  <c:v>4.3</c:v>
                </c:pt>
                <c:pt idx="4408">
                  <c:v>3.7</c:v>
                </c:pt>
                <c:pt idx="4409">
                  <c:v>5.4</c:v>
                </c:pt>
                <c:pt idx="4410">
                  <c:v>6.7</c:v>
                </c:pt>
                <c:pt idx="4411">
                  <c:v>1.3</c:v>
                </c:pt>
                <c:pt idx="4412">
                  <c:v>9.1</c:v>
                </c:pt>
                <c:pt idx="4413">
                  <c:v>9.6</c:v>
                </c:pt>
                <c:pt idx="4414">
                  <c:v>4.8</c:v>
                </c:pt>
                <c:pt idx="4415">
                  <c:v>4.7</c:v>
                </c:pt>
                <c:pt idx="4416">
                  <c:v>8.9</c:v>
                </c:pt>
                <c:pt idx="4417">
                  <c:v>4.9000000000000004</c:v>
                </c:pt>
                <c:pt idx="4418">
                  <c:v>8.6999999999999993</c:v>
                </c:pt>
                <c:pt idx="4419">
                  <c:v>1.3</c:v>
                </c:pt>
                <c:pt idx="4420">
                  <c:v>5.4</c:v>
                </c:pt>
                <c:pt idx="4421">
                  <c:v>9.6</c:v>
                </c:pt>
                <c:pt idx="4422">
                  <c:v>3.3</c:v>
                </c:pt>
                <c:pt idx="4423">
                  <c:v>3.4</c:v>
                </c:pt>
                <c:pt idx="4424">
                  <c:v>6.7</c:v>
                </c:pt>
                <c:pt idx="4425">
                  <c:v>9.3000000000000007</c:v>
                </c:pt>
                <c:pt idx="4426">
                  <c:v>2.8</c:v>
                </c:pt>
                <c:pt idx="4427">
                  <c:v>9.3000000000000007</c:v>
                </c:pt>
                <c:pt idx="4428">
                  <c:v>7</c:v>
                </c:pt>
                <c:pt idx="4429">
                  <c:v>9.9</c:v>
                </c:pt>
                <c:pt idx="4430">
                  <c:v>7.6</c:v>
                </c:pt>
                <c:pt idx="4431">
                  <c:v>7</c:v>
                </c:pt>
                <c:pt idx="4432">
                  <c:v>8.3000000000000007</c:v>
                </c:pt>
                <c:pt idx="4433">
                  <c:v>2.6</c:v>
                </c:pt>
                <c:pt idx="4434">
                  <c:v>9.5</c:v>
                </c:pt>
                <c:pt idx="4435">
                  <c:v>2.5</c:v>
                </c:pt>
                <c:pt idx="4436">
                  <c:v>1.2</c:v>
                </c:pt>
                <c:pt idx="4437">
                  <c:v>7.3</c:v>
                </c:pt>
                <c:pt idx="4438">
                  <c:v>2.7</c:v>
                </c:pt>
                <c:pt idx="4439">
                  <c:v>7.8</c:v>
                </c:pt>
                <c:pt idx="4440">
                  <c:v>8.1999999999999993</c:v>
                </c:pt>
                <c:pt idx="4441">
                  <c:v>3.1</c:v>
                </c:pt>
                <c:pt idx="4442">
                  <c:v>1.8</c:v>
                </c:pt>
                <c:pt idx="4443">
                  <c:v>5.5</c:v>
                </c:pt>
                <c:pt idx="4444">
                  <c:v>9</c:v>
                </c:pt>
                <c:pt idx="4445">
                  <c:v>8.6</c:v>
                </c:pt>
                <c:pt idx="4446">
                  <c:v>2.1</c:v>
                </c:pt>
                <c:pt idx="4447">
                  <c:v>9.6999999999999993</c:v>
                </c:pt>
                <c:pt idx="4448">
                  <c:v>3.4</c:v>
                </c:pt>
                <c:pt idx="4449">
                  <c:v>4.0999999999999996</c:v>
                </c:pt>
                <c:pt idx="4450">
                  <c:v>2.2999999999999998</c:v>
                </c:pt>
                <c:pt idx="4451">
                  <c:v>4.4000000000000004</c:v>
                </c:pt>
                <c:pt idx="4452">
                  <c:v>6.7</c:v>
                </c:pt>
                <c:pt idx="4453">
                  <c:v>5.6</c:v>
                </c:pt>
                <c:pt idx="4454">
                  <c:v>8.4</c:v>
                </c:pt>
                <c:pt idx="4455">
                  <c:v>6.8</c:v>
                </c:pt>
                <c:pt idx="4456">
                  <c:v>3.4</c:v>
                </c:pt>
                <c:pt idx="4457">
                  <c:v>6</c:v>
                </c:pt>
                <c:pt idx="4458">
                  <c:v>1.6</c:v>
                </c:pt>
                <c:pt idx="4459">
                  <c:v>6.2</c:v>
                </c:pt>
                <c:pt idx="4460">
                  <c:v>4.5</c:v>
                </c:pt>
                <c:pt idx="4461">
                  <c:v>1.9</c:v>
                </c:pt>
                <c:pt idx="4462">
                  <c:v>3.8</c:v>
                </c:pt>
                <c:pt idx="4463">
                  <c:v>9.1</c:v>
                </c:pt>
                <c:pt idx="4464">
                  <c:v>6.3</c:v>
                </c:pt>
                <c:pt idx="4465">
                  <c:v>9.1</c:v>
                </c:pt>
                <c:pt idx="4466">
                  <c:v>4.7</c:v>
                </c:pt>
                <c:pt idx="4467">
                  <c:v>9.8000000000000007</c:v>
                </c:pt>
                <c:pt idx="4468">
                  <c:v>4.2</c:v>
                </c:pt>
                <c:pt idx="4469">
                  <c:v>7.8</c:v>
                </c:pt>
                <c:pt idx="4470">
                  <c:v>3.7</c:v>
                </c:pt>
                <c:pt idx="4471">
                  <c:v>2</c:v>
                </c:pt>
                <c:pt idx="4472">
                  <c:v>8.5</c:v>
                </c:pt>
                <c:pt idx="4473">
                  <c:v>7.9</c:v>
                </c:pt>
                <c:pt idx="4474">
                  <c:v>8.4</c:v>
                </c:pt>
                <c:pt idx="4475">
                  <c:v>3.7</c:v>
                </c:pt>
                <c:pt idx="4476">
                  <c:v>7.3</c:v>
                </c:pt>
                <c:pt idx="4477">
                  <c:v>3</c:v>
                </c:pt>
                <c:pt idx="4478">
                  <c:v>1.1000000000000001</c:v>
                </c:pt>
                <c:pt idx="4479">
                  <c:v>8.8000000000000007</c:v>
                </c:pt>
                <c:pt idx="4480">
                  <c:v>5.7</c:v>
                </c:pt>
                <c:pt idx="4481">
                  <c:v>9.9</c:v>
                </c:pt>
                <c:pt idx="4482">
                  <c:v>4.5</c:v>
                </c:pt>
                <c:pt idx="4483">
                  <c:v>9.6</c:v>
                </c:pt>
                <c:pt idx="4484">
                  <c:v>6.5</c:v>
                </c:pt>
                <c:pt idx="4485">
                  <c:v>5.6</c:v>
                </c:pt>
                <c:pt idx="4486">
                  <c:v>3.7</c:v>
                </c:pt>
                <c:pt idx="4487">
                  <c:v>8.4</c:v>
                </c:pt>
                <c:pt idx="4488">
                  <c:v>8.5</c:v>
                </c:pt>
                <c:pt idx="4489">
                  <c:v>4.8</c:v>
                </c:pt>
                <c:pt idx="4490">
                  <c:v>7.5</c:v>
                </c:pt>
                <c:pt idx="4491">
                  <c:v>5</c:v>
                </c:pt>
                <c:pt idx="4492">
                  <c:v>7.7</c:v>
                </c:pt>
                <c:pt idx="4493">
                  <c:v>9.9</c:v>
                </c:pt>
                <c:pt idx="4494">
                  <c:v>3.4</c:v>
                </c:pt>
                <c:pt idx="4495">
                  <c:v>6.7</c:v>
                </c:pt>
                <c:pt idx="4496">
                  <c:v>4.4000000000000004</c:v>
                </c:pt>
                <c:pt idx="4497">
                  <c:v>5.9</c:v>
                </c:pt>
                <c:pt idx="4498">
                  <c:v>8.9</c:v>
                </c:pt>
                <c:pt idx="4499">
                  <c:v>4.0999999999999996</c:v>
                </c:pt>
                <c:pt idx="4500">
                  <c:v>1.7</c:v>
                </c:pt>
                <c:pt idx="4501">
                  <c:v>8.1999999999999993</c:v>
                </c:pt>
                <c:pt idx="4502">
                  <c:v>6</c:v>
                </c:pt>
                <c:pt idx="4503">
                  <c:v>5</c:v>
                </c:pt>
                <c:pt idx="4504">
                  <c:v>2.6</c:v>
                </c:pt>
                <c:pt idx="4505">
                  <c:v>1.8</c:v>
                </c:pt>
                <c:pt idx="4506">
                  <c:v>3.5</c:v>
                </c:pt>
                <c:pt idx="4507">
                  <c:v>7.5</c:v>
                </c:pt>
                <c:pt idx="4508">
                  <c:v>4.7</c:v>
                </c:pt>
                <c:pt idx="4509">
                  <c:v>6.1</c:v>
                </c:pt>
                <c:pt idx="4510">
                  <c:v>1.7</c:v>
                </c:pt>
                <c:pt idx="4511">
                  <c:v>2.1</c:v>
                </c:pt>
                <c:pt idx="4512">
                  <c:v>1.1000000000000001</c:v>
                </c:pt>
                <c:pt idx="4513">
                  <c:v>7.1</c:v>
                </c:pt>
                <c:pt idx="4514">
                  <c:v>3.4</c:v>
                </c:pt>
                <c:pt idx="4515">
                  <c:v>9.6999999999999993</c:v>
                </c:pt>
                <c:pt idx="4516">
                  <c:v>3.8</c:v>
                </c:pt>
                <c:pt idx="4517">
                  <c:v>4.3</c:v>
                </c:pt>
                <c:pt idx="4518">
                  <c:v>5.2</c:v>
                </c:pt>
                <c:pt idx="4519">
                  <c:v>3.9</c:v>
                </c:pt>
                <c:pt idx="4520">
                  <c:v>8.4</c:v>
                </c:pt>
                <c:pt idx="4521">
                  <c:v>8.9</c:v>
                </c:pt>
                <c:pt idx="4522">
                  <c:v>1.1000000000000001</c:v>
                </c:pt>
                <c:pt idx="4523">
                  <c:v>6.9</c:v>
                </c:pt>
                <c:pt idx="4524">
                  <c:v>7.2</c:v>
                </c:pt>
                <c:pt idx="4525">
                  <c:v>9.6999999999999993</c:v>
                </c:pt>
                <c:pt idx="4526">
                  <c:v>4.3</c:v>
                </c:pt>
                <c:pt idx="4527">
                  <c:v>2.8</c:v>
                </c:pt>
                <c:pt idx="4528">
                  <c:v>5.7</c:v>
                </c:pt>
                <c:pt idx="4529">
                  <c:v>5</c:v>
                </c:pt>
                <c:pt idx="4530">
                  <c:v>8.1</c:v>
                </c:pt>
                <c:pt idx="4531">
                  <c:v>9.1</c:v>
                </c:pt>
                <c:pt idx="4532">
                  <c:v>1.8</c:v>
                </c:pt>
                <c:pt idx="4533">
                  <c:v>8.6</c:v>
                </c:pt>
                <c:pt idx="4534">
                  <c:v>9.1999999999999993</c:v>
                </c:pt>
                <c:pt idx="4535">
                  <c:v>9.3000000000000007</c:v>
                </c:pt>
                <c:pt idx="4536">
                  <c:v>7.9</c:v>
                </c:pt>
                <c:pt idx="4537">
                  <c:v>7.7</c:v>
                </c:pt>
                <c:pt idx="4538">
                  <c:v>1.1000000000000001</c:v>
                </c:pt>
                <c:pt idx="4539">
                  <c:v>9.3000000000000007</c:v>
                </c:pt>
                <c:pt idx="4540">
                  <c:v>4.2</c:v>
                </c:pt>
                <c:pt idx="4541">
                  <c:v>1.4</c:v>
                </c:pt>
                <c:pt idx="4542">
                  <c:v>4.7</c:v>
                </c:pt>
                <c:pt idx="4543">
                  <c:v>7.6</c:v>
                </c:pt>
                <c:pt idx="4544">
                  <c:v>5</c:v>
                </c:pt>
                <c:pt idx="4545">
                  <c:v>7.8</c:v>
                </c:pt>
                <c:pt idx="4546">
                  <c:v>5.6</c:v>
                </c:pt>
                <c:pt idx="4547">
                  <c:v>3.7</c:v>
                </c:pt>
                <c:pt idx="4548">
                  <c:v>2.8</c:v>
                </c:pt>
                <c:pt idx="4549">
                  <c:v>4.8</c:v>
                </c:pt>
                <c:pt idx="4550">
                  <c:v>1.3</c:v>
                </c:pt>
                <c:pt idx="4551">
                  <c:v>4.8</c:v>
                </c:pt>
                <c:pt idx="4552">
                  <c:v>1.6</c:v>
                </c:pt>
                <c:pt idx="4553">
                  <c:v>8.9</c:v>
                </c:pt>
                <c:pt idx="4554">
                  <c:v>6.2</c:v>
                </c:pt>
                <c:pt idx="4555">
                  <c:v>6.8</c:v>
                </c:pt>
                <c:pt idx="4556">
                  <c:v>3.6</c:v>
                </c:pt>
                <c:pt idx="4557">
                  <c:v>3</c:v>
                </c:pt>
                <c:pt idx="4558">
                  <c:v>7.4</c:v>
                </c:pt>
                <c:pt idx="4559">
                  <c:v>7</c:v>
                </c:pt>
                <c:pt idx="4560">
                  <c:v>2.1</c:v>
                </c:pt>
                <c:pt idx="4561">
                  <c:v>3.1</c:v>
                </c:pt>
                <c:pt idx="4562">
                  <c:v>9.5</c:v>
                </c:pt>
                <c:pt idx="4563">
                  <c:v>3.7</c:v>
                </c:pt>
                <c:pt idx="4564">
                  <c:v>1.2</c:v>
                </c:pt>
                <c:pt idx="4565">
                  <c:v>1.6</c:v>
                </c:pt>
                <c:pt idx="4566">
                  <c:v>8</c:v>
                </c:pt>
                <c:pt idx="4567">
                  <c:v>7.8</c:v>
                </c:pt>
                <c:pt idx="4568">
                  <c:v>4.4000000000000004</c:v>
                </c:pt>
                <c:pt idx="4569">
                  <c:v>2.4</c:v>
                </c:pt>
                <c:pt idx="4570">
                  <c:v>5.5</c:v>
                </c:pt>
                <c:pt idx="4571">
                  <c:v>4</c:v>
                </c:pt>
                <c:pt idx="4572">
                  <c:v>4.4000000000000004</c:v>
                </c:pt>
                <c:pt idx="4573">
                  <c:v>3.3</c:v>
                </c:pt>
                <c:pt idx="4574">
                  <c:v>1.6</c:v>
                </c:pt>
                <c:pt idx="4575">
                  <c:v>8.1</c:v>
                </c:pt>
                <c:pt idx="4576">
                  <c:v>6.6</c:v>
                </c:pt>
                <c:pt idx="4577">
                  <c:v>8.5</c:v>
                </c:pt>
                <c:pt idx="4578">
                  <c:v>5.5</c:v>
                </c:pt>
                <c:pt idx="4579">
                  <c:v>9.9</c:v>
                </c:pt>
                <c:pt idx="4580">
                  <c:v>9.6999999999999993</c:v>
                </c:pt>
                <c:pt idx="4581">
                  <c:v>3.4</c:v>
                </c:pt>
                <c:pt idx="4582">
                  <c:v>4.5</c:v>
                </c:pt>
                <c:pt idx="4583">
                  <c:v>7.8</c:v>
                </c:pt>
                <c:pt idx="4584">
                  <c:v>8</c:v>
                </c:pt>
                <c:pt idx="4585">
                  <c:v>9.1999999999999993</c:v>
                </c:pt>
                <c:pt idx="4586">
                  <c:v>6.9</c:v>
                </c:pt>
                <c:pt idx="4587">
                  <c:v>5.3</c:v>
                </c:pt>
                <c:pt idx="4588">
                  <c:v>4.4000000000000004</c:v>
                </c:pt>
                <c:pt idx="4589">
                  <c:v>4.8</c:v>
                </c:pt>
                <c:pt idx="4590">
                  <c:v>8.6999999999999993</c:v>
                </c:pt>
                <c:pt idx="4591">
                  <c:v>9.8000000000000007</c:v>
                </c:pt>
                <c:pt idx="4592">
                  <c:v>1.5</c:v>
                </c:pt>
                <c:pt idx="4593">
                  <c:v>6.2</c:v>
                </c:pt>
                <c:pt idx="4594">
                  <c:v>5.7</c:v>
                </c:pt>
                <c:pt idx="4595">
                  <c:v>4.4000000000000004</c:v>
                </c:pt>
                <c:pt idx="4596">
                  <c:v>8.6999999999999993</c:v>
                </c:pt>
                <c:pt idx="4597">
                  <c:v>6.2</c:v>
                </c:pt>
                <c:pt idx="4598">
                  <c:v>3.8</c:v>
                </c:pt>
                <c:pt idx="4599">
                  <c:v>5</c:v>
                </c:pt>
                <c:pt idx="4600">
                  <c:v>4.2</c:v>
                </c:pt>
                <c:pt idx="4601">
                  <c:v>4.9000000000000004</c:v>
                </c:pt>
                <c:pt idx="4602">
                  <c:v>1.6</c:v>
                </c:pt>
                <c:pt idx="4603">
                  <c:v>2</c:v>
                </c:pt>
                <c:pt idx="4604">
                  <c:v>6.6</c:v>
                </c:pt>
                <c:pt idx="4605">
                  <c:v>7.2</c:v>
                </c:pt>
                <c:pt idx="4606">
                  <c:v>6.7</c:v>
                </c:pt>
                <c:pt idx="4607">
                  <c:v>7.9</c:v>
                </c:pt>
                <c:pt idx="4608">
                  <c:v>9.5</c:v>
                </c:pt>
                <c:pt idx="4609">
                  <c:v>8.6999999999999993</c:v>
                </c:pt>
                <c:pt idx="4610">
                  <c:v>4.8</c:v>
                </c:pt>
                <c:pt idx="4611">
                  <c:v>3</c:v>
                </c:pt>
                <c:pt idx="4612">
                  <c:v>3.8</c:v>
                </c:pt>
                <c:pt idx="4613">
                  <c:v>6.3</c:v>
                </c:pt>
                <c:pt idx="4614">
                  <c:v>8.6999999999999993</c:v>
                </c:pt>
                <c:pt idx="4615">
                  <c:v>7.3</c:v>
                </c:pt>
                <c:pt idx="4616">
                  <c:v>5.9</c:v>
                </c:pt>
                <c:pt idx="4617">
                  <c:v>6.4</c:v>
                </c:pt>
                <c:pt idx="4618">
                  <c:v>5.8</c:v>
                </c:pt>
                <c:pt idx="4619">
                  <c:v>9.6999999999999993</c:v>
                </c:pt>
                <c:pt idx="4620">
                  <c:v>8.3000000000000007</c:v>
                </c:pt>
                <c:pt idx="4621">
                  <c:v>8</c:v>
                </c:pt>
                <c:pt idx="4622">
                  <c:v>5.7</c:v>
                </c:pt>
                <c:pt idx="4623">
                  <c:v>4</c:v>
                </c:pt>
                <c:pt idx="4624">
                  <c:v>1.2</c:v>
                </c:pt>
                <c:pt idx="4625">
                  <c:v>1.4</c:v>
                </c:pt>
                <c:pt idx="4626">
                  <c:v>1.3</c:v>
                </c:pt>
                <c:pt idx="4627">
                  <c:v>9.8000000000000007</c:v>
                </c:pt>
                <c:pt idx="4628">
                  <c:v>2</c:v>
                </c:pt>
                <c:pt idx="4629">
                  <c:v>2.2999999999999998</c:v>
                </c:pt>
                <c:pt idx="4630">
                  <c:v>5.4</c:v>
                </c:pt>
                <c:pt idx="4631">
                  <c:v>5.3</c:v>
                </c:pt>
                <c:pt idx="4632">
                  <c:v>9.3000000000000007</c:v>
                </c:pt>
                <c:pt idx="4633">
                  <c:v>1.7</c:v>
                </c:pt>
                <c:pt idx="4634">
                  <c:v>9.6</c:v>
                </c:pt>
                <c:pt idx="4635">
                  <c:v>2.9</c:v>
                </c:pt>
                <c:pt idx="4636">
                  <c:v>9.6999999999999993</c:v>
                </c:pt>
                <c:pt idx="4637">
                  <c:v>5.9</c:v>
                </c:pt>
                <c:pt idx="4638">
                  <c:v>6.9</c:v>
                </c:pt>
                <c:pt idx="4639">
                  <c:v>3.8</c:v>
                </c:pt>
                <c:pt idx="4640">
                  <c:v>6.5</c:v>
                </c:pt>
                <c:pt idx="4641">
                  <c:v>7.4</c:v>
                </c:pt>
                <c:pt idx="4642">
                  <c:v>1.1000000000000001</c:v>
                </c:pt>
                <c:pt idx="4643">
                  <c:v>1.3</c:v>
                </c:pt>
                <c:pt idx="4644">
                  <c:v>9.9</c:v>
                </c:pt>
                <c:pt idx="4645">
                  <c:v>5.0999999999999996</c:v>
                </c:pt>
                <c:pt idx="4646">
                  <c:v>9.4</c:v>
                </c:pt>
                <c:pt idx="4647">
                  <c:v>7.6</c:v>
                </c:pt>
                <c:pt idx="4648">
                  <c:v>4.4000000000000004</c:v>
                </c:pt>
                <c:pt idx="4649">
                  <c:v>2.4</c:v>
                </c:pt>
                <c:pt idx="4650">
                  <c:v>9.8000000000000007</c:v>
                </c:pt>
                <c:pt idx="4651">
                  <c:v>6.3</c:v>
                </c:pt>
                <c:pt idx="4652">
                  <c:v>2.7</c:v>
                </c:pt>
                <c:pt idx="4653">
                  <c:v>7.1</c:v>
                </c:pt>
                <c:pt idx="4654">
                  <c:v>1.8</c:v>
                </c:pt>
                <c:pt idx="4655">
                  <c:v>8.8000000000000007</c:v>
                </c:pt>
                <c:pt idx="4656">
                  <c:v>1.8</c:v>
                </c:pt>
                <c:pt idx="4657">
                  <c:v>3.1</c:v>
                </c:pt>
                <c:pt idx="4658">
                  <c:v>1.8</c:v>
                </c:pt>
                <c:pt idx="4659">
                  <c:v>1.9</c:v>
                </c:pt>
                <c:pt idx="4660">
                  <c:v>5.7</c:v>
                </c:pt>
                <c:pt idx="4661">
                  <c:v>7.2</c:v>
                </c:pt>
                <c:pt idx="4662">
                  <c:v>8.1</c:v>
                </c:pt>
                <c:pt idx="4663">
                  <c:v>7.3</c:v>
                </c:pt>
                <c:pt idx="4664">
                  <c:v>4.3</c:v>
                </c:pt>
                <c:pt idx="4665">
                  <c:v>6</c:v>
                </c:pt>
                <c:pt idx="4666">
                  <c:v>9.3000000000000007</c:v>
                </c:pt>
                <c:pt idx="4667">
                  <c:v>4.5</c:v>
                </c:pt>
                <c:pt idx="4668">
                  <c:v>3.3</c:v>
                </c:pt>
                <c:pt idx="4669">
                  <c:v>5.7</c:v>
                </c:pt>
                <c:pt idx="4670">
                  <c:v>3.7</c:v>
                </c:pt>
                <c:pt idx="4671">
                  <c:v>3.4</c:v>
                </c:pt>
                <c:pt idx="4672">
                  <c:v>8</c:v>
                </c:pt>
                <c:pt idx="4673">
                  <c:v>9</c:v>
                </c:pt>
                <c:pt idx="4674">
                  <c:v>5.5</c:v>
                </c:pt>
                <c:pt idx="4675">
                  <c:v>8</c:v>
                </c:pt>
                <c:pt idx="4676">
                  <c:v>2.7</c:v>
                </c:pt>
                <c:pt idx="4677">
                  <c:v>5.9</c:v>
                </c:pt>
                <c:pt idx="4678">
                  <c:v>6.7</c:v>
                </c:pt>
                <c:pt idx="4679">
                  <c:v>5.4</c:v>
                </c:pt>
                <c:pt idx="4680">
                  <c:v>2.1</c:v>
                </c:pt>
                <c:pt idx="4681">
                  <c:v>7.6</c:v>
                </c:pt>
                <c:pt idx="4682">
                  <c:v>8.6</c:v>
                </c:pt>
                <c:pt idx="4683">
                  <c:v>6.7</c:v>
                </c:pt>
                <c:pt idx="4684">
                  <c:v>2.5</c:v>
                </c:pt>
                <c:pt idx="4685">
                  <c:v>1.7</c:v>
                </c:pt>
                <c:pt idx="4686">
                  <c:v>3.7</c:v>
                </c:pt>
                <c:pt idx="4687">
                  <c:v>1.3</c:v>
                </c:pt>
                <c:pt idx="4688">
                  <c:v>8.6</c:v>
                </c:pt>
                <c:pt idx="4689">
                  <c:v>7.3</c:v>
                </c:pt>
                <c:pt idx="4690">
                  <c:v>6.1</c:v>
                </c:pt>
                <c:pt idx="4691">
                  <c:v>9</c:v>
                </c:pt>
                <c:pt idx="4692">
                  <c:v>2</c:v>
                </c:pt>
                <c:pt idx="4693">
                  <c:v>7.4</c:v>
                </c:pt>
                <c:pt idx="4694">
                  <c:v>2.2999999999999998</c:v>
                </c:pt>
                <c:pt idx="4695">
                  <c:v>1.5</c:v>
                </c:pt>
                <c:pt idx="4696">
                  <c:v>2.2000000000000002</c:v>
                </c:pt>
                <c:pt idx="4697">
                  <c:v>9.6</c:v>
                </c:pt>
                <c:pt idx="4698">
                  <c:v>5</c:v>
                </c:pt>
                <c:pt idx="4699">
                  <c:v>1.4</c:v>
                </c:pt>
                <c:pt idx="4700">
                  <c:v>6.3</c:v>
                </c:pt>
                <c:pt idx="4701">
                  <c:v>2.8</c:v>
                </c:pt>
                <c:pt idx="4702">
                  <c:v>1.1000000000000001</c:v>
                </c:pt>
                <c:pt idx="4703">
                  <c:v>7.8</c:v>
                </c:pt>
                <c:pt idx="4704">
                  <c:v>2.4</c:v>
                </c:pt>
                <c:pt idx="4705">
                  <c:v>9.5</c:v>
                </c:pt>
                <c:pt idx="4706">
                  <c:v>6.3</c:v>
                </c:pt>
                <c:pt idx="4707">
                  <c:v>1.8</c:v>
                </c:pt>
                <c:pt idx="4708">
                  <c:v>3</c:v>
                </c:pt>
                <c:pt idx="4709">
                  <c:v>6.5</c:v>
                </c:pt>
                <c:pt idx="4710">
                  <c:v>4</c:v>
                </c:pt>
                <c:pt idx="4711">
                  <c:v>5.8</c:v>
                </c:pt>
                <c:pt idx="4712">
                  <c:v>8.1999999999999993</c:v>
                </c:pt>
                <c:pt idx="4713">
                  <c:v>8.1</c:v>
                </c:pt>
                <c:pt idx="4714">
                  <c:v>7.3</c:v>
                </c:pt>
                <c:pt idx="4715">
                  <c:v>9</c:v>
                </c:pt>
                <c:pt idx="4716">
                  <c:v>2.8</c:v>
                </c:pt>
                <c:pt idx="4717">
                  <c:v>2.6</c:v>
                </c:pt>
                <c:pt idx="4718">
                  <c:v>8.1999999999999993</c:v>
                </c:pt>
                <c:pt idx="4719">
                  <c:v>3.9</c:v>
                </c:pt>
                <c:pt idx="4720">
                  <c:v>5.6</c:v>
                </c:pt>
                <c:pt idx="4721">
                  <c:v>7.7</c:v>
                </c:pt>
                <c:pt idx="4722">
                  <c:v>4.5999999999999996</c:v>
                </c:pt>
                <c:pt idx="4723">
                  <c:v>2.2000000000000002</c:v>
                </c:pt>
                <c:pt idx="4724">
                  <c:v>7.1</c:v>
                </c:pt>
                <c:pt idx="4725">
                  <c:v>8.4</c:v>
                </c:pt>
                <c:pt idx="4726">
                  <c:v>1.1000000000000001</c:v>
                </c:pt>
                <c:pt idx="4727">
                  <c:v>6.1</c:v>
                </c:pt>
                <c:pt idx="4728">
                  <c:v>5.2</c:v>
                </c:pt>
                <c:pt idx="4729">
                  <c:v>3.3</c:v>
                </c:pt>
                <c:pt idx="4730">
                  <c:v>2.4</c:v>
                </c:pt>
                <c:pt idx="4731">
                  <c:v>2.7</c:v>
                </c:pt>
                <c:pt idx="4732">
                  <c:v>7.5</c:v>
                </c:pt>
                <c:pt idx="4733">
                  <c:v>5.8</c:v>
                </c:pt>
                <c:pt idx="4734">
                  <c:v>9.8000000000000007</c:v>
                </c:pt>
                <c:pt idx="4735">
                  <c:v>3.2</c:v>
                </c:pt>
                <c:pt idx="4736">
                  <c:v>9.6</c:v>
                </c:pt>
                <c:pt idx="4737">
                  <c:v>5.6</c:v>
                </c:pt>
                <c:pt idx="4738">
                  <c:v>2.2999999999999998</c:v>
                </c:pt>
                <c:pt idx="4739">
                  <c:v>2.2999999999999998</c:v>
                </c:pt>
                <c:pt idx="4740">
                  <c:v>6.5</c:v>
                </c:pt>
                <c:pt idx="4741">
                  <c:v>8.5</c:v>
                </c:pt>
                <c:pt idx="4742">
                  <c:v>7.7</c:v>
                </c:pt>
                <c:pt idx="4743">
                  <c:v>6.9</c:v>
                </c:pt>
                <c:pt idx="4744">
                  <c:v>2.5</c:v>
                </c:pt>
                <c:pt idx="4745">
                  <c:v>2</c:v>
                </c:pt>
                <c:pt idx="4746">
                  <c:v>1</c:v>
                </c:pt>
                <c:pt idx="4747">
                  <c:v>1.9</c:v>
                </c:pt>
                <c:pt idx="4748">
                  <c:v>7.9</c:v>
                </c:pt>
                <c:pt idx="4749">
                  <c:v>9.1</c:v>
                </c:pt>
                <c:pt idx="4750">
                  <c:v>3.2</c:v>
                </c:pt>
                <c:pt idx="4751">
                  <c:v>8.1999999999999993</c:v>
                </c:pt>
                <c:pt idx="4752">
                  <c:v>2.8</c:v>
                </c:pt>
                <c:pt idx="4753">
                  <c:v>3.2</c:v>
                </c:pt>
                <c:pt idx="4754">
                  <c:v>3</c:v>
                </c:pt>
                <c:pt idx="4755">
                  <c:v>1.5</c:v>
                </c:pt>
                <c:pt idx="4756">
                  <c:v>2.7</c:v>
                </c:pt>
                <c:pt idx="4757">
                  <c:v>4.4000000000000004</c:v>
                </c:pt>
                <c:pt idx="4758">
                  <c:v>4.5999999999999996</c:v>
                </c:pt>
                <c:pt idx="4759">
                  <c:v>3.8</c:v>
                </c:pt>
                <c:pt idx="4760">
                  <c:v>5.6</c:v>
                </c:pt>
                <c:pt idx="4761">
                  <c:v>4.4000000000000004</c:v>
                </c:pt>
                <c:pt idx="4762">
                  <c:v>9.6999999999999993</c:v>
                </c:pt>
                <c:pt idx="4763">
                  <c:v>8.3000000000000007</c:v>
                </c:pt>
                <c:pt idx="4764">
                  <c:v>9.4</c:v>
                </c:pt>
                <c:pt idx="4765">
                  <c:v>6</c:v>
                </c:pt>
                <c:pt idx="4766">
                  <c:v>7.1</c:v>
                </c:pt>
                <c:pt idx="4767">
                  <c:v>2.5</c:v>
                </c:pt>
                <c:pt idx="4768">
                  <c:v>7.8</c:v>
                </c:pt>
                <c:pt idx="4769">
                  <c:v>3.1</c:v>
                </c:pt>
                <c:pt idx="4770">
                  <c:v>2.2999999999999998</c:v>
                </c:pt>
                <c:pt idx="4771">
                  <c:v>1.4</c:v>
                </c:pt>
                <c:pt idx="4772">
                  <c:v>5.3</c:v>
                </c:pt>
                <c:pt idx="4773">
                  <c:v>3.6</c:v>
                </c:pt>
                <c:pt idx="4774">
                  <c:v>9.9</c:v>
                </c:pt>
                <c:pt idx="4775">
                  <c:v>3.2</c:v>
                </c:pt>
                <c:pt idx="4776">
                  <c:v>8.8000000000000007</c:v>
                </c:pt>
                <c:pt idx="4777">
                  <c:v>3.8</c:v>
                </c:pt>
                <c:pt idx="4778">
                  <c:v>7.7</c:v>
                </c:pt>
                <c:pt idx="4779">
                  <c:v>6.9</c:v>
                </c:pt>
                <c:pt idx="4780">
                  <c:v>6.1</c:v>
                </c:pt>
                <c:pt idx="4781">
                  <c:v>4.8</c:v>
                </c:pt>
                <c:pt idx="4782">
                  <c:v>7</c:v>
                </c:pt>
                <c:pt idx="4783">
                  <c:v>4.7</c:v>
                </c:pt>
                <c:pt idx="4784">
                  <c:v>5.9</c:v>
                </c:pt>
                <c:pt idx="4785">
                  <c:v>6.3</c:v>
                </c:pt>
                <c:pt idx="4786">
                  <c:v>3.4</c:v>
                </c:pt>
                <c:pt idx="4787">
                  <c:v>4.0999999999999996</c:v>
                </c:pt>
                <c:pt idx="4788">
                  <c:v>1.2</c:v>
                </c:pt>
                <c:pt idx="4789">
                  <c:v>8.6999999999999993</c:v>
                </c:pt>
                <c:pt idx="4790">
                  <c:v>7.8</c:v>
                </c:pt>
                <c:pt idx="4791">
                  <c:v>2.7</c:v>
                </c:pt>
                <c:pt idx="4792">
                  <c:v>4.3</c:v>
                </c:pt>
                <c:pt idx="4793">
                  <c:v>4.8</c:v>
                </c:pt>
                <c:pt idx="4794">
                  <c:v>4</c:v>
                </c:pt>
                <c:pt idx="4795">
                  <c:v>8.1999999999999993</c:v>
                </c:pt>
                <c:pt idx="4796">
                  <c:v>7.5</c:v>
                </c:pt>
                <c:pt idx="4797">
                  <c:v>7.9</c:v>
                </c:pt>
                <c:pt idx="4798">
                  <c:v>9.1</c:v>
                </c:pt>
                <c:pt idx="4799">
                  <c:v>6.4</c:v>
                </c:pt>
                <c:pt idx="4800">
                  <c:v>6.5</c:v>
                </c:pt>
                <c:pt idx="4801">
                  <c:v>7.5</c:v>
                </c:pt>
                <c:pt idx="4802">
                  <c:v>7.1</c:v>
                </c:pt>
                <c:pt idx="4803">
                  <c:v>8.8000000000000007</c:v>
                </c:pt>
                <c:pt idx="4804">
                  <c:v>7.9</c:v>
                </c:pt>
                <c:pt idx="4805">
                  <c:v>2.1</c:v>
                </c:pt>
                <c:pt idx="4806">
                  <c:v>9.4</c:v>
                </c:pt>
                <c:pt idx="4807">
                  <c:v>7.1</c:v>
                </c:pt>
                <c:pt idx="4808">
                  <c:v>2.1</c:v>
                </c:pt>
                <c:pt idx="4809">
                  <c:v>7.9</c:v>
                </c:pt>
                <c:pt idx="4810">
                  <c:v>4.2</c:v>
                </c:pt>
                <c:pt idx="4811">
                  <c:v>8.3000000000000007</c:v>
                </c:pt>
                <c:pt idx="4812">
                  <c:v>9.6</c:v>
                </c:pt>
                <c:pt idx="4813">
                  <c:v>3.3</c:v>
                </c:pt>
                <c:pt idx="4814">
                  <c:v>8.6999999999999993</c:v>
                </c:pt>
                <c:pt idx="4815">
                  <c:v>8</c:v>
                </c:pt>
                <c:pt idx="4816">
                  <c:v>7</c:v>
                </c:pt>
                <c:pt idx="4817">
                  <c:v>4.5</c:v>
                </c:pt>
                <c:pt idx="4818">
                  <c:v>2</c:v>
                </c:pt>
                <c:pt idx="4819">
                  <c:v>5.4</c:v>
                </c:pt>
                <c:pt idx="4820">
                  <c:v>2</c:v>
                </c:pt>
                <c:pt idx="4821">
                  <c:v>5.5</c:v>
                </c:pt>
                <c:pt idx="4822">
                  <c:v>8.4</c:v>
                </c:pt>
                <c:pt idx="4823">
                  <c:v>10</c:v>
                </c:pt>
                <c:pt idx="4824">
                  <c:v>2.8</c:v>
                </c:pt>
                <c:pt idx="4825">
                  <c:v>2.9</c:v>
                </c:pt>
                <c:pt idx="4826">
                  <c:v>8.3000000000000007</c:v>
                </c:pt>
                <c:pt idx="4827">
                  <c:v>5.2</c:v>
                </c:pt>
                <c:pt idx="4828">
                  <c:v>9.1999999999999993</c:v>
                </c:pt>
                <c:pt idx="4829">
                  <c:v>7.9</c:v>
                </c:pt>
                <c:pt idx="4830">
                  <c:v>7.6</c:v>
                </c:pt>
                <c:pt idx="4831">
                  <c:v>1.9</c:v>
                </c:pt>
                <c:pt idx="4832">
                  <c:v>1.3</c:v>
                </c:pt>
                <c:pt idx="4833">
                  <c:v>3.9</c:v>
                </c:pt>
                <c:pt idx="4834">
                  <c:v>3</c:v>
                </c:pt>
                <c:pt idx="4835">
                  <c:v>7.4</c:v>
                </c:pt>
                <c:pt idx="4836">
                  <c:v>5.0999999999999996</c:v>
                </c:pt>
                <c:pt idx="4837">
                  <c:v>5.7</c:v>
                </c:pt>
                <c:pt idx="4838">
                  <c:v>8.3000000000000007</c:v>
                </c:pt>
                <c:pt idx="4839">
                  <c:v>5.3</c:v>
                </c:pt>
                <c:pt idx="4840">
                  <c:v>5.9</c:v>
                </c:pt>
                <c:pt idx="4841">
                  <c:v>8.6</c:v>
                </c:pt>
                <c:pt idx="4842">
                  <c:v>4.9000000000000004</c:v>
                </c:pt>
                <c:pt idx="4843">
                  <c:v>1.7</c:v>
                </c:pt>
                <c:pt idx="4844">
                  <c:v>5.7</c:v>
                </c:pt>
                <c:pt idx="4845">
                  <c:v>6.2</c:v>
                </c:pt>
                <c:pt idx="4846">
                  <c:v>5.6</c:v>
                </c:pt>
                <c:pt idx="4847">
                  <c:v>3.3</c:v>
                </c:pt>
                <c:pt idx="4848">
                  <c:v>3</c:v>
                </c:pt>
                <c:pt idx="4849">
                  <c:v>4.3</c:v>
                </c:pt>
                <c:pt idx="4850">
                  <c:v>2.5</c:v>
                </c:pt>
                <c:pt idx="4851">
                  <c:v>7</c:v>
                </c:pt>
                <c:pt idx="4852">
                  <c:v>6.5</c:v>
                </c:pt>
                <c:pt idx="4853">
                  <c:v>6.7</c:v>
                </c:pt>
                <c:pt idx="4854">
                  <c:v>3</c:v>
                </c:pt>
                <c:pt idx="4855">
                  <c:v>3.2</c:v>
                </c:pt>
                <c:pt idx="4856">
                  <c:v>8.1</c:v>
                </c:pt>
                <c:pt idx="4857">
                  <c:v>7.2</c:v>
                </c:pt>
                <c:pt idx="4858">
                  <c:v>8.9</c:v>
                </c:pt>
                <c:pt idx="4859">
                  <c:v>4.5999999999999996</c:v>
                </c:pt>
                <c:pt idx="4860">
                  <c:v>5.9</c:v>
                </c:pt>
                <c:pt idx="4861">
                  <c:v>7.6</c:v>
                </c:pt>
                <c:pt idx="4862">
                  <c:v>9.8000000000000007</c:v>
                </c:pt>
                <c:pt idx="4863">
                  <c:v>9.9</c:v>
                </c:pt>
                <c:pt idx="4864">
                  <c:v>10</c:v>
                </c:pt>
                <c:pt idx="4865">
                  <c:v>9</c:v>
                </c:pt>
                <c:pt idx="4866">
                  <c:v>6.8</c:v>
                </c:pt>
                <c:pt idx="4867">
                  <c:v>1.1000000000000001</c:v>
                </c:pt>
                <c:pt idx="4868">
                  <c:v>7.3</c:v>
                </c:pt>
                <c:pt idx="4869">
                  <c:v>3.1</c:v>
                </c:pt>
                <c:pt idx="4870">
                  <c:v>1.5</c:v>
                </c:pt>
                <c:pt idx="4871">
                  <c:v>7.3</c:v>
                </c:pt>
                <c:pt idx="4872">
                  <c:v>7.8</c:v>
                </c:pt>
                <c:pt idx="4873">
                  <c:v>6.9</c:v>
                </c:pt>
                <c:pt idx="4874">
                  <c:v>4.3</c:v>
                </c:pt>
                <c:pt idx="4875">
                  <c:v>5.6</c:v>
                </c:pt>
                <c:pt idx="4876">
                  <c:v>9.4</c:v>
                </c:pt>
                <c:pt idx="4877">
                  <c:v>7.6</c:v>
                </c:pt>
                <c:pt idx="4878">
                  <c:v>5.5</c:v>
                </c:pt>
                <c:pt idx="4879">
                  <c:v>6.3</c:v>
                </c:pt>
                <c:pt idx="4880">
                  <c:v>9.3000000000000007</c:v>
                </c:pt>
                <c:pt idx="4881">
                  <c:v>4.5</c:v>
                </c:pt>
                <c:pt idx="4882">
                  <c:v>1.9</c:v>
                </c:pt>
                <c:pt idx="4883">
                  <c:v>3.9</c:v>
                </c:pt>
                <c:pt idx="4884">
                  <c:v>4.7</c:v>
                </c:pt>
                <c:pt idx="4885">
                  <c:v>3.5</c:v>
                </c:pt>
                <c:pt idx="4886">
                  <c:v>5.8</c:v>
                </c:pt>
                <c:pt idx="4887">
                  <c:v>3.7</c:v>
                </c:pt>
                <c:pt idx="4888">
                  <c:v>1.9</c:v>
                </c:pt>
                <c:pt idx="4889">
                  <c:v>2.7</c:v>
                </c:pt>
                <c:pt idx="4890">
                  <c:v>9.3000000000000007</c:v>
                </c:pt>
                <c:pt idx="4891">
                  <c:v>6.7</c:v>
                </c:pt>
                <c:pt idx="4892">
                  <c:v>3.8</c:v>
                </c:pt>
                <c:pt idx="4893">
                  <c:v>4.3</c:v>
                </c:pt>
                <c:pt idx="4894">
                  <c:v>5.4</c:v>
                </c:pt>
                <c:pt idx="4895">
                  <c:v>7.1</c:v>
                </c:pt>
                <c:pt idx="4896">
                  <c:v>6.2</c:v>
                </c:pt>
                <c:pt idx="4897">
                  <c:v>9.4</c:v>
                </c:pt>
                <c:pt idx="4898">
                  <c:v>6.6</c:v>
                </c:pt>
                <c:pt idx="4899">
                  <c:v>9.1999999999999993</c:v>
                </c:pt>
                <c:pt idx="4900">
                  <c:v>1</c:v>
                </c:pt>
                <c:pt idx="4901">
                  <c:v>9</c:v>
                </c:pt>
                <c:pt idx="4902">
                  <c:v>7.5</c:v>
                </c:pt>
                <c:pt idx="4903">
                  <c:v>2.5</c:v>
                </c:pt>
                <c:pt idx="4904">
                  <c:v>3.4</c:v>
                </c:pt>
                <c:pt idx="4905">
                  <c:v>5.9</c:v>
                </c:pt>
                <c:pt idx="4906">
                  <c:v>2.1</c:v>
                </c:pt>
                <c:pt idx="4907">
                  <c:v>8.1</c:v>
                </c:pt>
                <c:pt idx="4908">
                  <c:v>8.1</c:v>
                </c:pt>
                <c:pt idx="4909">
                  <c:v>3.7</c:v>
                </c:pt>
                <c:pt idx="4910">
                  <c:v>1.6</c:v>
                </c:pt>
                <c:pt idx="4911">
                  <c:v>9.9</c:v>
                </c:pt>
                <c:pt idx="4912">
                  <c:v>3.3</c:v>
                </c:pt>
                <c:pt idx="4913">
                  <c:v>1.6</c:v>
                </c:pt>
                <c:pt idx="4914">
                  <c:v>4</c:v>
                </c:pt>
                <c:pt idx="4915">
                  <c:v>9.6999999999999993</c:v>
                </c:pt>
                <c:pt idx="4916">
                  <c:v>8.1</c:v>
                </c:pt>
                <c:pt idx="4917">
                  <c:v>5.3</c:v>
                </c:pt>
                <c:pt idx="4918">
                  <c:v>3.7</c:v>
                </c:pt>
                <c:pt idx="4919">
                  <c:v>4.8</c:v>
                </c:pt>
                <c:pt idx="4920">
                  <c:v>1.2</c:v>
                </c:pt>
                <c:pt idx="4921">
                  <c:v>7.5</c:v>
                </c:pt>
                <c:pt idx="4922">
                  <c:v>1.9</c:v>
                </c:pt>
                <c:pt idx="4923">
                  <c:v>5.7</c:v>
                </c:pt>
                <c:pt idx="4924">
                  <c:v>6.1</c:v>
                </c:pt>
                <c:pt idx="4925">
                  <c:v>1</c:v>
                </c:pt>
                <c:pt idx="4926">
                  <c:v>9.8000000000000007</c:v>
                </c:pt>
                <c:pt idx="4927">
                  <c:v>3.7</c:v>
                </c:pt>
                <c:pt idx="4928">
                  <c:v>1.7</c:v>
                </c:pt>
                <c:pt idx="4929">
                  <c:v>8.6999999999999993</c:v>
                </c:pt>
                <c:pt idx="4930">
                  <c:v>2.4</c:v>
                </c:pt>
                <c:pt idx="4931">
                  <c:v>1.2</c:v>
                </c:pt>
                <c:pt idx="4932">
                  <c:v>5.5</c:v>
                </c:pt>
                <c:pt idx="4933">
                  <c:v>2.2000000000000002</c:v>
                </c:pt>
                <c:pt idx="4934">
                  <c:v>9.8000000000000007</c:v>
                </c:pt>
                <c:pt idx="4935">
                  <c:v>1.1000000000000001</c:v>
                </c:pt>
                <c:pt idx="4936">
                  <c:v>1.5</c:v>
                </c:pt>
                <c:pt idx="4937">
                  <c:v>8.5</c:v>
                </c:pt>
                <c:pt idx="4938">
                  <c:v>3.2</c:v>
                </c:pt>
                <c:pt idx="4939">
                  <c:v>9.1999999999999993</c:v>
                </c:pt>
                <c:pt idx="4940">
                  <c:v>3.8</c:v>
                </c:pt>
                <c:pt idx="4941">
                  <c:v>1.6</c:v>
                </c:pt>
                <c:pt idx="4942">
                  <c:v>1.1000000000000001</c:v>
                </c:pt>
                <c:pt idx="4943">
                  <c:v>3.5</c:v>
                </c:pt>
                <c:pt idx="4944">
                  <c:v>5.3</c:v>
                </c:pt>
                <c:pt idx="4945">
                  <c:v>1</c:v>
                </c:pt>
                <c:pt idx="4946">
                  <c:v>6.2</c:v>
                </c:pt>
                <c:pt idx="4947">
                  <c:v>4</c:v>
                </c:pt>
                <c:pt idx="4948">
                  <c:v>4.5</c:v>
                </c:pt>
                <c:pt idx="4949">
                  <c:v>3.4</c:v>
                </c:pt>
                <c:pt idx="4950">
                  <c:v>5.8</c:v>
                </c:pt>
                <c:pt idx="4951">
                  <c:v>3.1</c:v>
                </c:pt>
                <c:pt idx="4952">
                  <c:v>2.2000000000000002</c:v>
                </c:pt>
                <c:pt idx="4953">
                  <c:v>9</c:v>
                </c:pt>
                <c:pt idx="4954">
                  <c:v>4.5</c:v>
                </c:pt>
                <c:pt idx="4955">
                  <c:v>1.7</c:v>
                </c:pt>
                <c:pt idx="4956">
                  <c:v>3.1</c:v>
                </c:pt>
                <c:pt idx="4957">
                  <c:v>3.8</c:v>
                </c:pt>
                <c:pt idx="4958">
                  <c:v>7.9</c:v>
                </c:pt>
                <c:pt idx="4959">
                  <c:v>1.2</c:v>
                </c:pt>
                <c:pt idx="4960">
                  <c:v>5.3</c:v>
                </c:pt>
                <c:pt idx="4961">
                  <c:v>4.7</c:v>
                </c:pt>
                <c:pt idx="4962">
                  <c:v>9.6999999999999993</c:v>
                </c:pt>
                <c:pt idx="4963">
                  <c:v>2.6</c:v>
                </c:pt>
                <c:pt idx="4964">
                  <c:v>6.7</c:v>
                </c:pt>
                <c:pt idx="4965">
                  <c:v>2.8</c:v>
                </c:pt>
                <c:pt idx="4966">
                  <c:v>5.9</c:v>
                </c:pt>
                <c:pt idx="4967">
                  <c:v>6</c:v>
                </c:pt>
                <c:pt idx="4968">
                  <c:v>1.7</c:v>
                </c:pt>
                <c:pt idx="4969">
                  <c:v>5.0999999999999996</c:v>
                </c:pt>
                <c:pt idx="4970">
                  <c:v>5.2</c:v>
                </c:pt>
                <c:pt idx="4971">
                  <c:v>3.9</c:v>
                </c:pt>
                <c:pt idx="4972">
                  <c:v>3.5</c:v>
                </c:pt>
                <c:pt idx="4973">
                  <c:v>3</c:v>
                </c:pt>
                <c:pt idx="4974">
                  <c:v>1.1000000000000001</c:v>
                </c:pt>
                <c:pt idx="4975">
                  <c:v>1</c:v>
                </c:pt>
                <c:pt idx="4976">
                  <c:v>6.3</c:v>
                </c:pt>
                <c:pt idx="4977">
                  <c:v>3.6</c:v>
                </c:pt>
                <c:pt idx="4978">
                  <c:v>2.5</c:v>
                </c:pt>
                <c:pt idx="4979">
                  <c:v>7.2</c:v>
                </c:pt>
                <c:pt idx="4980">
                  <c:v>5.8</c:v>
                </c:pt>
                <c:pt idx="4981">
                  <c:v>9.1999999999999993</c:v>
                </c:pt>
                <c:pt idx="4982">
                  <c:v>8.5</c:v>
                </c:pt>
                <c:pt idx="4983">
                  <c:v>7.5</c:v>
                </c:pt>
                <c:pt idx="4984">
                  <c:v>2.1</c:v>
                </c:pt>
                <c:pt idx="4985">
                  <c:v>7</c:v>
                </c:pt>
                <c:pt idx="4986">
                  <c:v>7.2</c:v>
                </c:pt>
                <c:pt idx="4987">
                  <c:v>7.9</c:v>
                </c:pt>
                <c:pt idx="4988">
                  <c:v>3.4</c:v>
                </c:pt>
                <c:pt idx="4989">
                  <c:v>6.8</c:v>
                </c:pt>
                <c:pt idx="4990">
                  <c:v>6.6</c:v>
                </c:pt>
                <c:pt idx="4991">
                  <c:v>4.5</c:v>
                </c:pt>
                <c:pt idx="4992">
                  <c:v>7</c:v>
                </c:pt>
                <c:pt idx="4993">
                  <c:v>1.8</c:v>
                </c:pt>
                <c:pt idx="4994">
                  <c:v>6.8</c:v>
                </c:pt>
                <c:pt idx="4995">
                  <c:v>6.5</c:v>
                </c:pt>
                <c:pt idx="4996">
                  <c:v>2.9</c:v>
                </c:pt>
                <c:pt idx="4997">
                  <c:v>8.4</c:v>
                </c:pt>
                <c:pt idx="4998">
                  <c:v>8.9</c:v>
                </c:pt>
                <c:pt idx="4999">
                  <c:v>2.9</c:v>
                </c:pt>
              </c:numCache>
            </c:numRef>
          </c:xVal>
          <c:yVal>
            <c:numRef>
              <c:f>Sheet1!$J$2:$J$5001</c:f>
              <c:numCache>
                <c:formatCode>General</c:formatCode>
                <c:ptCount val="5000"/>
                <c:pt idx="0">
                  <c:v>4.67</c:v>
                </c:pt>
                <c:pt idx="1">
                  <c:v>16.28</c:v>
                </c:pt>
                <c:pt idx="2">
                  <c:v>13.56</c:v>
                </c:pt>
                <c:pt idx="3">
                  <c:v>12.41</c:v>
                </c:pt>
                <c:pt idx="4">
                  <c:v>19.739999999999998</c:v>
                </c:pt>
                <c:pt idx="5">
                  <c:v>24.33</c:v>
                </c:pt>
                <c:pt idx="6">
                  <c:v>13.51</c:v>
                </c:pt>
                <c:pt idx="7">
                  <c:v>3.14</c:v>
                </c:pt>
                <c:pt idx="8">
                  <c:v>16.12</c:v>
                </c:pt>
                <c:pt idx="9">
                  <c:v>17.39</c:v>
                </c:pt>
                <c:pt idx="10">
                  <c:v>21.22</c:v>
                </c:pt>
                <c:pt idx="11">
                  <c:v>7.39</c:v>
                </c:pt>
                <c:pt idx="12">
                  <c:v>14.54</c:v>
                </c:pt>
                <c:pt idx="13">
                  <c:v>12.84</c:v>
                </c:pt>
                <c:pt idx="14">
                  <c:v>17.62</c:v>
                </c:pt>
                <c:pt idx="15">
                  <c:v>4.41</c:v>
                </c:pt>
                <c:pt idx="16">
                  <c:v>22.45</c:v>
                </c:pt>
                <c:pt idx="17">
                  <c:v>14.25</c:v>
                </c:pt>
                <c:pt idx="18">
                  <c:v>22.29</c:v>
                </c:pt>
                <c:pt idx="19">
                  <c:v>10.49</c:v>
                </c:pt>
                <c:pt idx="20">
                  <c:v>17.38</c:v>
                </c:pt>
                <c:pt idx="21">
                  <c:v>24.05</c:v>
                </c:pt>
                <c:pt idx="22">
                  <c:v>23.75</c:v>
                </c:pt>
                <c:pt idx="23">
                  <c:v>23.77</c:v>
                </c:pt>
                <c:pt idx="24">
                  <c:v>3.94</c:v>
                </c:pt>
                <c:pt idx="25">
                  <c:v>11.87</c:v>
                </c:pt>
                <c:pt idx="26">
                  <c:v>4.34</c:v>
                </c:pt>
                <c:pt idx="27">
                  <c:v>9.81</c:v>
                </c:pt>
                <c:pt idx="28">
                  <c:v>6.84</c:v>
                </c:pt>
                <c:pt idx="29">
                  <c:v>16.64</c:v>
                </c:pt>
                <c:pt idx="30">
                  <c:v>20.18</c:v>
                </c:pt>
                <c:pt idx="31">
                  <c:v>14.29</c:v>
                </c:pt>
                <c:pt idx="32">
                  <c:v>20.5</c:v>
                </c:pt>
                <c:pt idx="33">
                  <c:v>3.28</c:v>
                </c:pt>
                <c:pt idx="34">
                  <c:v>21.05</c:v>
                </c:pt>
                <c:pt idx="35">
                  <c:v>6.92</c:v>
                </c:pt>
                <c:pt idx="36">
                  <c:v>13.14</c:v>
                </c:pt>
                <c:pt idx="37">
                  <c:v>12.74</c:v>
                </c:pt>
                <c:pt idx="38">
                  <c:v>22.21</c:v>
                </c:pt>
                <c:pt idx="39">
                  <c:v>24.25</c:v>
                </c:pt>
                <c:pt idx="40">
                  <c:v>8.61</c:v>
                </c:pt>
                <c:pt idx="41">
                  <c:v>4.4800000000000004</c:v>
                </c:pt>
                <c:pt idx="42">
                  <c:v>17.309999999999999</c:v>
                </c:pt>
                <c:pt idx="43">
                  <c:v>14.06</c:v>
                </c:pt>
                <c:pt idx="44">
                  <c:v>15.45</c:v>
                </c:pt>
                <c:pt idx="45">
                  <c:v>4.0199999999999996</c:v>
                </c:pt>
                <c:pt idx="46">
                  <c:v>20.059999999999999</c:v>
                </c:pt>
                <c:pt idx="47">
                  <c:v>8.11</c:v>
                </c:pt>
                <c:pt idx="48">
                  <c:v>10.37</c:v>
                </c:pt>
                <c:pt idx="49">
                  <c:v>8.02</c:v>
                </c:pt>
                <c:pt idx="50">
                  <c:v>23.81</c:v>
                </c:pt>
                <c:pt idx="51">
                  <c:v>6.71</c:v>
                </c:pt>
                <c:pt idx="52">
                  <c:v>19.11</c:v>
                </c:pt>
                <c:pt idx="53">
                  <c:v>8.41</c:v>
                </c:pt>
                <c:pt idx="54">
                  <c:v>12.35</c:v>
                </c:pt>
                <c:pt idx="55">
                  <c:v>24.91</c:v>
                </c:pt>
                <c:pt idx="56">
                  <c:v>5.21</c:v>
                </c:pt>
                <c:pt idx="57">
                  <c:v>22.39</c:v>
                </c:pt>
                <c:pt idx="58">
                  <c:v>23.81</c:v>
                </c:pt>
                <c:pt idx="59">
                  <c:v>18.36</c:v>
                </c:pt>
                <c:pt idx="60">
                  <c:v>3.22</c:v>
                </c:pt>
                <c:pt idx="61">
                  <c:v>21.06</c:v>
                </c:pt>
                <c:pt idx="62">
                  <c:v>22.41</c:v>
                </c:pt>
                <c:pt idx="63">
                  <c:v>24.58</c:v>
                </c:pt>
                <c:pt idx="64">
                  <c:v>21.46</c:v>
                </c:pt>
                <c:pt idx="65">
                  <c:v>12.8</c:v>
                </c:pt>
                <c:pt idx="66">
                  <c:v>18.149999999999999</c:v>
                </c:pt>
                <c:pt idx="67">
                  <c:v>13.67</c:v>
                </c:pt>
                <c:pt idx="68">
                  <c:v>10.77</c:v>
                </c:pt>
                <c:pt idx="69">
                  <c:v>16.78</c:v>
                </c:pt>
                <c:pt idx="70">
                  <c:v>19.940000000000001</c:v>
                </c:pt>
                <c:pt idx="71">
                  <c:v>16.989999999999998</c:v>
                </c:pt>
                <c:pt idx="72">
                  <c:v>21.18</c:v>
                </c:pt>
                <c:pt idx="73">
                  <c:v>6.88</c:v>
                </c:pt>
                <c:pt idx="74">
                  <c:v>11.22</c:v>
                </c:pt>
                <c:pt idx="75">
                  <c:v>9.8800000000000008</c:v>
                </c:pt>
                <c:pt idx="76">
                  <c:v>7.27</c:v>
                </c:pt>
                <c:pt idx="77">
                  <c:v>12.75</c:v>
                </c:pt>
                <c:pt idx="78">
                  <c:v>23.85</c:v>
                </c:pt>
                <c:pt idx="79">
                  <c:v>14.84</c:v>
                </c:pt>
                <c:pt idx="80">
                  <c:v>9.3000000000000007</c:v>
                </c:pt>
                <c:pt idx="81">
                  <c:v>10.79</c:v>
                </c:pt>
                <c:pt idx="82">
                  <c:v>16.489999999999998</c:v>
                </c:pt>
                <c:pt idx="83">
                  <c:v>10.76</c:v>
                </c:pt>
                <c:pt idx="84">
                  <c:v>14.84</c:v>
                </c:pt>
                <c:pt idx="85">
                  <c:v>9.0299999999999994</c:v>
                </c:pt>
                <c:pt idx="86">
                  <c:v>10.61</c:v>
                </c:pt>
                <c:pt idx="87">
                  <c:v>18.53</c:v>
                </c:pt>
                <c:pt idx="88">
                  <c:v>15.86</c:v>
                </c:pt>
                <c:pt idx="89">
                  <c:v>5.0599999999999996</c:v>
                </c:pt>
                <c:pt idx="90">
                  <c:v>24.41</c:v>
                </c:pt>
                <c:pt idx="91">
                  <c:v>4.09</c:v>
                </c:pt>
                <c:pt idx="92">
                  <c:v>4.82</c:v>
                </c:pt>
                <c:pt idx="93">
                  <c:v>18.43</c:v>
                </c:pt>
                <c:pt idx="94">
                  <c:v>18.579999999999998</c:v>
                </c:pt>
                <c:pt idx="95">
                  <c:v>3.42</c:v>
                </c:pt>
                <c:pt idx="96">
                  <c:v>17.14</c:v>
                </c:pt>
                <c:pt idx="97">
                  <c:v>3.73</c:v>
                </c:pt>
                <c:pt idx="98">
                  <c:v>24.14</c:v>
                </c:pt>
                <c:pt idx="99">
                  <c:v>18.32</c:v>
                </c:pt>
                <c:pt idx="100">
                  <c:v>7.1</c:v>
                </c:pt>
                <c:pt idx="101">
                  <c:v>6.48</c:v>
                </c:pt>
                <c:pt idx="102">
                  <c:v>15.53</c:v>
                </c:pt>
                <c:pt idx="103">
                  <c:v>16.940000000000001</c:v>
                </c:pt>
                <c:pt idx="104">
                  <c:v>21.29</c:v>
                </c:pt>
                <c:pt idx="105">
                  <c:v>22.87</c:v>
                </c:pt>
                <c:pt idx="106">
                  <c:v>11.64</c:v>
                </c:pt>
                <c:pt idx="107">
                  <c:v>21.57</c:v>
                </c:pt>
                <c:pt idx="108">
                  <c:v>14.93</c:v>
                </c:pt>
                <c:pt idx="109">
                  <c:v>13.35</c:v>
                </c:pt>
                <c:pt idx="110">
                  <c:v>18.38</c:v>
                </c:pt>
                <c:pt idx="111">
                  <c:v>5.27</c:v>
                </c:pt>
                <c:pt idx="112">
                  <c:v>8.84</c:v>
                </c:pt>
                <c:pt idx="113">
                  <c:v>20.97</c:v>
                </c:pt>
                <c:pt idx="114">
                  <c:v>14.09</c:v>
                </c:pt>
                <c:pt idx="115">
                  <c:v>22.98</c:v>
                </c:pt>
                <c:pt idx="116">
                  <c:v>4.95</c:v>
                </c:pt>
                <c:pt idx="117">
                  <c:v>9.9</c:v>
                </c:pt>
                <c:pt idx="118">
                  <c:v>10.82</c:v>
                </c:pt>
                <c:pt idx="119">
                  <c:v>12.3</c:v>
                </c:pt>
                <c:pt idx="120">
                  <c:v>24.71</c:v>
                </c:pt>
                <c:pt idx="121">
                  <c:v>9.83</c:v>
                </c:pt>
                <c:pt idx="122">
                  <c:v>14.41</c:v>
                </c:pt>
                <c:pt idx="123">
                  <c:v>14.79</c:v>
                </c:pt>
                <c:pt idx="124">
                  <c:v>19.96</c:v>
                </c:pt>
                <c:pt idx="125">
                  <c:v>14.39</c:v>
                </c:pt>
                <c:pt idx="126">
                  <c:v>16.329999999999998</c:v>
                </c:pt>
                <c:pt idx="127">
                  <c:v>19.57</c:v>
                </c:pt>
                <c:pt idx="128">
                  <c:v>5.22</c:v>
                </c:pt>
                <c:pt idx="129">
                  <c:v>24.2</c:v>
                </c:pt>
                <c:pt idx="130">
                  <c:v>21.62</c:v>
                </c:pt>
                <c:pt idx="131">
                  <c:v>11.55</c:v>
                </c:pt>
                <c:pt idx="132">
                  <c:v>19.03</c:v>
                </c:pt>
                <c:pt idx="133">
                  <c:v>19.77</c:v>
                </c:pt>
                <c:pt idx="134">
                  <c:v>21.71</c:v>
                </c:pt>
                <c:pt idx="135">
                  <c:v>7.14</c:v>
                </c:pt>
                <c:pt idx="136">
                  <c:v>18.48</c:v>
                </c:pt>
                <c:pt idx="137">
                  <c:v>3.73</c:v>
                </c:pt>
                <c:pt idx="138">
                  <c:v>5.54</c:v>
                </c:pt>
                <c:pt idx="139">
                  <c:v>20.07</c:v>
                </c:pt>
                <c:pt idx="140">
                  <c:v>20.89</c:v>
                </c:pt>
                <c:pt idx="141">
                  <c:v>16.03</c:v>
                </c:pt>
                <c:pt idx="142">
                  <c:v>15.8</c:v>
                </c:pt>
                <c:pt idx="143">
                  <c:v>19.489999999999998</c:v>
                </c:pt>
                <c:pt idx="144">
                  <c:v>22.93</c:v>
                </c:pt>
                <c:pt idx="145">
                  <c:v>12.26</c:v>
                </c:pt>
                <c:pt idx="146">
                  <c:v>5.53</c:v>
                </c:pt>
                <c:pt idx="147">
                  <c:v>21.46</c:v>
                </c:pt>
                <c:pt idx="148">
                  <c:v>10.52</c:v>
                </c:pt>
                <c:pt idx="149">
                  <c:v>5.94</c:v>
                </c:pt>
                <c:pt idx="150">
                  <c:v>16.52</c:v>
                </c:pt>
                <c:pt idx="151">
                  <c:v>15.72</c:v>
                </c:pt>
                <c:pt idx="152">
                  <c:v>13.43</c:v>
                </c:pt>
                <c:pt idx="153">
                  <c:v>21.92</c:v>
                </c:pt>
                <c:pt idx="154">
                  <c:v>8.99</c:v>
                </c:pt>
                <c:pt idx="155">
                  <c:v>3.29</c:v>
                </c:pt>
                <c:pt idx="156">
                  <c:v>10.119999999999999</c:v>
                </c:pt>
                <c:pt idx="157">
                  <c:v>3.21</c:v>
                </c:pt>
                <c:pt idx="158">
                  <c:v>14.96</c:v>
                </c:pt>
                <c:pt idx="159">
                  <c:v>11.32</c:v>
                </c:pt>
                <c:pt idx="160">
                  <c:v>20.91</c:v>
                </c:pt>
                <c:pt idx="161">
                  <c:v>20.55</c:v>
                </c:pt>
                <c:pt idx="162">
                  <c:v>12.56</c:v>
                </c:pt>
                <c:pt idx="163">
                  <c:v>7.76</c:v>
                </c:pt>
                <c:pt idx="164">
                  <c:v>12.29</c:v>
                </c:pt>
                <c:pt idx="165">
                  <c:v>17.11</c:v>
                </c:pt>
                <c:pt idx="166">
                  <c:v>7.18</c:v>
                </c:pt>
                <c:pt idx="167">
                  <c:v>20.010000000000002</c:v>
                </c:pt>
                <c:pt idx="168">
                  <c:v>10.27</c:v>
                </c:pt>
                <c:pt idx="169">
                  <c:v>23.51</c:v>
                </c:pt>
                <c:pt idx="170">
                  <c:v>14.26</c:v>
                </c:pt>
                <c:pt idx="171">
                  <c:v>21.64</c:v>
                </c:pt>
                <c:pt idx="172">
                  <c:v>16.55</c:v>
                </c:pt>
                <c:pt idx="173">
                  <c:v>15.2</c:v>
                </c:pt>
                <c:pt idx="174">
                  <c:v>18.010000000000002</c:v>
                </c:pt>
                <c:pt idx="175">
                  <c:v>20.85</c:v>
                </c:pt>
                <c:pt idx="176">
                  <c:v>17.18</c:v>
                </c:pt>
                <c:pt idx="177">
                  <c:v>20.54</c:v>
                </c:pt>
                <c:pt idx="178">
                  <c:v>7.19</c:v>
                </c:pt>
                <c:pt idx="179">
                  <c:v>9.11</c:v>
                </c:pt>
                <c:pt idx="180">
                  <c:v>8.0500000000000007</c:v>
                </c:pt>
                <c:pt idx="181">
                  <c:v>20.56</c:v>
                </c:pt>
                <c:pt idx="182">
                  <c:v>4.8899999999999997</c:v>
                </c:pt>
                <c:pt idx="183">
                  <c:v>20.51</c:v>
                </c:pt>
                <c:pt idx="184">
                  <c:v>11.56</c:v>
                </c:pt>
                <c:pt idx="185">
                  <c:v>4.75</c:v>
                </c:pt>
                <c:pt idx="186">
                  <c:v>12.34</c:v>
                </c:pt>
                <c:pt idx="187">
                  <c:v>9.61</c:v>
                </c:pt>
                <c:pt idx="188">
                  <c:v>16.02</c:v>
                </c:pt>
                <c:pt idx="189">
                  <c:v>13.4</c:v>
                </c:pt>
                <c:pt idx="190">
                  <c:v>9.5299999999999994</c:v>
                </c:pt>
                <c:pt idx="191">
                  <c:v>21.97</c:v>
                </c:pt>
                <c:pt idx="192">
                  <c:v>11.95</c:v>
                </c:pt>
                <c:pt idx="193">
                  <c:v>13.36</c:v>
                </c:pt>
                <c:pt idx="194">
                  <c:v>21.63</c:v>
                </c:pt>
                <c:pt idx="195">
                  <c:v>4.96</c:v>
                </c:pt>
                <c:pt idx="196">
                  <c:v>11.58</c:v>
                </c:pt>
                <c:pt idx="197">
                  <c:v>11.86</c:v>
                </c:pt>
                <c:pt idx="198">
                  <c:v>13.91</c:v>
                </c:pt>
                <c:pt idx="199">
                  <c:v>5.33</c:v>
                </c:pt>
                <c:pt idx="200">
                  <c:v>5.26</c:v>
                </c:pt>
                <c:pt idx="201">
                  <c:v>12.16</c:v>
                </c:pt>
                <c:pt idx="202">
                  <c:v>3.73</c:v>
                </c:pt>
                <c:pt idx="203">
                  <c:v>8.61</c:v>
                </c:pt>
                <c:pt idx="204">
                  <c:v>7.43</c:v>
                </c:pt>
                <c:pt idx="205">
                  <c:v>13.77</c:v>
                </c:pt>
                <c:pt idx="206">
                  <c:v>3.25</c:v>
                </c:pt>
                <c:pt idx="207">
                  <c:v>17.87</c:v>
                </c:pt>
                <c:pt idx="208">
                  <c:v>21.82</c:v>
                </c:pt>
                <c:pt idx="209">
                  <c:v>18.55</c:v>
                </c:pt>
                <c:pt idx="210">
                  <c:v>21</c:v>
                </c:pt>
                <c:pt idx="211">
                  <c:v>17.149999999999999</c:v>
                </c:pt>
                <c:pt idx="212">
                  <c:v>14.16</c:v>
                </c:pt>
                <c:pt idx="213">
                  <c:v>7.82</c:v>
                </c:pt>
                <c:pt idx="214">
                  <c:v>9.15</c:v>
                </c:pt>
                <c:pt idx="215">
                  <c:v>9.99</c:v>
                </c:pt>
                <c:pt idx="216">
                  <c:v>3.84</c:v>
                </c:pt>
                <c:pt idx="217">
                  <c:v>23.09</c:v>
                </c:pt>
                <c:pt idx="218">
                  <c:v>22.81</c:v>
                </c:pt>
                <c:pt idx="219">
                  <c:v>5.37</c:v>
                </c:pt>
                <c:pt idx="220">
                  <c:v>15.25</c:v>
                </c:pt>
                <c:pt idx="221">
                  <c:v>13.29</c:v>
                </c:pt>
                <c:pt idx="222">
                  <c:v>18.04</c:v>
                </c:pt>
                <c:pt idx="223">
                  <c:v>16.27</c:v>
                </c:pt>
                <c:pt idx="224">
                  <c:v>5.74</c:v>
                </c:pt>
                <c:pt idx="225">
                  <c:v>17.52</c:v>
                </c:pt>
                <c:pt idx="226">
                  <c:v>16.399999999999999</c:v>
                </c:pt>
                <c:pt idx="227">
                  <c:v>14.69</c:v>
                </c:pt>
                <c:pt idx="228">
                  <c:v>11.85</c:v>
                </c:pt>
                <c:pt idx="229">
                  <c:v>24.01</c:v>
                </c:pt>
                <c:pt idx="230">
                  <c:v>21.69</c:v>
                </c:pt>
                <c:pt idx="231">
                  <c:v>15.87</c:v>
                </c:pt>
                <c:pt idx="232">
                  <c:v>3.14</c:v>
                </c:pt>
                <c:pt idx="233">
                  <c:v>12.51</c:v>
                </c:pt>
                <c:pt idx="234">
                  <c:v>18.41</c:v>
                </c:pt>
                <c:pt idx="235">
                  <c:v>5.58</c:v>
                </c:pt>
                <c:pt idx="236">
                  <c:v>11.94</c:v>
                </c:pt>
                <c:pt idx="237">
                  <c:v>7.22</c:v>
                </c:pt>
                <c:pt idx="238">
                  <c:v>10.44</c:v>
                </c:pt>
                <c:pt idx="239">
                  <c:v>3.59</c:v>
                </c:pt>
                <c:pt idx="240">
                  <c:v>5.79</c:v>
                </c:pt>
                <c:pt idx="241">
                  <c:v>13</c:v>
                </c:pt>
                <c:pt idx="242">
                  <c:v>22.76</c:v>
                </c:pt>
                <c:pt idx="243">
                  <c:v>13.79</c:v>
                </c:pt>
                <c:pt idx="244">
                  <c:v>12.97</c:v>
                </c:pt>
                <c:pt idx="245">
                  <c:v>20.329999999999998</c:v>
                </c:pt>
                <c:pt idx="246">
                  <c:v>8.89</c:v>
                </c:pt>
                <c:pt idx="247">
                  <c:v>5.09</c:v>
                </c:pt>
                <c:pt idx="248">
                  <c:v>7.61</c:v>
                </c:pt>
                <c:pt idx="249">
                  <c:v>20.41</c:v>
                </c:pt>
                <c:pt idx="250">
                  <c:v>17.899999999999999</c:v>
                </c:pt>
                <c:pt idx="251">
                  <c:v>5.01</c:v>
                </c:pt>
                <c:pt idx="252">
                  <c:v>17.68</c:v>
                </c:pt>
                <c:pt idx="253">
                  <c:v>23.49</c:v>
                </c:pt>
                <c:pt idx="254">
                  <c:v>3.99</c:v>
                </c:pt>
                <c:pt idx="255">
                  <c:v>16.559999999999999</c:v>
                </c:pt>
                <c:pt idx="256">
                  <c:v>11.34</c:v>
                </c:pt>
                <c:pt idx="257">
                  <c:v>14.02</c:v>
                </c:pt>
                <c:pt idx="258">
                  <c:v>14.62</c:v>
                </c:pt>
                <c:pt idx="259">
                  <c:v>19.96</c:v>
                </c:pt>
                <c:pt idx="260">
                  <c:v>15.25</c:v>
                </c:pt>
                <c:pt idx="261">
                  <c:v>16.05</c:v>
                </c:pt>
                <c:pt idx="262">
                  <c:v>10.32</c:v>
                </c:pt>
                <c:pt idx="263">
                  <c:v>5.77</c:v>
                </c:pt>
                <c:pt idx="264">
                  <c:v>18.02</c:v>
                </c:pt>
                <c:pt idx="265">
                  <c:v>3.01</c:v>
                </c:pt>
                <c:pt idx="266">
                  <c:v>10.23</c:v>
                </c:pt>
                <c:pt idx="267">
                  <c:v>7.8</c:v>
                </c:pt>
                <c:pt idx="268">
                  <c:v>11.55</c:v>
                </c:pt>
                <c:pt idx="269">
                  <c:v>9.85</c:v>
                </c:pt>
                <c:pt idx="270">
                  <c:v>18.489999999999998</c:v>
                </c:pt>
                <c:pt idx="271">
                  <c:v>8.7200000000000006</c:v>
                </c:pt>
                <c:pt idx="272">
                  <c:v>15.34</c:v>
                </c:pt>
                <c:pt idx="273">
                  <c:v>13.03</c:v>
                </c:pt>
                <c:pt idx="274">
                  <c:v>20.62</c:v>
                </c:pt>
                <c:pt idx="275">
                  <c:v>12.42</c:v>
                </c:pt>
                <c:pt idx="276">
                  <c:v>22.01</c:v>
                </c:pt>
                <c:pt idx="277">
                  <c:v>3</c:v>
                </c:pt>
                <c:pt idx="278">
                  <c:v>16.309999999999999</c:v>
                </c:pt>
                <c:pt idx="279">
                  <c:v>3.22</c:v>
                </c:pt>
                <c:pt idx="280">
                  <c:v>18.71</c:v>
                </c:pt>
                <c:pt idx="281">
                  <c:v>8.17</c:v>
                </c:pt>
                <c:pt idx="282">
                  <c:v>11.36</c:v>
                </c:pt>
                <c:pt idx="283">
                  <c:v>11.37</c:v>
                </c:pt>
                <c:pt idx="284">
                  <c:v>21.62</c:v>
                </c:pt>
                <c:pt idx="285">
                  <c:v>5.25</c:v>
                </c:pt>
                <c:pt idx="286">
                  <c:v>17.670000000000002</c:v>
                </c:pt>
                <c:pt idx="287">
                  <c:v>24.59</c:v>
                </c:pt>
                <c:pt idx="288">
                  <c:v>3.49</c:v>
                </c:pt>
                <c:pt idx="289">
                  <c:v>24.25</c:v>
                </c:pt>
                <c:pt idx="290">
                  <c:v>3.4</c:v>
                </c:pt>
                <c:pt idx="291">
                  <c:v>21.51</c:v>
                </c:pt>
                <c:pt idx="292">
                  <c:v>24.15</c:v>
                </c:pt>
                <c:pt idx="293">
                  <c:v>24.85</c:v>
                </c:pt>
                <c:pt idx="294">
                  <c:v>13.1</c:v>
                </c:pt>
                <c:pt idx="295">
                  <c:v>22.07</c:v>
                </c:pt>
                <c:pt idx="296">
                  <c:v>5.69</c:v>
                </c:pt>
                <c:pt idx="297">
                  <c:v>12.36</c:v>
                </c:pt>
                <c:pt idx="298">
                  <c:v>9.7799999999999994</c:v>
                </c:pt>
                <c:pt idx="299">
                  <c:v>11.69</c:v>
                </c:pt>
                <c:pt idx="300">
                  <c:v>18.440000000000001</c:v>
                </c:pt>
                <c:pt idx="301">
                  <c:v>4.92</c:v>
                </c:pt>
                <c:pt idx="302">
                  <c:v>24.96</c:v>
                </c:pt>
                <c:pt idx="303">
                  <c:v>16.97</c:v>
                </c:pt>
                <c:pt idx="304">
                  <c:v>22.22</c:v>
                </c:pt>
                <c:pt idx="305">
                  <c:v>21.25</c:v>
                </c:pt>
                <c:pt idx="306">
                  <c:v>19.850000000000001</c:v>
                </c:pt>
                <c:pt idx="307">
                  <c:v>3.86</c:v>
                </c:pt>
                <c:pt idx="308">
                  <c:v>14.36</c:v>
                </c:pt>
                <c:pt idx="309">
                  <c:v>10.220000000000001</c:v>
                </c:pt>
                <c:pt idx="310">
                  <c:v>5.48</c:v>
                </c:pt>
                <c:pt idx="311">
                  <c:v>10.55</c:v>
                </c:pt>
                <c:pt idx="312">
                  <c:v>17.190000000000001</c:v>
                </c:pt>
                <c:pt idx="313">
                  <c:v>8.07</c:v>
                </c:pt>
                <c:pt idx="314">
                  <c:v>12.78</c:v>
                </c:pt>
                <c:pt idx="315">
                  <c:v>11.9</c:v>
                </c:pt>
                <c:pt idx="316">
                  <c:v>4.1500000000000004</c:v>
                </c:pt>
                <c:pt idx="317">
                  <c:v>16.82</c:v>
                </c:pt>
                <c:pt idx="318">
                  <c:v>16.61</c:v>
                </c:pt>
                <c:pt idx="319">
                  <c:v>24.26</c:v>
                </c:pt>
                <c:pt idx="320">
                  <c:v>9.56</c:v>
                </c:pt>
                <c:pt idx="321">
                  <c:v>12.22</c:v>
                </c:pt>
                <c:pt idx="322">
                  <c:v>11.88</c:v>
                </c:pt>
                <c:pt idx="323">
                  <c:v>23.23</c:v>
                </c:pt>
                <c:pt idx="324">
                  <c:v>11.99</c:v>
                </c:pt>
                <c:pt idx="325">
                  <c:v>12.74</c:v>
                </c:pt>
                <c:pt idx="326">
                  <c:v>8.5500000000000007</c:v>
                </c:pt>
                <c:pt idx="327">
                  <c:v>3.03</c:v>
                </c:pt>
                <c:pt idx="328">
                  <c:v>5.43</c:v>
                </c:pt>
                <c:pt idx="329">
                  <c:v>18.489999999999998</c:v>
                </c:pt>
                <c:pt idx="330">
                  <c:v>18.010000000000002</c:v>
                </c:pt>
                <c:pt idx="331">
                  <c:v>10.1</c:v>
                </c:pt>
                <c:pt idx="332">
                  <c:v>13.41</c:v>
                </c:pt>
                <c:pt idx="333">
                  <c:v>9.5399999999999991</c:v>
                </c:pt>
                <c:pt idx="334">
                  <c:v>19.079999999999998</c:v>
                </c:pt>
                <c:pt idx="335">
                  <c:v>21.53</c:v>
                </c:pt>
                <c:pt idx="336">
                  <c:v>22.78</c:v>
                </c:pt>
                <c:pt idx="337">
                  <c:v>6.83</c:v>
                </c:pt>
                <c:pt idx="338">
                  <c:v>18.29</c:v>
                </c:pt>
                <c:pt idx="339">
                  <c:v>24.19</c:v>
                </c:pt>
                <c:pt idx="340">
                  <c:v>17.309999999999999</c:v>
                </c:pt>
                <c:pt idx="341">
                  <c:v>10.72</c:v>
                </c:pt>
                <c:pt idx="342">
                  <c:v>16.989999999999998</c:v>
                </c:pt>
                <c:pt idx="343">
                  <c:v>18.149999999999999</c:v>
                </c:pt>
                <c:pt idx="344">
                  <c:v>11.74</c:v>
                </c:pt>
                <c:pt idx="345">
                  <c:v>5.29</c:v>
                </c:pt>
                <c:pt idx="346">
                  <c:v>16.350000000000001</c:v>
                </c:pt>
                <c:pt idx="347">
                  <c:v>20.65</c:v>
                </c:pt>
                <c:pt idx="348">
                  <c:v>24.95</c:v>
                </c:pt>
                <c:pt idx="349">
                  <c:v>7.91</c:v>
                </c:pt>
                <c:pt idx="350">
                  <c:v>18.41</c:v>
                </c:pt>
                <c:pt idx="351">
                  <c:v>3.62</c:v>
                </c:pt>
                <c:pt idx="352">
                  <c:v>24.34</c:v>
                </c:pt>
                <c:pt idx="353">
                  <c:v>3.28</c:v>
                </c:pt>
                <c:pt idx="354">
                  <c:v>10.89</c:v>
                </c:pt>
                <c:pt idx="355">
                  <c:v>4.68</c:v>
                </c:pt>
                <c:pt idx="356">
                  <c:v>16.66</c:v>
                </c:pt>
                <c:pt idx="357">
                  <c:v>10.47</c:v>
                </c:pt>
                <c:pt idx="358">
                  <c:v>19.12</c:v>
                </c:pt>
                <c:pt idx="359">
                  <c:v>13.7</c:v>
                </c:pt>
                <c:pt idx="360">
                  <c:v>12.23</c:v>
                </c:pt>
                <c:pt idx="361">
                  <c:v>10.67</c:v>
                </c:pt>
                <c:pt idx="362">
                  <c:v>4.8899999999999997</c:v>
                </c:pt>
                <c:pt idx="363">
                  <c:v>7.51</c:v>
                </c:pt>
                <c:pt idx="364">
                  <c:v>17.059999999999999</c:v>
                </c:pt>
                <c:pt idx="365">
                  <c:v>13.93</c:v>
                </c:pt>
                <c:pt idx="366">
                  <c:v>4.54</c:v>
                </c:pt>
                <c:pt idx="367">
                  <c:v>14.97</c:v>
                </c:pt>
                <c:pt idx="368">
                  <c:v>4.1900000000000004</c:v>
                </c:pt>
                <c:pt idx="369">
                  <c:v>14.26</c:v>
                </c:pt>
                <c:pt idx="370">
                  <c:v>24.23</c:v>
                </c:pt>
                <c:pt idx="371">
                  <c:v>9.76</c:v>
                </c:pt>
                <c:pt idx="372">
                  <c:v>18.920000000000002</c:v>
                </c:pt>
                <c:pt idx="373">
                  <c:v>19.399999999999999</c:v>
                </c:pt>
                <c:pt idx="374">
                  <c:v>11.91</c:v>
                </c:pt>
                <c:pt idx="375">
                  <c:v>16.05</c:v>
                </c:pt>
                <c:pt idx="376">
                  <c:v>13.39</c:v>
                </c:pt>
                <c:pt idx="377">
                  <c:v>9.23</c:v>
                </c:pt>
                <c:pt idx="378">
                  <c:v>19.600000000000001</c:v>
                </c:pt>
                <c:pt idx="379">
                  <c:v>18.46</c:v>
                </c:pt>
                <c:pt idx="380">
                  <c:v>22.81</c:v>
                </c:pt>
                <c:pt idx="381">
                  <c:v>16.600000000000001</c:v>
                </c:pt>
                <c:pt idx="382">
                  <c:v>11.55</c:v>
                </c:pt>
                <c:pt idx="383">
                  <c:v>18.71</c:v>
                </c:pt>
                <c:pt idx="384">
                  <c:v>16.62</c:v>
                </c:pt>
                <c:pt idx="385">
                  <c:v>16.57</c:v>
                </c:pt>
                <c:pt idx="386">
                  <c:v>21.7</c:v>
                </c:pt>
                <c:pt idx="387">
                  <c:v>23.03</c:v>
                </c:pt>
                <c:pt idx="388">
                  <c:v>6.97</c:v>
                </c:pt>
                <c:pt idx="389">
                  <c:v>9.91</c:v>
                </c:pt>
                <c:pt idx="390">
                  <c:v>17.309999999999999</c:v>
                </c:pt>
                <c:pt idx="391">
                  <c:v>15.26</c:v>
                </c:pt>
                <c:pt idx="392">
                  <c:v>17.350000000000001</c:v>
                </c:pt>
                <c:pt idx="393">
                  <c:v>12.53</c:v>
                </c:pt>
                <c:pt idx="394">
                  <c:v>12.07</c:v>
                </c:pt>
                <c:pt idx="395">
                  <c:v>5.59</c:v>
                </c:pt>
                <c:pt idx="396">
                  <c:v>16.72</c:v>
                </c:pt>
                <c:pt idx="397">
                  <c:v>6.87</c:v>
                </c:pt>
                <c:pt idx="398">
                  <c:v>17.760000000000002</c:v>
                </c:pt>
                <c:pt idx="399">
                  <c:v>24.28</c:v>
                </c:pt>
                <c:pt idx="400">
                  <c:v>8.64</c:v>
                </c:pt>
                <c:pt idx="401">
                  <c:v>6.13</c:v>
                </c:pt>
                <c:pt idx="402">
                  <c:v>3.53</c:v>
                </c:pt>
                <c:pt idx="403">
                  <c:v>11.33</c:v>
                </c:pt>
                <c:pt idx="404">
                  <c:v>7.72</c:v>
                </c:pt>
                <c:pt idx="405">
                  <c:v>13.82</c:v>
                </c:pt>
                <c:pt idx="406">
                  <c:v>14.53</c:v>
                </c:pt>
                <c:pt idx="407">
                  <c:v>10.69</c:v>
                </c:pt>
                <c:pt idx="408">
                  <c:v>19.5</c:v>
                </c:pt>
                <c:pt idx="409">
                  <c:v>22.91</c:v>
                </c:pt>
                <c:pt idx="410">
                  <c:v>7.65</c:v>
                </c:pt>
                <c:pt idx="411">
                  <c:v>21.4</c:v>
                </c:pt>
                <c:pt idx="412">
                  <c:v>5.89</c:v>
                </c:pt>
                <c:pt idx="413">
                  <c:v>8.0299999999999994</c:v>
                </c:pt>
                <c:pt idx="414">
                  <c:v>15.35</c:v>
                </c:pt>
                <c:pt idx="415">
                  <c:v>9.74</c:v>
                </c:pt>
                <c:pt idx="416">
                  <c:v>3.92</c:v>
                </c:pt>
                <c:pt idx="417">
                  <c:v>9.49</c:v>
                </c:pt>
                <c:pt idx="418">
                  <c:v>22.91</c:v>
                </c:pt>
                <c:pt idx="419">
                  <c:v>6.83</c:v>
                </c:pt>
                <c:pt idx="420">
                  <c:v>19.8</c:v>
                </c:pt>
                <c:pt idx="421">
                  <c:v>18.89</c:v>
                </c:pt>
                <c:pt idx="422">
                  <c:v>5.34</c:v>
                </c:pt>
                <c:pt idx="423">
                  <c:v>10.25</c:v>
                </c:pt>
                <c:pt idx="424">
                  <c:v>7.17</c:v>
                </c:pt>
                <c:pt idx="425">
                  <c:v>3.51</c:v>
                </c:pt>
                <c:pt idx="426">
                  <c:v>6.81</c:v>
                </c:pt>
                <c:pt idx="427">
                  <c:v>7.43</c:v>
                </c:pt>
                <c:pt idx="428">
                  <c:v>6.65</c:v>
                </c:pt>
                <c:pt idx="429">
                  <c:v>5</c:v>
                </c:pt>
                <c:pt idx="430">
                  <c:v>14.58</c:v>
                </c:pt>
                <c:pt idx="431">
                  <c:v>10.1</c:v>
                </c:pt>
                <c:pt idx="432">
                  <c:v>22.98</c:v>
                </c:pt>
                <c:pt idx="433">
                  <c:v>7.12</c:v>
                </c:pt>
                <c:pt idx="434">
                  <c:v>16.260000000000002</c:v>
                </c:pt>
                <c:pt idx="435">
                  <c:v>22.81</c:v>
                </c:pt>
                <c:pt idx="436">
                  <c:v>4.04</c:v>
                </c:pt>
                <c:pt idx="437">
                  <c:v>14.36</c:v>
                </c:pt>
                <c:pt idx="438">
                  <c:v>12.91</c:v>
                </c:pt>
                <c:pt idx="439">
                  <c:v>23.43</c:v>
                </c:pt>
                <c:pt idx="440">
                  <c:v>17.600000000000001</c:v>
                </c:pt>
                <c:pt idx="441">
                  <c:v>10.68</c:v>
                </c:pt>
                <c:pt idx="442">
                  <c:v>18.649999999999999</c:v>
                </c:pt>
                <c:pt idx="443">
                  <c:v>15.82</c:v>
                </c:pt>
                <c:pt idx="444">
                  <c:v>10.64</c:v>
                </c:pt>
                <c:pt idx="445">
                  <c:v>20.28</c:v>
                </c:pt>
                <c:pt idx="446">
                  <c:v>17.7</c:v>
                </c:pt>
                <c:pt idx="447">
                  <c:v>3.12</c:v>
                </c:pt>
                <c:pt idx="448">
                  <c:v>22.03</c:v>
                </c:pt>
                <c:pt idx="449">
                  <c:v>11.74</c:v>
                </c:pt>
                <c:pt idx="450">
                  <c:v>17.2</c:v>
                </c:pt>
                <c:pt idx="451">
                  <c:v>11.73</c:v>
                </c:pt>
                <c:pt idx="452">
                  <c:v>22.39</c:v>
                </c:pt>
                <c:pt idx="453">
                  <c:v>17.32</c:v>
                </c:pt>
                <c:pt idx="454">
                  <c:v>15.75</c:v>
                </c:pt>
                <c:pt idx="455">
                  <c:v>24.57</c:v>
                </c:pt>
                <c:pt idx="456">
                  <c:v>9.17</c:v>
                </c:pt>
                <c:pt idx="457">
                  <c:v>4.4400000000000004</c:v>
                </c:pt>
                <c:pt idx="458">
                  <c:v>14.35</c:v>
                </c:pt>
                <c:pt idx="459">
                  <c:v>12.33</c:v>
                </c:pt>
                <c:pt idx="460">
                  <c:v>12.99</c:v>
                </c:pt>
                <c:pt idx="461">
                  <c:v>16.64</c:v>
                </c:pt>
                <c:pt idx="462">
                  <c:v>16.53</c:v>
                </c:pt>
                <c:pt idx="463">
                  <c:v>11.63</c:v>
                </c:pt>
                <c:pt idx="464">
                  <c:v>21.98</c:v>
                </c:pt>
                <c:pt idx="465">
                  <c:v>17.329999999999998</c:v>
                </c:pt>
                <c:pt idx="466">
                  <c:v>22.58</c:v>
                </c:pt>
                <c:pt idx="467">
                  <c:v>23.09</c:v>
                </c:pt>
                <c:pt idx="468">
                  <c:v>6.68</c:v>
                </c:pt>
                <c:pt idx="469">
                  <c:v>17.97</c:v>
                </c:pt>
                <c:pt idx="470">
                  <c:v>9.99</c:v>
                </c:pt>
                <c:pt idx="471">
                  <c:v>21.4</c:v>
                </c:pt>
                <c:pt idx="472">
                  <c:v>19.12</c:v>
                </c:pt>
                <c:pt idx="473">
                  <c:v>7.37</c:v>
                </c:pt>
                <c:pt idx="474">
                  <c:v>23.65</c:v>
                </c:pt>
                <c:pt idx="475">
                  <c:v>18.04</c:v>
                </c:pt>
                <c:pt idx="476">
                  <c:v>23.87</c:v>
                </c:pt>
                <c:pt idx="477">
                  <c:v>7.44</c:v>
                </c:pt>
                <c:pt idx="478">
                  <c:v>22.13</c:v>
                </c:pt>
                <c:pt idx="479">
                  <c:v>17.7</c:v>
                </c:pt>
                <c:pt idx="480">
                  <c:v>15.15</c:v>
                </c:pt>
                <c:pt idx="481">
                  <c:v>21.05</c:v>
                </c:pt>
                <c:pt idx="482">
                  <c:v>16.920000000000002</c:v>
                </c:pt>
                <c:pt idx="483">
                  <c:v>17.73</c:v>
                </c:pt>
                <c:pt idx="484">
                  <c:v>8.58</c:v>
                </c:pt>
                <c:pt idx="485">
                  <c:v>20.98</c:v>
                </c:pt>
                <c:pt idx="486">
                  <c:v>17.309999999999999</c:v>
                </c:pt>
                <c:pt idx="487">
                  <c:v>21.58</c:v>
                </c:pt>
                <c:pt idx="488">
                  <c:v>10.73</c:v>
                </c:pt>
                <c:pt idx="489">
                  <c:v>10.3</c:v>
                </c:pt>
                <c:pt idx="490">
                  <c:v>3.53</c:v>
                </c:pt>
                <c:pt idx="491">
                  <c:v>19.91</c:v>
                </c:pt>
                <c:pt idx="492">
                  <c:v>10.27</c:v>
                </c:pt>
                <c:pt idx="493">
                  <c:v>10.199999999999999</c:v>
                </c:pt>
                <c:pt idx="494">
                  <c:v>18.149999999999999</c:v>
                </c:pt>
                <c:pt idx="495">
                  <c:v>8.56</c:v>
                </c:pt>
                <c:pt idx="496">
                  <c:v>23</c:v>
                </c:pt>
                <c:pt idx="497">
                  <c:v>14.84</c:v>
                </c:pt>
                <c:pt idx="498">
                  <c:v>24.33</c:v>
                </c:pt>
                <c:pt idx="499">
                  <c:v>4.6900000000000004</c:v>
                </c:pt>
                <c:pt idx="500">
                  <c:v>10.41</c:v>
                </c:pt>
                <c:pt idx="501">
                  <c:v>11.39</c:v>
                </c:pt>
                <c:pt idx="502">
                  <c:v>19.07</c:v>
                </c:pt>
                <c:pt idx="503">
                  <c:v>7.69</c:v>
                </c:pt>
                <c:pt idx="504">
                  <c:v>11.26</c:v>
                </c:pt>
                <c:pt idx="505">
                  <c:v>23.03</c:v>
                </c:pt>
                <c:pt idx="506">
                  <c:v>5.52</c:v>
                </c:pt>
                <c:pt idx="507">
                  <c:v>19.399999999999999</c:v>
                </c:pt>
                <c:pt idx="508">
                  <c:v>18.45</c:v>
                </c:pt>
                <c:pt idx="509">
                  <c:v>5.87</c:v>
                </c:pt>
                <c:pt idx="510">
                  <c:v>18.149999999999999</c:v>
                </c:pt>
                <c:pt idx="511">
                  <c:v>15.54</c:v>
                </c:pt>
                <c:pt idx="512">
                  <c:v>9.33</c:v>
                </c:pt>
                <c:pt idx="513">
                  <c:v>9.85</c:v>
                </c:pt>
                <c:pt idx="514">
                  <c:v>21.33</c:v>
                </c:pt>
                <c:pt idx="515">
                  <c:v>8.08</c:v>
                </c:pt>
                <c:pt idx="516">
                  <c:v>14.28</c:v>
                </c:pt>
                <c:pt idx="517">
                  <c:v>17.989999999999998</c:v>
                </c:pt>
                <c:pt idx="518">
                  <c:v>5.86</c:v>
                </c:pt>
                <c:pt idx="519">
                  <c:v>23.51</c:v>
                </c:pt>
                <c:pt idx="520">
                  <c:v>8.73</c:v>
                </c:pt>
                <c:pt idx="521">
                  <c:v>10.01</c:v>
                </c:pt>
                <c:pt idx="522">
                  <c:v>17.649999999999999</c:v>
                </c:pt>
                <c:pt idx="523">
                  <c:v>4.72</c:v>
                </c:pt>
                <c:pt idx="524">
                  <c:v>16.809999999999999</c:v>
                </c:pt>
                <c:pt idx="525">
                  <c:v>23.15</c:v>
                </c:pt>
                <c:pt idx="526">
                  <c:v>8.48</c:v>
                </c:pt>
                <c:pt idx="527">
                  <c:v>10.96</c:v>
                </c:pt>
                <c:pt idx="528">
                  <c:v>8.11</c:v>
                </c:pt>
                <c:pt idx="529">
                  <c:v>21.01</c:v>
                </c:pt>
                <c:pt idx="530">
                  <c:v>6.69</c:v>
                </c:pt>
                <c:pt idx="531">
                  <c:v>10.63</c:v>
                </c:pt>
                <c:pt idx="532">
                  <c:v>16.22</c:v>
                </c:pt>
                <c:pt idx="533">
                  <c:v>11.9</c:v>
                </c:pt>
                <c:pt idx="534">
                  <c:v>4.4400000000000004</c:v>
                </c:pt>
                <c:pt idx="535">
                  <c:v>23.85</c:v>
                </c:pt>
                <c:pt idx="536">
                  <c:v>10.43</c:v>
                </c:pt>
                <c:pt idx="537">
                  <c:v>12.8</c:v>
                </c:pt>
                <c:pt idx="538">
                  <c:v>6.69</c:v>
                </c:pt>
                <c:pt idx="539">
                  <c:v>22.04</c:v>
                </c:pt>
                <c:pt idx="540">
                  <c:v>9.41</c:v>
                </c:pt>
                <c:pt idx="541">
                  <c:v>3.44</c:v>
                </c:pt>
                <c:pt idx="542">
                  <c:v>9.9600000000000009</c:v>
                </c:pt>
                <c:pt idx="543">
                  <c:v>24.65</c:v>
                </c:pt>
                <c:pt idx="544">
                  <c:v>6.23</c:v>
                </c:pt>
                <c:pt idx="545">
                  <c:v>3.69</c:v>
                </c:pt>
                <c:pt idx="546">
                  <c:v>15.72</c:v>
                </c:pt>
                <c:pt idx="547">
                  <c:v>11.18</c:v>
                </c:pt>
                <c:pt idx="548">
                  <c:v>20.49</c:v>
                </c:pt>
                <c:pt idx="549">
                  <c:v>19.100000000000001</c:v>
                </c:pt>
                <c:pt idx="550">
                  <c:v>7.08</c:v>
                </c:pt>
                <c:pt idx="551">
                  <c:v>15.42</c:v>
                </c:pt>
                <c:pt idx="552">
                  <c:v>3.71</c:v>
                </c:pt>
                <c:pt idx="553">
                  <c:v>12.67</c:v>
                </c:pt>
                <c:pt idx="554">
                  <c:v>18.71</c:v>
                </c:pt>
                <c:pt idx="555">
                  <c:v>12.13</c:v>
                </c:pt>
                <c:pt idx="556">
                  <c:v>5.59</c:v>
                </c:pt>
                <c:pt idx="557">
                  <c:v>4.3499999999999996</c:v>
                </c:pt>
                <c:pt idx="558">
                  <c:v>21.78</c:v>
                </c:pt>
                <c:pt idx="559">
                  <c:v>22.61</c:v>
                </c:pt>
                <c:pt idx="560">
                  <c:v>10.55</c:v>
                </c:pt>
                <c:pt idx="561">
                  <c:v>6.61</c:v>
                </c:pt>
                <c:pt idx="562">
                  <c:v>24.53</c:v>
                </c:pt>
                <c:pt idx="563">
                  <c:v>15.01</c:v>
                </c:pt>
                <c:pt idx="564">
                  <c:v>13.49</c:v>
                </c:pt>
                <c:pt idx="565">
                  <c:v>19.32</c:v>
                </c:pt>
                <c:pt idx="566">
                  <c:v>6.72</c:v>
                </c:pt>
                <c:pt idx="567">
                  <c:v>15.76</c:v>
                </c:pt>
                <c:pt idx="568">
                  <c:v>22.58</c:v>
                </c:pt>
                <c:pt idx="569">
                  <c:v>3.51</c:v>
                </c:pt>
                <c:pt idx="570">
                  <c:v>17.8</c:v>
                </c:pt>
                <c:pt idx="571">
                  <c:v>15.13</c:v>
                </c:pt>
                <c:pt idx="572">
                  <c:v>23.92</c:v>
                </c:pt>
                <c:pt idx="573">
                  <c:v>8.69</c:v>
                </c:pt>
                <c:pt idx="574">
                  <c:v>21.9</c:v>
                </c:pt>
                <c:pt idx="575">
                  <c:v>9.8000000000000007</c:v>
                </c:pt>
                <c:pt idx="576">
                  <c:v>12.46</c:v>
                </c:pt>
                <c:pt idx="577">
                  <c:v>7.69</c:v>
                </c:pt>
                <c:pt idx="578">
                  <c:v>22</c:v>
                </c:pt>
                <c:pt idx="579">
                  <c:v>7.3</c:v>
                </c:pt>
                <c:pt idx="580">
                  <c:v>21.9</c:v>
                </c:pt>
                <c:pt idx="581">
                  <c:v>13.02</c:v>
                </c:pt>
                <c:pt idx="582">
                  <c:v>21.37</c:v>
                </c:pt>
                <c:pt idx="583">
                  <c:v>8.82</c:v>
                </c:pt>
                <c:pt idx="584">
                  <c:v>5.92</c:v>
                </c:pt>
                <c:pt idx="585">
                  <c:v>15.21</c:v>
                </c:pt>
                <c:pt idx="586">
                  <c:v>14.21</c:v>
                </c:pt>
                <c:pt idx="587">
                  <c:v>10.85</c:v>
                </c:pt>
                <c:pt idx="588">
                  <c:v>17.579999999999998</c:v>
                </c:pt>
                <c:pt idx="589">
                  <c:v>5.09</c:v>
                </c:pt>
                <c:pt idx="590">
                  <c:v>16.68</c:v>
                </c:pt>
                <c:pt idx="591">
                  <c:v>7.66</c:v>
                </c:pt>
                <c:pt idx="592">
                  <c:v>5.84</c:v>
                </c:pt>
                <c:pt idx="593">
                  <c:v>23.01</c:v>
                </c:pt>
                <c:pt idx="594">
                  <c:v>13.12</c:v>
                </c:pt>
                <c:pt idx="595">
                  <c:v>19.8</c:v>
                </c:pt>
                <c:pt idx="596">
                  <c:v>4.96</c:v>
                </c:pt>
                <c:pt idx="597">
                  <c:v>4.26</c:v>
                </c:pt>
                <c:pt idx="598">
                  <c:v>13.89</c:v>
                </c:pt>
                <c:pt idx="599">
                  <c:v>9.94</c:v>
                </c:pt>
                <c:pt idx="600">
                  <c:v>3.11</c:v>
                </c:pt>
                <c:pt idx="601">
                  <c:v>7.03</c:v>
                </c:pt>
                <c:pt idx="602">
                  <c:v>7.81</c:v>
                </c:pt>
                <c:pt idx="603">
                  <c:v>9.35</c:v>
                </c:pt>
                <c:pt idx="604">
                  <c:v>22.31</c:v>
                </c:pt>
                <c:pt idx="605">
                  <c:v>12.25</c:v>
                </c:pt>
                <c:pt idx="606">
                  <c:v>17.95</c:v>
                </c:pt>
                <c:pt idx="607">
                  <c:v>3.4</c:v>
                </c:pt>
                <c:pt idx="608">
                  <c:v>20.91</c:v>
                </c:pt>
                <c:pt idx="609">
                  <c:v>8.2899999999999991</c:v>
                </c:pt>
                <c:pt idx="610">
                  <c:v>9.8000000000000007</c:v>
                </c:pt>
                <c:pt idx="611">
                  <c:v>4</c:v>
                </c:pt>
                <c:pt idx="612">
                  <c:v>12.01</c:v>
                </c:pt>
                <c:pt idx="613">
                  <c:v>21.76</c:v>
                </c:pt>
                <c:pt idx="614">
                  <c:v>11.33</c:v>
                </c:pt>
                <c:pt idx="615">
                  <c:v>22.99</c:v>
                </c:pt>
                <c:pt idx="616">
                  <c:v>22.08</c:v>
                </c:pt>
                <c:pt idx="617">
                  <c:v>4.3600000000000003</c:v>
                </c:pt>
                <c:pt idx="618">
                  <c:v>9.7200000000000006</c:v>
                </c:pt>
                <c:pt idx="619">
                  <c:v>23.03</c:v>
                </c:pt>
                <c:pt idx="620">
                  <c:v>3.66</c:v>
                </c:pt>
                <c:pt idx="621">
                  <c:v>19.850000000000001</c:v>
                </c:pt>
                <c:pt idx="622">
                  <c:v>22.94</c:v>
                </c:pt>
                <c:pt idx="623">
                  <c:v>19.95</c:v>
                </c:pt>
                <c:pt idx="624">
                  <c:v>19.36</c:v>
                </c:pt>
                <c:pt idx="625">
                  <c:v>21.55</c:v>
                </c:pt>
                <c:pt idx="626">
                  <c:v>17.649999999999999</c:v>
                </c:pt>
                <c:pt idx="627">
                  <c:v>12.31</c:v>
                </c:pt>
                <c:pt idx="628">
                  <c:v>4.38</c:v>
                </c:pt>
                <c:pt idx="629">
                  <c:v>20.34</c:v>
                </c:pt>
                <c:pt idx="630">
                  <c:v>22.92</c:v>
                </c:pt>
                <c:pt idx="631">
                  <c:v>14.25</c:v>
                </c:pt>
                <c:pt idx="632">
                  <c:v>14.72</c:v>
                </c:pt>
                <c:pt idx="633">
                  <c:v>11.87</c:v>
                </c:pt>
                <c:pt idx="634">
                  <c:v>21.85</c:v>
                </c:pt>
                <c:pt idx="635">
                  <c:v>3.33</c:v>
                </c:pt>
                <c:pt idx="636">
                  <c:v>16.739999999999998</c:v>
                </c:pt>
                <c:pt idx="637">
                  <c:v>22.96</c:v>
                </c:pt>
                <c:pt idx="638">
                  <c:v>5.27</c:v>
                </c:pt>
                <c:pt idx="639">
                  <c:v>24.1</c:v>
                </c:pt>
                <c:pt idx="640">
                  <c:v>24.29</c:v>
                </c:pt>
                <c:pt idx="641">
                  <c:v>23.46</c:v>
                </c:pt>
                <c:pt idx="642">
                  <c:v>13.18</c:v>
                </c:pt>
                <c:pt idx="643">
                  <c:v>11.43</c:v>
                </c:pt>
                <c:pt idx="644">
                  <c:v>18.53</c:v>
                </c:pt>
                <c:pt idx="645">
                  <c:v>10.01</c:v>
                </c:pt>
                <c:pt idx="646">
                  <c:v>4.5</c:v>
                </c:pt>
                <c:pt idx="647">
                  <c:v>22.83</c:v>
                </c:pt>
                <c:pt idx="648">
                  <c:v>16.97</c:v>
                </c:pt>
                <c:pt idx="649">
                  <c:v>7.56</c:v>
                </c:pt>
                <c:pt idx="650">
                  <c:v>3.4</c:v>
                </c:pt>
                <c:pt idx="651">
                  <c:v>18.920000000000002</c:v>
                </c:pt>
                <c:pt idx="652">
                  <c:v>21.76</c:v>
                </c:pt>
                <c:pt idx="653">
                  <c:v>11.92</c:v>
                </c:pt>
                <c:pt idx="654">
                  <c:v>4.78</c:v>
                </c:pt>
                <c:pt idx="655">
                  <c:v>17.27</c:v>
                </c:pt>
                <c:pt idx="656">
                  <c:v>9.5299999999999994</c:v>
                </c:pt>
                <c:pt idx="657">
                  <c:v>6.17</c:v>
                </c:pt>
                <c:pt idx="658">
                  <c:v>14.23</c:v>
                </c:pt>
                <c:pt idx="659">
                  <c:v>13.6</c:v>
                </c:pt>
                <c:pt idx="660">
                  <c:v>14.37</c:v>
                </c:pt>
                <c:pt idx="661">
                  <c:v>21.13</c:v>
                </c:pt>
                <c:pt idx="662">
                  <c:v>13.66</c:v>
                </c:pt>
                <c:pt idx="663">
                  <c:v>22.81</c:v>
                </c:pt>
                <c:pt idx="664">
                  <c:v>21.52</c:v>
                </c:pt>
                <c:pt idx="665">
                  <c:v>17.32</c:v>
                </c:pt>
                <c:pt idx="666">
                  <c:v>4.25</c:v>
                </c:pt>
                <c:pt idx="667">
                  <c:v>22.03</c:v>
                </c:pt>
                <c:pt idx="668">
                  <c:v>22.92</c:v>
                </c:pt>
                <c:pt idx="669">
                  <c:v>11.25</c:v>
                </c:pt>
                <c:pt idx="670">
                  <c:v>14.58</c:v>
                </c:pt>
                <c:pt idx="671">
                  <c:v>9.18</c:v>
                </c:pt>
                <c:pt idx="672">
                  <c:v>3.32</c:v>
                </c:pt>
                <c:pt idx="673">
                  <c:v>13.55</c:v>
                </c:pt>
                <c:pt idx="674">
                  <c:v>5.85</c:v>
                </c:pt>
                <c:pt idx="675">
                  <c:v>7.03</c:v>
                </c:pt>
                <c:pt idx="676">
                  <c:v>13.58</c:v>
                </c:pt>
                <c:pt idx="677">
                  <c:v>22.07</c:v>
                </c:pt>
                <c:pt idx="678">
                  <c:v>21.58</c:v>
                </c:pt>
                <c:pt idx="679">
                  <c:v>24.23</c:v>
                </c:pt>
                <c:pt idx="680">
                  <c:v>13.62</c:v>
                </c:pt>
                <c:pt idx="681">
                  <c:v>15.14</c:v>
                </c:pt>
                <c:pt idx="682">
                  <c:v>21.09</c:v>
                </c:pt>
                <c:pt idx="683">
                  <c:v>18.39</c:v>
                </c:pt>
                <c:pt idx="684">
                  <c:v>7.02</c:v>
                </c:pt>
                <c:pt idx="685">
                  <c:v>11.76</c:v>
                </c:pt>
                <c:pt idx="686">
                  <c:v>23.44</c:v>
                </c:pt>
                <c:pt idx="687">
                  <c:v>6.21</c:v>
                </c:pt>
                <c:pt idx="688">
                  <c:v>7.61</c:v>
                </c:pt>
                <c:pt idx="689">
                  <c:v>11.81</c:v>
                </c:pt>
                <c:pt idx="690">
                  <c:v>23.68</c:v>
                </c:pt>
                <c:pt idx="691">
                  <c:v>5.5</c:v>
                </c:pt>
                <c:pt idx="692">
                  <c:v>17.8</c:v>
                </c:pt>
                <c:pt idx="693">
                  <c:v>5.91</c:v>
                </c:pt>
                <c:pt idx="694">
                  <c:v>14.54</c:v>
                </c:pt>
                <c:pt idx="695">
                  <c:v>14.8</c:v>
                </c:pt>
                <c:pt idx="696">
                  <c:v>3.94</c:v>
                </c:pt>
                <c:pt idx="697">
                  <c:v>23.99</c:v>
                </c:pt>
                <c:pt idx="698">
                  <c:v>20.75</c:v>
                </c:pt>
                <c:pt idx="699">
                  <c:v>9.66</c:v>
                </c:pt>
                <c:pt idx="700">
                  <c:v>5.87</c:v>
                </c:pt>
                <c:pt idx="701">
                  <c:v>10.6</c:v>
                </c:pt>
                <c:pt idx="702">
                  <c:v>22.67</c:v>
                </c:pt>
                <c:pt idx="703">
                  <c:v>5.92</c:v>
                </c:pt>
                <c:pt idx="704">
                  <c:v>10.68</c:v>
                </c:pt>
                <c:pt idx="705">
                  <c:v>13.87</c:v>
                </c:pt>
                <c:pt idx="706">
                  <c:v>3.72</c:v>
                </c:pt>
                <c:pt idx="707">
                  <c:v>8.9</c:v>
                </c:pt>
                <c:pt idx="708">
                  <c:v>16.100000000000001</c:v>
                </c:pt>
                <c:pt idx="709">
                  <c:v>10.130000000000001</c:v>
                </c:pt>
                <c:pt idx="710">
                  <c:v>22.15</c:v>
                </c:pt>
                <c:pt idx="711">
                  <c:v>23.61</c:v>
                </c:pt>
                <c:pt idx="712">
                  <c:v>12.71</c:v>
                </c:pt>
                <c:pt idx="713">
                  <c:v>14.7</c:v>
                </c:pt>
                <c:pt idx="714">
                  <c:v>16.88</c:v>
                </c:pt>
                <c:pt idx="715">
                  <c:v>17.62</c:v>
                </c:pt>
                <c:pt idx="716">
                  <c:v>4.3899999999999997</c:v>
                </c:pt>
                <c:pt idx="717">
                  <c:v>4.18</c:v>
                </c:pt>
                <c:pt idx="718">
                  <c:v>22.04</c:v>
                </c:pt>
                <c:pt idx="719">
                  <c:v>7.84</c:v>
                </c:pt>
                <c:pt idx="720">
                  <c:v>15.85</c:v>
                </c:pt>
                <c:pt idx="721">
                  <c:v>16.739999999999998</c:v>
                </c:pt>
                <c:pt idx="722">
                  <c:v>6.62</c:v>
                </c:pt>
                <c:pt idx="723">
                  <c:v>19.760000000000002</c:v>
                </c:pt>
                <c:pt idx="724">
                  <c:v>22.05</c:v>
                </c:pt>
                <c:pt idx="725">
                  <c:v>9.2799999999999994</c:v>
                </c:pt>
                <c:pt idx="726">
                  <c:v>22.31</c:v>
                </c:pt>
                <c:pt idx="727">
                  <c:v>4.78</c:v>
                </c:pt>
                <c:pt idx="728">
                  <c:v>20.61</c:v>
                </c:pt>
                <c:pt idx="729">
                  <c:v>17.079999999999998</c:v>
                </c:pt>
                <c:pt idx="730">
                  <c:v>15.83</c:v>
                </c:pt>
                <c:pt idx="731">
                  <c:v>8.06</c:v>
                </c:pt>
                <c:pt idx="732">
                  <c:v>10.96</c:v>
                </c:pt>
                <c:pt idx="733">
                  <c:v>23.03</c:v>
                </c:pt>
                <c:pt idx="734">
                  <c:v>13.25</c:v>
                </c:pt>
                <c:pt idx="735">
                  <c:v>16.079999999999998</c:v>
                </c:pt>
                <c:pt idx="736">
                  <c:v>23.59</c:v>
                </c:pt>
                <c:pt idx="737">
                  <c:v>13.26</c:v>
                </c:pt>
                <c:pt idx="738">
                  <c:v>11.54</c:v>
                </c:pt>
                <c:pt idx="739">
                  <c:v>22.65</c:v>
                </c:pt>
                <c:pt idx="740">
                  <c:v>23.04</c:v>
                </c:pt>
                <c:pt idx="741">
                  <c:v>10.8</c:v>
                </c:pt>
                <c:pt idx="742">
                  <c:v>16.02</c:v>
                </c:pt>
                <c:pt idx="743">
                  <c:v>24.2</c:v>
                </c:pt>
                <c:pt idx="744">
                  <c:v>4.22</c:v>
                </c:pt>
                <c:pt idx="745">
                  <c:v>3.88</c:v>
                </c:pt>
                <c:pt idx="746">
                  <c:v>14.36</c:v>
                </c:pt>
                <c:pt idx="747">
                  <c:v>9.41</c:v>
                </c:pt>
                <c:pt idx="748">
                  <c:v>15.8</c:v>
                </c:pt>
                <c:pt idx="749">
                  <c:v>18.93</c:v>
                </c:pt>
                <c:pt idx="750">
                  <c:v>4.5199999999999996</c:v>
                </c:pt>
                <c:pt idx="751">
                  <c:v>22.41</c:v>
                </c:pt>
                <c:pt idx="752">
                  <c:v>9.09</c:v>
                </c:pt>
                <c:pt idx="753">
                  <c:v>11.39</c:v>
                </c:pt>
                <c:pt idx="754">
                  <c:v>10.41</c:v>
                </c:pt>
                <c:pt idx="755">
                  <c:v>21.48</c:v>
                </c:pt>
                <c:pt idx="756">
                  <c:v>6.75</c:v>
                </c:pt>
                <c:pt idx="757">
                  <c:v>3.63</c:v>
                </c:pt>
                <c:pt idx="758">
                  <c:v>24.38</c:v>
                </c:pt>
                <c:pt idx="759">
                  <c:v>24.57</c:v>
                </c:pt>
                <c:pt idx="760">
                  <c:v>8.67</c:v>
                </c:pt>
                <c:pt idx="761">
                  <c:v>3.21</c:v>
                </c:pt>
                <c:pt idx="762">
                  <c:v>17.21</c:v>
                </c:pt>
                <c:pt idx="763">
                  <c:v>17.27</c:v>
                </c:pt>
                <c:pt idx="764">
                  <c:v>23.69</c:v>
                </c:pt>
                <c:pt idx="765">
                  <c:v>9.57</c:v>
                </c:pt>
                <c:pt idx="766">
                  <c:v>7.17</c:v>
                </c:pt>
                <c:pt idx="767">
                  <c:v>16.559999999999999</c:v>
                </c:pt>
                <c:pt idx="768">
                  <c:v>15.4</c:v>
                </c:pt>
                <c:pt idx="769">
                  <c:v>18.79</c:v>
                </c:pt>
                <c:pt idx="770">
                  <c:v>22.47</c:v>
                </c:pt>
                <c:pt idx="771">
                  <c:v>15.31</c:v>
                </c:pt>
                <c:pt idx="772">
                  <c:v>6.3</c:v>
                </c:pt>
                <c:pt idx="773">
                  <c:v>16.16</c:v>
                </c:pt>
                <c:pt idx="774">
                  <c:v>11.23</c:v>
                </c:pt>
                <c:pt idx="775">
                  <c:v>12.96</c:v>
                </c:pt>
                <c:pt idx="776">
                  <c:v>24.11</c:v>
                </c:pt>
                <c:pt idx="777">
                  <c:v>15.21</c:v>
                </c:pt>
                <c:pt idx="778">
                  <c:v>6.29</c:v>
                </c:pt>
                <c:pt idx="779">
                  <c:v>12.75</c:v>
                </c:pt>
                <c:pt idx="780">
                  <c:v>8.0299999999999994</c:v>
                </c:pt>
                <c:pt idx="781">
                  <c:v>5.98</c:v>
                </c:pt>
                <c:pt idx="782">
                  <c:v>18.670000000000002</c:v>
                </c:pt>
                <c:pt idx="783">
                  <c:v>16.829999999999998</c:v>
                </c:pt>
                <c:pt idx="784">
                  <c:v>13.95</c:v>
                </c:pt>
                <c:pt idx="785">
                  <c:v>12.31</c:v>
                </c:pt>
                <c:pt idx="786">
                  <c:v>10.09</c:v>
                </c:pt>
                <c:pt idx="787">
                  <c:v>4.9400000000000004</c:v>
                </c:pt>
                <c:pt idx="788">
                  <c:v>9.58</c:v>
                </c:pt>
                <c:pt idx="789">
                  <c:v>21.44</c:v>
                </c:pt>
                <c:pt idx="790">
                  <c:v>20.239999999999998</c:v>
                </c:pt>
                <c:pt idx="791">
                  <c:v>24.39</c:v>
                </c:pt>
                <c:pt idx="792">
                  <c:v>17.43</c:v>
                </c:pt>
                <c:pt idx="793">
                  <c:v>15.18</c:v>
                </c:pt>
                <c:pt idx="794">
                  <c:v>9.51</c:v>
                </c:pt>
                <c:pt idx="795">
                  <c:v>4.6900000000000004</c:v>
                </c:pt>
                <c:pt idx="796">
                  <c:v>16.600000000000001</c:v>
                </c:pt>
                <c:pt idx="797">
                  <c:v>13.74</c:v>
                </c:pt>
                <c:pt idx="798">
                  <c:v>19.7</c:v>
                </c:pt>
                <c:pt idx="799">
                  <c:v>12.06</c:v>
                </c:pt>
                <c:pt idx="800">
                  <c:v>24.68</c:v>
                </c:pt>
                <c:pt idx="801">
                  <c:v>11.75</c:v>
                </c:pt>
                <c:pt idx="802">
                  <c:v>10.33</c:v>
                </c:pt>
                <c:pt idx="803">
                  <c:v>22.16</c:v>
                </c:pt>
                <c:pt idx="804">
                  <c:v>11.7</c:v>
                </c:pt>
                <c:pt idx="805">
                  <c:v>22.16</c:v>
                </c:pt>
                <c:pt idx="806">
                  <c:v>3.6</c:v>
                </c:pt>
                <c:pt idx="807">
                  <c:v>18.239999999999998</c:v>
                </c:pt>
                <c:pt idx="808">
                  <c:v>4.58</c:v>
                </c:pt>
                <c:pt idx="809">
                  <c:v>6.26</c:v>
                </c:pt>
                <c:pt idx="810">
                  <c:v>18.399999999999999</c:v>
                </c:pt>
                <c:pt idx="811">
                  <c:v>9.3699999999999992</c:v>
                </c:pt>
                <c:pt idx="812">
                  <c:v>7.63</c:v>
                </c:pt>
                <c:pt idx="813">
                  <c:v>20.63</c:v>
                </c:pt>
                <c:pt idx="814">
                  <c:v>23.82</c:v>
                </c:pt>
                <c:pt idx="815">
                  <c:v>8.11</c:v>
                </c:pt>
                <c:pt idx="816">
                  <c:v>9.98</c:v>
                </c:pt>
                <c:pt idx="817">
                  <c:v>18.71</c:v>
                </c:pt>
                <c:pt idx="818">
                  <c:v>20.94</c:v>
                </c:pt>
                <c:pt idx="819">
                  <c:v>24.98</c:v>
                </c:pt>
                <c:pt idx="820">
                  <c:v>9.01</c:v>
                </c:pt>
                <c:pt idx="821">
                  <c:v>15.25</c:v>
                </c:pt>
                <c:pt idx="822">
                  <c:v>5.95</c:v>
                </c:pt>
                <c:pt idx="823">
                  <c:v>10.28</c:v>
                </c:pt>
                <c:pt idx="824">
                  <c:v>3.99</c:v>
                </c:pt>
                <c:pt idx="825">
                  <c:v>7.64</c:v>
                </c:pt>
                <c:pt idx="826">
                  <c:v>14.14</c:v>
                </c:pt>
                <c:pt idx="827">
                  <c:v>6.6</c:v>
                </c:pt>
                <c:pt idx="828">
                  <c:v>22.57</c:v>
                </c:pt>
                <c:pt idx="829">
                  <c:v>18.63</c:v>
                </c:pt>
                <c:pt idx="830">
                  <c:v>3.61</c:v>
                </c:pt>
                <c:pt idx="831">
                  <c:v>22.29</c:v>
                </c:pt>
                <c:pt idx="832">
                  <c:v>24.5</c:v>
                </c:pt>
                <c:pt idx="833">
                  <c:v>14.04</c:v>
                </c:pt>
                <c:pt idx="834">
                  <c:v>9.92</c:v>
                </c:pt>
                <c:pt idx="835">
                  <c:v>8.8000000000000007</c:v>
                </c:pt>
                <c:pt idx="836">
                  <c:v>4.92</c:v>
                </c:pt>
                <c:pt idx="837">
                  <c:v>13.82</c:v>
                </c:pt>
                <c:pt idx="838">
                  <c:v>4.0999999999999996</c:v>
                </c:pt>
                <c:pt idx="839">
                  <c:v>14.08</c:v>
                </c:pt>
                <c:pt idx="840">
                  <c:v>8.56</c:v>
                </c:pt>
                <c:pt idx="841">
                  <c:v>13.48</c:v>
                </c:pt>
                <c:pt idx="842">
                  <c:v>12.2</c:v>
                </c:pt>
                <c:pt idx="843">
                  <c:v>9.7100000000000009</c:v>
                </c:pt>
                <c:pt idx="844">
                  <c:v>12.87</c:v>
                </c:pt>
                <c:pt idx="845">
                  <c:v>13.43</c:v>
                </c:pt>
                <c:pt idx="846">
                  <c:v>21.34</c:v>
                </c:pt>
                <c:pt idx="847">
                  <c:v>17.649999999999999</c:v>
                </c:pt>
                <c:pt idx="848">
                  <c:v>12.53</c:v>
                </c:pt>
                <c:pt idx="849">
                  <c:v>22.92</c:v>
                </c:pt>
                <c:pt idx="850">
                  <c:v>19.63</c:v>
                </c:pt>
                <c:pt idx="851">
                  <c:v>4.67</c:v>
                </c:pt>
                <c:pt idx="852">
                  <c:v>6.38</c:v>
                </c:pt>
                <c:pt idx="853">
                  <c:v>4.8</c:v>
                </c:pt>
                <c:pt idx="854">
                  <c:v>10.01</c:v>
                </c:pt>
                <c:pt idx="855">
                  <c:v>12.58</c:v>
                </c:pt>
                <c:pt idx="856">
                  <c:v>14.09</c:v>
                </c:pt>
                <c:pt idx="857">
                  <c:v>21.73</c:v>
                </c:pt>
                <c:pt idx="858">
                  <c:v>3.4</c:v>
                </c:pt>
                <c:pt idx="859">
                  <c:v>12.42</c:v>
                </c:pt>
                <c:pt idx="860">
                  <c:v>12.04</c:v>
                </c:pt>
                <c:pt idx="861">
                  <c:v>23.84</c:v>
                </c:pt>
                <c:pt idx="862">
                  <c:v>8.3000000000000007</c:v>
                </c:pt>
                <c:pt idx="863">
                  <c:v>5.69</c:v>
                </c:pt>
                <c:pt idx="864">
                  <c:v>6.13</c:v>
                </c:pt>
                <c:pt idx="865">
                  <c:v>14.44</c:v>
                </c:pt>
                <c:pt idx="866">
                  <c:v>11.6</c:v>
                </c:pt>
                <c:pt idx="867">
                  <c:v>19.59</c:v>
                </c:pt>
                <c:pt idx="868">
                  <c:v>10.11</c:v>
                </c:pt>
                <c:pt idx="869">
                  <c:v>5.82</c:v>
                </c:pt>
                <c:pt idx="870">
                  <c:v>11.51</c:v>
                </c:pt>
                <c:pt idx="871">
                  <c:v>22.43</c:v>
                </c:pt>
                <c:pt idx="872">
                  <c:v>11.92</c:v>
                </c:pt>
                <c:pt idx="873">
                  <c:v>21.34</c:v>
                </c:pt>
                <c:pt idx="874">
                  <c:v>11.17</c:v>
                </c:pt>
                <c:pt idx="875">
                  <c:v>9.19</c:v>
                </c:pt>
                <c:pt idx="876">
                  <c:v>20.05</c:v>
                </c:pt>
                <c:pt idx="877">
                  <c:v>7.6</c:v>
                </c:pt>
                <c:pt idx="878">
                  <c:v>8.1</c:v>
                </c:pt>
                <c:pt idx="879">
                  <c:v>4.0999999999999996</c:v>
                </c:pt>
                <c:pt idx="880">
                  <c:v>7.13</c:v>
                </c:pt>
                <c:pt idx="881">
                  <c:v>11.33</c:v>
                </c:pt>
                <c:pt idx="882">
                  <c:v>11.79</c:v>
                </c:pt>
                <c:pt idx="883">
                  <c:v>12.25</c:v>
                </c:pt>
                <c:pt idx="884">
                  <c:v>13.55</c:v>
                </c:pt>
                <c:pt idx="885">
                  <c:v>15.58</c:v>
                </c:pt>
                <c:pt idx="886">
                  <c:v>7.17</c:v>
                </c:pt>
                <c:pt idx="887">
                  <c:v>16.510000000000002</c:v>
                </c:pt>
                <c:pt idx="888">
                  <c:v>10.4</c:v>
                </c:pt>
                <c:pt idx="889">
                  <c:v>19.149999999999999</c:v>
                </c:pt>
                <c:pt idx="890">
                  <c:v>15.26</c:v>
                </c:pt>
                <c:pt idx="891">
                  <c:v>15.19</c:v>
                </c:pt>
                <c:pt idx="892">
                  <c:v>18.079999999999998</c:v>
                </c:pt>
                <c:pt idx="893">
                  <c:v>10.33</c:v>
                </c:pt>
                <c:pt idx="894">
                  <c:v>12.44</c:v>
                </c:pt>
                <c:pt idx="895">
                  <c:v>15.82</c:v>
                </c:pt>
                <c:pt idx="896">
                  <c:v>12.27</c:v>
                </c:pt>
                <c:pt idx="897">
                  <c:v>12.77</c:v>
                </c:pt>
                <c:pt idx="898">
                  <c:v>8.99</c:v>
                </c:pt>
                <c:pt idx="899">
                  <c:v>9.32</c:v>
                </c:pt>
                <c:pt idx="900">
                  <c:v>18.38</c:v>
                </c:pt>
                <c:pt idx="901">
                  <c:v>3.09</c:v>
                </c:pt>
                <c:pt idx="902">
                  <c:v>5.0999999999999996</c:v>
                </c:pt>
                <c:pt idx="903">
                  <c:v>23.87</c:v>
                </c:pt>
                <c:pt idx="904">
                  <c:v>7.11</c:v>
                </c:pt>
                <c:pt idx="905">
                  <c:v>12.2</c:v>
                </c:pt>
                <c:pt idx="906">
                  <c:v>21.69</c:v>
                </c:pt>
                <c:pt idx="907">
                  <c:v>3</c:v>
                </c:pt>
                <c:pt idx="908">
                  <c:v>23.35</c:v>
                </c:pt>
                <c:pt idx="909">
                  <c:v>4.18</c:v>
                </c:pt>
                <c:pt idx="910">
                  <c:v>6.76</c:v>
                </c:pt>
                <c:pt idx="911">
                  <c:v>3.64</c:v>
                </c:pt>
                <c:pt idx="912">
                  <c:v>14.43</c:v>
                </c:pt>
                <c:pt idx="913">
                  <c:v>23.75</c:v>
                </c:pt>
                <c:pt idx="914">
                  <c:v>21.46</c:v>
                </c:pt>
                <c:pt idx="915">
                  <c:v>17.07</c:v>
                </c:pt>
                <c:pt idx="916">
                  <c:v>7.08</c:v>
                </c:pt>
                <c:pt idx="917">
                  <c:v>22.13</c:v>
                </c:pt>
                <c:pt idx="918">
                  <c:v>19.61</c:v>
                </c:pt>
                <c:pt idx="919">
                  <c:v>8.8699999999999992</c:v>
                </c:pt>
                <c:pt idx="920">
                  <c:v>20.71</c:v>
                </c:pt>
                <c:pt idx="921">
                  <c:v>22.3</c:v>
                </c:pt>
                <c:pt idx="922">
                  <c:v>18.36</c:v>
                </c:pt>
                <c:pt idx="923">
                  <c:v>5.21</c:v>
                </c:pt>
                <c:pt idx="924">
                  <c:v>24.65</c:v>
                </c:pt>
                <c:pt idx="925">
                  <c:v>4.67</c:v>
                </c:pt>
                <c:pt idx="926">
                  <c:v>17.399999999999999</c:v>
                </c:pt>
                <c:pt idx="927">
                  <c:v>5.43</c:v>
                </c:pt>
                <c:pt idx="928">
                  <c:v>22.92</c:v>
                </c:pt>
                <c:pt idx="929">
                  <c:v>10.7</c:v>
                </c:pt>
                <c:pt idx="930">
                  <c:v>14.25</c:v>
                </c:pt>
                <c:pt idx="931">
                  <c:v>6.93</c:v>
                </c:pt>
                <c:pt idx="932">
                  <c:v>15.02</c:v>
                </c:pt>
                <c:pt idx="933">
                  <c:v>23.65</c:v>
                </c:pt>
                <c:pt idx="934">
                  <c:v>22.84</c:v>
                </c:pt>
                <c:pt idx="935">
                  <c:v>4.41</c:v>
                </c:pt>
                <c:pt idx="936">
                  <c:v>11.32</c:v>
                </c:pt>
                <c:pt idx="937">
                  <c:v>8.8800000000000008</c:v>
                </c:pt>
                <c:pt idx="938">
                  <c:v>13.59</c:v>
                </c:pt>
                <c:pt idx="939">
                  <c:v>21.34</c:v>
                </c:pt>
                <c:pt idx="940">
                  <c:v>19.25</c:v>
                </c:pt>
                <c:pt idx="941">
                  <c:v>10.57</c:v>
                </c:pt>
                <c:pt idx="942">
                  <c:v>11.42</c:v>
                </c:pt>
                <c:pt idx="943">
                  <c:v>17.39</c:v>
                </c:pt>
                <c:pt idx="944">
                  <c:v>7.27</c:v>
                </c:pt>
                <c:pt idx="945">
                  <c:v>5.26</c:v>
                </c:pt>
                <c:pt idx="946">
                  <c:v>8.34</c:v>
                </c:pt>
                <c:pt idx="947">
                  <c:v>5.73</c:v>
                </c:pt>
                <c:pt idx="948">
                  <c:v>10.74</c:v>
                </c:pt>
                <c:pt idx="949">
                  <c:v>23.63</c:v>
                </c:pt>
                <c:pt idx="950">
                  <c:v>5.65</c:v>
                </c:pt>
                <c:pt idx="951">
                  <c:v>21</c:v>
                </c:pt>
                <c:pt idx="952">
                  <c:v>14.76</c:v>
                </c:pt>
                <c:pt idx="953">
                  <c:v>16.920000000000002</c:v>
                </c:pt>
                <c:pt idx="954">
                  <c:v>6.74</c:v>
                </c:pt>
                <c:pt idx="955">
                  <c:v>6.33</c:v>
                </c:pt>
                <c:pt idx="956">
                  <c:v>6.58</c:v>
                </c:pt>
                <c:pt idx="957">
                  <c:v>17.68</c:v>
                </c:pt>
                <c:pt idx="958">
                  <c:v>19.45</c:v>
                </c:pt>
                <c:pt idx="959">
                  <c:v>23.25</c:v>
                </c:pt>
                <c:pt idx="960">
                  <c:v>11.76</c:v>
                </c:pt>
                <c:pt idx="961">
                  <c:v>13.16</c:v>
                </c:pt>
                <c:pt idx="962">
                  <c:v>13.33</c:v>
                </c:pt>
                <c:pt idx="963">
                  <c:v>8.94</c:v>
                </c:pt>
                <c:pt idx="964">
                  <c:v>10.220000000000001</c:v>
                </c:pt>
                <c:pt idx="965">
                  <c:v>21.63</c:v>
                </c:pt>
                <c:pt idx="966">
                  <c:v>10.56</c:v>
                </c:pt>
                <c:pt idx="967">
                  <c:v>22.12</c:v>
                </c:pt>
                <c:pt idx="968">
                  <c:v>9.7200000000000006</c:v>
                </c:pt>
                <c:pt idx="969">
                  <c:v>10.48</c:v>
                </c:pt>
                <c:pt idx="970">
                  <c:v>15.33</c:v>
                </c:pt>
                <c:pt idx="971">
                  <c:v>5.27</c:v>
                </c:pt>
                <c:pt idx="972">
                  <c:v>23.29</c:v>
                </c:pt>
                <c:pt idx="973">
                  <c:v>21.05</c:v>
                </c:pt>
                <c:pt idx="974">
                  <c:v>17.75</c:v>
                </c:pt>
                <c:pt idx="975">
                  <c:v>24.74</c:v>
                </c:pt>
                <c:pt idx="976">
                  <c:v>3.35</c:v>
                </c:pt>
                <c:pt idx="977">
                  <c:v>12.04</c:v>
                </c:pt>
                <c:pt idx="978">
                  <c:v>21.88</c:v>
                </c:pt>
                <c:pt idx="979">
                  <c:v>12.53</c:v>
                </c:pt>
                <c:pt idx="980">
                  <c:v>3.12</c:v>
                </c:pt>
                <c:pt idx="981">
                  <c:v>6.47</c:v>
                </c:pt>
                <c:pt idx="982">
                  <c:v>12.55</c:v>
                </c:pt>
                <c:pt idx="983">
                  <c:v>17.690000000000001</c:v>
                </c:pt>
                <c:pt idx="984">
                  <c:v>6.58</c:v>
                </c:pt>
                <c:pt idx="985">
                  <c:v>12.86</c:v>
                </c:pt>
                <c:pt idx="986">
                  <c:v>3.28</c:v>
                </c:pt>
                <c:pt idx="987">
                  <c:v>13.51</c:v>
                </c:pt>
                <c:pt idx="988">
                  <c:v>22.71</c:v>
                </c:pt>
                <c:pt idx="989">
                  <c:v>16.13</c:v>
                </c:pt>
                <c:pt idx="990">
                  <c:v>12.69</c:v>
                </c:pt>
                <c:pt idx="991">
                  <c:v>6.57</c:v>
                </c:pt>
                <c:pt idx="992">
                  <c:v>7.45</c:v>
                </c:pt>
                <c:pt idx="993">
                  <c:v>4.68</c:v>
                </c:pt>
                <c:pt idx="994">
                  <c:v>19.329999999999998</c:v>
                </c:pt>
                <c:pt idx="995">
                  <c:v>4.7</c:v>
                </c:pt>
                <c:pt idx="996">
                  <c:v>11.45</c:v>
                </c:pt>
                <c:pt idx="997">
                  <c:v>19.5</c:v>
                </c:pt>
                <c:pt idx="998">
                  <c:v>18.68</c:v>
                </c:pt>
                <c:pt idx="999">
                  <c:v>15.71</c:v>
                </c:pt>
                <c:pt idx="1000">
                  <c:v>15.57</c:v>
                </c:pt>
                <c:pt idx="1001">
                  <c:v>4.99</c:v>
                </c:pt>
                <c:pt idx="1002">
                  <c:v>6.85</c:v>
                </c:pt>
                <c:pt idx="1003">
                  <c:v>14.76</c:v>
                </c:pt>
                <c:pt idx="1004">
                  <c:v>10.66</c:v>
                </c:pt>
                <c:pt idx="1005">
                  <c:v>3.42</c:v>
                </c:pt>
                <c:pt idx="1006">
                  <c:v>20.56</c:v>
                </c:pt>
                <c:pt idx="1007">
                  <c:v>17.38</c:v>
                </c:pt>
                <c:pt idx="1008">
                  <c:v>10.17</c:v>
                </c:pt>
                <c:pt idx="1009">
                  <c:v>5.16</c:v>
                </c:pt>
                <c:pt idx="1010">
                  <c:v>16.010000000000002</c:v>
                </c:pt>
                <c:pt idx="1011">
                  <c:v>10.67</c:v>
                </c:pt>
                <c:pt idx="1012">
                  <c:v>8.6199999999999992</c:v>
                </c:pt>
                <c:pt idx="1013">
                  <c:v>18.87</c:v>
                </c:pt>
                <c:pt idx="1014">
                  <c:v>10.220000000000001</c:v>
                </c:pt>
                <c:pt idx="1015">
                  <c:v>5.99</c:v>
                </c:pt>
                <c:pt idx="1016">
                  <c:v>13.6</c:v>
                </c:pt>
                <c:pt idx="1017">
                  <c:v>21.23</c:v>
                </c:pt>
                <c:pt idx="1018">
                  <c:v>21.69</c:v>
                </c:pt>
                <c:pt idx="1019">
                  <c:v>21.69</c:v>
                </c:pt>
                <c:pt idx="1020">
                  <c:v>12.26</c:v>
                </c:pt>
                <c:pt idx="1021">
                  <c:v>20.399999999999999</c:v>
                </c:pt>
                <c:pt idx="1022">
                  <c:v>21.71</c:v>
                </c:pt>
                <c:pt idx="1023">
                  <c:v>13.11</c:v>
                </c:pt>
                <c:pt idx="1024">
                  <c:v>10.01</c:v>
                </c:pt>
                <c:pt idx="1025">
                  <c:v>18.440000000000001</c:v>
                </c:pt>
                <c:pt idx="1026">
                  <c:v>22.9</c:v>
                </c:pt>
                <c:pt idx="1027">
                  <c:v>24.39</c:v>
                </c:pt>
                <c:pt idx="1028">
                  <c:v>9.3800000000000008</c:v>
                </c:pt>
                <c:pt idx="1029">
                  <c:v>24.04</c:v>
                </c:pt>
                <c:pt idx="1030">
                  <c:v>13.98</c:v>
                </c:pt>
                <c:pt idx="1031">
                  <c:v>9.73</c:v>
                </c:pt>
                <c:pt idx="1032">
                  <c:v>24.74</c:v>
                </c:pt>
                <c:pt idx="1033">
                  <c:v>22.31</c:v>
                </c:pt>
                <c:pt idx="1034">
                  <c:v>18.23</c:v>
                </c:pt>
                <c:pt idx="1035">
                  <c:v>22.69</c:v>
                </c:pt>
                <c:pt idx="1036">
                  <c:v>17.989999999999998</c:v>
                </c:pt>
                <c:pt idx="1037">
                  <c:v>12.69</c:v>
                </c:pt>
                <c:pt idx="1038">
                  <c:v>23.86</c:v>
                </c:pt>
                <c:pt idx="1039">
                  <c:v>24.19</c:v>
                </c:pt>
                <c:pt idx="1040">
                  <c:v>9.91</c:v>
                </c:pt>
                <c:pt idx="1041">
                  <c:v>10.8</c:v>
                </c:pt>
                <c:pt idx="1042">
                  <c:v>11.42</c:v>
                </c:pt>
                <c:pt idx="1043">
                  <c:v>21.09</c:v>
                </c:pt>
                <c:pt idx="1044">
                  <c:v>20.41</c:v>
                </c:pt>
                <c:pt idx="1045">
                  <c:v>24.63</c:v>
                </c:pt>
                <c:pt idx="1046">
                  <c:v>13.23</c:v>
                </c:pt>
                <c:pt idx="1047">
                  <c:v>19.21</c:v>
                </c:pt>
                <c:pt idx="1048">
                  <c:v>21.85</c:v>
                </c:pt>
                <c:pt idx="1049">
                  <c:v>7.87</c:v>
                </c:pt>
                <c:pt idx="1050">
                  <c:v>16.649999999999999</c:v>
                </c:pt>
                <c:pt idx="1051">
                  <c:v>15.05</c:v>
                </c:pt>
                <c:pt idx="1052">
                  <c:v>19.34</c:v>
                </c:pt>
                <c:pt idx="1053">
                  <c:v>18.3</c:v>
                </c:pt>
                <c:pt idx="1054">
                  <c:v>20.88</c:v>
                </c:pt>
                <c:pt idx="1055">
                  <c:v>9.85</c:v>
                </c:pt>
                <c:pt idx="1056">
                  <c:v>7.76</c:v>
                </c:pt>
                <c:pt idx="1057">
                  <c:v>20.71</c:v>
                </c:pt>
                <c:pt idx="1058">
                  <c:v>10.93</c:v>
                </c:pt>
                <c:pt idx="1059">
                  <c:v>9.33</c:v>
                </c:pt>
                <c:pt idx="1060">
                  <c:v>10.41</c:v>
                </c:pt>
                <c:pt idx="1061">
                  <c:v>4.46</c:v>
                </c:pt>
                <c:pt idx="1062">
                  <c:v>20.010000000000002</c:v>
                </c:pt>
                <c:pt idx="1063">
                  <c:v>18.73</c:v>
                </c:pt>
                <c:pt idx="1064">
                  <c:v>15.16</c:v>
                </c:pt>
                <c:pt idx="1065">
                  <c:v>18.75</c:v>
                </c:pt>
                <c:pt idx="1066">
                  <c:v>11.21</c:v>
                </c:pt>
                <c:pt idx="1067">
                  <c:v>9.5</c:v>
                </c:pt>
                <c:pt idx="1068">
                  <c:v>21.97</c:v>
                </c:pt>
                <c:pt idx="1069">
                  <c:v>12.29</c:v>
                </c:pt>
                <c:pt idx="1070">
                  <c:v>7.31</c:v>
                </c:pt>
                <c:pt idx="1071">
                  <c:v>19.48</c:v>
                </c:pt>
                <c:pt idx="1072">
                  <c:v>10.39</c:v>
                </c:pt>
                <c:pt idx="1073">
                  <c:v>7.66</c:v>
                </c:pt>
                <c:pt idx="1074">
                  <c:v>3.6</c:v>
                </c:pt>
                <c:pt idx="1075">
                  <c:v>24.35</c:v>
                </c:pt>
                <c:pt idx="1076">
                  <c:v>13.28</c:v>
                </c:pt>
                <c:pt idx="1077">
                  <c:v>6.56</c:v>
                </c:pt>
                <c:pt idx="1078">
                  <c:v>19.670000000000002</c:v>
                </c:pt>
                <c:pt idx="1079">
                  <c:v>22.53</c:v>
                </c:pt>
                <c:pt idx="1080">
                  <c:v>14.62</c:v>
                </c:pt>
                <c:pt idx="1081">
                  <c:v>3.62</c:v>
                </c:pt>
                <c:pt idx="1082">
                  <c:v>11.03</c:v>
                </c:pt>
                <c:pt idx="1083">
                  <c:v>8.35</c:v>
                </c:pt>
                <c:pt idx="1084">
                  <c:v>17</c:v>
                </c:pt>
                <c:pt idx="1085">
                  <c:v>14.41</c:v>
                </c:pt>
                <c:pt idx="1086">
                  <c:v>10.83</c:v>
                </c:pt>
                <c:pt idx="1087">
                  <c:v>17.27</c:v>
                </c:pt>
                <c:pt idx="1088">
                  <c:v>15.86</c:v>
                </c:pt>
                <c:pt idx="1089">
                  <c:v>22.94</c:v>
                </c:pt>
                <c:pt idx="1090">
                  <c:v>16.13</c:v>
                </c:pt>
                <c:pt idx="1091">
                  <c:v>14.17</c:v>
                </c:pt>
                <c:pt idx="1092">
                  <c:v>21.12</c:v>
                </c:pt>
                <c:pt idx="1093">
                  <c:v>7.45</c:v>
                </c:pt>
                <c:pt idx="1094">
                  <c:v>8.36</c:v>
                </c:pt>
                <c:pt idx="1095">
                  <c:v>20.239999999999998</c:v>
                </c:pt>
                <c:pt idx="1096">
                  <c:v>12.73</c:v>
                </c:pt>
                <c:pt idx="1097">
                  <c:v>12</c:v>
                </c:pt>
                <c:pt idx="1098">
                  <c:v>22.52</c:v>
                </c:pt>
                <c:pt idx="1099">
                  <c:v>16.420000000000002</c:v>
                </c:pt>
                <c:pt idx="1100">
                  <c:v>20.66</c:v>
                </c:pt>
                <c:pt idx="1101">
                  <c:v>20.82</c:v>
                </c:pt>
                <c:pt idx="1102">
                  <c:v>5.64</c:v>
                </c:pt>
                <c:pt idx="1103">
                  <c:v>17.38</c:v>
                </c:pt>
                <c:pt idx="1104">
                  <c:v>23.96</c:v>
                </c:pt>
                <c:pt idx="1105">
                  <c:v>13.56</c:v>
                </c:pt>
                <c:pt idx="1106">
                  <c:v>19.11</c:v>
                </c:pt>
                <c:pt idx="1107">
                  <c:v>15.47</c:v>
                </c:pt>
                <c:pt idx="1108">
                  <c:v>7.51</c:v>
                </c:pt>
                <c:pt idx="1109">
                  <c:v>7.29</c:v>
                </c:pt>
                <c:pt idx="1110">
                  <c:v>12.54</c:v>
                </c:pt>
                <c:pt idx="1111">
                  <c:v>13.63</c:v>
                </c:pt>
                <c:pt idx="1112">
                  <c:v>14.07</c:v>
                </c:pt>
                <c:pt idx="1113">
                  <c:v>24.01</c:v>
                </c:pt>
                <c:pt idx="1114">
                  <c:v>5.21</c:v>
                </c:pt>
                <c:pt idx="1115">
                  <c:v>11.37</c:v>
                </c:pt>
                <c:pt idx="1116">
                  <c:v>14.32</c:v>
                </c:pt>
                <c:pt idx="1117">
                  <c:v>24.19</c:v>
                </c:pt>
                <c:pt idx="1118">
                  <c:v>14.09</c:v>
                </c:pt>
                <c:pt idx="1119">
                  <c:v>20.059999999999999</c:v>
                </c:pt>
                <c:pt idx="1120">
                  <c:v>19.48</c:v>
                </c:pt>
                <c:pt idx="1121">
                  <c:v>15.46</c:v>
                </c:pt>
                <c:pt idx="1122">
                  <c:v>5.88</c:v>
                </c:pt>
                <c:pt idx="1123">
                  <c:v>7.81</c:v>
                </c:pt>
                <c:pt idx="1124">
                  <c:v>8.2799999999999994</c:v>
                </c:pt>
                <c:pt idx="1125">
                  <c:v>3.85</c:v>
                </c:pt>
                <c:pt idx="1126">
                  <c:v>11.34</c:v>
                </c:pt>
                <c:pt idx="1127">
                  <c:v>16.43</c:v>
                </c:pt>
                <c:pt idx="1128">
                  <c:v>6.17</c:v>
                </c:pt>
                <c:pt idx="1129">
                  <c:v>6.85</c:v>
                </c:pt>
                <c:pt idx="1130">
                  <c:v>18.55</c:v>
                </c:pt>
                <c:pt idx="1131">
                  <c:v>6.72</c:v>
                </c:pt>
                <c:pt idx="1132">
                  <c:v>5.98</c:v>
                </c:pt>
                <c:pt idx="1133">
                  <c:v>24.51</c:v>
                </c:pt>
                <c:pt idx="1134">
                  <c:v>3.32</c:v>
                </c:pt>
                <c:pt idx="1135">
                  <c:v>10.16</c:v>
                </c:pt>
                <c:pt idx="1136">
                  <c:v>3.77</c:v>
                </c:pt>
                <c:pt idx="1137">
                  <c:v>21.44</c:v>
                </c:pt>
                <c:pt idx="1138">
                  <c:v>15.84</c:v>
                </c:pt>
                <c:pt idx="1139">
                  <c:v>4.05</c:v>
                </c:pt>
                <c:pt idx="1140">
                  <c:v>16.54</c:v>
                </c:pt>
                <c:pt idx="1141">
                  <c:v>5.71</c:v>
                </c:pt>
                <c:pt idx="1142">
                  <c:v>13.91</c:v>
                </c:pt>
                <c:pt idx="1143">
                  <c:v>17.73</c:v>
                </c:pt>
                <c:pt idx="1144">
                  <c:v>6.27</c:v>
                </c:pt>
                <c:pt idx="1145">
                  <c:v>13.94</c:v>
                </c:pt>
                <c:pt idx="1146">
                  <c:v>13.06</c:v>
                </c:pt>
                <c:pt idx="1147">
                  <c:v>23.15</c:v>
                </c:pt>
                <c:pt idx="1148">
                  <c:v>24.91</c:v>
                </c:pt>
                <c:pt idx="1149">
                  <c:v>17.399999999999999</c:v>
                </c:pt>
                <c:pt idx="1150">
                  <c:v>21.81</c:v>
                </c:pt>
                <c:pt idx="1151">
                  <c:v>17.23</c:v>
                </c:pt>
                <c:pt idx="1152">
                  <c:v>22.28</c:v>
                </c:pt>
                <c:pt idx="1153">
                  <c:v>12.53</c:v>
                </c:pt>
                <c:pt idx="1154">
                  <c:v>16.38</c:v>
                </c:pt>
                <c:pt idx="1155">
                  <c:v>21.59</c:v>
                </c:pt>
                <c:pt idx="1156">
                  <c:v>23.2</c:v>
                </c:pt>
                <c:pt idx="1157">
                  <c:v>3.54</c:v>
                </c:pt>
                <c:pt idx="1158">
                  <c:v>5.29</c:v>
                </c:pt>
                <c:pt idx="1159">
                  <c:v>23.49</c:v>
                </c:pt>
                <c:pt idx="1160">
                  <c:v>15.51</c:v>
                </c:pt>
                <c:pt idx="1161">
                  <c:v>24.78</c:v>
                </c:pt>
                <c:pt idx="1162">
                  <c:v>20.440000000000001</c:v>
                </c:pt>
                <c:pt idx="1163">
                  <c:v>21</c:v>
                </c:pt>
                <c:pt idx="1164">
                  <c:v>11.49</c:v>
                </c:pt>
                <c:pt idx="1165">
                  <c:v>8.67</c:v>
                </c:pt>
                <c:pt idx="1166">
                  <c:v>16.16</c:v>
                </c:pt>
                <c:pt idx="1167">
                  <c:v>22.34</c:v>
                </c:pt>
                <c:pt idx="1168">
                  <c:v>18.97</c:v>
                </c:pt>
                <c:pt idx="1169">
                  <c:v>13.39</c:v>
                </c:pt>
                <c:pt idx="1170">
                  <c:v>19.57</c:v>
                </c:pt>
                <c:pt idx="1171">
                  <c:v>18.190000000000001</c:v>
                </c:pt>
                <c:pt idx="1172">
                  <c:v>23.09</c:v>
                </c:pt>
                <c:pt idx="1173">
                  <c:v>8.8000000000000007</c:v>
                </c:pt>
                <c:pt idx="1174">
                  <c:v>5.62</c:v>
                </c:pt>
                <c:pt idx="1175">
                  <c:v>13.34</c:v>
                </c:pt>
                <c:pt idx="1176">
                  <c:v>10.94</c:v>
                </c:pt>
                <c:pt idx="1177">
                  <c:v>24.45</c:v>
                </c:pt>
                <c:pt idx="1178">
                  <c:v>3.17</c:v>
                </c:pt>
                <c:pt idx="1179">
                  <c:v>23.53</c:v>
                </c:pt>
                <c:pt idx="1180">
                  <c:v>24.01</c:v>
                </c:pt>
                <c:pt idx="1181">
                  <c:v>4.12</c:v>
                </c:pt>
                <c:pt idx="1182">
                  <c:v>22.57</c:v>
                </c:pt>
                <c:pt idx="1183">
                  <c:v>13.36</c:v>
                </c:pt>
                <c:pt idx="1184">
                  <c:v>19.86</c:v>
                </c:pt>
                <c:pt idx="1185">
                  <c:v>4.74</c:v>
                </c:pt>
                <c:pt idx="1186">
                  <c:v>24.01</c:v>
                </c:pt>
                <c:pt idx="1187">
                  <c:v>16.37</c:v>
                </c:pt>
                <c:pt idx="1188">
                  <c:v>22.77</c:v>
                </c:pt>
                <c:pt idx="1189">
                  <c:v>17.809999999999999</c:v>
                </c:pt>
                <c:pt idx="1190">
                  <c:v>14.81</c:v>
                </c:pt>
                <c:pt idx="1191">
                  <c:v>6.79</c:v>
                </c:pt>
                <c:pt idx="1192">
                  <c:v>6.91</c:v>
                </c:pt>
                <c:pt idx="1193">
                  <c:v>13.4</c:v>
                </c:pt>
                <c:pt idx="1194">
                  <c:v>22.15</c:v>
                </c:pt>
                <c:pt idx="1195">
                  <c:v>5.53</c:v>
                </c:pt>
                <c:pt idx="1196">
                  <c:v>24.96</c:v>
                </c:pt>
                <c:pt idx="1197">
                  <c:v>22.27</c:v>
                </c:pt>
                <c:pt idx="1198">
                  <c:v>11.64</c:v>
                </c:pt>
                <c:pt idx="1199">
                  <c:v>8.57</c:v>
                </c:pt>
                <c:pt idx="1200">
                  <c:v>23.28</c:v>
                </c:pt>
                <c:pt idx="1201">
                  <c:v>5.71</c:v>
                </c:pt>
                <c:pt idx="1202">
                  <c:v>10.64</c:v>
                </c:pt>
                <c:pt idx="1203">
                  <c:v>4.8499999999999996</c:v>
                </c:pt>
                <c:pt idx="1204">
                  <c:v>23.98</c:v>
                </c:pt>
                <c:pt idx="1205">
                  <c:v>16.59</c:v>
                </c:pt>
                <c:pt idx="1206">
                  <c:v>10.4</c:v>
                </c:pt>
                <c:pt idx="1207">
                  <c:v>9.06</c:v>
                </c:pt>
                <c:pt idx="1208">
                  <c:v>12.77</c:v>
                </c:pt>
                <c:pt idx="1209">
                  <c:v>5.01</c:v>
                </c:pt>
                <c:pt idx="1210">
                  <c:v>22.57</c:v>
                </c:pt>
                <c:pt idx="1211">
                  <c:v>14.24</c:v>
                </c:pt>
                <c:pt idx="1212">
                  <c:v>18.95</c:v>
                </c:pt>
                <c:pt idx="1213">
                  <c:v>8.14</c:v>
                </c:pt>
                <c:pt idx="1214">
                  <c:v>14.08</c:v>
                </c:pt>
                <c:pt idx="1215">
                  <c:v>7.64</c:v>
                </c:pt>
                <c:pt idx="1216">
                  <c:v>20.95</c:v>
                </c:pt>
                <c:pt idx="1217">
                  <c:v>20.059999999999999</c:v>
                </c:pt>
                <c:pt idx="1218">
                  <c:v>6.26</c:v>
                </c:pt>
                <c:pt idx="1219">
                  <c:v>4.6399999999999997</c:v>
                </c:pt>
                <c:pt idx="1220">
                  <c:v>21.13</c:v>
                </c:pt>
                <c:pt idx="1221">
                  <c:v>5.41</c:v>
                </c:pt>
                <c:pt idx="1222">
                  <c:v>15.07</c:v>
                </c:pt>
                <c:pt idx="1223">
                  <c:v>14.76</c:v>
                </c:pt>
                <c:pt idx="1224">
                  <c:v>7.46</c:v>
                </c:pt>
                <c:pt idx="1225">
                  <c:v>16.010000000000002</c:v>
                </c:pt>
                <c:pt idx="1226">
                  <c:v>14.06</c:v>
                </c:pt>
                <c:pt idx="1227">
                  <c:v>14.2</c:v>
                </c:pt>
                <c:pt idx="1228">
                  <c:v>10.91</c:v>
                </c:pt>
                <c:pt idx="1229">
                  <c:v>21.45</c:v>
                </c:pt>
                <c:pt idx="1230">
                  <c:v>4.8600000000000003</c:v>
                </c:pt>
                <c:pt idx="1231">
                  <c:v>12.65</c:v>
                </c:pt>
                <c:pt idx="1232">
                  <c:v>8.7200000000000006</c:v>
                </c:pt>
                <c:pt idx="1233">
                  <c:v>21.67</c:v>
                </c:pt>
                <c:pt idx="1234">
                  <c:v>7.95</c:v>
                </c:pt>
                <c:pt idx="1235">
                  <c:v>19.87</c:v>
                </c:pt>
                <c:pt idx="1236">
                  <c:v>16.45</c:v>
                </c:pt>
                <c:pt idx="1237">
                  <c:v>22.25</c:v>
                </c:pt>
                <c:pt idx="1238">
                  <c:v>16.059999999999999</c:v>
                </c:pt>
                <c:pt idx="1239">
                  <c:v>15.24</c:v>
                </c:pt>
                <c:pt idx="1240">
                  <c:v>20.62</c:v>
                </c:pt>
                <c:pt idx="1241">
                  <c:v>15.37</c:v>
                </c:pt>
                <c:pt idx="1242">
                  <c:v>21.58</c:v>
                </c:pt>
                <c:pt idx="1243">
                  <c:v>4.08</c:v>
                </c:pt>
                <c:pt idx="1244">
                  <c:v>13.89</c:v>
                </c:pt>
                <c:pt idx="1245">
                  <c:v>20.88</c:v>
                </c:pt>
                <c:pt idx="1246">
                  <c:v>21.66</c:v>
                </c:pt>
                <c:pt idx="1247">
                  <c:v>21.35</c:v>
                </c:pt>
                <c:pt idx="1248">
                  <c:v>16.3</c:v>
                </c:pt>
                <c:pt idx="1249">
                  <c:v>24.87</c:v>
                </c:pt>
                <c:pt idx="1250">
                  <c:v>6.99</c:v>
                </c:pt>
                <c:pt idx="1251">
                  <c:v>6.84</c:v>
                </c:pt>
                <c:pt idx="1252">
                  <c:v>3.72</c:v>
                </c:pt>
                <c:pt idx="1253">
                  <c:v>24.77</c:v>
                </c:pt>
                <c:pt idx="1254">
                  <c:v>10.66</c:v>
                </c:pt>
                <c:pt idx="1255">
                  <c:v>19.77</c:v>
                </c:pt>
                <c:pt idx="1256">
                  <c:v>4.3099999999999996</c:v>
                </c:pt>
                <c:pt idx="1257">
                  <c:v>9.57</c:v>
                </c:pt>
                <c:pt idx="1258">
                  <c:v>16.72</c:v>
                </c:pt>
                <c:pt idx="1259">
                  <c:v>14.55</c:v>
                </c:pt>
                <c:pt idx="1260">
                  <c:v>7.57</c:v>
                </c:pt>
                <c:pt idx="1261">
                  <c:v>13.16</c:v>
                </c:pt>
                <c:pt idx="1262">
                  <c:v>5.39</c:v>
                </c:pt>
                <c:pt idx="1263">
                  <c:v>14.94</c:v>
                </c:pt>
                <c:pt idx="1264">
                  <c:v>5.13</c:v>
                </c:pt>
                <c:pt idx="1265">
                  <c:v>16.989999999999998</c:v>
                </c:pt>
                <c:pt idx="1266">
                  <c:v>6.42</c:v>
                </c:pt>
                <c:pt idx="1267">
                  <c:v>15.04</c:v>
                </c:pt>
                <c:pt idx="1268">
                  <c:v>5.84</c:v>
                </c:pt>
                <c:pt idx="1269">
                  <c:v>11.82</c:v>
                </c:pt>
                <c:pt idx="1270">
                  <c:v>10.74</c:v>
                </c:pt>
                <c:pt idx="1271">
                  <c:v>19.64</c:v>
                </c:pt>
                <c:pt idx="1272">
                  <c:v>17.11</c:v>
                </c:pt>
                <c:pt idx="1273">
                  <c:v>23.62</c:v>
                </c:pt>
                <c:pt idx="1274">
                  <c:v>23.28</c:v>
                </c:pt>
                <c:pt idx="1275">
                  <c:v>18.95</c:v>
                </c:pt>
                <c:pt idx="1276">
                  <c:v>19.95</c:v>
                </c:pt>
                <c:pt idx="1277">
                  <c:v>16.75</c:v>
                </c:pt>
                <c:pt idx="1278">
                  <c:v>18.22</c:v>
                </c:pt>
                <c:pt idx="1279">
                  <c:v>16.579999999999998</c:v>
                </c:pt>
                <c:pt idx="1280">
                  <c:v>9.86</c:v>
                </c:pt>
                <c:pt idx="1281">
                  <c:v>10.72</c:v>
                </c:pt>
                <c:pt idx="1282">
                  <c:v>15.64</c:v>
                </c:pt>
                <c:pt idx="1283">
                  <c:v>18.84</c:v>
                </c:pt>
                <c:pt idx="1284">
                  <c:v>11.93</c:v>
                </c:pt>
                <c:pt idx="1285">
                  <c:v>6.14</c:v>
                </c:pt>
                <c:pt idx="1286">
                  <c:v>13.11</c:v>
                </c:pt>
                <c:pt idx="1287">
                  <c:v>24.19</c:v>
                </c:pt>
                <c:pt idx="1288">
                  <c:v>7.71</c:v>
                </c:pt>
                <c:pt idx="1289">
                  <c:v>17.28</c:v>
                </c:pt>
                <c:pt idx="1290">
                  <c:v>24.62</c:v>
                </c:pt>
                <c:pt idx="1291">
                  <c:v>11.28</c:v>
                </c:pt>
                <c:pt idx="1292">
                  <c:v>22.53</c:v>
                </c:pt>
                <c:pt idx="1293">
                  <c:v>22.01</c:v>
                </c:pt>
                <c:pt idx="1294">
                  <c:v>10.46</c:v>
                </c:pt>
                <c:pt idx="1295">
                  <c:v>5.17</c:v>
                </c:pt>
                <c:pt idx="1296">
                  <c:v>6.93</c:v>
                </c:pt>
                <c:pt idx="1297">
                  <c:v>11.05</c:v>
                </c:pt>
                <c:pt idx="1298">
                  <c:v>24.1</c:v>
                </c:pt>
                <c:pt idx="1299">
                  <c:v>9.0399999999999991</c:v>
                </c:pt>
                <c:pt idx="1300">
                  <c:v>23.39</c:v>
                </c:pt>
                <c:pt idx="1301">
                  <c:v>6.99</c:v>
                </c:pt>
                <c:pt idx="1302">
                  <c:v>24.34</c:v>
                </c:pt>
                <c:pt idx="1303">
                  <c:v>9.4600000000000009</c:v>
                </c:pt>
                <c:pt idx="1304">
                  <c:v>16.93</c:v>
                </c:pt>
                <c:pt idx="1305">
                  <c:v>4.53</c:v>
                </c:pt>
                <c:pt idx="1306">
                  <c:v>9.59</c:v>
                </c:pt>
                <c:pt idx="1307">
                  <c:v>7.64</c:v>
                </c:pt>
                <c:pt idx="1308">
                  <c:v>3.08</c:v>
                </c:pt>
                <c:pt idx="1309">
                  <c:v>6.45</c:v>
                </c:pt>
                <c:pt idx="1310">
                  <c:v>16.05</c:v>
                </c:pt>
                <c:pt idx="1311">
                  <c:v>11.58</c:v>
                </c:pt>
                <c:pt idx="1312">
                  <c:v>18.899999999999999</c:v>
                </c:pt>
                <c:pt idx="1313">
                  <c:v>17.760000000000002</c:v>
                </c:pt>
                <c:pt idx="1314">
                  <c:v>20.58</c:v>
                </c:pt>
                <c:pt idx="1315">
                  <c:v>22.07</c:v>
                </c:pt>
                <c:pt idx="1316">
                  <c:v>21.04</c:v>
                </c:pt>
                <c:pt idx="1317">
                  <c:v>12.86</c:v>
                </c:pt>
                <c:pt idx="1318">
                  <c:v>9.7899999999999991</c:v>
                </c:pt>
                <c:pt idx="1319">
                  <c:v>14.05</c:v>
                </c:pt>
                <c:pt idx="1320">
                  <c:v>14.77</c:v>
                </c:pt>
                <c:pt idx="1321">
                  <c:v>9.89</c:v>
                </c:pt>
                <c:pt idx="1322">
                  <c:v>14.88</c:v>
                </c:pt>
                <c:pt idx="1323">
                  <c:v>5.33</c:v>
                </c:pt>
                <c:pt idx="1324">
                  <c:v>8.08</c:v>
                </c:pt>
                <c:pt idx="1325">
                  <c:v>19.41</c:v>
                </c:pt>
                <c:pt idx="1326">
                  <c:v>7.02</c:v>
                </c:pt>
                <c:pt idx="1327">
                  <c:v>6.06</c:v>
                </c:pt>
                <c:pt idx="1328">
                  <c:v>9.32</c:v>
                </c:pt>
                <c:pt idx="1329">
                  <c:v>11.16</c:v>
                </c:pt>
                <c:pt idx="1330">
                  <c:v>10.23</c:v>
                </c:pt>
                <c:pt idx="1331">
                  <c:v>11.24</c:v>
                </c:pt>
                <c:pt idx="1332">
                  <c:v>6.08</c:v>
                </c:pt>
                <c:pt idx="1333">
                  <c:v>6.64</c:v>
                </c:pt>
                <c:pt idx="1334">
                  <c:v>8.19</c:v>
                </c:pt>
                <c:pt idx="1335">
                  <c:v>11.84</c:v>
                </c:pt>
                <c:pt idx="1336">
                  <c:v>10.39</c:v>
                </c:pt>
                <c:pt idx="1337">
                  <c:v>20.41</c:v>
                </c:pt>
                <c:pt idx="1338">
                  <c:v>14.56</c:v>
                </c:pt>
                <c:pt idx="1339">
                  <c:v>15.67</c:v>
                </c:pt>
                <c:pt idx="1340">
                  <c:v>15.33</c:v>
                </c:pt>
                <c:pt idx="1341">
                  <c:v>11.77</c:v>
                </c:pt>
                <c:pt idx="1342">
                  <c:v>24.57</c:v>
                </c:pt>
                <c:pt idx="1343">
                  <c:v>3.82</c:v>
                </c:pt>
                <c:pt idx="1344">
                  <c:v>7.75</c:v>
                </c:pt>
                <c:pt idx="1345">
                  <c:v>9.26</c:v>
                </c:pt>
                <c:pt idx="1346">
                  <c:v>22.39</c:v>
                </c:pt>
                <c:pt idx="1347">
                  <c:v>23.22</c:v>
                </c:pt>
                <c:pt idx="1348">
                  <c:v>21.61</c:v>
                </c:pt>
                <c:pt idx="1349">
                  <c:v>12.17</c:v>
                </c:pt>
                <c:pt idx="1350">
                  <c:v>23.12</c:v>
                </c:pt>
                <c:pt idx="1351">
                  <c:v>5.17</c:v>
                </c:pt>
                <c:pt idx="1352">
                  <c:v>17.350000000000001</c:v>
                </c:pt>
                <c:pt idx="1353">
                  <c:v>23.62</c:v>
                </c:pt>
                <c:pt idx="1354">
                  <c:v>19.61</c:v>
                </c:pt>
                <c:pt idx="1355">
                  <c:v>9.11</c:v>
                </c:pt>
                <c:pt idx="1356">
                  <c:v>18.79</c:v>
                </c:pt>
                <c:pt idx="1357">
                  <c:v>9.48</c:v>
                </c:pt>
                <c:pt idx="1358">
                  <c:v>5.45</c:v>
                </c:pt>
                <c:pt idx="1359">
                  <c:v>18.78</c:v>
                </c:pt>
                <c:pt idx="1360">
                  <c:v>6.94</c:v>
                </c:pt>
                <c:pt idx="1361">
                  <c:v>5.44</c:v>
                </c:pt>
                <c:pt idx="1362">
                  <c:v>15.14</c:v>
                </c:pt>
                <c:pt idx="1363">
                  <c:v>16.649999999999999</c:v>
                </c:pt>
                <c:pt idx="1364">
                  <c:v>4.12</c:v>
                </c:pt>
                <c:pt idx="1365">
                  <c:v>3.1</c:v>
                </c:pt>
                <c:pt idx="1366">
                  <c:v>22.41</c:v>
                </c:pt>
                <c:pt idx="1367">
                  <c:v>5.54</c:v>
                </c:pt>
                <c:pt idx="1368">
                  <c:v>15.85</c:v>
                </c:pt>
                <c:pt idx="1369">
                  <c:v>23.98</c:v>
                </c:pt>
                <c:pt idx="1370">
                  <c:v>14.26</c:v>
                </c:pt>
                <c:pt idx="1371">
                  <c:v>6.08</c:v>
                </c:pt>
                <c:pt idx="1372">
                  <c:v>11.66</c:v>
                </c:pt>
                <c:pt idx="1373">
                  <c:v>16.73</c:v>
                </c:pt>
                <c:pt idx="1374">
                  <c:v>19.78</c:v>
                </c:pt>
                <c:pt idx="1375">
                  <c:v>16.350000000000001</c:v>
                </c:pt>
                <c:pt idx="1376">
                  <c:v>3.75</c:v>
                </c:pt>
                <c:pt idx="1377">
                  <c:v>6.15</c:v>
                </c:pt>
                <c:pt idx="1378">
                  <c:v>11.18</c:v>
                </c:pt>
                <c:pt idx="1379">
                  <c:v>18.53</c:v>
                </c:pt>
                <c:pt idx="1380">
                  <c:v>15.86</c:v>
                </c:pt>
                <c:pt idx="1381">
                  <c:v>3.98</c:v>
                </c:pt>
                <c:pt idx="1382">
                  <c:v>20.53</c:v>
                </c:pt>
                <c:pt idx="1383">
                  <c:v>16.309999999999999</c:v>
                </c:pt>
                <c:pt idx="1384">
                  <c:v>22.52</c:v>
                </c:pt>
                <c:pt idx="1385">
                  <c:v>12.19</c:v>
                </c:pt>
                <c:pt idx="1386">
                  <c:v>13.78</c:v>
                </c:pt>
                <c:pt idx="1387">
                  <c:v>11.92</c:v>
                </c:pt>
                <c:pt idx="1388">
                  <c:v>18.89</c:v>
                </c:pt>
                <c:pt idx="1389">
                  <c:v>19.55</c:v>
                </c:pt>
                <c:pt idx="1390">
                  <c:v>18.91</c:v>
                </c:pt>
                <c:pt idx="1391">
                  <c:v>9.42</c:v>
                </c:pt>
                <c:pt idx="1392">
                  <c:v>16.989999999999998</c:v>
                </c:pt>
                <c:pt idx="1393">
                  <c:v>10.45</c:v>
                </c:pt>
                <c:pt idx="1394">
                  <c:v>21.35</c:v>
                </c:pt>
                <c:pt idx="1395">
                  <c:v>4.21</c:v>
                </c:pt>
                <c:pt idx="1396">
                  <c:v>3.83</c:v>
                </c:pt>
                <c:pt idx="1397">
                  <c:v>5.24</c:v>
                </c:pt>
                <c:pt idx="1398">
                  <c:v>7.45</c:v>
                </c:pt>
                <c:pt idx="1399">
                  <c:v>3.83</c:v>
                </c:pt>
                <c:pt idx="1400">
                  <c:v>4.58</c:v>
                </c:pt>
                <c:pt idx="1401">
                  <c:v>9.73</c:v>
                </c:pt>
                <c:pt idx="1402">
                  <c:v>5.2</c:v>
                </c:pt>
                <c:pt idx="1403">
                  <c:v>20.65</c:v>
                </c:pt>
                <c:pt idx="1404">
                  <c:v>4.1900000000000004</c:v>
                </c:pt>
                <c:pt idx="1405">
                  <c:v>22.97</c:v>
                </c:pt>
                <c:pt idx="1406">
                  <c:v>22.16</c:v>
                </c:pt>
                <c:pt idx="1407">
                  <c:v>7.58</c:v>
                </c:pt>
                <c:pt idx="1408">
                  <c:v>4.57</c:v>
                </c:pt>
                <c:pt idx="1409">
                  <c:v>5.32</c:v>
                </c:pt>
                <c:pt idx="1410">
                  <c:v>15.3</c:v>
                </c:pt>
                <c:pt idx="1411">
                  <c:v>16.22</c:v>
                </c:pt>
                <c:pt idx="1412">
                  <c:v>9.94</c:v>
                </c:pt>
                <c:pt idx="1413">
                  <c:v>9.5299999999999994</c:v>
                </c:pt>
                <c:pt idx="1414">
                  <c:v>14.69</c:v>
                </c:pt>
                <c:pt idx="1415">
                  <c:v>9.7200000000000006</c:v>
                </c:pt>
                <c:pt idx="1416">
                  <c:v>23.56</c:v>
                </c:pt>
                <c:pt idx="1417">
                  <c:v>11.42</c:v>
                </c:pt>
                <c:pt idx="1418">
                  <c:v>7.84</c:v>
                </c:pt>
                <c:pt idx="1419">
                  <c:v>6.21</c:v>
                </c:pt>
                <c:pt idx="1420">
                  <c:v>16.899999999999999</c:v>
                </c:pt>
                <c:pt idx="1421">
                  <c:v>10.19</c:v>
                </c:pt>
                <c:pt idx="1422">
                  <c:v>7.15</c:v>
                </c:pt>
                <c:pt idx="1423">
                  <c:v>9.07</c:v>
                </c:pt>
                <c:pt idx="1424">
                  <c:v>9.77</c:v>
                </c:pt>
                <c:pt idx="1425">
                  <c:v>16.77</c:v>
                </c:pt>
                <c:pt idx="1426">
                  <c:v>6.84</c:v>
                </c:pt>
                <c:pt idx="1427">
                  <c:v>19.12</c:v>
                </c:pt>
                <c:pt idx="1428">
                  <c:v>9.7100000000000009</c:v>
                </c:pt>
                <c:pt idx="1429">
                  <c:v>13.74</c:v>
                </c:pt>
                <c:pt idx="1430">
                  <c:v>17.41</c:v>
                </c:pt>
                <c:pt idx="1431">
                  <c:v>14.96</c:v>
                </c:pt>
                <c:pt idx="1432">
                  <c:v>17.57</c:v>
                </c:pt>
                <c:pt idx="1433">
                  <c:v>10.1</c:v>
                </c:pt>
                <c:pt idx="1434">
                  <c:v>24.2</c:v>
                </c:pt>
                <c:pt idx="1435">
                  <c:v>13.1</c:v>
                </c:pt>
                <c:pt idx="1436">
                  <c:v>10.08</c:v>
                </c:pt>
                <c:pt idx="1437">
                  <c:v>9.52</c:v>
                </c:pt>
                <c:pt idx="1438">
                  <c:v>3.94</c:v>
                </c:pt>
                <c:pt idx="1439">
                  <c:v>18.07</c:v>
                </c:pt>
                <c:pt idx="1440">
                  <c:v>8.7799999999999994</c:v>
                </c:pt>
                <c:pt idx="1441">
                  <c:v>24.1</c:v>
                </c:pt>
                <c:pt idx="1442">
                  <c:v>7.63</c:v>
                </c:pt>
                <c:pt idx="1443">
                  <c:v>14.65</c:v>
                </c:pt>
                <c:pt idx="1444">
                  <c:v>19.18</c:v>
                </c:pt>
                <c:pt idx="1445">
                  <c:v>22.14</c:v>
                </c:pt>
                <c:pt idx="1446">
                  <c:v>6.44</c:v>
                </c:pt>
                <c:pt idx="1447">
                  <c:v>24.68</c:v>
                </c:pt>
                <c:pt idx="1448">
                  <c:v>22.95</c:v>
                </c:pt>
                <c:pt idx="1449">
                  <c:v>24.18</c:v>
                </c:pt>
                <c:pt idx="1450">
                  <c:v>21.76</c:v>
                </c:pt>
                <c:pt idx="1451">
                  <c:v>22.31</c:v>
                </c:pt>
                <c:pt idx="1452">
                  <c:v>16.170000000000002</c:v>
                </c:pt>
                <c:pt idx="1453">
                  <c:v>21.6</c:v>
                </c:pt>
                <c:pt idx="1454">
                  <c:v>14.75</c:v>
                </c:pt>
                <c:pt idx="1455">
                  <c:v>14.84</c:v>
                </c:pt>
                <c:pt idx="1456">
                  <c:v>15.38</c:v>
                </c:pt>
                <c:pt idx="1457">
                  <c:v>24.92</c:v>
                </c:pt>
                <c:pt idx="1458">
                  <c:v>5.3</c:v>
                </c:pt>
                <c:pt idx="1459">
                  <c:v>20.72</c:v>
                </c:pt>
                <c:pt idx="1460">
                  <c:v>9.01</c:v>
                </c:pt>
                <c:pt idx="1461">
                  <c:v>10.95</c:v>
                </c:pt>
                <c:pt idx="1462">
                  <c:v>4.7699999999999996</c:v>
                </c:pt>
                <c:pt idx="1463">
                  <c:v>10.73</c:v>
                </c:pt>
                <c:pt idx="1464">
                  <c:v>24.8</c:v>
                </c:pt>
                <c:pt idx="1465">
                  <c:v>11.74</c:v>
                </c:pt>
                <c:pt idx="1466">
                  <c:v>17.73</c:v>
                </c:pt>
                <c:pt idx="1467">
                  <c:v>5.66</c:v>
                </c:pt>
                <c:pt idx="1468">
                  <c:v>23.29</c:v>
                </c:pt>
                <c:pt idx="1469">
                  <c:v>21.21</c:v>
                </c:pt>
                <c:pt idx="1470">
                  <c:v>11.5</c:v>
                </c:pt>
                <c:pt idx="1471">
                  <c:v>10.67</c:v>
                </c:pt>
                <c:pt idx="1472">
                  <c:v>12.51</c:v>
                </c:pt>
                <c:pt idx="1473">
                  <c:v>11.83</c:v>
                </c:pt>
                <c:pt idx="1474">
                  <c:v>8.68</c:v>
                </c:pt>
                <c:pt idx="1475">
                  <c:v>24.8</c:v>
                </c:pt>
                <c:pt idx="1476">
                  <c:v>20.83</c:v>
                </c:pt>
                <c:pt idx="1477">
                  <c:v>8.89</c:v>
                </c:pt>
                <c:pt idx="1478">
                  <c:v>24.6</c:v>
                </c:pt>
                <c:pt idx="1479">
                  <c:v>3.34</c:v>
                </c:pt>
                <c:pt idx="1480">
                  <c:v>12.63</c:v>
                </c:pt>
                <c:pt idx="1481">
                  <c:v>15.53</c:v>
                </c:pt>
                <c:pt idx="1482">
                  <c:v>3.83</c:v>
                </c:pt>
                <c:pt idx="1483">
                  <c:v>6.54</c:v>
                </c:pt>
                <c:pt idx="1484">
                  <c:v>8.68</c:v>
                </c:pt>
                <c:pt idx="1485">
                  <c:v>18.84</c:v>
                </c:pt>
                <c:pt idx="1486">
                  <c:v>23.67</c:v>
                </c:pt>
                <c:pt idx="1487">
                  <c:v>16.739999999999998</c:v>
                </c:pt>
                <c:pt idx="1488">
                  <c:v>15.38</c:v>
                </c:pt>
                <c:pt idx="1489">
                  <c:v>14.81</c:v>
                </c:pt>
                <c:pt idx="1490">
                  <c:v>10.72</c:v>
                </c:pt>
                <c:pt idx="1491">
                  <c:v>21.21</c:v>
                </c:pt>
                <c:pt idx="1492">
                  <c:v>14.9</c:v>
                </c:pt>
                <c:pt idx="1493">
                  <c:v>8.06</c:v>
                </c:pt>
                <c:pt idx="1494">
                  <c:v>6.01</c:v>
                </c:pt>
                <c:pt idx="1495">
                  <c:v>24.68</c:v>
                </c:pt>
                <c:pt idx="1496">
                  <c:v>3.38</c:v>
                </c:pt>
                <c:pt idx="1497">
                  <c:v>23.54</c:v>
                </c:pt>
                <c:pt idx="1498">
                  <c:v>7.8</c:v>
                </c:pt>
                <c:pt idx="1499">
                  <c:v>17.47</c:v>
                </c:pt>
                <c:pt idx="1500">
                  <c:v>9.6300000000000008</c:v>
                </c:pt>
                <c:pt idx="1501">
                  <c:v>21.92</c:v>
                </c:pt>
                <c:pt idx="1502">
                  <c:v>14.96</c:v>
                </c:pt>
                <c:pt idx="1503">
                  <c:v>6.1</c:v>
                </c:pt>
                <c:pt idx="1504">
                  <c:v>8.94</c:v>
                </c:pt>
                <c:pt idx="1505">
                  <c:v>10.050000000000001</c:v>
                </c:pt>
                <c:pt idx="1506">
                  <c:v>22.49</c:v>
                </c:pt>
                <c:pt idx="1507">
                  <c:v>19.87</c:v>
                </c:pt>
                <c:pt idx="1508">
                  <c:v>21.25</c:v>
                </c:pt>
                <c:pt idx="1509">
                  <c:v>4.1500000000000004</c:v>
                </c:pt>
                <c:pt idx="1510">
                  <c:v>15.73</c:v>
                </c:pt>
                <c:pt idx="1511">
                  <c:v>24.98</c:v>
                </c:pt>
                <c:pt idx="1512">
                  <c:v>20.27</c:v>
                </c:pt>
                <c:pt idx="1513">
                  <c:v>5.66</c:v>
                </c:pt>
                <c:pt idx="1514">
                  <c:v>17.93</c:v>
                </c:pt>
                <c:pt idx="1515">
                  <c:v>19.399999999999999</c:v>
                </c:pt>
                <c:pt idx="1516">
                  <c:v>14.31</c:v>
                </c:pt>
                <c:pt idx="1517">
                  <c:v>4.7300000000000004</c:v>
                </c:pt>
                <c:pt idx="1518">
                  <c:v>3.76</c:v>
                </c:pt>
                <c:pt idx="1519">
                  <c:v>23.63</c:v>
                </c:pt>
                <c:pt idx="1520">
                  <c:v>8.67</c:v>
                </c:pt>
                <c:pt idx="1521">
                  <c:v>11.34</c:v>
                </c:pt>
                <c:pt idx="1522">
                  <c:v>20.5</c:v>
                </c:pt>
                <c:pt idx="1523">
                  <c:v>18.16</c:v>
                </c:pt>
                <c:pt idx="1524">
                  <c:v>24.31</c:v>
                </c:pt>
                <c:pt idx="1525">
                  <c:v>5.04</c:v>
                </c:pt>
                <c:pt idx="1526">
                  <c:v>18.55</c:v>
                </c:pt>
                <c:pt idx="1527">
                  <c:v>4.8099999999999996</c:v>
                </c:pt>
                <c:pt idx="1528">
                  <c:v>3</c:v>
                </c:pt>
                <c:pt idx="1529">
                  <c:v>5.65</c:v>
                </c:pt>
                <c:pt idx="1530">
                  <c:v>16.57</c:v>
                </c:pt>
                <c:pt idx="1531">
                  <c:v>17.88</c:v>
                </c:pt>
                <c:pt idx="1532">
                  <c:v>12.64</c:v>
                </c:pt>
                <c:pt idx="1533">
                  <c:v>4.01</c:v>
                </c:pt>
                <c:pt idx="1534">
                  <c:v>16.95</c:v>
                </c:pt>
                <c:pt idx="1535">
                  <c:v>4.8899999999999997</c:v>
                </c:pt>
                <c:pt idx="1536">
                  <c:v>6.12</c:v>
                </c:pt>
                <c:pt idx="1537">
                  <c:v>14.28</c:v>
                </c:pt>
                <c:pt idx="1538">
                  <c:v>10.49</c:v>
                </c:pt>
                <c:pt idx="1539">
                  <c:v>13.22</c:v>
                </c:pt>
                <c:pt idx="1540">
                  <c:v>16.97</c:v>
                </c:pt>
                <c:pt idx="1541">
                  <c:v>6.52</c:v>
                </c:pt>
                <c:pt idx="1542">
                  <c:v>22.65</c:v>
                </c:pt>
                <c:pt idx="1543">
                  <c:v>15.31</c:v>
                </c:pt>
                <c:pt idx="1544">
                  <c:v>3.49</c:v>
                </c:pt>
                <c:pt idx="1545">
                  <c:v>16.829999999999998</c:v>
                </c:pt>
                <c:pt idx="1546">
                  <c:v>13.19</c:v>
                </c:pt>
                <c:pt idx="1547">
                  <c:v>18.440000000000001</c:v>
                </c:pt>
                <c:pt idx="1548">
                  <c:v>20.25</c:v>
                </c:pt>
                <c:pt idx="1549">
                  <c:v>23.65</c:v>
                </c:pt>
                <c:pt idx="1550">
                  <c:v>24.96</c:v>
                </c:pt>
                <c:pt idx="1551">
                  <c:v>15.09</c:v>
                </c:pt>
                <c:pt idx="1552">
                  <c:v>15.35</c:v>
                </c:pt>
                <c:pt idx="1553">
                  <c:v>3.49</c:v>
                </c:pt>
                <c:pt idx="1554">
                  <c:v>22.03</c:v>
                </c:pt>
                <c:pt idx="1555">
                  <c:v>3.63</c:v>
                </c:pt>
                <c:pt idx="1556">
                  <c:v>16.920000000000002</c:v>
                </c:pt>
                <c:pt idx="1557">
                  <c:v>5.17</c:v>
                </c:pt>
                <c:pt idx="1558">
                  <c:v>9.2899999999999991</c:v>
                </c:pt>
                <c:pt idx="1559">
                  <c:v>6.09</c:v>
                </c:pt>
                <c:pt idx="1560">
                  <c:v>6.02</c:v>
                </c:pt>
                <c:pt idx="1561">
                  <c:v>4.6399999999999997</c:v>
                </c:pt>
                <c:pt idx="1562">
                  <c:v>9.99</c:v>
                </c:pt>
                <c:pt idx="1563">
                  <c:v>12.32</c:v>
                </c:pt>
                <c:pt idx="1564">
                  <c:v>13.22</c:v>
                </c:pt>
                <c:pt idx="1565">
                  <c:v>12.67</c:v>
                </c:pt>
                <c:pt idx="1566">
                  <c:v>14.52</c:v>
                </c:pt>
                <c:pt idx="1567">
                  <c:v>21.92</c:v>
                </c:pt>
                <c:pt idx="1568">
                  <c:v>16.899999999999999</c:v>
                </c:pt>
                <c:pt idx="1569">
                  <c:v>3.38</c:v>
                </c:pt>
                <c:pt idx="1570">
                  <c:v>6.8</c:v>
                </c:pt>
                <c:pt idx="1571">
                  <c:v>10.68</c:v>
                </c:pt>
                <c:pt idx="1572">
                  <c:v>23.88</c:v>
                </c:pt>
                <c:pt idx="1573">
                  <c:v>4.72</c:v>
                </c:pt>
                <c:pt idx="1574">
                  <c:v>18.62</c:v>
                </c:pt>
                <c:pt idx="1575">
                  <c:v>3.73</c:v>
                </c:pt>
                <c:pt idx="1576">
                  <c:v>10.98</c:v>
                </c:pt>
                <c:pt idx="1577">
                  <c:v>19.940000000000001</c:v>
                </c:pt>
                <c:pt idx="1578">
                  <c:v>10.57</c:v>
                </c:pt>
                <c:pt idx="1579">
                  <c:v>12.47</c:v>
                </c:pt>
                <c:pt idx="1580">
                  <c:v>22.92</c:v>
                </c:pt>
                <c:pt idx="1581">
                  <c:v>4.46</c:v>
                </c:pt>
                <c:pt idx="1582">
                  <c:v>14.61</c:v>
                </c:pt>
                <c:pt idx="1583">
                  <c:v>11.06</c:v>
                </c:pt>
                <c:pt idx="1584">
                  <c:v>24.2</c:v>
                </c:pt>
                <c:pt idx="1585">
                  <c:v>20.46</c:v>
                </c:pt>
                <c:pt idx="1586">
                  <c:v>5.69</c:v>
                </c:pt>
                <c:pt idx="1587">
                  <c:v>23.4</c:v>
                </c:pt>
                <c:pt idx="1588">
                  <c:v>7.65</c:v>
                </c:pt>
                <c:pt idx="1589">
                  <c:v>4.87</c:v>
                </c:pt>
                <c:pt idx="1590">
                  <c:v>14.92</c:v>
                </c:pt>
                <c:pt idx="1591">
                  <c:v>19.21</c:v>
                </c:pt>
                <c:pt idx="1592">
                  <c:v>18.75</c:v>
                </c:pt>
                <c:pt idx="1593">
                  <c:v>14.75</c:v>
                </c:pt>
                <c:pt idx="1594">
                  <c:v>13.84</c:v>
                </c:pt>
                <c:pt idx="1595">
                  <c:v>24.33</c:v>
                </c:pt>
                <c:pt idx="1596">
                  <c:v>21.05</c:v>
                </c:pt>
                <c:pt idx="1597">
                  <c:v>18.37</c:v>
                </c:pt>
                <c:pt idx="1598">
                  <c:v>7.29</c:v>
                </c:pt>
                <c:pt idx="1599">
                  <c:v>21.03</c:v>
                </c:pt>
                <c:pt idx="1600">
                  <c:v>19.5</c:v>
                </c:pt>
                <c:pt idx="1601">
                  <c:v>24.82</c:v>
                </c:pt>
                <c:pt idx="1602">
                  <c:v>5.93</c:v>
                </c:pt>
                <c:pt idx="1603">
                  <c:v>18.739999999999998</c:v>
                </c:pt>
                <c:pt idx="1604">
                  <c:v>24.54</c:v>
                </c:pt>
                <c:pt idx="1605">
                  <c:v>13.18</c:v>
                </c:pt>
                <c:pt idx="1606">
                  <c:v>19.14</c:v>
                </c:pt>
                <c:pt idx="1607">
                  <c:v>24.46</c:v>
                </c:pt>
                <c:pt idx="1608">
                  <c:v>15.04</c:v>
                </c:pt>
                <c:pt idx="1609">
                  <c:v>18.38</c:v>
                </c:pt>
                <c:pt idx="1610">
                  <c:v>3.44</c:v>
                </c:pt>
                <c:pt idx="1611">
                  <c:v>14.43</c:v>
                </c:pt>
                <c:pt idx="1612">
                  <c:v>8.6300000000000008</c:v>
                </c:pt>
                <c:pt idx="1613">
                  <c:v>5.89</c:v>
                </c:pt>
                <c:pt idx="1614">
                  <c:v>18.59</c:v>
                </c:pt>
                <c:pt idx="1615">
                  <c:v>3.86</c:v>
                </c:pt>
                <c:pt idx="1616">
                  <c:v>22.91</c:v>
                </c:pt>
                <c:pt idx="1617">
                  <c:v>14.39</c:v>
                </c:pt>
                <c:pt idx="1618">
                  <c:v>17.260000000000002</c:v>
                </c:pt>
                <c:pt idx="1619">
                  <c:v>8.58</c:v>
                </c:pt>
                <c:pt idx="1620">
                  <c:v>7.01</c:v>
                </c:pt>
                <c:pt idx="1621">
                  <c:v>8.36</c:v>
                </c:pt>
                <c:pt idx="1622">
                  <c:v>8.11</c:v>
                </c:pt>
                <c:pt idx="1623">
                  <c:v>22.02</c:v>
                </c:pt>
                <c:pt idx="1624">
                  <c:v>20.32</c:v>
                </c:pt>
                <c:pt idx="1625">
                  <c:v>21.76</c:v>
                </c:pt>
                <c:pt idx="1626">
                  <c:v>19.170000000000002</c:v>
                </c:pt>
                <c:pt idx="1627">
                  <c:v>17.16</c:v>
                </c:pt>
                <c:pt idx="1628">
                  <c:v>14.61</c:v>
                </c:pt>
                <c:pt idx="1629">
                  <c:v>8.84</c:v>
                </c:pt>
                <c:pt idx="1630">
                  <c:v>18.52</c:v>
                </c:pt>
                <c:pt idx="1631">
                  <c:v>6</c:v>
                </c:pt>
                <c:pt idx="1632">
                  <c:v>14.24</c:v>
                </c:pt>
                <c:pt idx="1633">
                  <c:v>7.3</c:v>
                </c:pt>
                <c:pt idx="1634">
                  <c:v>14.1</c:v>
                </c:pt>
                <c:pt idx="1635">
                  <c:v>9.4700000000000006</c:v>
                </c:pt>
                <c:pt idx="1636">
                  <c:v>4.18</c:v>
                </c:pt>
                <c:pt idx="1637">
                  <c:v>14.08</c:v>
                </c:pt>
                <c:pt idx="1638">
                  <c:v>7</c:v>
                </c:pt>
                <c:pt idx="1639">
                  <c:v>6.55</c:v>
                </c:pt>
                <c:pt idx="1640">
                  <c:v>11.46</c:v>
                </c:pt>
                <c:pt idx="1641">
                  <c:v>10.96</c:v>
                </c:pt>
                <c:pt idx="1642">
                  <c:v>22.07</c:v>
                </c:pt>
                <c:pt idx="1643">
                  <c:v>15.42</c:v>
                </c:pt>
                <c:pt idx="1644">
                  <c:v>21.8</c:v>
                </c:pt>
                <c:pt idx="1645">
                  <c:v>6.23</c:v>
                </c:pt>
                <c:pt idx="1646">
                  <c:v>10.86</c:v>
                </c:pt>
                <c:pt idx="1647">
                  <c:v>15.22</c:v>
                </c:pt>
                <c:pt idx="1648">
                  <c:v>6.37</c:v>
                </c:pt>
                <c:pt idx="1649">
                  <c:v>5.82</c:v>
                </c:pt>
                <c:pt idx="1650">
                  <c:v>17.55</c:v>
                </c:pt>
                <c:pt idx="1651">
                  <c:v>17.38</c:v>
                </c:pt>
                <c:pt idx="1652">
                  <c:v>8.15</c:v>
                </c:pt>
                <c:pt idx="1653">
                  <c:v>8</c:v>
                </c:pt>
                <c:pt idx="1654">
                  <c:v>19.399999999999999</c:v>
                </c:pt>
                <c:pt idx="1655">
                  <c:v>5.57</c:v>
                </c:pt>
                <c:pt idx="1656">
                  <c:v>23.31</c:v>
                </c:pt>
                <c:pt idx="1657">
                  <c:v>23.76</c:v>
                </c:pt>
                <c:pt idx="1658">
                  <c:v>22.16</c:v>
                </c:pt>
                <c:pt idx="1659">
                  <c:v>7.63</c:v>
                </c:pt>
                <c:pt idx="1660">
                  <c:v>3.37</c:v>
                </c:pt>
                <c:pt idx="1661">
                  <c:v>23.61</c:v>
                </c:pt>
                <c:pt idx="1662">
                  <c:v>10.57</c:v>
                </c:pt>
                <c:pt idx="1663">
                  <c:v>9.83</c:v>
                </c:pt>
                <c:pt idx="1664">
                  <c:v>8.76</c:v>
                </c:pt>
                <c:pt idx="1665">
                  <c:v>8.3800000000000008</c:v>
                </c:pt>
                <c:pt idx="1666">
                  <c:v>19.16</c:v>
                </c:pt>
                <c:pt idx="1667">
                  <c:v>22.97</c:v>
                </c:pt>
                <c:pt idx="1668">
                  <c:v>20.29</c:v>
                </c:pt>
                <c:pt idx="1669">
                  <c:v>17.829999999999998</c:v>
                </c:pt>
                <c:pt idx="1670">
                  <c:v>9.33</c:v>
                </c:pt>
                <c:pt idx="1671">
                  <c:v>15.03</c:v>
                </c:pt>
                <c:pt idx="1672">
                  <c:v>8.2100000000000009</c:v>
                </c:pt>
                <c:pt idx="1673">
                  <c:v>5.45</c:v>
                </c:pt>
                <c:pt idx="1674">
                  <c:v>5.65</c:v>
                </c:pt>
                <c:pt idx="1675">
                  <c:v>16.28</c:v>
                </c:pt>
                <c:pt idx="1676">
                  <c:v>3.85</c:v>
                </c:pt>
                <c:pt idx="1677">
                  <c:v>24.41</c:v>
                </c:pt>
                <c:pt idx="1678">
                  <c:v>24.9</c:v>
                </c:pt>
                <c:pt idx="1679">
                  <c:v>6.29</c:v>
                </c:pt>
                <c:pt idx="1680">
                  <c:v>12.4</c:v>
                </c:pt>
                <c:pt idx="1681">
                  <c:v>19.899999999999999</c:v>
                </c:pt>
                <c:pt idx="1682">
                  <c:v>24.01</c:v>
                </c:pt>
                <c:pt idx="1683">
                  <c:v>22.61</c:v>
                </c:pt>
                <c:pt idx="1684">
                  <c:v>8.6</c:v>
                </c:pt>
                <c:pt idx="1685">
                  <c:v>4.87</c:v>
                </c:pt>
                <c:pt idx="1686">
                  <c:v>9.35</c:v>
                </c:pt>
                <c:pt idx="1687">
                  <c:v>12.62</c:v>
                </c:pt>
                <c:pt idx="1688">
                  <c:v>10.92</c:v>
                </c:pt>
                <c:pt idx="1689">
                  <c:v>20.03</c:v>
                </c:pt>
                <c:pt idx="1690">
                  <c:v>8.67</c:v>
                </c:pt>
                <c:pt idx="1691">
                  <c:v>21.89</c:v>
                </c:pt>
                <c:pt idx="1692">
                  <c:v>7.96</c:v>
                </c:pt>
                <c:pt idx="1693">
                  <c:v>10.95</c:v>
                </c:pt>
                <c:pt idx="1694">
                  <c:v>12.85</c:v>
                </c:pt>
                <c:pt idx="1695">
                  <c:v>9.41</c:v>
                </c:pt>
                <c:pt idx="1696">
                  <c:v>19.86</c:v>
                </c:pt>
                <c:pt idx="1697">
                  <c:v>12.01</c:v>
                </c:pt>
                <c:pt idx="1698">
                  <c:v>22.51</c:v>
                </c:pt>
                <c:pt idx="1699">
                  <c:v>24.2</c:v>
                </c:pt>
                <c:pt idx="1700">
                  <c:v>21.92</c:v>
                </c:pt>
                <c:pt idx="1701">
                  <c:v>14.5</c:v>
                </c:pt>
                <c:pt idx="1702">
                  <c:v>14.22</c:v>
                </c:pt>
                <c:pt idx="1703">
                  <c:v>7.75</c:v>
                </c:pt>
                <c:pt idx="1704">
                  <c:v>16.03</c:v>
                </c:pt>
                <c:pt idx="1705">
                  <c:v>23.96</c:v>
                </c:pt>
                <c:pt idx="1706">
                  <c:v>4.7699999999999996</c:v>
                </c:pt>
                <c:pt idx="1707">
                  <c:v>19.55</c:v>
                </c:pt>
                <c:pt idx="1708">
                  <c:v>22.13</c:v>
                </c:pt>
                <c:pt idx="1709">
                  <c:v>24.71</c:v>
                </c:pt>
                <c:pt idx="1710">
                  <c:v>10.36</c:v>
                </c:pt>
                <c:pt idx="1711">
                  <c:v>10.82</c:v>
                </c:pt>
                <c:pt idx="1712">
                  <c:v>8.06</c:v>
                </c:pt>
                <c:pt idx="1713">
                  <c:v>20.36</c:v>
                </c:pt>
                <c:pt idx="1714">
                  <c:v>6.08</c:v>
                </c:pt>
                <c:pt idx="1715">
                  <c:v>8.89</c:v>
                </c:pt>
                <c:pt idx="1716">
                  <c:v>9.5</c:v>
                </c:pt>
                <c:pt idx="1717">
                  <c:v>11.25</c:v>
                </c:pt>
                <c:pt idx="1718">
                  <c:v>12.28</c:v>
                </c:pt>
                <c:pt idx="1719">
                  <c:v>15.3</c:v>
                </c:pt>
                <c:pt idx="1720">
                  <c:v>23.86</c:v>
                </c:pt>
                <c:pt idx="1721">
                  <c:v>8.44</c:v>
                </c:pt>
                <c:pt idx="1722">
                  <c:v>20.14</c:v>
                </c:pt>
                <c:pt idx="1723">
                  <c:v>17.88</c:v>
                </c:pt>
                <c:pt idx="1724">
                  <c:v>5.55</c:v>
                </c:pt>
                <c:pt idx="1725">
                  <c:v>20.83</c:v>
                </c:pt>
                <c:pt idx="1726">
                  <c:v>4.99</c:v>
                </c:pt>
                <c:pt idx="1727">
                  <c:v>19.260000000000002</c:v>
                </c:pt>
                <c:pt idx="1728">
                  <c:v>18.75</c:v>
                </c:pt>
                <c:pt idx="1729">
                  <c:v>18.170000000000002</c:v>
                </c:pt>
                <c:pt idx="1730">
                  <c:v>9.09</c:v>
                </c:pt>
                <c:pt idx="1731">
                  <c:v>15.61</c:v>
                </c:pt>
                <c:pt idx="1732">
                  <c:v>19.75</c:v>
                </c:pt>
                <c:pt idx="1733">
                  <c:v>17.03</c:v>
                </c:pt>
                <c:pt idx="1734">
                  <c:v>20.69</c:v>
                </c:pt>
                <c:pt idx="1735">
                  <c:v>18.13</c:v>
                </c:pt>
                <c:pt idx="1736">
                  <c:v>9.0399999999999991</c:v>
                </c:pt>
                <c:pt idx="1737">
                  <c:v>6.37</c:v>
                </c:pt>
                <c:pt idx="1738">
                  <c:v>16.899999999999999</c:v>
                </c:pt>
                <c:pt idx="1739">
                  <c:v>19.71</c:v>
                </c:pt>
                <c:pt idx="1740">
                  <c:v>6.13</c:v>
                </c:pt>
                <c:pt idx="1741">
                  <c:v>6.85</c:v>
                </c:pt>
                <c:pt idx="1742">
                  <c:v>3.27</c:v>
                </c:pt>
                <c:pt idx="1743">
                  <c:v>14.7</c:v>
                </c:pt>
                <c:pt idx="1744">
                  <c:v>14.93</c:v>
                </c:pt>
                <c:pt idx="1745">
                  <c:v>14</c:v>
                </c:pt>
                <c:pt idx="1746">
                  <c:v>9.9499999999999993</c:v>
                </c:pt>
                <c:pt idx="1747">
                  <c:v>12.41</c:v>
                </c:pt>
                <c:pt idx="1748">
                  <c:v>19.86</c:v>
                </c:pt>
                <c:pt idx="1749">
                  <c:v>7</c:v>
                </c:pt>
                <c:pt idx="1750">
                  <c:v>7.43</c:v>
                </c:pt>
                <c:pt idx="1751">
                  <c:v>17.670000000000002</c:v>
                </c:pt>
                <c:pt idx="1752">
                  <c:v>22.07</c:v>
                </c:pt>
                <c:pt idx="1753">
                  <c:v>10.49</c:v>
                </c:pt>
                <c:pt idx="1754">
                  <c:v>23.52</c:v>
                </c:pt>
                <c:pt idx="1755">
                  <c:v>4.2699999999999996</c:v>
                </c:pt>
                <c:pt idx="1756">
                  <c:v>5.61</c:v>
                </c:pt>
                <c:pt idx="1757">
                  <c:v>13.12</c:v>
                </c:pt>
                <c:pt idx="1758">
                  <c:v>18.920000000000002</c:v>
                </c:pt>
                <c:pt idx="1759">
                  <c:v>11.16</c:v>
                </c:pt>
                <c:pt idx="1760">
                  <c:v>15.2</c:v>
                </c:pt>
                <c:pt idx="1761">
                  <c:v>3.63</c:v>
                </c:pt>
                <c:pt idx="1762">
                  <c:v>13.16</c:v>
                </c:pt>
                <c:pt idx="1763">
                  <c:v>8.34</c:v>
                </c:pt>
                <c:pt idx="1764">
                  <c:v>14.36</c:v>
                </c:pt>
                <c:pt idx="1765">
                  <c:v>14.57</c:v>
                </c:pt>
                <c:pt idx="1766">
                  <c:v>19.57</c:v>
                </c:pt>
                <c:pt idx="1767">
                  <c:v>14.88</c:v>
                </c:pt>
                <c:pt idx="1768">
                  <c:v>16.510000000000002</c:v>
                </c:pt>
                <c:pt idx="1769">
                  <c:v>14.65</c:v>
                </c:pt>
                <c:pt idx="1770">
                  <c:v>24.79</c:v>
                </c:pt>
                <c:pt idx="1771">
                  <c:v>20.420000000000002</c:v>
                </c:pt>
                <c:pt idx="1772">
                  <c:v>19.62</c:v>
                </c:pt>
                <c:pt idx="1773">
                  <c:v>16.8</c:v>
                </c:pt>
                <c:pt idx="1774">
                  <c:v>14.62</c:v>
                </c:pt>
                <c:pt idx="1775">
                  <c:v>10.58</c:v>
                </c:pt>
                <c:pt idx="1776">
                  <c:v>20.25</c:v>
                </c:pt>
                <c:pt idx="1777">
                  <c:v>7.17</c:v>
                </c:pt>
                <c:pt idx="1778">
                  <c:v>3.8</c:v>
                </c:pt>
                <c:pt idx="1779">
                  <c:v>18.36</c:v>
                </c:pt>
                <c:pt idx="1780">
                  <c:v>6.19</c:v>
                </c:pt>
                <c:pt idx="1781">
                  <c:v>22.88</c:v>
                </c:pt>
                <c:pt idx="1782">
                  <c:v>19.95</c:v>
                </c:pt>
                <c:pt idx="1783">
                  <c:v>16.25</c:v>
                </c:pt>
                <c:pt idx="1784">
                  <c:v>9.91</c:v>
                </c:pt>
                <c:pt idx="1785">
                  <c:v>17.03</c:v>
                </c:pt>
                <c:pt idx="1786">
                  <c:v>13.49</c:v>
                </c:pt>
                <c:pt idx="1787">
                  <c:v>9.41</c:v>
                </c:pt>
                <c:pt idx="1788">
                  <c:v>23.79</c:v>
                </c:pt>
                <c:pt idx="1789">
                  <c:v>6.56</c:v>
                </c:pt>
                <c:pt idx="1790">
                  <c:v>19.57</c:v>
                </c:pt>
                <c:pt idx="1791">
                  <c:v>20.6</c:v>
                </c:pt>
                <c:pt idx="1792">
                  <c:v>23.94</c:v>
                </c:pt>
                <c:pt idx="1793">
                  <c:v>15.09</c:v>
                </c:pt>
                <c:pt idx="1794">
                  <c:v>14.77</c:v>
                </c:pt>
                <c:pt idx="1795">
                  <c:v>23.25</c:v>
                </c:pt>
                <c:pt idx="1796">
                  <c:v>20.62</c:v>
                </c:pt>
                <c:pt idx="1797">
                  <c:v>19.8</c:v>
                </c:pt>
                <c:pt idx="1798">
                  <c:v>20.36</c:v>
                </c:pt>
                <c:pt idx="1799">
                  <c:v>13.85</c:v>
                </c:pt>
                <c:pt idx="1800">
                  <c:v>3.91</c:v>
                </c:pt>
                <c:pt idx="1801">
                  <c:v>7.36</c:v>
                </c:pt>
                <c:pt idx="1802">
                  <c:v>17.149999999999999</c:v>
                </c:pt>
                <c:pt idx="1803">
                  <c:v>11.72</c:v>
                </c:pt>
                <c:pt idx="1804">
                  <c:v>16.350000000000001</c:v>
                </c:pt>
                <c:pt idx="1805">
                  <c:v>15.14</c:v>
                </c:pt>
                <c:pt idx="1806">
                  <c:v>12.65</c:v>
                </c:pt>
                <c:pt idx="1807">
                  <c:v>8.16</c:v>
                </c:pt>
                <c:pt idx="1808">
                  <c:v>18.82</c:v>
                </c:pt>
                <c:pt idx="1809">
                  <c:v>23</c:v>
                </c:pt>
                <c:pt idx="1810">
                  <c:v>19.940000000000001</c:v>
                </c:pt>
                <c:pt idx="1811">
                  <c:v>5.64</c:v>
                </c:pt>
                <c:pt idx="1812">
                  <c:v>14.83</c:v>
                </c:pt>
                <c:pt idx="1813">
                  <c:v>21.38</c:v>
                </c:pt>
                <c:pt idx="1814">
                  <c:v>16</c:v>
                </c:pt>
                <c:pt idx="1815">
                  <c:v>12.67</c:v>
                </c:pt>
                <c:pt idx="1816">
                  <c:v>9.26</c:v>
                </c:pt>
                <c:pt idx="1817">
                  <c:v>10.27</c:v>
                </c:pt>
                <c:pt idx="1818">
                  <c:v>8.33</c:v>
                </c:pt>
                <c:pt idx="1819">
                  <c:v>7.31</c:v>
                </c:pt>
                <c:pt idx="1820">
                  <c:v>15.96</c:v>
                </c:pt>
                <c:pt idx="1821">
                  <c:v>14.21</c:v>
                </c:pt>
                <c:pt idx="1822">
                  <c:v>19.170000000000002</c:v>
                </c:pt>
                <c:pt idx="1823">
                  <c:v>9.77</c:v>
                </c:pt>
                <c:pt idx="1824">
                  <c:v>13.14</c:v>
                </c:pt>
                <c:pt idx="1825">
                  <c:v>17.97</c:v>
                </c:pt>
                <c:pt idx="1826">
                  <c:v>24.19</c:v>
                </c:pt>
                <c:pt idx="1827">
                  <c:v>10.68</c:v>
                </c:pt>
                <c:pt idx="1828">
                  <c:v>9.56</c:v>
                </c:pt>
                <c:pt idx="1829">
                  <c:v>12.88</c:v>
                </c:pt>
                <c:pt idx="1830">
                  <c:v>18.93</c:v>
                </c:pt>
                <c:pt idx="1831">
                  <c:v>24.15</c:v>
                </c:pt>
                <c:pt idx="1832">
                  <c:v>14.8</c:v>
                </c:pt>
                <c:pt idx="1833">
                  <c:v>20.87</c:v>
                </c:pt>
                <c:pt idx="1834">
                  <c:v>13.22</c:v>
                </c:pt>
                <c:pt idx="1835">
                  <c:v>3.88</c:v>
                </c:pt>
                <c:pt idx="1836">
                  <c:v>22.67</c:v>
                </c:pt>
                <c:pt idx="1837">
                  <c:v>9.3800000000000008</c:v>
                </c:pt>
                <c:pt idx="1838">
                  <c:v>6.05</c:v>
                </c:pt>
                <c:pt idx="1839">
                  <c:v>24.92</c:v>
                </c:pt>
                <c:pt idx="1840">
                  <c:v>10.64</c:v>
                </c:pt>
                <c:pt idx="1841">
                  <c:v>6</c:v>
                </c:pt>
                <c:pt idx="1842">
                  <c:v>9.85</c:v>
                </c:pt>
                <c:pt idx="1843">
                  <c:v>14.3</c:v>
                </c:pt>
                <c:pt idx="1844">
                  <c:v>4.9400000000000004</c:v>
                </c:pt>
                <c:pt idx="1845">
                  <c:v>10.76</c:v>
                </c:pt>
                <c:pt idx="1846">
                  <c:v>17.71</c:v>
                </c:pt>
                <c:pt idx="1847">
                  <c:v>23.15</c:v>
                </c:pt>
                <c:pt idx="1848">
                  <c:v>11.74</c:v>
                </c:pt>
                <c:pt idx="1849">
                  <c:v>15.42</c:v>
                </c:pt>
                <c:pt idx="1850">
                  <c:v>16.989999999999998</c:v>
                </c:pt>
                <c:pt idx="1851">
                  <c:v>4.5599999999999996</c:v>
                </c:pt>
                <c:pt idx="1852">
                  <c:v>10.53</c:v>
                </c:pt>
                <c:pt idx="1853">
                  <c:v>18.05</c:v>
                </c:pt>
                <c:pt idx="1854">
                  <c:v>19.18</c:v>
                </c:pt>
                <c:pt idx="1855">
                  <c:v>10.83</c:v>
                </c:pt>
                <c:pt idx="1856">
                  <c:v>3.15</c:v>
                </c:pt>
                <c:pt idx="1857">
                  <c:v>3.15</c:v>
                </c:pt>
                <c:pt idx="1858">
                  <c:v>14.84</c:v>
                </c:pt>
                <c:pt idx="1859">
                  <c:v>15.13</c:v>
                </c:pt>
                <c:pt idx="1860">
                  <c:v>15.23</c:v>
                </c:pt>
                <c:pt idx="1861">
                  <c:v>18.88</c:v>
                </c:pt>
                <c:pt idx="1862">
                  <c:v>23.27</c:v>
                </c:pt>
                <c:pt idx="1863">
                  <c:v>24.78</c:v>
                </c:pt>
                <c:pt idx="1864">
                  <c:v>18.420000000000002</c:v>
                </c:pt>
                <c:pt idx="1865">
                  <c:v>14.31</c:v>
                </c:pt>
                <c:pt idx="1866">
                  <c:v>6.1</c:v>
                </c:pt>
                <c:pt idx="1867">
                  <c:v>11.45</c:v>
                </c:pt>
                <c:pt idx="1868">
                  <c:v>15.59</c:v>
                </c:pt>
                <c:pt idx="1869">
                  <c:v>25</c:v>
                </c:pt>
                <c:pt idx="1870">
                  <c:v>5.79</c:v>
                </c:pt>
                <c:pt idx="1871">
                  <c:v>20.45</c:v>
                </c:pt>
                <c:pt idx="1872">
                  <c:v>24.98</c:v>
                </c:pt>
                <c:pt idx="1873">
                  <c:v>20.72</c:v>
                </c:pt>
                <c:pt idx="1874">
                  <c:v>19.88</c:v>
                </c:pt>
                <c:pt idx="1875">
                  <c:v>8.69</c:v>
                </c:pt>
                <c:pt idx="1876">
                  <c:v>3.07</c:v>
                </c:pt>
                <c:pt idx="1877">
                  <c:v>7.97</c:v>
                </c:pt>
                <c:pt idx="1878">
                  <c:v>20.38</c:v>
                </c:pt>
                <c:pt idx="1879">
                  <c:v>5.36</c:v>
                </c:pt>
                <c:pt idx="1880">
                  <c:v>9.51</c:v>
                </c:pt>
                <c:pt idx="1881">
                  <c:v>15.38</c:v>
                </c:pt>
                <c:pt idx="1882">
                  <c:v>15.76</c:v>
                </c:pt>
                <c:pt idx="1883">
                  <c:v>14.95</c:v>
                </c:pt>
                <c:pt idx="1884">
                  <c:v>24.58</c:v>
                </c:pt>
                <c:pt idx="1885">
                  <c:v>3.27</c:v>
                </c:pt>
                <c:pt idx="1886">
                  <c:v>13.73</c:v>
                </c:pt>
                <c:pt idx="1887">
                  <c:v>14.1</c:v>
                </c:pt>
                <c:pt idx="1888">
                  <c:v>9.4499999999999993</c:v>
                </c:pt>
                <c:pt idx="1889">
                  <c:v>14.55</c:v>
                </c:pt>
                <c:pt idx="1890">
                  <c:v>17.809999999999999</c:v>
                </c:pt>
                <c:pt idx="1891">
                  <c:v>17.8</c:v>
                </c:pt>
                <c:pt idx="1892">
                  <c:v>4.93</c:v>
                </c:pt>
                <c:pt idx="1893">
                  <c:v>20.65</c:v>
                </c:pt>
                <c:pt idx="1894">
                  <c:v>23.48</c:v>
                </c:pt>
                <c:pt idx="1895">
                  <c:v>5.72</c:v>
                </c:pt>
                <c:pt idx="1896">
                  <c:v>12.17</c:v>
                </c:pt>
                <c:pt idx="1897">
                  <c:v>14.26</c:v>
                </c:pt>
                <c:pt idx="1898">
                  <c:v>5.97</c:v>
                </c:pt>
                <c:pt idx="1899">
                  <c:v>14.07</c:v>
                </c:pt>
                <c:pt idx="1900">
                  <c:v>7.55</c:v>
                </c:pt>
                <c:pt idx="1901">
                  <c:v>23.58</c:v>
                </c:pt>
                <c:pt idx="1902">
                  <c:v>12.87</c:v>
                </c:pt>
                <c:pt idx="1903">
                  <c:v>24.89</c:v>
                </c:pt>
                <c:pt idx="1904">
                  <c:v>4.0199999999999996</c:v>
                </c:pt>
                <c:pt idx="1905">
                  <c:v>5.81</c:v>
                </c:pt>
                <c:pt idx="1906">
                  <c:v>12.75</c:v>
                </c:pt>
                <c:pt idx="1907">
                  <c:v>22.24</c:v>
                </c:pt>
                <c:pt idx="1908">
                  <c:v>15.21</c:v>
                </c:pt>
                <c:pt idx="1909">
                  <c:v>19.11</c:v>
                </c:pt>
                <c:pt idx="1910">
                  <c:v>12.32</c:v>
                </c:pt>
                <c:pt idx="1911">
                  <c:v>3.89</c:v>
                </c:pt>
                <c:pt idx="1912">
                  <c:v>17.25</c:v>
                </c:pt>
                <c:pt idx="1913">
                  <c:v>16.95</c:v>
                </c:pt>
                <c:pt idx="1914">
                  <c:v>4.57</c:v>
                </c:pt>
                <c:pt idx="1915">
                  <c:v>6.76</c:v>
                </c:pt>
                <c:pt idx="1916">
                  <c:v>13.48</c:v>
                </c:pt>
                <c:pt idx="1917">
                  <c:v>12.83</c:v>
                </c:pt>
                <c:pt idx="1918">
                  <c:v>19.55</c:v>
                </c:pt>
                <c:pt idx="1919">
                  <c:v>11.52</c:v>
                </c:pt>
                <c:pt idx="1920">
                  <c:v>17.59</c:v>
                </c:pt>
                <c:pt idx="1921">
                  <c:v>18.5</c:v>
                </c:pt>
                <c:pt idx="1922">
                  <c:v>17.190000000000001</c:v>
                </c:pt>
                <c:pt idx="1923">
                  <c:v>16.11</c:v>
                </c:pt>
                <c:pt idx="1924">
                  <c:v>20.73</c:v>
                </c:pt>
                <c:pt idx="1925">
                  <c:v>17.46</c:v>
                </c:pt>
                <c:pt idx="1926">
                  <c:v>21.35</c:v>
                </c:pt>
                <c:pt idx="1927">
                  <c:v>17.010000000000002</c:v>
                </c:pt>
                <c:pt idx="1928">
                  <c:v>6.5</c:v>
                </c:pt>
                <c:pt idx="1929">
                  <c:v>9.81</c:v>
                </c:pt>
                <c:pt idx="1930">
                  <c:v>10.27</c:v>
                </c:pt>
                <c:pt idx="1931">
                  <c:v>5.07</c:v>
                </c:pt>
                <c:pt idx="1932">
                  <c:v>18.23</c:v>
                </c:pt>
                <c:pt idx="1933">
                  <c:v>16.09</c:v>
                </c:pt>
                <c:pt idx="1934">
                  <c:v>15.97</c:v>
                </c:pt>
                <c:pt idx="1935">
                  <c:v>13.53</c:v>
                </c:pt>
                <c:pt idx="1936">
                  <c:v>14.95</c:v>
                </c:pt>
                <c:pt idx="1937">
                  <c:v>3.18</c:v>
                </c:pt>
                <c:pt idx="1938">
                  <c:v>5.12</c:v>
                </c:pt>
                <c:pt idx="1939">
                  <c:v>18.03</c:v>
                </c:pt>
                <c:pt idx="1940">
                  <c:v>8.75</c:v>
                </c:pt>
                <c:pt idx="1941">
                  <c:v>5.37</c:v>
                </c:pt>
                <c:pt idx="1942">
                  <c:v>10.23</c:v>
                </c:pt>
                <c:pt idx="1943">
                  <c:v>8.6</c:v>
                </c:pt>
                <c:pt idx="1944">
                  <c:v>3.65</c:v>
                </c:pt>
                <c:pt idx="1945">
                  <c:v>12.03</c:v>
                </c:pt>
                <c:pt idx="1946">
                  <c:v>3.59</c:v>
                </c:pt>
                <c:pt idx="1947">
                  <c:v>3.01</c:v>
                </c:pt>
                <c:pt idx="1948">
                  <c:v>20.43</c:v>
                </c:pt>
                <c:pt idx="1949">
                  <c:v>9.93</c:v>
                </c:pt>
                <c:pt idx="1950">
                  <c:v>15.49</c:v>
                </c:pt>
                <c:pt idx="1951">
                  <c:v>9.5500000000000007</c:v>
                </c:pt>
                <c:pt idx="1952">
                  <c:v>23.46</c:v>
                </c:pt>
                <c:pt idx="1953">
                  <c:v>19.04</c:v>
                </c:pt>
                <c:pt idx="1954">
                  <c:v>11.12</c:v>
                </c:pt>
                <c:pt idx="1955">
                  <c:v>7.63</c:v>
                </c:pt>
                <c:pt idx="1956">
                  <c:v>6.03</c:v>
                </c:pt>
                <c:pt idx="1957">
                  <c:v>19.77</c:v>
                </c:pt>
                <c:pt idx="1958">
                  <c:v>12.97</c:v>
                </c:pt>
                <c:pt idx="1959">
                  <c:v>8.1</c:v>
                </c:pt>
                <c:pt idx="1960">
                  <c:v>23.23</c:v>
                </c:pt>
                <c:pt idx="1961">
                  <c:v>11.58</c:v>
                </c:pt>
                <c:pt idx="1962">
                  <c:v>14.96</c:v>
                </c:pt>
                <c:pt idx="1963">
                  <c:v>21.87</c:v>
                </c:pt>
                <c:pt idx="1964">
                  <c:v>21.33</c:v>
                </c:pt>
                <c:pt idx="1965">
                  <c:v>17.03</c:v>
                </c:pt>
                <c:pt idx="1966">
                  <c:v>22.55</c:v>
                </c:pt>
                <c:pt idx="1967">
                  <c:v>23.95</c:v>
                </c:pt>
                <c:pt idx="1968">
                  <c:v>23.57</c:v>
                </c:pt>
                <c:pt idx="1969">
                  <c:v>10.68</c:v>
                </c:pt>
                <c:pt idx="1970">
                  <c:v>11.74</c:v>
                </c:pt>
                <c:pt idx="1971">
                  <c:v>8.2899999999999991</c:v>
                </c:pt>
                <c:pt idx="1972">
                  <c:v>21.41</c:v>
                </c:pt>
                <c:pt idx="1973">
                  <c:v>5.68</c:v>
                </c:pt>
                <c:pt idx="1974">
                  <c:v>10.81</c:v>
                </c:pt>
                <c:pt idx="1975">
                  <c:v>3.21</c:v>
                </c:pt>
                <c:pt idx="1976">
                  <c:v>16.079999999999998</c:v>
                </c:pt>
                <c:pt idx="1977">
                  <c:v>17.48</c:v>
                </c:pt>
                <c:pt idx="1978">
                  <c:v>8.48</c:v>
                </c:pt>
                <c:pt idx="1979">
                  <c:v>19.21</c:v>
                </c:pt>
                <c:pt idx="1980">
                  <c:v>11.39</c:v>
                </c:pt>
                <c:pt idx="1981">
                  <c:v>9.86</c:v>
                </c:pt>
                <c:pt idx="1982">
                  <c:v>24.04</c:v>
                </c:pt>
                <c:pt idx="1983">
                  <c:v>15.95</c:v>
                </c:pt>
                <c:pt idx="1984">
                  <c:v>8.5500000000000007</c:v>
                </c:pt>
                <c:pt idx="1985">
                  <c:v>24.63</c:v>
                </c:pt>
                <c:pt idx="1986">
                  <c:v>11.53</c:v>
                </c:pt>
                <c:pt idx="1987">
                  <c:v>17.25</c:v>
                </c:pt>
                <c:pt idx="1988">
                  <c:v>18.920000000000002</c:v>
                </c:pt>
                <c:pt idx="1989">
                  <c:v>12.29</c:v>
                </c:pt>
                <c:pt idx="1990">
                  <c:v>14.79</c:v>
                </c:pt>
                <c:pt idx="1991">
                  <c:v>8.2799999999999994</c:v>
                </c:pt>
                <c:pt idx="1992">
                  <c:v>13.25</c:v>
                </c:pt>
                <c:pt idx="1993">
                  <c:v>9.84</c:v>
                </c:pt>
                <c:pt idx="1994">
                  <c:v>15.04</c:v>
                </c:pt>
                <c:pt idx="1995">
                  <c:v>17.739999999999998</c:v>
                </c:pt>
                <c:pt idx="1996">
                  <c:v>16.510000000000002</c:v>
                </c:pt>
                <c:pt idx="1997">
                  <c:v>20.09</c:v>
                </c:pt>
                <c:pt idx="1998">
                  <c:v>3.91</c:v>
                </c:pt>
                <c:pt idx="1999">
                  <c:v>4.7300000000000004</c:v>
                </c:pt>
                <c:pt idx="2000">
                  <c:v>7.52</c:v>
                </c:pt>
                <c:pt idx="2001">
                  <c:v>24.69</c:v>
                </c:pt>
                <c:pt idx="2002">
                  <c:v>20.61</c:v>
                </c:pt>
                <c:pt idx="2003">
                  <c:v>23.33</c:v>
                </c:pt>
                <c:pt idx="2004">
                  <c:v>8.99</c:v>
                </c:pt>
                <c:pt idx="2005">
                  <c:v>15.62</c:v>
                </c:pt>
                <c:pt idx="2006">
                  <c:v>15.21</c:v>
                </c:pt>
                <c:pt idx="2007">
                  <c:v>15.53</c:v>
                </c:pt>
                <c:pt idx="2008">
                  <c:v>18.79</c:v>
                </c:pt>
                <c:pt idx="2009">
                  <c:v>11.67</c:v>
                </c:pt>
                <c:pt idx="2010">
                  <c:v>17.899999999999999</c:v>
                </c:pt>
                <c:pt idx="2011">
                  <c:v>20.350000000000001</c:v>
                </c:pt>
                <c:pt idx="2012">
                  <c:v>9.36</c:v>
                </c:pt>
                <c:pt idx="2013">
                  <c:v>23.81</c:v>
                </c:pt>
                <c:pt idx="2014">
                  <c:v>14.4</c:v>
                </c:pt>
                <c:pt idx="2015">
                  <c:v>19.12</c:v>
                </c:pt>
                <c:pt idx="2016">
                  <c:v>19.04</c:v>
                </c:pt>
                <c:pt idx="2017">
                  <c:v>15.44</c:v>
                </c:pt>
                <c:pt idx="2018">
                  <c:v>10.1</c:v>
                </c:pt>
                <c:pt idx="2019">
                  <c:v>17.670000000000002</c:v>
                </c:pt>
                <c:pt idx="2020">
                  <c:v>4.92</c:v>
                </c:pt>
                <c:pt idx="2021">
                  <c:v>24.59</c:v>
                </c:pt>
                <c:pt idx="2022">
                  <c:v>7.05</c:v>
                </c:pt>
                <c:pt idx="2023">
                  <c:v>9.06</c:v>
                </c:pt>
                <c:pt idx="2024">
                  <c:v>24</c:v>
                </c:pt>
                <c:pt idx="2025">
                  <c:v>7.1</c:v>
                </c:pt>
                <c:pt idx="2026">
                  <c:v>6.74</c:v>
                </c:pt>
                <c:pt idx="2027">
                  <c:v>20.7</c:v>
                </c:pt>
                <c:pt idx="2028">
                  <c:v>8.5299999999999994</c:v>
                </c:pt>
                <c:pt idx="2029">
                  <c:v>5.08</c:v>
                </c:pt>
                <c:pt idx="2030">
                  <c:v>7.99</c:v>
                </c:pt>
                <c:pt idx="2031">
                  <c:v>22.54</c:v>
                </c:pt>
                <c:pt idx="2032">
                  <c:v>9.17</c:v>
                </c:pt>
                <c:pt idx="2033">
                  <c:v>18.29</c:v>
                </c:pt>
                <c:pt idx="2034">
                  <c:v>11.69</c:v>
                </c:pt>
                <c:pt idx="2035">
                  <c:v>8.77</c:v>
                </c:pt>
                <c:pt idx="2036">
                  <c:v>6.17</c:v>
                </c:pt>
                <c:pt idx="2037">
                  <c:v>24.39</c:v>
                </c:pt>
                <c:pt idx="2038">
                  <c:v>14.46</c:v>
                </c:pt>
                <c:pt idx="2039">
                  <c:v>5.52</c:v>
                </c:pt>
                <c:pt idx="2040">
                  <c:v>7.37</c:v>
                </c:pt>
                <c:pt idx="2041">
                  <c:v>11.96</c:v>
                </c:pt>
                <c:pt idx="2042">
                  <c:v>14.97</c:v>
                </c:pt>
                <c:pt idx="2043">
                  <c:v>7</c:v>
                </c:pt>
                <c:pt idx="2044">
                  <c:v>9.11</c:v>
                </c:pt>
                <c:pt idx="2045">
                  <c:v>20.239999999999998</c:v>
                </c:pt>
                <c:pt idx="2046">
                  <c:v>12.18</c:v>
                </c:pt>
                <c:pt idx="2047">
                  <c:v>3.03</c:v>
                </c:pt>
                <c:pt idx="2048">
                  <c:v>4.1900000000000004</c:v>
                </c:pt>
                <c:pt idx="2049">
                  <c:v>12.67</c:v>
                </c:pt>
                <c:pt idx="2050">
                  <c:v>4.32</c:v>
                </c:pt>
                <c:pt idx="2051">
                  <c:v>6.83</c:v>
                </c:pt>
                <c:pt idx="2052">
                  <c:v>19.010000000000002</c:v>
                </c:pt>
                <c:pt idx="2053">
                  <c:v>13.57</c:v>
                </c:pt>
                <c:pt idx="2054">
                  <c:v>13.61</c:v>
                </c:pt>
                <c:pt idx="2055">
                  <c:v>16.16</c:v>
                </c:pt>
                <c:pt idx="2056">
                  <c:v>20.350000000000001</c:v>
                </c:pt>
                <c:pt idx="2057">
                  <c:v>6.49</c:v>
                </c:pt>
                <c:pt idx="2058">
                  <c:v>6.81</c:v>
                </c:pt>
                <c:pt idx="2059">
                  <c:v>5.67</c:v>
                </c:pt>
                <c:pt idx="2060">
                  <c:v>23.61</c:v>
                </c:pt>
                <c:pt idx="2061">
                  <c:v>15.7</c:v>
                </c:pt>
                <c:pt idx="2062">
                  <c:v>5.04</c:v>
                </c:pt>
                <c:pt idx="2063">
                  <c:v>7.85</c:v>
                </c:pt>
                <c:pt idx="2064">
                  <c:v>18.96</c:v>
                </c:pt>
                <c:pt idx="2065">
                  <c:v>3.64</c:v>
                </c:pt>
                <c:pt idx="2066">
                  <c:v>18.96</c:v>
                </c:pt>
                <c:pt idx="2067">
                  <c:v>23.05</c:v>
                </c:pt>
                <c:pt idx="2068">
                  <c:v>4.24</c:v>
                </c:pt>
                <c:pt idx="2069">
                  <c:v>7.1</c:v>
                </c:pt>
                <c:pt idx="2070">
                  <c:v>3.05</c:v>
                </c:pt>
                <c:pt idx="2071">
                  <c:v>5.4</c:v>
                </c:pt>
                <c:pt idx="2072">
                  <c:v>16.57</c:v>
                </c:pt>
                <c:pt idx="2073">
                  <c:v>3.99</c:v>
                </c:pt>
                <c:pt idx="2074">
                  <c:v>12.37</c:v>
                </c:pt>
                <c:pt idx="2075">
                  <c:v>14.07</c:v>
                </c:pt>
                <c:pt idx="2076">
                  <c:v>22.95</c:v>
                </c:pt>
                <c:pt idx="2077">
                  <c:v>13.43</c:v>
                </c:pt>
                <c:pt idx="2078">
                  <c:v>6.14</c:v>
                </c:pt>
                <c:pt idx="2079">
                  <c:v>9.36</c:v>
                </c:pt>
                <c:pt idx="2080">
                  <c:v>17.79</c:v>
                </c:pt>
                <c:pt idx="2081">
                  <c:v>5.47</c:v>
                </c:pt>
                <c:pt idx="2082">
                  <c:v>8.1</c:v>
                </c:pt>
                <c:pt idx="2083">
                  <c:v>24.91</c:v>
                </c:pt>
                <c:pt idx="2084">
                  <c:v>3.12</c:v>
                </c:pt>
                <c:pt idx="2085">
                  <c:v>6.35</c:v>
                </c:pt>
                <c:pt idx="2086">
                  <c:v>21.56</c:v>
                </c:pt>
                <c:pt idx="2087">
                  <c:v>5.23</c:v>
                </c:pt>
                <c:pt idx="2088">
                  <c:v>3.74</c:v>
                </c:pt>
                <c:pt idx="2089">
                  <c:v>5.67</c:v>
                </c:pt>
                <c:pt idx="2090">
                  <c:v>18.260000000000002</c:v>
                </c:pt>
                <c:pt idx="2091">
                  <c:v>24.85</c:v>
                </c:pt>
                <c:pt idx="2092">
                  <c:v>15.99</c:v>
                </c:pt>
                <c:pt idx="2093">
                  <c:v>5.73</c:v>
                </c:pt>
                <c:pt idx="2094">
                  <c:v>7.04</c:v>
                </c:pt>
                <c:pt idx="2095">
                  <c:v>14.83</c:v>
                </c:pt>
                <c:pt idx="2096">
                  <c:v>18.739999999999998</c:v>
                </c:pt>
                <c:pt idx="2097">
                  <c:v>17.579999999999998</c:v>
                </c:pt>
                <c:pt idx="2098">
                  <c:v>15.64</c:v>
                </c:pt>
                <c:pt idx="2099">
                  <c:v>24.7</c:v>
                </c:pt>
                <c:pt idx="2100">
                  <c:v>7.36</c:v>
                </c:pt>
                <c:pt idx="2101">
                  <c:v>6.8</c:v>
                </c:pt>
                <c:pt idx="2102">
                  <c:v>21.9</c:v>
                </c:pt>
                <c:pt idx="2103">
                  <c:v>9.4</c:v>
                </c:pt>
                <c:pt idx="2104">
                  <c:v>10.32</c:v>
                </c:pt>
                <c:pt idx="2105">
                  <c:v>15.07</c:v>
                </c:pt>
                <c:pt idx="2106">
                  <c:v>11.39</c:v>
                </c:pt>
                <c:pt idx="2107">
                  <c:v>9.33</c:v>
                </c:pt>
                <c:pt idx="2108">
                  <c:v>23.18</c:v>
                </c:pt>
                <c:pt idx="2109">
                  <c:v>5.84</c:v>
                </c:pt>
                <c:pt idx="2110">
                  <c:v>11.89</c:v>
                </c:pt>
                <c:pt idx="2111">
                  <c:v>3.07</c:v>
                </c:pt>
                <c:pt idx="2112">
                  <c:v>20.76</c:v>
                </c:pt>
                <c:pt idx="2113">
                  <c:v>6.71</c:v>
                </c:pt>
                <c:pt idx="2114">
                  <c:v>20.010000000000002</c:v>
                </c:pt>
                <c:pt idx="2115">
                  <c:v>6.27</c:v>
                </c:pt>
                <c:pt idx="2116">
                  <c:v>12.17</c:v>
                </c:pt>
                <c:pt idx="2117">
                  <c:v>19.02</c:v>
                </c:pt>
                <c:pt idx="2118">
                  <c:v>8.9600000000000009</c:v>
                </c:pt>
                <c:pt idx="2119">
                  <c:v>9.91</c:v>
                </c:pt>
                <c:pt idx="2120">
                  <c:v>17.68</c:v>
                </c:pt>
                <c:pt idx="2121">
                  <c:v>7.13</c:v>
                </c:pt>
                <c:pt idx="2122">
                  <c:v>23.94</c:v>
                </c:pt>
                <c:pt idx="2123">
                  <c:v>7.15</c:v>
                </c:pt>
                <c:pt idx="2124">
                  <c:v>19.5</c:v>
                </c:pt>
                <c:pt idx="2125">
                  <c:v>20.66</c:v>
                </c:pt>
                <c:pt idx="2126">
                  <c:v>11.24</c:v>
                </c:pt>
                <c:pt idx="2127">
                  <c:v>6.44</c:v>
                </c:pt>
                <c:pt idx="2128">
                  <c:v>6.65</c:v>
                </c:pt>
                <c:pt idx="2129">
                  <c:v>24.68</c:v>
                </c:pt>
                <c:pt idx="2130">
                  <c:v>18.96</c:v>
                </c:pt>
                <c:pt idx="2131">
                  <c:v>12.9</c:v>
                </c:pt>
                <c:pt idx="2132">
                  <c:v>8.66</c:v>
                </c:pt>
                <c:pt idx="2133">
                  <c:v>3.42</c:v>
                </c:pt>
                <c:pt idx="2134">
                  <c:v>17.75</c:v>
                </c:pt>
                <c:pt idx="2135">
                  <c:v>24.05</c:v>
                </c:pt>
                <c:pt idx="2136">
                  <c:v>5.35</c:v>
                </c:pt>
                <c:pt idx="2137">
                  <c:v>19.600000000000001</c:v>
                </c:pt>
                <c:pt idx="2138">
                  <c:v>6.37</c:v>
                </c:pt>
                <c:pt idx="2139">
                  <c:v>20.43</c:v>
                </c:pt>
                <c:pt idx="2140">
                  <c:v>11.15</c:v>
                </c:pt>
                <c:pt idx="2141">
                  <c:v>18.670000000000002</c:v>
                </c:pt>
                <c:pt idx="2142">
                  <c:v>23.38</c:v>
                </c:pt>
                <c:pt idx="2143">
                  <c:v>16.64</c:v>
                </c:pt>
                <c:pt idx="2144">
                  <c:v>23.26</c:v>
                </c:pt>
                <c:pt idx="2145">
                  <c:v>8.17</c:v>
                </c:pt>
                <c:pt idx="2146">
                  <c:v>24.52</c:v>
                </c:pt>
                <c:pt idx="2147">
                  <c:v>22.2</c:v>
                </c:pt>
                <c:pt idx="2148">
                  <c:v>5.37</c:v>
                </c:pt>
                <c:pt idx="2149">
                  <c:v>12.1</c:v>
                </c:pt>
                <c:pt idx="2150">
                  <c:v>23.39</c:v>
                </c:pt>
                <c:pt idx="2151">
                  <c:v>4.72</c:v>
                </c:pt>
                <c:pt idx="2152">
                  <c:v>12.98</c:v>
                </c:pt>
                <c:pt idx="2153">
                  <c:v>18.920000000000002</c:v>
                </c:pt>
                <c:pt idx="2154">
                  <c:v>3.74</c:v>
                </c:pt>
                <c:pt idx="2155">
                  <c:v>19.559999999999999</c:v>
                </c:pt>
                <c:pt idx="2156">
                  <c:v>10.95</c:v>
                </c:pt>
                <c:pt idx="2157">
                  <c:v>8.49</c:v>
                </c:pt>
                <c:pt idx="2158">
                  <c:v>15.67</c:v>
                </c:pt>
                <c:pt idx="2159">
                  <c:v>14.98</c:v>
                </c:pt>
                <c:pt idx="2160">
                  <c:v>22.23</c:v>
                </c:pt>
                <c:pt idx="2161">
                  <c:v>17.87</c:v>
                </c:pt>
                <c:pt idx="2162">
                  <c:v>12.28</c:v>
                </c:pt>
                <c:pt idx="2163">
                  <c:v>17.3</c:v>
                </c:pt>
                <c:pt idx="2164">
                  <c:v>19.5</c:v>
                </c:pt>
                <c:pt idx="2165">
                  <c:v>23.62</c:v>
                </c:pt>
                <c:pt idx="2166">
                  <c:v>18.489999999999998</c:v>
                </c:pt>
                <c:pt idx="2167">
                  <c:v>14.97</c:v>
                </c:pt>
                <c:pt idx="2168">
                  <c:v>11.21</c:v>
                </c:pt>
                <c:pt idx="2169">
                  <c:v>22.61</c:v>
                </c:pt>
                <c:pt idx="2170">
                  <c:v>20.440000000000001</c:v>
                </c:pt>
                <c:pt idx="2171">
                  <c:v>4.7</c:v>
                </c:pt>
                <c:pt idx="2172">
                  <c:v>18.39</c:v>
                </c:pt>
                <c:pt idx="2173">
                  <c:v>14.85</c:v>
                </c:pt>
                <c:pt idx="2174">
                  <c:v>5.28</c:v>
                </c:pt>
                <c:pt idx="2175">
                  <c:v>15.43</c:v>
                </c:pt>
                <c:pt idx="2176">
                  <c:v>7.24</c:v>
                </c:pt>
                <c:pt idx="2177">
                  <c:v>18.579999999999998</c:v>
                </c:pt>
                <c:pt idx="2178">
                  <c:v>9.1300000000000008</c:v>
                </c:pt>
                <c:pt idx="2179">
                  <c:v>6.31</c:v>
                </c:pt>
                <c:pt idx="2180">
                  <c:v>4.8</c:v>
                </c:pt>
                <c:pt idx="2181">
                  <c:v>13.8</c:v>
                </c:pt>
                <c:pt idx="2182">
                  <c:v>7.39</c:v>
                </c:pt>
                <c:pt idx="2183">
                  <c:v>21.81</c:v>
                </c:pt>
                <c:pt idx="2184">
                  <c:v>3.07</c:v>
                </c:pt>
                <c:pt idx="2185">
                  <c:v>21.56</c:v>
                </c:pt>
                <c:pt idx="2186">
                  <c:v>14.46</c:v>
                </c:pt>
                <c:pt idx="2187">
                  <c:v>23.29</c:v>
                </c:pt>
                <c:pt idx="2188">
                  <c:v>7.5</c:v>
                </c:pt>
                <c:pt idx="2189">
                  <c:v>5.25</c:v>
                </c:pt>
                <c:pt idx="2190">
                  <c:v>16.75</c:v>
                </c:pt>
                <c:pt idx="2191">
                  <c:v>18.55</c:v>
                </c:pt>
                <c:pt idx="2192">
                  <c:v>11.2</c:v>
                </c:pt>
                <c:pt idx="2193">
                  <c:v>3.3</c:v>
                </c:pt>
                <c:pt idx="2194">
                  <c:v>11.95</c:v>
                </c:pt>
                <c:pt idx="2195">
                  <c:v>8.14</c:v>
                </c:pt>
                <c:pt idx="2196">
                  <c:v>10.64</c:v>
                </c:pt>
                <c:pt idx="2197">
                  <c:v>14.15</c:v>
                </c:pt>
                <c:pt idx="2198">
                  <c:v>18.45</c:v>
                </c:pt>
                <c:pt idx="2199">
                  <c:v>24.19</c:v>
                </c:pt>
                <c:pt idx="2200">
                  <c:v>6.17</c:v>
                </c:pt>
                <c:pt idx="2201">
                  <c:v>17.96</c:v>
                </c:pt>
                <c:pt idx="2202">
                  <c:v>8.1300000000000008</c:v>
                </c:pt>
                <c:pt idx="2203">
                  <c:v>7.86</c:v>
                </c:pt>
                <c:pt idx="2204">
                  <c:v>16.940000000000001</c:v>
                </c:pt>
                <c:pt idx="2205">
                  <c:v>20.07</c:v>
                </c:pt>
                <c:pt idx="2206">
                  <c:v>24.51</c:v>
                </c:pt>
                <c:pt idx="2207">
                  <c:v>19.91</c:v>
                </c:pt>
                <c:pt idx="2208">
                  <c:v>6.46</c:v>
                </c:pt>
                <c:pt idx="2209">
                  <c:v>7.96</c:v>
                </c:pt>
                <c:pt idx="2210">
                  <c:v>19.75</c:v>
                </c:pt>
                <c:pt idx="2211">
                  <c:v>14.59</c:v>
                </c:pt>
                <c:pt idx="2212">
                  <c:v>9.5</c:v>
                </c:pt>
                <c:pt idx="2213">
                  <c:v>13.38</c:v>
                </c:pt>
                <c:pt idx="2214">
                  <c:v>23.13</c:v>
                </c:pt>
                <c:pt idx="2215">
                  <c:v>19.62</c:v>
                </c:pt>
                <c:pt idx="2216">
                  <c:v>12.92</c:v>
                </c:pt>
                <c:pt idx="2217">
                  <c:v>24.57</c:v>
                </c:pt>
                <c:pt idx="2218">
                  <c:v>20.49</c:v>
                </c:pt>
                <c:pt idx="2219">
                  <c:v>3.13</c:v>
                </c:pt>
                <c:pt idx="2220">
                  <c:v>5.47</c:v>
                </c:pt>
                <c:pt idx="2221">
                  <c:v>15.19</c:v>
                </c:pt>
                <c:pt idx="2222">
                  <c:v>10.7</c:v>
                </c:pt>
                <c:pt idx="2223">
                  <c:v>20.88</c:v>
                </c:pt>
                <c:pt idx="2224">
                  <c:v>22.71</c:v>
                </c:pt>
                <c:pt idx="2225">
                  <c:v>8.2899999999999991</c:v>
                </c:pt>
                <c:pt idx="2226">
                  <c:v>19.79</c:v>
                </c:pt>
                <c:pt idx="2227">
                  <c:v>14.78</c:v>
                </c:pt>
                <c:pt idx="2228">
                  <c:v>11.62</c:v>
                </c:pt>
                <c:pt idx="2229">
                  <c:v>20.309999999999999</c:v>
                </c:pt>
                <c:pt idx="2230">
                  <c:v>15.43</c:v>
                </c:pt>
                <c:pt idx="2231">
                  <c:v>16.98</c:v>
                </c:pt>
                <c:pt idx="2232">
                  <c:v>4.37</c:v>
                </c:pt>
                <c:pt idx="2233">
                  <c:v>15.89</c:v>
                </c:pt>
                <c:pt idx="2234">
                  <c:v>9.6199999999999992</c:v>
                </c:pt>
                <c:pt idx="2235">
                  <c:v>13.85</c:v>
                </c:pt>
                <c:pt idx="2236">
                  <c:v>7.88</c:v>
                </c:pt>
                <c:pt idx="2237">
                  <c:v>16.52</c:v>
                </c:pt>
                <c:pt idx="2238">
                  <c:v>6.24</c:v>
                </c:pt>
                <c:pt idx="2239">
                  <c:v>5.7</c:v>
                </c:pt>
                <c:pt idx="2240">
                  <c:v>7.15</c:v>
                </c:pt>
                <c:pt idx="2241">
                  <c:v>20.98</c:v>
                </c:pt>
                <c:pt idx="2242">
                  <c:v>3.74</c:v>
                </c:pt>
                <c:pt idx="2243">
                  <c:v>19.05</c:v>
                </c:pt>
                <c:pt idx="2244">
                  <c:v>4.24</c:v>
                </c:pt>
                <c:pt idx="2245">
                  <c:v>16.02</c:v>
                </c:pt>
                <c:pt idx="2246">
                  <c:v>20.02</c:v>
                </c:pt>
                <c:pt idx="2247">
                  <c:v>8.08</c:v>
                </c:pt>
                <c:pt idx="2248">
                  <c:v>7.31</c:v>
                </c:pt>
                <c:pt idx="2249">
                  <c:v>9.36</c:v>
                </c:pt>
                <c:pt idx="2250">
                  <c:v>18.39</c:v>
                </c:pt>
                <c:pt idx="2251">
                  <c:v>8.61</c:v>
                </c:pt>
                <c:pt idx="2252">
                  <c:v>14.04</c:v>
                </c:pt>
                <c:pt idx="2253">
                  <c:v>5.96</c:v>
                </c:pt>
                <c:pt idx="2254">
                  <c:v>13.15</c:v>
                </c:pt>
                <c:pt idx="2255">
                  <c:v>16.739999999999998</c:v>
                </c:pt>
                <c:pt idx="2256">
                  <c:v>4.58</c:v>
                </c:pt>
                <c:pt idx="2257">
                  <c:v>20.94</c:v>
                </c:pt>
                <c:pt idx="2258">
                  <c:v>23.62</c:v>
                </c:pt>
                <c:pt idx="2259">
                  <c:v>7.26</c:v>
                </c:pt>
                <c:pt idx="2260">
                  <c:v>19.71</c:v>
                </c:pt>
                <c:pt idx="2261">
                  <c:v>9.9</c:v>
                </c:pt>
                <c:pt idx="2262">
                  <c:v>17.89</c:v>
                </c:pt>
                <c:pt idx="2263">
                  <c:v>9.75</c:v>
                </c:pt>
                <c:pt idx="2264">
                  <c:v>21.97</c:v>
                </c:pt>
                <c:pt idx="2265">
                  <c:v>10.64</c:v>
                </c:pt>
                <c:pt idx="2266">
                  <c:v>21.67</c:v>
                </c:pt>
                <c:pt idx="2267">
                  <c:v>19.86</c:v>
                </c:pt>
                <c:pt idx="2268">
                  <c:v>7.32</c:v>
                </c:pt>
                <c:pt idx="2269">
                  <c:v>6.45</c:v>
                </c:pt>
                <c:pt idx="2270">
                  <c:v>20.149999999999999</c:v>
                </c:pt>
                <c:pt idx="2271">
                  <c:v>11.59</c:v>
                </c:pt>
                <c:pt idx="2272">
                  <c:v>23.89</c:v>
                </c:pt>
                <c:pt idx="2273">
                  <c:v>23.74</c:v>
                </c:pt>
                <c:pt idx="2274">
                  <c:v>18.260000000000002</c:v>
                </c:pt>
                <c:pt idx="2275">
                  <c:v>14.01</c:v>
                </c:pt>
                <c:pt idx="2276">
                  <c:v>7.29</c:v>
                </c:pt>
                <c:pt idx="2277">
                  <c:v>22.41</c:v>
                </c:pt>
                <c:pt idx="2278">
                  <c:v>4.8</c:v>
                </c:pt>
                <c:pt idx="2279">
                  <c:v>11.15</c:v>
                </c:pt>
                <c:pt idx="2280">
                  <c:v>10.02</c:v>
                </c:pt>
                <c:pt idx="2281">
                  <c:v>24.09</c:v>
                </c:pt>
                <c:pt idx="2282">
                  <c:v>5.6</c:v>
                </c:pt>
                <c:pt idx="2283">
                  <c:v>22.58</c:v>
                </c:pt>
                <c:pt idx="2284">
                  <c:v>13.04</c:v>
                </c:pt>
                <c:pt idx="2285">
                  <c:v>4.04</c:v>
                </c:pt>
                <c:pt idx="2286">
                  <c:v>19.04</c:v>
                </c:pt>
                <c:pt idx="2287">
                  <c:v>5.22</c:v>
                </c:pt>
                <c:pt idx="2288">
                  <c:v>8.2100000000000009</c:v>
                </c:pt>
                <c:pt idx="2289">
                  <c:v>20.59</c:v>
                </c:pt>
                <c:pt idx="2290">
                  <c:v>6.4</c:v>
                </c:pt>
                <c:pt idx="2291">
                  <c:v>10.16</c:v>
                </c:pt>
                <c:pt idx="2292">
                  <c:v>10.94</c:v>
                </c:pt>
                <c:pt idx="2293">
                  <c:v>15.95</c:v>
                </c:pt>
                <c:pt idx="2294">
                  <c:v>20.38</c:v>
                </c:pt>
                <c:pt idx="2295">
                  <c:v>8.08</c:v>
                </c:pt>
                <c:pt idx="2296">
                  <c:v>7.53</c:v>
                </c:pt>
                <c:pt idx="2297">
                  <c:v>7.88</c:v>
                </c:pt>
                <c:pt idx="2298">
                  <c:v>11.4</c:v>
                </c:pt>
                <c:pt idx="2299">
                  <c:v>14.77</c:v>
                </c:pt>
                <c:pt idx="2300">
                  <c:v>3.3</c:v>
                </c:pt>
                <c:pt idx="2301">
                  <c:v>20.170000000000002</c:v>
                </c:pt>
                <c:pt idx="2302">
                  <c:v>23.39</c:v>
                </c:pt>
                <c:pt idx="2303">
                  <c:v>21.56</c:v>
                </c:pt>
                <c:pt idx="2304">
                  <c:v>3.82</c:v>
                </c:pt>
                <c:pt idx="2305">
                  <c:v>14.54</c:v>
                </c:pt>
                <c:pt idx="2306">
                  <c:v>20.91</c:v>
                </c:pt>
                <c:pt idx="2307">
                  <c:v>10.57</c:v>
                </c:pt>
                <c:pt idx="2308">
                  <c:v>22.73</c:v>
                </c:pt>
                <c:pt idx="2309">
                  <c:v>22.51</c:v>
                </c:pt>
                <c:pt idx="2310">
                  <c:v>6.12</c:v>
                </c:pt>
                <c:pt idx="2311">
                  <c:v>13.86</c:v>
                </c:pt>
                <c:pt idx="2312">
                  <c:v>3.56</c:v>
                </c:pt>
                <c:pt idx="2313">
                  <c:v>9.1999999999999993</c:v>
                </c:pt>
                <c:pt idx="2314">
                  <c:v>20.86</c:v>
                </c:pt>
                <c:pt idx="2315">
                  <c:v>24.45</c:v>
                </c:pt>
                <c:pt idx="2316">
                  <c:v>23.09</c:v>
                </c:pt>
                <c:pt idx="2317">
                  <c:v>3.94</c:v>
                </c:pt>
                <c:pt idx="2318">
                  <c:v>23.39</c:v>
                </c:pt>
                <c:pt idx="2319">
                  <c:v>21.1</c:v>
                </c:pt>
                <c:pt idx="2320">
                  <c:v>22.09</c:v>
                </c:pt>
                <c:pt idx="2321">
                  <c:v>23.13</c:v>
                </c:pt>
                <c:pt idx="2322">
                  <c:v>13.74</c:v>
                </c:pt>
                <c:pt idx="2323">
                  <c:v>7.65</c:v>
                </c:pt>
                <c:pt idx="2324">
                  <c:v>3.46</c:v>
                </c:pt>
                <c:pt idx="2325">
                  <c:v>3.52</c:v>
                </c:pt>
                <c:pt idx="2326">
                  <c:v>17.14</c:v>
                </c:pt>
                <c:pt idx="2327">
                  <c:v>10.42</c:v>
                </c:pt>
                <c:pt idx="2328">
                  <c:v>13.91</c:v>
                </c:pt>
                <c:pt idx="2329">
                  <c:v>5.89</c:v>
                </c:pt>
                <c:pt idx="2330">
                  <c:v>24.46</c:v>
                </c:pt>
                <c:pt idx="2331">
                  <c:v>5.86</c:v>
                </c:pt>
                <c:pt idx="2332">
                  <c:v>12.79</c:v>
                </c:pt>
                <c:pt idx="2333">
                  <c:v>12.75</c:v>
                </c:pt>
                <c:pt idx="2334">
                  <c:v>3.19</c:v>
                </c:pt>
                <c:pt idx="2335">
                  <c:v>17.690000000000001</c:v>
                </c:pt>
                <c:pt idx="2336">
                  <c:v>14.84</c:v>
                </c:pt>
                <c:pt idx="2337">
                  <c:v>13.94</c:v>
                </c:pt>
                <c:pt idx="2338">
                  <c:v>21</c:v>
                </c:pt>
                <c:pt idx="2339">
                  <c:v>8.31</c:v>
                </c:pt>
                <c:pt idx="2340">
                  <c:v>21.94</c:v>
                </c:pt>
                <c:pt idx="2341">
                  <c:v>22.03</c:v>
                </c:pt>
                <c:pt idx="2342">
                  <c:v>21.19</c:v>
                </c:pt>
                <c:pt idx="2343">
                  <c:v>10.51</c:v>
                </c:pt>
                <c:pt idx="2344">
                  <c:v>6.58</c:v>
                </c:pt>
                <c:pt idx="2345">
                  <c:v>13.45</c:v>
                </c:pt>
                <c:pt idx="2346">
                  <c:v>8.7200000000000006</c:v>
                </c:pt>
                <c:pt idx="2347">
                  <c:v>4.1500000000000004</c:v>
                </c:pt>
                <c:pt idx="2348">
                  <c:v>9.15</c:v>
                </c:pt>
                <c:pt idx="2349">
                  <c:v>13.32</c:v>
                </c:pt>
                <c:pt idx="2350">
                  <c:v>5.48</c:v>
                </c:pt>
                <c:pt idx="2351">
                  <c:v>23.78</c:v>
                </c:pt>
                <c:pt idx="2352">
                  <c:v>17.43</c:v>
                </c:pt>
                <c:pt idx="2353">
                  <c:v>6</c:v>
                </c:pt>
                <c:pt idx="2354">
                  <c:v>20.87</c:v>
                </c:pt>
                <c:pt idx="2355">
                  <c:v>23.42</c:v>
                </c:pt>
                <c:pt idx="2356">
                  <c:v>8.7799999999999994</c:v>
                </c:pt>
                <c:pt idx="2357">
                  <c:v>6.15</c:v>
                </c:pt>
                <c:pt idx="2358">
                  <c:v>10.09</c:v>
                </c:pt>
                <c:pt idx="2359">
                  <c:v>21.31</c:v>
                </c:pt>
                <c:pt idx="2360">
                  <c:v>6.85</c:v>
                </c:pt>
                <c:pt idx="2361">
                  <c:v>20.149999999999999</c:v>
                </c:pt>
                <c:pt idx="2362">
                  <c:v>18.760000000000002</c:v>
                </c:pt>
                <c:pt idx="2363">
                  <c:v>17.329999999999998</c:v>
                </c:pt>
                <c:pt idx="2364">
                  <c:v>12.53</c:v>
                </c:pt>
                <c:pt idx="2365">
                  <c:v>11.07</c:v>
                </c:pt>
                <c:pt idx="2366">
                  <c:v>4.88</c:v>
                </c:pt>
                <c:pt idx="2367">
                  <c:v>10.86</c:v>
                </c:pt>
                <c:pt idx="2368">
                  <c:v>16.239999999999998</c:v>
                </c:pt>
                <c:pt idx="2369">
                  <c:v>22.76</c:v>
                </c:pt>
                <c:pt idx="2370">
                  <c:v>21.33</c:v>
                </c:pt>
                <c:pt idx="2371">
                  <c:v>3.71</c:v>
                </c:pt>
                <c:pt idx="2372">
                  <c:v>6.05</c:v>
                </c:pt>
                <c:pt idx="2373">
                  <c:v>21.67</c:v>
                </c:pt>
                <c:pt idx="2374">
                  <c:v>23.67</c:v>
                </c:pt>
                <c:pt idx="2375">
                  <c:v>4.2300000000000004</c:v>
                </c:pt>
                <c:pt idx="2376">
                  <c:v>18.43</c:v>
                </c:pt>
                <c:pt idx="2377">
                  <c:v>11.05</c:v>
                </c:pt>
                <c:pt idx="2378">
                  <c:v>11.01</c:v>
                </c:pt>
                <c:pt idx="2379">
                  <c:v>17.14</c:v>
                </c:pt>
                <c:pt idx="2380">
                  <c:v>20.82</c:v>
                </c:pt>
                <c:pt idx="2381">
                  <c:v>9.0500000000000007</c:v>
                </c:pt>
                <c:pt idx="2382">
                  <c:v>18.52</c:v>
                </c:pt>
                <c:pt idx="2383">
                  <c:v>16.989999999999998</c:v>
                </c:pt>
                <c:pt idx="2384">
                  <c:v>14.38</c:v>
                </c:pt>
                <c:pt idx="2385">
                  <c:v>16.25</c:v>
                </c:pt>
                <c:pt idx="2386">
                  <c:v>3.4</c:v>
                </c:pt>
                <c:pt idx="2387">
                  <c:v>3.09</c:v>
                </c:pt>
                <c:pt idx="2388">
                  <c:v>15.11</c:v>
                </c:pt>
                <c:pt idx="2389">
                  <c:v>14.53</c:v>
                </c:pt>
                <c:pt idx="2390">
                  <c:v>4.57</c:v>
                </c:pt>
                <c:pt idx="2391">
                  <c:v>13.82</c:v>
                </c:pt>
                <c:pt idx="2392">
                  <c:v>19.670000000000002</c:v>
                </c:pt>
                <c:pt idx="2393">
                  <c:v>14.91</c:v>
                </c:pt>
                <c:pt idx="2394">
                  <c:v>14.39</c:v>
                </c:pt>
                <c:pt idx="2395">
                  <c:v>18.79</c:v>
                </c:pt>
                <c:pt idx="2396">
                  <c:v>6.78</c:v>
                </c:pt>
                <c:pt idx="2397">
                  <c:v>13.06</c:v>
                </c:pt>
                <c:pt idx="2398">
                  <c:v>6.26</c:v>
                </c:pt>
                <c:pt idx="2399">
                  <c:v>14.52</c:v>
                </c:pt>
                <c:pt idx="2400">
                  <c:v>16.02</c:v>
                </c:pt>
                <c:pt idx="2401">
                  <c:v>5.68</c:v>
                </c:pt>
                <c:pt idx="2402">
                  <c:v>4.66</c:v>
                </c:pt>
                <c:pt idx="2403">
                  <c:v>6.67</c:v>
                </c:pt>
                <c:pt idx="2404">
                  <c:v>15.9</c:v>
                </c:pt>
                <c:pt idx="2405">
                  <c:v>7.17</c:v>
                </c:pt>
                <c:pt idx="2406">
                  <c:v>9.06</c:v>
                </c:pt>
                <c:pt idx="2407">
                  <c:v>18.46</c:v>
                </c:pt>
                <c:pt idx="2408">
                  <c:v>8.4600000000000009</c:v>
                </c:pt>
                <c:pt idx="2409">
                  <c:v>11.75</c:v>
                </c:pt>
                <c:pt idx="2410">
                  <c:v>23.43</c:v>
                </c:pt>
                <c:pt idx="2411">
                  <c:v>21.15</c:v>
                </c:pt>
                <c:pt idx="2412">
                  <c:v>8.6199999999999992</c:v>
                </c:pt>
                <c:pt idx="2413">
                  <c:v>16.149999999999999</c:v>
                </c:pt>
                <c:pt idx="2414">
                  <c:v>17.649999999999999</c:v>
                </c:pt>
                <c:pt idx="2415">
                  <c:v>22.81</c:v>
                </c:pt>
                <c:pt idx="2416">
                  <c:v>15.04</c:v>
                </c:pt>
                <c:pt idx="2417">
                  <c:v>15.35</c:v>
                </c:pt>
                <c:pt idx="2418">
                  <c:v>22.55</c:v>
                </c:pt>
                <c:pt idx="2419">
                  <c:v>4.2</c:v>
                </c:pt>
                <c:pt idx="2420">
                  <c:v>16.82</c:v>
                </c:pt>
                <c:pt idx="2421">
                  <c:v>12.17</c:v>
                </c:pt>
                <c:pt idx="2422">
                  <c:v>23.01</c:v>
                </c:pt>
                <c:pt idx="2423">
                  <c:v>24.13</c:v>
                </c:pt>
                <c:pt idx="2424">
                  <c:v>6.75</c:v>
                </c:pt>
                <c:pt idx="2425">
                  <c:v>9.19</c:v>
                </c:pt>
                <c:pt idx="2426">
                  <c:v>9.02</c:v>
                </c:pt>
                <c:pt idx="2427">
                  <c:v>5.21</c:v>
                </c:pt>
                <c:pt idx="2428">
                  <c:v>13.62</c:v>
                </c:pt>
                <c:pt idx="2429">
                  <c:v>14.29</c:v>
                </c:pt>
                <c:pt idx="2430">
                  <c:v>15.61</c:v>
                </c:pt>
                <c:pt idx="2431">
                  <c:v>17.59</c:v>
                </c:pt>
                <c:pt idx="2432">
                  <c:v>4.38</c:v>
                </c:pt>
                <c:pt idx="2433">
                  <c:v>16.690000000000001</c:v>
                </c:pt>
                <c:pt idx="2434">
                  <c:v>23.1</c:v>
                </c:pt>
                <c:pt idx="2435">
                  <c:v>13.01</c:v>
                </c:pt>
                <c:pt idx="2436">
                  <c:v>5.35</c:v>
                </c:pt>
                <c:pt idx="2437">
                  <c:v>4.8899999999999997</c:v>
                </c:pt>
                <c:pt idx="2438">
                  <c:v>9.1999999999999993</c:v>
                </c:pt>
                <c:pt idx="2439">
                  <c:v>19.559999999999999</c:v>
                </c:pt>
                <c:pt idx="2440">
                  <c:v>8.74</c:v>
                </c:pt>
                <c:pt idx="2441">
                  <c:v>20.92</c:v>
                </c:pt>
                <c:pt idx="2442">
                  <c:v>21.03</c:v>
                </c:pt>
                <c:pt idx="2443">
                  <c:v>13.06</c:v>
                </c:pt>
                <c:pt idx="2444">
                  <c:v>9.6199999999999992</c:v>
                </c:pt>
                <c:pt idx="2445">
                  <c:v>16.149999999999999</c:v>
                </c:pt>
                <c:pt idx="2446">
                  <c:v>20.83</c:v>
                </c:pt>
                <c:pt idx="2447">
                  <c:v>4.42</c:v>
                </c:pt>
                <c:pt idx="2448">
                  <c:v>23.98</c:v>
                </c:pt>
                <c:pt idx="2449">
                  <c:v>17.21</c:v>
                </c:pt>
                <c:pt idx="2450">
                  <c:v>11.76</c:v>
                </c:pt>
                <c:pt idx="2451">
                  <c:v>14.13</c:v>
                </c:pt>
                <c:pt idx="2452">
                  <c:v>11.48</c:v>
                </c:pt>
                <c:pt idx="2453">
                  <c:v>12.08</c:v>
                </c:pt>
                <c:pt idx="2454">
                  <c:v>16.100000000000001</c:v>
                </c:pt>
                <c:pt idx="2455">
                  <c:v>4.33</c:v>
                </c:pt>
                <c:pt idx="2456">
                  <c:v>6.86</c:v>
                </c:pt>
                <c:pt idx="2457">
                  <c:v>7.99</c:v>
                </c:pt>
                <c:pt idx="2458">
                  <c:v>11.97</c:v>
                </c:pt>
                <c:pt idx="2459">
                  <c:v>11.16</c:v>
                </c:pt>
                <c:pt idx="2460">
                  <c:v>18.89</c:v>
                </c:pt>
                <c:pt idx="2461">
                  <c:v>8.6999999999999993</c:v>
                </c:pt>
                <c:pt idx="2462">
                  <c:v>4.26</c:v>
                </c:pt>
                <c:pt idx="2463">
                  <c:v>4.22</c:v>
                </c:pt>
                <c:pt idx="2464">
                  <c:v>3.25</c:v>
                </c:pt>
                <c:pt idx="2465">
                  <c:v>3.84</c:v>
                </c:pt>
                <c:pt idx="2466">
                  <c:v>21.89</c:v>
                </c:pt>
                <c:pt idx="2467">
                  <c:v>18.34</c:v>
                </c:pt>
                <c:pt idx="2468">
                  <c:v>24.91</c:v>
                </c:pt>
                <c:pt idx="2469">
                  <c:v>3.45</c:v>
                </c:pt>
                <c:pt idx="2470">
                  <c:v>21.68</c:v>
                </c:pt>
                <c:pt idx="2471">
                  <c:v>18.309999999999999</c:v>
                </c:pt>
                <c:pt idx="2472">
                  <c:v>17.09</c:v>
                </c:pt>
                <c:pt idx="2473">
                  <c:v>10.84</c:v>
                </c:pt>
                <c:pt idx="2474">
                  <c:v>11.29</c:v>
                </c:pt>
                <c:pt idx="2475">
                  <c:v>21.6</c:v>
                </c:pt>
                <c:pt idx="2476">
                  <c:v>18.7</c:v>
                </c:pt>
                <c:pt idx="2477">
                  <c:v>17.75</c:v>
                </c:pt>
                <c:pt idx="2478">
                  <c:v>3.67</c:v>
                </c:pt>
                <c:pt idx="2479">
                  <c:v>7.06</c:v>
                </c:pt>
                <c:pt idx="2480">
                  <c:v>24.18</c:v>
                </c:pt>
                <c:pt idx="2481">
                  <c:v>13</c:v>
                </c:pt>
                <c:pt idx="2482">
                  <c:v>20.190000000000001</c:v>
                </c:pt>
                <c:pt idx="2483">
                  <c:v>11.57</c:v>
                </c:pt>
                <c:pt idx="2484">
                  <c:v>19.82</c:v>
                </c:pt>
                <c:pt idx="2485">
                  <c:v>5.62</c:v>
                </c:pt>
                <c:pt idx="2486">
                  <c:v>3.93</c:v>
                </c:pt>
                <c:pt idx="2487">
                  <c:v>13.26</c:v>
                </c:pt>
                <c:pt idx="2488">
                  <c:v>16.02</c:v>
                </c:pt>
                <c:pt idx="2489">
                  <c:v>10.119999999999999</c:v>
                </c:pt>
                <c:pt idx="2490">
                  <c:v>18.75</c:v>
                </c:pt>
                <c:pt idx="2491">
                  <c:v>13.91</c:v>
                </c:pt>
                <c:pt idx="2492">
                  <c:v>23.42</c:v>
                </c:pt>
                <c:pt idx="2493">
                  <c:v>4.87</c:v>
                </c:pt>
                <c:pt idx="2494">
                  <c:v>4.46</c:v>
                </c:pt>
                <c:pt idx="2495">
                  <c:v>22.91</c:v>
                </c:pt>
                <c:pt idx="2496">
                  <c:v>17.72</c:v>
                </c:pt>
                <c:pt idx="2497">
                  <c:v>17.760000000000002</c:v>
                </c:pt>
                <c:pt idx="2498">
                  <c:v>3.61</c:v>
                </c:pt>
                <c:pt idx="2499">
                  <c:v>23.63</c:v>
                </c:pt>
                <c:pt idx="2500">
                  <c:v>19.98</c:v>
                </c:pt>
                <c:pt idx="2501">
                  <c:v>19.809999999999999</c:v>
                </c:pt>
                <c:pt idx="2502">
                  <c:v>23.06</c:v>
                </c:pt>
                <c:pt idx="2503">
                  <c:v>15.72</c:v>
                </c:pt>
                <c:pt idx="2504">
                  <c:v>11.68</c:v>
                </c:pt>
                <c:pt idx="2505">
                  <c:v>13.57</c:v>
                </c:pt>
                <c:pt idx="2506">
                  <c:v>20.100000000000001</c:v>
                </c:pt>
                <c:pt idx="2507">
                  <c:v>19.91</c:v>
                </c:pt>
                <c:pt idx="2508">
                  <c:v>16.41</c:v>
                </c:pt>
                <c:pt idx="2509">
                  <c:v>7.8</c:v>
                </c:pt>
                <c:pt idx="2510">
                  <c:v>21.02</c:v>
                </c:pt>
                <c:pt idx="2511">
                  <c:v>17.239999999999998</c:v>
                </c:pt>
                <c:pt idx="2512">
                  <c:v>7.87</c:v>
                </c:pt>
                <c:pt idx="2513">
                  <c:v>13.57</c:v>
                </c:pt>
                <c:pt idx="2514">
                  <c:v>24.94</c:v>
                </c:pt>
                <c:pt idx="2515">
                  <c:v>10.220000000000001</c:v>
                </c:pt>
                <c:pt idx="2516">
                  <c:v>5.56</c:v>
                </c:pt>
                <c:pt idx="2517">
                  <c:v>3.48</c:v>
                </c:pt>
                <c:pt idx="2518">
                  <c:v>7.06</c:v>
                </c:pt>
                <c:pt idx="2519">
                  <c:v>7.11</c:v>
                </c:pt>
                <c:pt idx="2520">
                  <c:v>21.88</c:v>
                </c:pt>
                <c:pt idx="2521">
                  <c:v>6.44</c:v>
                </c:pt>
                <c:pt idx="2522">
                  <c:v>21.98</c:v>
                </c:pt>
                <c:pt idx="2523">
                  <c:v>4.91</c:v>
                </c:pt>
                <c:pt idx="2524">
                  <c:v>22.95</c:v>
                </c:pt>
                <c:pt idx="2525">
                  <c:v>8.64</c:v>
                </c:pt>
                <c:pt idx="2526">
                  <c:v>16.45</c:v>
                </c:pt>
                <c:pt idx="2527">
                  <c:v>6.51</c:v>
                </c:pt>
                <c:pt idx="2528">
                  <c:v>11.58</c:v>
                </c:pt>
                <c:pt idx="2529">
                  <c:v>4.8899999999999997</c:v>
                </c:pt>
                <c:pt idx="2530">
                  <c:v>15.75</c:v>
                </c:pt>
                <c:pt idx="2531">
                  <c:v>10.61</c:v>
                </c:pt>
                <c:pt idx="2532">
                  <c:v>21.75</c:v>
                </c:pt>
                <c:pt idx="2533">
                  <c:v>7</c:v>
                </c:pt>
                <c:pt idx="2534">
                  <c:v>9.16</c:v>
                </c:pt>
                <c:pt idx="2535">
                  <c:v>6.9</c:v>
                </c:pt>
                <c:pt idx="2536">
                  <c:v>15.4</c:v>
                </c:pt>
                <c:pt idx="2537">
                  <c:v>5.46</c:v>
                </c:pt>
                <c:pt idx="2538">
                  <c:v>7.17</c:v>
                </c:pt>
                <c:pt idx="2539">
                  <c:v>17.93</c:v>
                </c:pt>
                <c:pt idx="2540">
                  <c:v>4.6399999999999997</c:v>
                </c:pt>
                <c:pt idx="2541">
                  <c:v>19.350000000000001</c:v>
                </c:pt>
                <c:pt idx="2542">
                  <c:v>5.3</c:v>
                </c:pt>
                <c:pt idx="2543">
                  <c:v>15.88</c:v>
                </c:pt>
                <c:pt idx="2544">
                  <c:v>24.95</c:v>
                </c:pt>
                <c:pt idx="2545">
                  <c:v>6.83</c:v>
                </c:pt>
                <c:pt idx="2546">
                  <c:v>8.74</c:v>
                </c:pt>
                <c:pt idx="2547">
                  <c:v>22.77</c:v>
                </c:pt>
                <c:pt idx="2548">
                  <c:v>16.78</c:v>
                </c:pt>
                <c:pt idx="2549">
                  <c:v>13.84</c:v>
                </c:pt>
                <c:pt idx="2550">
                  <c:v>15.38</c:v>
                </c:pt>
                <c:pt idx="2551">
                  <c:v>9.5</c:v>
                </c:pt>
                <c:pt idx="2552">
                  <c:v>21.82</c:v>
                </c:pt>
                <c:pt idx="2553">
                  <c:v>19.399999999999999</c:v>
                </c:pt>
                <c:pt idx="2554">
                  <c:v>17.13</c:v>
                </c:pt>
                <c:pt idx="2555">
                  <c:v>23.5</c:v>
                </c:pt>
                <c:pt idx="2556">
                  <c:v>15.72</c:v>
                </c:pt>
                <c:pt idx="2557">
                  <c:v>14.26</c:v>
                </c:pt>
                <c:pt idx="2558">
                  <c:v>24.47</c:v>
                </c:pt>
                <c:pt idx="2559">
                  <c:v>7.53</c:v>
                </c:pt>
                <c:pt idx="2560">
                  <c:v>6.12</c:v>
                </c:pt>
                <c:pt idx="2561">
                  <c:v>6.57</c:v>
                </c:pt>
                <c:pt idx="2562">
                  <c:v>24.77</c:v>
                </c:pt>
                <c:pt idx="2563">
                  <c:v>17.350000000000001</c:v>
                </c:pt>
                <c:pt idx="2564">
                  <c:v>9.73</c:v>
                </c:pt>
                <c:pt idx="2565">
                  <c:v>8.48</c:v>
                </c:pt>
                <c:pt idx="2566">
                  <c:v>4.25</c:v>
                </c:pt>
                <c:pt idx="2567">
                  <c:v>5.9</c:v>
                </c:pt>
                <c:pt idx="2568">
                  <c:v>22.98</c:v>
                </c:pt>
                <c:pt idx="2569">
                  <c:v>19.440000000000001</c:v>
                </c:pt>
                <c:pt idx="2570">
                  <c:v>23.71</c:v>
                </c:pt>
                <c:pt idx="2571">
                  <c:v>12.32</c:v>
                </c:pt>
                <c:pt idx="2572">
                  <c:v>16.23</c:v>
                </c:pt>
                <c:pt idx="2573">
                  <c:v>13.64</c:v>
                </c:pt>
                <c:pt idx="2574">
                  <c:v>22.39</c:v>
                </c:pt>
                <c:pt idx="2575">
                  <c:v>24.81</c:v>
                </c:pt>
                <c:pt idx="2576">
                  <c:v>23.52</c:v>
                </c:pt>
                <c:pt idx="2577">
                  <c:v>16.16</c:v>
                </c:pt>
                <c:pt idx="2578">
                  <c:v>4.3600000000000003</c:v>
                </c:pt>
                <c:pt idx="2579">
                  <c:v>16.59</c:v>
                </c:pt>
                <c:pt idx="2580">
                  <c:v>5.14</c:v>
                </c:pt>
                <c:pt idx="2581">
                  <c:v>6.05</c:v>
                </c:pt>
                <c:pt idx="2582">
                  <c:v>7.21</c:v>
                </c:pt>
                <c:pt idx="2583">
                  <c:v>11</c:v>
                </c:pt>
                <c:pt idx="2584">
                  <c:v>16.02</c:v>
                </c:pt>
                <c:pt idx="2585">
                  <c:v>10.34</c:v>
                </c:pt>
                <c:pt idx="2586">
                  <c:v>12.95</c:v>
                </c:pt>
                <c:pt idx="2587">
                  <c:v>4.04</c:v>
                </c:pt>
                <c:pt idx="2588">
                  <c:v>16.63</c:v>
                </c:pt>
                <c:pt idx="2589">
                  <c:v>17.45</c:v>
                </c:pt>
                <c:pt idx="2590">
                  <c:v>5.19</c:v>
                </c:pt>
                <c:pt idx="2591">
                  <c:v>20.27</c:v>
                </c:pt>
                <c:pt idx="2592">
                  <c:v>17.239999999999998</c:v>
                </c:pt>
                <c:pt idx="2593">
                  <c:v>13.77</c:v>
                </c:pt>
                <c:pt idx="2594">
                  <c:v>15.16</c:v>
                </c:pt>
                <c:pt idx="2595">
                  <c:v>14.07</c:v>
                </c:pt>
                <c:pt idx="2596">
                  <c:v>4.18</c:v>
                </c:pt>
                <c:pt idx="2597">
                  <c:v>19.170000000000002</c:v>
                </c:pt>
                <c:pt idx="2598">
                  <c:v>14.26</c:v>
                </c:pt>
                <c:pt idx="2599">
                  <c:v>6.8</c:v>
                </c:pt>
                <c:pt idx="2600">
                  <c:v>17.98</c:v>
                </c:pt>
                <c:pt idx="2601">
                  <c:v>18.29</c:v>
                </c:pt>
                <c:pt idx="2602">
                  <c:v>7.7</c:v>
                </c:pt>
                <c:pt idx="2603">
                  <c:v>20.52</c:v>
                </c:pt>
                <c:pt idx="2604">
                  <c:v>13.04</c:v>
                </c:pt>
                <c:pt idx="2605">
                  <c:v>6.97</c:v>
                </c:pt>
                <c:pt idx="2606">
                  <c:v>17.47</c:v>
                </c:pt>
                <c:pt idx="2607">
                  <c:v>16.13</c:v>
                </c:pt>
                <c:pt idx="2608">
                  <c:v>6.75</c:v>
                </c:pt>
                <c:pt idx="2609">
                  <c:v>22.19</c:v>
                </c:pt>
                <c:pt idx="2610">
                  <c:v>21.8</c:v>
                </c:pt>
                <c:pt idx="2611">
                  <c:v>21.4</c:v>
                </c:pt>
                <c:pt idx="2612">
                  <c:v>11.78</c:v>
                </c:pt>
                <c:pt idx="2613">
                  <c:v>21.14</c:v>
                </c:pt>
                <c:pt idx="2614">
                  <c:v>21.59</c:v>
                </c:pt>
                <c:pt idx="2615">
                  <c:v>24.92</c:v>
                </c:pt>
                <c:pt idx="2616">
                  <c:v>24.07</c:v>
                </c:pt>
                <c:pt idx="2617">
                  <c:v>11.42</c:v>
                </c:pt>
                <c:pt idx="2618">
                  <c:v>7.36</c:v>
                </c:pt>
                <c:pt idx="2619">
                  <c:v>9.43</c:v>
                </c:pt>
                <c:pt idx="2620">
                  <c:v>13.89</c:v>
                </c:pt>
                <c:pt idx="2621">
                  <c:v>20.72</c:v>
                </c:pt>
                <c:pt idx="2622">
                  <c:v>18.91</c:v>
                </c:pt>
                <c:pt idx="2623">
                  <c:v>20.329999999999998</c:v>
                </c:pt>
                <c:pt idx="2624">
                  <c:v>11.36</c:v>
                </c:pt>
                <c:pt idx="2625">
                  <c:v>8.43</c:v>
                </c:pt>
                <c:pt idx="2626">
                  <c:v>3.53</c:v>
                </c:pt>
                <c:pt idx="2627">
                  <c:v>16.78</c:v>
                </c:pt>
                <c:pt idx="2628">
                  <c:v>20.49</c:v>
                </c:pt>
                <c:pt idx="2629">
                  <c:v>22.56</c:v>
                </c:pt>
                <c:pt idx="2630">
                  <c:v>13.48</c:v>
                </c:pt>
                <c:pt idx="2631">
                  <c:v>23.41</c:v>
                </c:pt>
                <c:pt idx="2632">
                  <c:v>7.45</c:v>
                </c:pt>
                <c:pt idx="2633">
                  <c:v>14.32</c:v>
                </c:pt>
                <c:pt idx="2634">
                  <c:v>7.7</c:v>
                </c:pt>
                <c:pt idx="2635">
                  <c:v>7.14</c:v>
                </c:pt>
                <c:pt idx="2636">
                  <c:v>23.97</c:v>
                </c:pt>
                <c:pt idx="2637">
                  <c:v>20.99</c:v>
                </c:pt>
                <c:pt idx="2638">
                  <c:v>3.26</c:v>
                </c:pt>
                <c:pt idx="2639">
                  <c:v>8.91</c:v>
                </c:pt>
                <c:pt idx="2640">
                  <c:v>7.51</c:v>
                </c:pt>
                <c:pt idx="2641">
                  <c:v>6.24</c:v>
                </c:pt>
                <c:pt idx="2642">
                  <c:v>18.34</c:v>
                </c:pt>
                <c:pt idx="2643">
                  <c:v>15.47</c:v>
                </c:pt>
                <c:pt idx="2644">
                  <c:v>12.99</c:v>
                </c:pt>
                <c:pt idx="2645">
                  <c:v>7.17</c:v>
                </c:pt>
                <c:pt idx="2646">
                  <c:v>9.11</c:v>
                </c:pt>
                <c:pt idx="2647">
                  <c:v>10.83</c:v>
                </c:pt>
                <c:pt idx="2648">
                  <c:v>20.28</c:v>
                </c:pt>
                <c:pt idx="2649">
                  <c:v>24.76</c:v>
                </c:pt>
                <c:pt idx="2650">
                  <c:v>7.05</c:v>
                </c:pt>
                <c:pt idx="2651">
                  <c:v>10.51</c:v>
                </c:pt>
                <c:pt idx="2652">
                  <c:v>9.16</c:v>
                </c:pt>
                <c:pt idx="2653">
                  <c:v>3.97</c:v>
                </c:pt>
                <c:pt idx="2654">
                  <c:v>7.82</c:v>
                </c:pt>
                <c:pt idx="2655">
                  <c:v>22.84</c:v>
                </c:pt>
                <c:pt idx="2656">
                  <c:v>21.54</c:v>
                </c:pt>
                <c:pt idx="2657">
                  <c:v>6.69</c:v>
                </c:pt>
                <c:pt idx="2658">
                  <c:v>11.06</c:v>
                </c:pt>
                <c:pt idx="2659">
                  <c:v>9.84</c:v>
                </c:pt>
                <c:pt idx="2660">
                  <c:v>6.25</c:v>
                </c:pt>
                <c:pt idx="2661">
                  <c:v>16.690000000000001</c:v>
                </c:pt>
                <c:pt idx="2662">
                  <c:v>15.26</c:v>
                </c:pt>
                <c:pt idx="2663">
                  <c:v>12.39</c:v>
                </c:pt>
                <c:pt idx="2664">
                  <c:v>21.82</c:v>
                </c:pt>
                <c:pt idx="2665">
                  <c:v>16.63</c:v>
                </c:pt>
                <c:pt idx="2666">
                  <c:v>8.6999999999999993</c:v>
                </c:pt>
                <c:pt idx="2667">
                  <c:v>11.22</c:v>
                </c:pt>
                <c:pt idx="2668">
                  <c:v>6.3</c:v>
                </c:pt>
                <c:pt idx="2669">
                  <c:v>16.010000000000002</c:v>
                </c:pt>
                <c:pt idx="2670">
                  <c:v>15.91</c:v>
                </c:pt>
                <c:pt idx="2671">
                  <c:v>22.14</c:v>
                </c:pt>
                <c:pt idx="2672">
                  <c:v>21.83</c:v>
                </c:pt>
                <c:pt idx="2673">
                  <c:v>21.41</c:v>
                </c:pt>
                <c:pt idx="2674">
                  <c:v>15.08</c:v>
                </c:pt>
                <c:pt idx="2675">
                  <c:v>17.34</c:v>
                </c:pt>
                <c:pt idx="2676">
                  <c:v>20.059999999999999</c:v>
                </c:pt>
                <c:pt idx="2677">
                  <c:v>5.0199999999999996</c:v>
                </c:pt>
                <c:pt idx="2678">
                  <c:v>9.61</c:v>
                </c:pt>
                <c:pt idx="2679">
                  <c:v>6.72</c:v>
                </c:pt>
                <c:pt idx="2680">
                  <c:v>14.25</c:v>
                </c:pt>
                <c:pt idx="2681">
                  <c:v>21.43</c:v>
                </c:pt>
                <c:pt idx="2682">
                  <c:v>8.08</c:v>
                </c:pt>
                <c:pt idx="2683">
                  <c:v>19.079999999999998</c:v>
                </c:pt>
                <c:pt idx="2684">
                  <c:v>11.93</c:v>
                </c:pt>
                <c:pt idx="2685">
                  <c:v>22.87</c:v>
                </c:pt>
                <c:pt idx="2686">
                  <c:v>16.79</c:v>
                </c:pt>
                <c:pt idx="2687">
                  <c:v>24.48</c:v>
                </c:pt>
                <c:pt idx="2688">
                  <c:v>8.4</c:v>
                </c:pt>
                <c:pt idx="2689">
                  <c:v>23.33</c:v>
                </c:pt>
                <c:pt idx="2690">
                  <c:v>10.86</c:v>
                </c:pt>
                <c:pt idx="2691">
                  <c:v>16.68</c:v>
                </c:pt>
                <c:pt idx="2692">
                  <c:v>6.84</c:v>
                </c:pt>
                <c:pt idx="2693">
                  <c:v>19.72</c:v>
                </c:pt>
                <c:pt idx="2694">
                  <c:v>24.52</c:v>
                </c:pt>
                <c:pt idx="2695">
                  <c:v>20.32</c:v>
                </c:pt>
                <c:pt idx="2696">
                  <c:v>16.55</c:v>
                </c:pt>
                <c:pt idx="2697">
                  <c:v>12.86</c:v>
                </c:pt>
                <c:pt idx="2698">
                  <c:v>10.6</c:v>
                </c:pt>
                <c:pt idx="2699">
                  <c:v>12.22</c:v>
                </c:pt>
                <c:pt idx="2700">
                  <c:v>10.220000000000001</c:v>
                </c:pt>
                <c:pt idx="2701">
                  <c:v>21.32</c:v>
                </c:pt>
                <c:pt idx="2702">
                  <c:v>22.65</c:v>
                </c:pt>
                <c:pt idx="2703">
                  <c:v>23.89</c:v>
                </c:pt>
                <c:pt idx="2704">
                  <c:v>12.2</c:v>
                </c:pt>
                <c:pt idx="2705">
                  <c:v>15.02</c:v>
                </c:pt>
                <c:pt idx="2706">
                  <c:v>15.69</c:v>
                </c:pt>
                <c:pt idx="2707">
                  <c:v>17.32</c:v>
                </c:pt>
                <c:pt idx="2708">
                  <c:v>3.05</c:v>
                </c:pt>
                <c:pt idx="2709">
                  <c:v>21.54</c:v>
                </c:pt>
                <c:pt idx="2710">
                  <c:v>8.9</c:v>
                </c:pt>
                <c:pt idx="2711">
                  <c:v>13.39</c:v>
                </c:pt>
                <c:pt idx="2712">
                  <c:v>21.51</c:v>
                </c:pt>
                <c:pt idx="2713">
                  <c:v>24.93</c:v>
                </c:pt>
                <c:pt idx="2714">
                  <c:v>20.49</c:v>
                </c:pt>
                <c:pt idx="2715">
                  <c:v>3.55</c:v>
                </c:pt>
                <c:pt idx="2716">
                  <c:v>11.11</c:v>
                </c:pt>
                <c:pt idx="2717">
                  <c:v>8.44</c:v>
                </c:pt>
                <c:pt idx="2718">
                  <c:v>24.21</c:v>
                </c:pt>
                <c:pt idx="2719">
                  <c:v>8.81</c:v>
                </c:pt>
                <c:pt idx="2720">
                  <c:v>23.75</c:v>
                </c:pt>
                <c:pt idx="2721">
                  <c:v>23.63</c:v>
                </c:pt>
                <c:pt idx="2722">
                  <c:v>21.47</c:v>
                </c:pt>
                <c:pt idx="2723">
                  <c:v>5.16</c:v>
                </c:pt>
                <c:pt idx="2724">
                  <c:v>3.04</c:v>
                </c:pt>
                <c:pt idx="2725">
                  <c:v>20.47</c:v>
                </c:pt>
                <c:pt idx="2726">
                  <c:v>21.55</c:v>
                </c:pt>
                <c:pt idx="2727">
                  <c:v>24.17</c:v>
                </c:pt>
                <c:pt idx="2728">
                  <c:v>7.8</c:v>
                </c:pt>
                <c:pt idx="2729">
                  <c:v>19.13</c:v>
                </c:pt>
                <c:pt idx="2730">
                  <c:v>14.42</c:v>
                </c:pt>
                <c:pt idx="2731">
                  <c:v>10.23</c:v>
                </c:pt>
                <c:pt idx="2732">
                  <c:v>16.34</c:v>
                </c:pt>
                <c:pt idx="2733">
                  <c:v>15.06</c:v>
                </c:pt>
                <c:pt idx="2734">
                  <c:v>9.43</c:v>
                </c:pt>
                <c:pt idx="2735">
                  <c:v>8.91</c:v>
                </c:pt>
                <c:pt idx="2736">
                  <c:v>13.7</c:v>
                </c:pt>
                <c:pt idx="2737">
                  <c:v>13.43</c:v>
                </c:pt>
                <c:pt idx="2738">
                  <c:v>9.65</c:v>
                </c:pt>
                <c:pt idx="2739">
                  <c:v>8.8000000000000007</c:v>
                </c:pt>
                <c:pt idx="2740">
                  <c:v>23.99</c:v>
                </c:pt>
                <c:pt idx="2741">
                  <c:v>21.97</c:v>
                </c:pt>
                <c:pt idx="2742">
                  <c:v>20.97</c:v>
                </c:pt>
                <c:pt idx="2743">
                  <c:v>7.71</c:v>
                </c:pt>
                <c:pt idx="2744">
                  <c:v>7.16</c:v>
                </c:pt>
                <c:pt idx="2745">
                  <c:v>20.81</c:v>
                </c:pt>
                <c:pt idx="2746">
                  <c:v>7.06</c:v>
                </c:pt>
                <c:pt idx="2747">
                  <c:v>14.08</c:v>
                </c:pt>
                <c:pt idx="2748">
                  <c:v>7.87</c:v>
                </c:pt>
                <c:pt idx="2749">
                  <c:v>11.32</c:v>
                </c:pt>
                <c:pt idx="2750">
                  <c:v>21.78</c:v>
                </c:pt>
                <c:pt idx="2751">
                  <c:v>22.61</c:v>
                </c:pt>
                <c:pt idx="2752">
                  <c:v>24.93</c:v>
                </c:pt>
                <c:pt idx="2753">
                  <c:v>23.77</c:v>
                </c:pt>
                <c:pt idx="2754">
                  <c:v>17.77</c:v>
                </c:pt>
                <c:pt idx="2755">
                  <c:v>12.5</c:v>
                </c:pt>
                <c:pt idx="2756">
                  <c:v>4.2699999999999996</c:v>
                </c:pt>
                <c:pt idx="2757">
                  <c:v>16.38</c:v>
                </c:pt>
                <c:pt idx="2758">
                  <c:v>7.63</c:v>
                </c:pt>
                <c:pt idx="2759">
                  <c:v>21.7</c:v>
                </c:pt>
                <c:pt idx="2760">
                  <c:v>15.08</c:v>
                </c:pt>
                <c:pt idx="2761">
                  <c:v>19.14</c:v>
                </c:pt>
                <c:pt idx="2762">
                  <c:v>17.82</c:v>
                </c:pt>
                <c:pt idx="2763">
                  <c:v>10.64</c:v>
                </c:pt>
                <c:pt idx="2764">
                  <c:v>19.7</c:v>
                </c:pt>
                <c:pt idx="2765">
                  <c:v>21.55</c:v>
                </c:pt>
                <c:pt idx="2766">
                  <c:v>19.37</c:v>
                </c:pt>
                <c:pt idx="2767">
                  <c:v>20.09</c:v>
                </c:pt>
                <c:pt idx="2768">
                  <c:v>10.92</c:v>
                </c:pt>
                <c:pt idx="2769">
                  <c:v>23.76</c:v>
                </c:pt>
                <c:pt idx="2770">
                  <c:v>12.34</c:v>
                </c:pt>
                <c:pt idx="2771">
                  <c:v>22.74</c:v>
                </c:pt>
                <c:pt idx="2772">
                  <c:v>21.87</c:v>
                </c:pt>
                <c:pt idx="2773">
                  <c:v>5.74</c:v>
                </c:pt>
                <c:pt idx="2774">
                  <c:v>24.26</c:v>
                </c:pt>
                <c:pt idx="2775">
                  <c:v>24.92</c:v>
                </c:pt>
                <c:pt idx="2776">
                  <c:v>16.34</c:v>
                </c:pt>
                <c:pt idx="2777">
                  <c:v>20.23</c:v>
                </c:pt>
                <c:pt idx="2778">
                  <c:v>23.54</c:v>
                </c:pt>
                <c:pt idx="2779">
                  <c:v>3.44</c:v>
                </c:pt>
                <c:pt idx="2780">
                  <c:v>23.46</c:v>
                </c:pt>
                <c:pt idx="2781">
                  <c:v>16.8</c:v>
                </c:pt>
                <c:pt idx="2782">
                  <c:v>21.23</c:v>
                </c:pt>
                <c:pt idx="2783">
                  <c:v>14.9</c:v>
                </c:pt>
                <c:pt idx="2784">
                  <c:v>14.67</c:v>
                </c:pt>
                <c:pt idx="2785">
                  <c:v>22.75</c:v>
                </c:pt>
                <c:pt idx="2786">
                  <c:v>14.16</c:v>
                </c:pt>
                <c:pt idx="2787">
                  <c:v>13.38</c:v>
                </c:pt>
                <c:pt idx="2788">
                  <c:v>16.38</c:v>
                </c:pt>
                <c:pt idx="2789">
                  <c:v>14.41</c:v>
                </c:pt>
                <c:pt idx="2790">
                  <c:v>12.82</c:v>
                </c:pt>
                <c:pt idx="2791">
                  <c:v>6.97</c:v>
                </c:pt>
                <c:pt idx="2792">
                  <c:v>11.74</c:v>
                </c:pt>
                <c:pt idx="2793">
                  <c:v>9.2100000000000009</c:v>
                </c:pt>
                <c:pt idx="2794">
                  <c:v>11.81</c:v>
                </c:pt>
                <c:pt idx="2795">
                  <c:v>16.05</c:v>
                </c:pt>
                <c:pt idx="2796">
                  <c:v>16.39</c:v>
                </c:pt>
                <c:pt idx="2797">
                  <c:v>8.25</c:v>
                </c:pt>
                <c:pt idx="2798">
                  <c:v>4.8600000000000003</c:v>
                </c:pt>
                <c:pt idx="2799">
                  <c:v>19.38</c:v>
                </c:pt>
                <c:pt idx="2800">
                  <c:v>14.63</c:v>
                </c:pt>
                <c:pt idx="2801">
                  <c:v>12.73</c:v>
                </c:pt>
                <c:pt idx="2802">
                  <c:v>5.85</c:v>
                </c:pt>
                <c:pt idx="2803">
                  <c:v>12.12</c:v>
                </c:pt>
                <c:pt idx="2804">
                  <c:v>21</c:v>
                </c:pt>
                <c:pt idx="2805">
                  <c:v>15.79</c:v>
                </c:pt>
                <c:pt idx="2806">
                  <c:v>5</c:v>
                </c:pt>
                <c:pt idx="2807">
                  <c:v>10.31</c:v>
                </c:pt>
                <c:pt idx="2808">
                  <c:v>24.56</c:v>
                </c:pt>
                <c:pt idx="2809">
                  <c:v>14.98</c:v>
                </c:pt>
                <c:pt idx="2810">
                  <c:v>9.3000000000000007</c:v>
                </c:pt>
                <c:pt idx="2811">
                  <c:v>23.1</c:v>
                </c:pt>
                <c:pt idx="2812">
                  <c:v>10.39</c:v>
                </c:pt>
                <c:pt idx="2813">
                  <c:v>19.059999999999999</c:v>
                </c:pt>
                <c:pt idx="2814">
                  <c:v>6.24</c:v>
                </c:pt>
                <c:pt idx="2815">
                  <c:v>6.44</c:v>
                </c:pt>
                <c:pt idx="2816">
                  <c:v>15.35</c:v>
                </c:pt>
                <c:pt idx="2817">
                  <c:v>8.2799999999999994</c:v>
                </c:pt>
                <c:pt idx="2818">
                  <c:v>4.09</c:v>
                </c:pt>
                <c:pt idx="2819">
                  <c:v>23.38</c:v>
                </c:pt>
                <c:pt idx="2820">
                  <c:v>4.2300000000000004</c:v>
                </c:pt>
                <c:pt idx="2821">
                  <c:v>18.78</c:v>
                </c:pt>
                <c:pt idx="2822">
                  <c:v>10.33</c:v>
                </c:pt>
                <c:pt idx="2823">
                  <c:v>23.54</c:v>
                </c:pt>
                <c:pt idx="2824">
                  <c:v>24.69</c:v>
                </c:pt>
                <c:pt idx="2825">
                  <c:v>10.38</c:v>
                </c:pt>
                <c:pt idx="2826">
                  <c:v>16</c:v>
                </c:pt>
                <c:pt idx="2827">
                  <c:v>20.010000000000002</c:v>
                </c:pt>
                <c:pt idx="2828">
                  <c:v>5.72</c:v>
                </c:pt>
                <c:pt idx="2829">
                  <c:v>18.61</c:v>
                </c:pt>
                <c:pt idx="2830">
                  <c:v>22.94</c:v>
                </c:pt>
                <c:pt idx="2831">
                  <c:v>6.93</c:v>
                </c:pt>
                <c:pt idx="2832">
                  <c:v>21.45</c:v>
                </c:pt>
                <c:pt idx="2833">
                  <c:v>5.54</c:v>
                </c:pt>
                <c:pt idx="2834">
                  <c:v>15.5</c:v>
                </c:pt>
                <c:pt idx="2835">
                  <c:v>10.47</c:v>
                </c:pt>
                <c:pt idx="2836">
                  <c:v>13.38</c:v>
                </c:pt>
                <c:pt idx="2837">
                  <c:v>9.61</c:v>
                </c:pt>
                <c:pt idx="2838">
                  <c:v>8.73</c:v>
                </c:pt>
                <c:pt idx="2839">
                  <c:v>19.350000000000001</c:v>
                </c:pt>
                <c:pt idx="2840">
                  <c:v>7.91</c:v>
                </c:pt>
                <c:pt idx="2841">
                  <c:v>11.99</c:v>
                </c:pt>
                <c:pt idx="2842">
                  <c:v>9.0399999999999991</c:v>
                </c:pt>
                <c:pt idx="2843">
                  <c:v>8.25</c:v>
                </c:pt>
                <c:pt idx="2844">
                  <c:v>16.8</c:v>
                </c:pt>
                <c:pt idx="2845">
                  <c:v>4</c:v>
                </c:pt>
                <c:pt idx="2846">
                  <c:v>20.36</c:v>
                </c:pt>
                <c:pt idx="2847">
                  <c:v>15.02</c:v>
                </c:pt>
                <c:pt idx="2848">
                  <c:v>21.23</c:v>
                </c:pt>
                <c:pt idx="2849">
                  <c:v>7.69</c:v>
                </c:pt>
                <c:pt idx="2850">
                  <c:v>18.61</c:v>
                </c:pt>
                <c:pt idx="2851">
                  <c:v>12.25</c:v>
                </c:pt>
                <c:pt idx="2852">
                  <c:v>4.6900000000000004</c:v>
                </c:pt>
                <c:pt idx="2853">
                  <c:v>19.55</c:v>
                </c:pt>
                <c:pt idx="2854">
                  <c:v>19.77</c:v>
                </c:pt>
                <c:pt idx="2855">
                  <c:v>8.9600000000000009</c:v>
                </c:pt>
                <c:pt idx="2856">
                  <c:v>23.15</c:v>
                </c:pt>
                <c:pt idx="2857">
                  <c:v>19.809999999999999</c:v>
                </c:pt>
                <c:pt idx="2858">
                  <c:v>9.75</c:v>
                </c:pt>
                <c:pt idx="2859">
                  <c:v>8.26</c:v>
                </c:pt>
                <c:pt idx="2860">
                  <c:v>12.68</c:v>
                </c:pt>
                <c:pt idx="2861">
                  <c:v>9.44</c:v>
                </c:pt>
                <c:pt idx="2862">
                  <c:v>7.77</c:v>
                </c:pt>
                <c:pt idx="2863">
                  <c:v>11.78</c:v>
                </c:pt>
                <c:pt idx="2864">
                  <c:v>3.57</c:v>
                </c:pt>
                <c:pt idx="2865">
                  <c:v>11.83</c:v>
                </c:pt>
                <c:pt idx="2866">
                  <c:v>7.88</c:v>
                </c:pt>
                <c:pt idx="2867">
                  <c:v>8.82</c:v>
                </c:pt>
                <c:pt idx="2868">
                  <c:v>4.82</c:v>
                </c:pt>
                <c:pt idx="2869">
                  <c:v>15.96</c:v>
                </c:pt>
                <c:pt idx="2870">
                  <c:v>13.38</c:v>
                </c:pt>
                <c:pt idx="2871">
                  <c:v>19.510000000000002</c:v>
                </c:pt>
                <c:pt idx="2872">
                  <c:v>24.72</c:v>
                </c:pt>
                <c:pt idx="2873">
                  <c:v>5.63</c:v>
                </c:pt>
                <c:pt idx="2874">
                  <c:v>8.99</c:v>
                </c:pt>
                <c:pt idx="2875">
                  <c:v>18.010000000000002</c:v>
                </c:pt>
                <c:pt idx="2876">
                  <c:v>8.2200000000000006</c:v>
                </c:pt>
                <c:pt idx="2877">
                  <c:v>3.66</c:v>
                </c:pt>
                <c:pt idx="2878">
                  <c:v>5.42</c:v>
                </c:pt>
                <c:pt idx="2879">
                  <c:v>12.54</c:v>
                </c:pt>
                <c:pt idx="2880">
                  <c:v>12.48</c:v>
                </c:pt>
                <c:pt idx="2881">
                  <c:v>24.39</c:v>
                </c:pt>
                <c:pt idx="2882">
                  <c:v>13.25</c:v>
                </c:pt>
                <c:pt idx="2883">
                  <c:v>17.920000000000002</c:v>
                </c:pt>
                <c:pt idx="2884">
                  <c:v>13.83</c:v>
                </c:pt>
                <c:pt idx="2885">
                  <c:v>8.94</c:v>
                </c:pt>
                <c:pt idx="2886">
                  <c:v>5.32</c:v>
                </c:pt>
                <c:pt idx="2887">
                  <c:v>21.9</c:v>
                </c:pt>
                <c:pt idx="2888">
                  <c:v>6.36</c:v>
                </c:pt>
                <c:pt idx="2889">
                  <c:v>5.13</c:v>
                </c:pt>
                <c:pt idx="2890">
                  <c:v>7.7</c:v>
                </c:pt>
                <c:pt idx="2891">
                  <c:v>3.05</c:v>
                </c:pt>
                <c:pt idx="2892">
                  <c:v>4.58</c:v>
                </c:pt>
                <c:pt idx="2893">
                  <c:v>16.97</c:v>
                </c:pt>
                <c:pt idx="2894">
                  <c:v>8.36</c:v>
                </c:pt>
                <c:pt idx="2895">
                  <c:v>10.45</c:v>
                </c:pt>
                <c:pt idx="2896">
                  <c:v>21.38</c:v>
                </c:pt>
                <c:pt idx="2897">
                  <c:v>20</c:v>
                </c:pt>
                <c:pt idx="2898">
                  <c:v>13.83</c:v>
                </c:pt>
                <c:pt idx="2899">
                  <c:v>16.489999999999998</c:v>
                </c:pt>
                <c:pt idx="2900">
                  <c:v>4.8899999999999997</c:v>
                </c:pt>
                <c:pt idx="2901">
                  <c:v>19.760000000000002</c:v>
                </c:pt>
                <c:pt idx="2902">
                  <c:v>14.36</c:v>
                </c:pt>
                <c:pt idx="2903">
                  <c:v>15.56</c:v>
                </c:pt>
                <c:pt idx="2904">
                  <c:v>17.64</c:v>
                </c:pt>
                <c:pt idx="2905">
                  <c:v>14</c:v>
                </c:pt>
                <c:pt idx="2906">
                  <c:v>14.48</c:v>
                </c:pt>
                <c:pt idx="2907">
                  <c:v>13.99</c:v>
                </c:pt>
                <c:pt idx="2908">
                  <c:v>13.93</c:v>
                </c:pt>
                <c:pt idx="2909">
                  <c:v>19.5</c:v>
                </c:pt>
                <c:pt idx="2910">
                  <c:v>12.4</c:v>
                </c:pt>
                <c:pt idx="2911">
                  <c:v>3.06</c:v>
                </c:pt>
                <c:pt idx="2912">
                  <c:v>16.47</c:v>
                </c:pt>
                <c:pt idx="2913">
                  <c:v>23.96</c:v>
                </c:pt>
                <c:pt idx="2914">
                  <c:v>8.65</c:v>
                </c:pt>
                <c:pt idx="2915">
                  <c:v>20.96</c:v>
                </c:pt>
                <c:pt idx="2916">
                  <c:v>13.02</c:v>
                </c:pt>
                <c:pt idx="2917">
                  <c:v>17.149999999999999</c:v>
                </c:pt>
                <c:pt idx="2918">
                  <c:v>22.6</c:v>
                </c:pt>
                <c:pt idx="2919">
                  <c:v>19.96</c:v>
                </c:pt>
                <c:pt idx="2920">
                  <c:v>22.46</c:v>
                </c:pt>
                <c:pt idx="2921">
                  <c:v>3.21</c:v>
                </c:pt>
                <c:pt idx="2922">
                  <c:v>7.12</c:v>
                </c:pt>
                <c:pt idx="2923">
                  <c:v>12.32</c:v>
                </c:pt>
                <c:pt idx="2924">
                  <c:v>21.65</c:v>
                </c:pt>
                <c:pt idx="2925">
                  <c:v>21.44</c:v>
                </c:pt>
                <c:pt idx="2926">
                  <c:v>7.07</c:v>
                </c:pt>
                <c:pt idx="2927">
                  <c:v>6.13</c:v>
                </c:pt>
                <c:pt idx="2928">
                  <c:v>21.36</c:v>
                </c:pt>
                <c:pt idx="2929">
                  <c:v>14.91</c:v>
                </c:pt>
                <c:pt idx="2930">
                  <c:v>16.79</c:v>
                </c:pt>
                <c:pt idx="2931">
                  <c:v>20.8</c:v>
                </c:pt>
                <c:pt idx="2932">
                  <c:v>7.66</c:v>
                </c:pt>
                <c:pt idx="2933">
                  <c:v>6</c:v>
                </c:pt>
                <c:pt idx="2934">
                  <c:v>21.9</c:v>
                </c:pt>
                <c:pt idx="2935">
                  <c:v>5.46</c:v>
                </c:pt>
                <c:pt idx="2936">
                  <c:v>4.9400000000000004</c:v>
                </c:pt>
                <c:pt idx="2937">
                  <c:v>9.1</c:v>
                </c:pt>
                <c:pt idx="2938">
                  <c:v>9.9700000000000006</c:v>
                </c:pt>
                <c:pt idx="2939">
                  <c:v>8.3000000000000007</c:v>
                </c:pt>
                <c:pt idx="2940">
                  <c:v>19.32</c:v>
                </c:pt>
                <c:pt idx="2941">
                  <c:v>24.41</c:v>
                </c:pt>
                <c:pt idx="2942">
                  <c:v>7.39</c:v>
                </c:pt>
                <c:pt idx="2943">
                  <c:v>20.2</c:v>
                </c:pt>
                <c:pt idx="2944">
                  <c:v>3.97</c:v>
                </c:pt>
                <c:pt idx="2945">
                  <c:v>5.62</c:v>
                </c:pt>
                <c:pt idx="2946">
                  <c:v>14.33</c:v>
                </c:pt>
                <c:pt idx="2947">
                  <c:v>24.99</c:v>
                </c:pt>
                <c:pt idx="2948">
                  <c:v>23.89</c:v>
                </c:pt>
                <c:pt idx="2949">
                  <c:v>5.46</c:v>
                </c:pt>
                <c:pt idx="2950">
                  <c:v>8.27</c:v>
                </c:pt>
                <c:pt idx="2951">
                  <c:v>23.81</c:v>
                </c:pt>
                <c:pt idx="2952">
                  <c:v>6.32</c:v>
                </c:pt>
                <c:pt idx="2953">
                  <c:v>19.34</c:v>
                </c:pt>
                <c:pt idx="2954">
                  <c:v>3.02</c:v>
                </c:pt>
                <c:pt idx="2955">
                  <c:v>16.899999999999999</c:v>
                </c:pt>
                <c:pt idx="2956">
                  <c:v>13.88</c:v>
                </c:pt>
                <c:pt idx="2957">
                  <c:v>13.36</c:v>
                </c:pt>
                <c:pt idx="2958">
                  <c:v>21.24</c:v>
                </c:pt>
                <c:pt idx="2959">
                  <c:v>4.78</c:v>
                </c:pt>
                <c:pt idx="2960">
                  <c:v>11.3</c:v>
                </c:pt>
                <c:pt idx="2961">
                  <c:v>12.81</c:v>
                </c:pt>
                <c:pt idx="2962">
                  <c:v>5.73</c:v>
                </c:pt>
                <c:pt idx="2963">
                  <c:v>4.88</c:v>
                </c:pt>
                <c:pt idx="2964">
                  <c:v>6.95</c:v>
                </c:pt>
                <c:pt idx="2965">
                  <c:v>8.3000000000000007</c:v>
                </c:pt>
                <c:pt idx="2966">
                  <c:v>24.25</c:v>
                </c:pt>
                <c:pt idx="2967">
                  <c:v>13.46</c:v>
                </c:pt>
                <c:pt idx="2968">
                  <c:v>14.23</c:v>
                </c:pt>
                <c:pt idx="2969">
                  <c:v>18.55</c:v>
                </c:pt>
                <c:pt idx="2970">
                  <c:v>18.05</c:v>
                </c:pt>
                <c:pt idx="2971">
                  <c:v>14.06</c:v>
                </c:pt>
                <c:pt idx="2972">
                  <c:v>10.48</c:v>
                </c:pt>
                <c:pt idx="2973">
                  <c:v>10.28</c:v>
                </c:pt>
                <c:pt idx="2974">
                  <c:v>4.2699999999999996</c:v>
                </c:pt>
                <c:pt idx="2975">
                  <c:v>22.79</c:v>
                </c:pt>
                <c:pt idx="2976">
                  <c:v>19.93</c:v>
                </c:pt>
                <c:pt idx="2977">
                  <c:v>16.71</c:v>
                </c:pt>
                <c:pt idx="2978">
                  <c:v>11.71</c:v>
                </c:pt>
                <c:pt idx="2979">
                  <c:v>15.81</c:v>
                </c:pt>
                <c:pt idx="2980">
                  <c:v>13.67</c:v>
                </c:pt>
                <c:pt idx="2981">
                  <c:v>9.0299999999999994</c:v>
                </c:pt>
                <c:pt idx="2982">
                  <c:v>9.57</c:v>
                </c:pt>
                <c:pt idx="2983">
                  <c:v>22.24</c:v>
                </c:pt>
                <c:pt idx="2984">
                  <c:v>16.97</c:v>
                </c:pt>
                <c:pt idx="2985">
                  <c:v>3.03</c:v>
                </c:pt>
                <c:pt idx="2986">
                  <c:v>10.19</c:v>
                </c:pt>
                <c:pt idx="2987">
                  <c:v>10.48</c:v>
                </c:pt>
                <c:pt idx="2988">
                  <c:v>18.54</c:v>
                </c:pt>
                <c:pt idx="2989">
                  <c:v>18.41</c:v>
                </c:pt>
                <c:pt idx="2990">
                  <c:v>13.21</c:v>
                </c:pt>
                <c:pt idx="2991">
                  <c:v>23.92</c:v>
                </c:pt>
                <c:pt idx="2992">
                  <c:v>22.19</c:v>
                </c:pt>
                <c:pt idx="2993">
                  <c:v>22.06</c:v>
                </c:pt>
                <c:pt idx="2994">
                  <c:v>10.66</c:v>
                </c:pt>
                <c:pt idx="2995">
                  <c:v>12.48</c:v>
                </c:pt>
                <c:pt idx="2996">
                  <c:v>12.22</c:v>
                </c:pt>
                <c:pt idx="2997">
                  <c:v>12.69</c:v>
                </c:pt>
                <c:pt idx="2998">
                  <c:v>22.56</c:v>
                </c:pt>
                <c:pt idx="2999">
                  <c:v>8.48</c:v>
                </c:pt>
                <c:pt idx="3000">
                  <c:v>20.65</c:v>
                </c:pt>
                <c:pt idx="3001">
                  <c:v>14.31</c:v>
                </c:pt>
                <c:pt idx="3002">
                  <c:v>8.48</c:v>
                </c:pt>
                <c:pt idx="3003">
                  <c:v>14.6</c:v>
                </c:pt>
                <c:pt idx="3004">
                  <c:v>7.3</c:v>
                </c:pt>
                <c:pt idx="3005">
                  <c:v>5.38</c:v>
                </c:pt>
                <c:pt idx="3006">
                  <c:v>21.44</c:v>
                </c:pt>
                <c:pt idx="3007">
                  <c:v>18.39</c:v>
                </c:pt>
                <c:pt idx="3008">
                  <c:v>7.51</c:v>
                </c:pt>
                <c:pt idx="3009">
                  <c:v>23.73</c:v>
                </c:pt>
                <c:pt idx="3010">
                  <c:v>3.54</c:v>
                </c:pt>
                <c:pt idx="3011">
                  <c:v>10.33</c:v>
                </c:pt>
                <c:pt idx="3012">
                  <c:v>3.48</c:v>
                </c:pt>
                <c:pt idx="3013">
                  <c:v>6.13</c:v>
                </c:pt>
                <c:pt idx="3014">
                  <c:v>6.96</c:v>
                </c:pt>
                <c:pt idx="3015">
                  <c:v>20.83</c:v>
                </c:pt>
                <c:pt idx="3016">
                  <c:v>24.85</c:v>
                </c:pt>
                <c:pt idx="3017">
                  <c:v>22.08</c:v>
                </c:pt>
                <c:pt idx="3018">
                  <c:v>16.97</c:v>
                </c:pt>
                <c:pt idx="3019">
                  <c:v>18.899999999999999</c:v>
                </c:pt>
                <c:pt idx="3020">
                  <c:v>14.5</c:v>
                </c:pt>
                <c:pt idx="3021">
                  <c:v>12.3</c:v>
                </c:pt>
                <c:pt idx="3022">
                  <c:v>18.23</c:v>
                </c:pt>
                <c:pt idx="3023">
                  <c:v>24.41</c:v>
                </c:pt>
                <c:pt idx="3024">
                  <c:v>3.64</c:v>
                </c:pt>
                <c:pt idx="3025">
                  <c:v>9.91</c:v>
                </c:pt>
                <c:pt idx="3026">
                  <c:v>10.26</c:v>
                </c:pt>
                <c:pt idx="3027">
                  <c:v>12.11</c:v>
                </c:pt>
                <c:pt idx="3028">
                  <c:v>16.79</c:v>
                </c:pt>
                <c:pt idx="3029">
                  <c:v>14.3</c:v>
                </c:pt>
                <c:pt idx="3030">
                  <c:v>3.41</c:v>
                </c:pt>
                <c:pt idx="3031">
                  <c:v>12.06</c:v>
                </c:pt>
                <c:pt idx="3032">
                  <c:v>16.63</c:v>
                </c:pt>
                <c:pt idx="3033">
                  <c:v>14.11</c:v>
                </c:pt>
                <c:pt idx="3034">
                  <c:v>22.19</c:v>
                </c:pt>
                <c:pt idx="3035">
                  <c:v>11.77</c:v>
                </c:pt>
                <c:pt idx="3036">
                  <c:v>3.28</c:v>
                </c:pt>
                <c:pt idx="3037">
                  <c:v>9.27</c:v>
                </c:pt>
                <c:pt idx="3038">
                  <c:v>5.98</c:v>
                </c:pt>
                <c:pt idx="3039">
                  <c:v>8.51</c:v>
                </c:pt>
                <c:pt idx="3040">
                  <c:v>10.97</c:v>
                </c:pt>
                <c:pt idx="3041">
                  <c:v>17.89</c:v>
                </c:pt>
                <c:pt idx="3042">
                  <c:v>10.130000000000001</c:v>
                </c:pt>
                <c:pt idx="3043">
                  <c:v>22.45</c:v>
                </c:pt>
                <c:pt idx="3044">
                  <c:v>9.59</c:v>
                </c:pt>
                <c:pt idx="3045">
                  <c:v>6.01</c:v>
                </c:pt>
                <c:pt idx="3046">
                  <c:v>6.72</c:v>
                </c:pt>
                <c:pt idx="3047">
                  <c:v>23.56</c:v>
                </c:pt>
                <c:pt idx="3048">
                  <c:v>13.01</c:v>
                </c:pt>
                <c:pt idx="3049">
                  <c:v>11.87</c:v>
                </c:pt>
                <c:pt idx="3050">
                  <c:v>4.5199999999999996</c:v>
                </c:pt>
                <c:pt idx="3051">
                  <c:v>19.13</c:v>
                </c:pt>
                <c:pt idx="3052">
                  <c:v>18.28</c:v>
                </c:pt>
                <c:pt idx="3053">
                  <c:v>11.27</c:v>
                </c:pt>
                <c:pt idx="3054">
                  <c:v>18.22</c:v>
                </c:pt>
                <c:pt idx="3055">
                  <c:v>11.08</c:v>
                </c:pt>
                <c:pt idx="3056">
                  <c:v>4.6100000000000003</c:v>
                </c:pt>
                <c:pt idx="3057">
                  <c:v>19.239999999999998</c:v>
                </c:pt>
                <c:pt idx="3058">
                  <c:v>24.23</c:v>
                </c:pt>
                <c:pt idx="3059">
                  <c:v>17.260000000000002</c:v>
                </c:pt>
                <c:pt idx="3060">
                  <c:v>9.08</c:v>
                </c:pt>
                <c:pt idx="3061">
                  <c:v>8.94</c:v>
                </c:pt>
                <c:pt idx="3062">
                  <c:v>23.44</c:v>
                </c:pt>
                <c:pt idx="3063">
                  <c:v>9.67</c:v>
                </c:pt>
                <c:pt idx="3064">
                  <c:v>19.899999999999999</c:v>
                </c:pt>
                <c:pt idx="3065">
                  <c:v>17.14</c:v>
                </c:pt>
                <c:pt idx="3066">
                  <c:v>16.04</c:v>
                </c:pt>
                <c:pt idx="3067">
                  <c:v>6.98</c:v>
                </c:pt>
                <c:pt idx="3068">
                  <c:v>3.76</c:v>
                </c:pt>
                <c:pt idx="3069">
                  <c:v>13.75</c:v>
                </c:pt>
                <c:pt idx="3070">
                  <c:v>24.74</c:v>
                </c:pt>
                <c:pt idx="3071">
                  <c:v>7.31</c:v>
                </c:pt>
                <c:pt idx="3072">
                  <c:v>14.81</c:v>
                </c:pt>
                <c:pt idx="3073">
                  <c:v>17.760000000000002</c:v>
                </c:pt>
                <c:pt idx="3074">
                  <c:v>13.64</c:v>
                </c:pt>
                <c:pt idx="3075">
                  <c:v>14.15</c:v>
                </c:pt>
                <c:pt idx="3076">
                  <c:v>17.55</c:v>
                </c:pt>
                <c:pt idx="3077">
                  <c:v>20.93</c:v>
                </c:pt>
                <c:pt idx="3078">
                  <c:v>10.33</c:v>
                </c:pt>
                <c:pt idx="3079">
                  <c:v>22.78</c:v>
                </c:pt>
                <c:pt idx="3080">
                  <c:v>13.67</c:v>
                </c:pt>
                <c:pt idx="3081">
                  <c:v>17.559999999999999</c:v>
                </c:pt>
                <c:pt idx="3082">
                  <c:v>5.34</c:v>
                </c:pt>
                <c:pt idx="3083">
                  <c:v>13.83</c:v>
                </c:pt>
                <c:pt idx="3084">
                  <c:v>3.35</c:v>
                </c:pt>
                <c:pt idx="3085">
                  <c:v>11.6</c:v>
                </c:pt>
                <c:pt idx="3086">
                  <c:v>4.2</c:v>
                </c:pt>
                <c:pt idx="3087">
                  <c:v>22.73</c:v>
                </c:pt>
                <c:pt idx="3088">
                  <c:v>17.8</c:v>
                </c:pt>
                <c:pt idx="3089">
                  <c:v>20.420000000000002</c:v>
                </c:pt>
                <c:pt idx="3090">
                  <c:v>13.29</c:v>
                </c:pt>
                <c:pt idx="3091">
                  <c:v>21.74</c:v>
                </c:pt>
                <c:pt idx="3092">
                  <c:v>22.21</c:v>
                </c:pt>
                <c:pt idx="3093">
                  <c:v>10.85</c:v>
                </c:pt>
                <c:pt idx="3094">
                  <c:v>11.29</c:v>
                </c:pt>
                <c:pt idx="3095">
                  <c:v>14.18</c:v>
                </c:pt>
                <c:pt idx="3096">
                  <c:v>3.93</c:v>
                </c:pt>
                <c:pt idx="3097">
                  <c:v>24.91</c:v>
                </c:pt>
                <c:pt idx="3098">
                  <c:v>10.9</c:v>
                </c:pt>
                <c:pt idx="3099">
                  <c:v>13.36</c:v>
                </c:pt>
                <c:pt idx="3100">
                  <c:v>19.600000000000001</c:v>
                </c:pt>
                <c:pt idx="3101">
                  <c:v>9.5500000000000007</c:v>
                </c:pt>
                <c:pt idx="3102">
                  <c:v>7.44</c:v>
                </c:pt>
                <c:pt idx="3103">
                  <c:v>5.8</c:v>
                </c:pt>
                <c:pt idx="3104">
                  <c:v>14.62</c:v>
                </c:pt>
                <c:pt idx="3105">
                  <c:v>3.12</c:v>
                </c:pt>
                <c:pt idx="3106">
                  <c:v>18.61</c:v>
                </c:pt>
                <c:pt idx="3107">
                  <c:v>13.15</c:v>
                </c:pt>
                <c:pt idx="3108">
                  <c:v>14.7</c:v>
                </c:pt>
                <c:pt idx="3109">
                  <c:v>8.7899999999999991</c:v>
                </c:pt>
                <c:pt idx="3110">
                  <c:v>6.92</c:v>
                </c:pt>
                <c:pt idx="3111">
                  <c:v>18.399999999999999</c:v>
                </c:pt>
                <c:pt idx="3112">
                  <c:v>7.63</c:v>
                </c:pt>
                <c:pt idx="3113">
                  <c:v>20.16</c:v>
                </c:pt>
                <c:pt idx="3114">
                  <c:v>7.48</c:v>
                </c:pt>
                <c:pt idx="3115">
                  <c:v>16.48</c:v>
                </c:pt>
                <c:pt idx="3116">
                  <c:v>17.170000000000002</c:v>
                </c:pt>
                <c:pt idx="3117">
                  <c:v>14.12</c:v>
                </c:pt>
                <c:pt idx="3118">
                  <c:v>24.93</c:v>
                </c:pt>
                <c:pt idx="3119">
                  <c:v>11.27</c:v>
                </c:pt>
                <c:pt idx="3120">
                  <c:v>22.43</c:v>
                </c:pt>
                <c:pt idx="3121">
                  <c:v>6.72</c:v>
                </c:pt>
                <c:pt idx="3122">
                  <c:v>10.42</c:v>
                </c:pt>
                <c:pt idx="3123">
                  <c:v>6.2</c:v>
                </c:pt>
                <c:pt idx="3124">
                  <c:v>16.28</c:v>
                </c:pt>
                <c:pt idx="3125">
                  <c:v>17.04</c:v>
                </c:pt>
                <c:pt idx="3126">
                  <c:v>12.98</c:v>
                </c:pt>
                <c:pt idx="3127">
                  <c:v>18.84</c:v>
                </c:pt>
                <c:pt idx="3128">
                  <c:v>22.09</c:v>
                </c:pt>
                <c:pt idx="3129">
                  <c:v>20.079999999999998</c:v>
                </c:pt>
                <c:pt idx="3130">
                  <c:v>8.32</c:v>
                </c:pt>
                <c:pt idx="3131">
                  <c:v>10.050000000000001</c:v>
                </c:pt>
                <c:pt idx="3132">
                  <c:v>11.37</c:v>
                </c:pt>
                <c:pt idx="3133">
                  <c:v>7.48</c:v>
                </c:pt>
                <c:pt idx="3134">
                  <c:v>10.95</c:v>
                </c:pt>
                <c:pt idx="3135">
                  <c:v>8.24</c:v>
                </c:pt>
                <c:pt idx="3136">
                  <c:v>24.91</c:v>
                </c:pt>
                <c:pt idx="3137">
                  <c:v>20.23</c:v>
                </c:pt>
                <c:pt idx="3138">
                  <c:v>21.92</c:v>
                </c:pt>
                <c:pt idx="3139">
                  <c:v>23.29</c:v>
                </c:pt>
                <c:pt idx="3140">
                  <c:v>17.63</c:v>
                </c:pt>
                <c:pt idx="3141">
                  <c:v>6.87</c:v>
                </c:pt>
                <c:pt idx="3142">
                  <c:v>19.690000000000001</c:v>
                </c:pt>
                <c:pt idx="3143">
                  <c:v>3.34</c:v>
                </c:pt>
                <c:pt idx="3144">
                  <c:v>5.49</c:v>
                </c:pt>
                <c:pt idx="3145">
                  <c:v>3.65</c:v>
                </c:pt>
                <c:pt idx="3146">
                  <c:v>5.98</c:v>
                </c:pt>
                <c:pt idx="3147">
                  <c:v>19.54</c:v>
                </c:pt>
                <c:pt idx="3148">
                  <c:v>22.48</c:v>
                </c:pt>
                <c:pt idx="3149">
                  <c:v>9.1300000000000008</c:v>
                </c:pt>
                <c:pt idx="3150">
                  <c:v>5.62</c:v>
                </c:pt>
                <c:pt idx="3151">
                  <c:v>9.01</c:v>
                </c:pt>
                <c:pt idx="3152">
                  <c:v>17.239999999999998</c:v>
                </c:pt>
                <c:pt idx="3153">
                  <c:v>10.7</c:v>
                </c:pt>
                <c:pt idx="3154">
                  <c:v>24.15</c:v>
                </c:pt>
                <c:pt idx="3155">
                  <c:v>5.88</c:v>
                </c:pt>
                <c:pt idx="3156">
                  <c:v>24.79</c:v>
                </c:pt>
                <c:pt idx="3157">
                  <c:v>3.27</c:v>
                </c:pt>
                <c:pt idx="3158">
                  <c:v>12.94</c:v>
                </c:pt>
                <c:pt idx="3159">
                  <c:v>8.5399999999999991</c:v>
                </c:pt>
                <c:pt idx="3160">
                  <c:v>15.46</c:v>
                </c:pt>
                <c:pt idx="3161">
                  <c:v>5.12</c:v>
                </c:pt>
                <c:pt idx="3162">
                  <c:v>22.27</c:v>
                </c:pt>
                <c:pt idx="3163">
                  <c:v>6</c:v>
                </c:pt>
                <c:pt idx="3164">
                  <c:v>15.92</c:v>
                </c:pt>
                <c:pt idx="3165">
                  <c:v>3.73</c:v>
                </c:pt>
                <c:pt idx="3166">
                  <c:v>9.84</c:v>
                </c:pt>
                <c:pt idx="3167">
                  <c:v>6.29</c:v>
                </c:pt>
                <c:pt idx="3168">
                  <c:v>24.51</c:v>
                </c:pt>
                <c:pt idx="3169">
                  <c:v>3.26</c:v>
                </c:pt>
                <c:pt idx="3170">
                  <c:v>10.75</c:v>
                </c:pt>
                <c:pt idx="3171">
                  <c:v>9.66</c:v>
                </c:pt>
                <c:pt idx="3172">
                  <c:v>17.46</c:v>
                </c:pt>
                <c:pt idx="3173">
                  <c:v>4.24</c:v>
                </c:pt>
                <c:pt idx="3174">
                  <c:v>20.83</c:v>
                </c:pt>
                <c:pt idx="3175">
                  <c:v>13.26</c:v>
                </c:pt>
                <c:pt idx="3176">
                  <c:v>12.96</c:v>
                </c:pt>
                <c:pt idx="3177">
                  <c:v>7.99</c:v>
                </c:pt>
                <c:pt idx="3178">
                  <c:v>13.78</c:v>
                </c:pt>
                <c:pt idx="3179">
                  <c:v>11.01</c:v>
                </c:pt>
                <c:pt idx="3180">
                  <c:v>8.39</c:v>
                </c:pt>
                <c:pt idx="3181">
                  <c:v>6.71</c:v>
                </c:pt>
                <c:pt idx="3182">
                  <c:v>19.02</c:v>
                </c:pt>
                <c:pt idx="3183">
                  <c:v>6.12</c:v>
                </c:pt>
                <c:pt idx="3184">
                  <c:v>6.7</c:v>
                </c:pt>
                <c:pt idx="3185">
                  <c:v>15.7</c:v>
                </c:pt>
                <c:pt idx="3186">
                  <c:v>7.97</c:v>
                </c:pt>
                <c:pt idx="3187">
                  <c:v>13.11</c:v>
                </c:pt>
                <c:pt idx="3188">
                  <c:v>15.16</c:v>
                </c:pt>
                <c:pt idx="3189">
                  <c:v>9.0399999999999991</c:v>
                </c:pt>
                <c:pt idx="3190">
                  <c:v>10.56</c:v>
                </c:pt>
                <c:pt idx="3191">
                  <c:v>7.62</c:v>
                </c:pt>
                <c:pt idx="3192">
                  <c:v>13.13</c:v>
                </c:pt>
                <c:pt idx="3193">
                  <c:v>24.83</c:v>
                </c:pt>
                <c:pt idx="3194">
                  <c:v>10.98</c:v>
                </c:pt>
                <c:pt idx="3195">
                  <c:v>17.37</c:v>
                </c:pt>
                <c:pt idx="3196">
                  <c:v>16.989999999999998</c:v>
                </c:pt>
                <c:pt idx="3197">
                  <c:v>20.3</c:v>
                </c:pt>
                <c:pt idx="3198">
                  <c:v>18.66</c:v>
                </c:pt>
                <c:pt idx="3199">
                  <c:v>3.26</c:v>
                </c:pt>
                <c:pt idx="3200">
                  <c:v>9.8000000000000007</c:v>
                </c:pt>
                <c:pt idx="3201">
                  <c:v>22.15</c:v>
                </c:pt>
                <c:pt idx="3202">
                  <c:v>14.87</c:v>
                </c:pt>
                <c:pt idx="3203">
                  <c:v>5.29</c:v>
                </c:pt>
                <c:pt idx="3204">
                  <c:v>9.08</c:v>
                </c:pt>
                <c:pt idx="3205">
                  <c:v>9.23</c:v>
                </c:pt>
                <c:pt idx="3206">
                  <c:v>22.21</c:v>
                </c:pt>
                <c:pt idx="3207">
                  <c:v>15.17</c:v>
                </c:pt>
                <c:pt idx="3208">
                  <c:v>16.38</c:v>
                </c:pt>
                <c:pt idx="3209">
                  <c:v>11.08</c:v>
                </c:pt>
                <c:pt idx="3210">
                  <c:v>4.33</c:v>
                </c:pt>
                <c:pt idx="3211">
                  <c:v>4.66</c:v>
                </c:pt>
                <c:pt idx="3212">
                  <c:v>12.25</c:v>
                </c:pt>
                <c:pt idx="3213">
                  <c:v>6.9</c:v>
                </c:pt>
                <c:pt idx="3214">
                  <c:v>5.29</c:v>
                </c:pt>
                <c:pt idx="3215">
                  <c:v>8.77</c:v>
                </c:pt>
                <c:pt idx="3216">
                  <c:v>19.329999999999998</c:v>
                </c:pt>
                <c:pt idx="3217">
                  <c:v>4.6100000000000003</c:v>
                </c:pt>
                <c:pt idx="3218">
                  <c:v>12.86</c:v>
                </c:pt>
                <c:pt idx="3219">
                  <c:v>21.17</c:v>
                </c:pt>
                <c:pt idx="3220">
                  <c:v>8.89</c:v>
                </c:pt>
                <c:pt idx="3221">
                  <c:v>9.64</c:v>
                </c:pt>
                <c:pt idx="3222">
                  <c:v>22.45</c:v>
                </c:pt>
                <c:pt idx="3223">
                  <c:v>17.3</c:v>
                </c:pt>
                <c:pt idx="3224">
                  <c:v>20.55</c:v>
                </c:pt>
                <c:pt idx="3225">
                  <c:v>9.36</c:v>
                </c:pt>
                <c:pt idx="3226">
                  <c:v>24.93</c:v>
                </c:pt>
                <c:pt idx="3227">
                  <c:v>6.1</c:v>
                </c:pt>
                <c:pt idx="3228">
                  <c:v>24.16</c:v>
                </c:pt>
                <c:pt idx="3229">
                  <c:v>22.85</c:v>
                </c:pt>
                <c:pt idx="3230">
                  <c:v>15.14</c:v>
                </c:pt>
                <c:pt idx="3231">
                  <c:v>15.88</c:v>
                </c:pt>
                <c:pt idx="3232">
                  <c:v>20.05</c:v>
                </c:pt>
                <c:pt idx="3233">
                  <c:v>9.75</c:v>
                </c:pt>
                <c:pt idx="3234">
                  <c:v>14.6</c:v>
                </c:pt>
                <c:pt idx="3235">
                  <c:v>22.85</c:v>
                </c:pt>
                <c:pt idx="3236">
                  <c:v>4.5</c:v>
                </c:pt>
                <c:pt idx="3237">
                  <c:v>22.92</c:v>
                </c:pt>
                <c:pt idx="3238">
                  <c:v>19.03</c:v>
                </c:pt>
                <c:pt idx="3239">
                  <c:v>19.940000000000001</c:v>
                </c:pt>
                <c:pt idx="3240">
                  <c:v>4.42</c:v>
                </c:pt>
                <c:pt idx="3241">
                  <c:v>7.13</c:v>
                </c:pt>
                <c:pt idx="3242">
                  <c:v>23.36</c:v>
                </c:pt>
                <c:pt idx="3243">
                  <c:v>5.73</c:v>
                </c:pt>
                <c:pt idx="3244">
                  <c:v>16.89</c:v>
                </c:pt>
                <c:pt idx="3245">
                  <c:v>20.22</c:v>
                </c:pt>
                <c:pt idx="3246">
                  <c:v>8.09</c:v>
                </c:pt>
                <c:pt idx="3247">
                  <c:v>18.37</c:v>
                </c:pt>
                <c:pt idx="3248">
                  <c:v>4.4400000000000004</c:v>
                </c:pt>
                <c:pt idx="3249">
                  <c:v>13.97</c:v>
                </c:pt>
                <c:pt idx="3250">
                  <c:v>10.36</c:v>
                </c:pt>
                <c:pt idx="3251">
                  <c:v>17.21</c:v>
                </c:pt>
                <c:pt idx="3252">
                  <c:v>22.56</c:v>
                </c:pt>
                <c:pt idx="3253">
                  <c:v>5.76</c:v>
                </c:pt>
                <c:pt idx="3254">
                  <c:v>12.91</c:v>
                </c:pt>
                <c:pt idx="3255">
                  <c:v>12.31</c:v>
                </c:pt>
                <c:pt idx="3256">
                  <c:v>10.119999999999999</c:v>
                </c:pt>
                <c:pt idx="3257">
                  <c:v>13.56</c:v>
                </c:pt>
                <c:pt idx="3258">
                  <c:v>22.38</c:v>
                </c:pt>
                <c:pt idx="3259">
                  <c:v>24.42</c:v>
                </c:pt>
                <c:pt idx="3260">
                  <c:v>3.06</c:v>
                </c:pt>
                <c:pt idx="3261">
                  <c:v>19.260000000000002</c:v>
                </c:pt>
                <c:pt idx="3262">
                  <c:v>16.53</c:v>
                </c:pt>
                <c:pt idx="3263">
                  <c:v>24.88</c:v>
                </c:pt>
                <c:pt idx="3264">
                  <c:v>4.9800000000000004</c:v>
                </c:pt>
                <c:pt idx="3265">
                  <c:v>20.85</c:v>
                </c:pt>
                <c:pt idx="3266">
                  <c:v>23.55</c:v>
                </c:pt>
                <c:pt idx="3267">
                  <c:v>23.07</c:v>
                </c:pt>
                <c:pt idx="3268">
                  <c:v>15.33</c:v>
                </c:pt>
                <c:pt idx="3269">
                  <c:v>10.210000000000001</c:v>
                </c:pt>
                <c:pt idx="3270">
                  <c:v>17.079999999999998</c:v>
                </c:pt>
                <c:pt idx="3271">
                  <c:v>9.73</c:v>
                </c:pt>
                <c:pt idx="3272">
                  <c:v>12.07</c:v>
                </c:pt>
                <c:pt idx="3273">
                  <c:v>12.81</c:v>
                </c:pt>
                <c:pt idx="3274">
                  <c:v>9.64</c:v>
                </c:pt>
                <c:pt idx="3275">
                  <c:v>10.52</c:v>
                </c:pt>
                <c:pt idx="3276">
                  <c:v>3.16</c:v>
                </c:pt>
                <c:pt idx="3277">
                  <c:v>9.5399999999999991</c:v>
                </c:pt>
                <c:pt idx="3278">
                  <c:v>13.39</c:v>
                </c:pt>
                <c:pt idx="3279">
                  <c:v>6.81</c:v>
                </c:pt>
                <c:pt idx="3280">
                  <c:v>20.72</c:v>
                </c:pt>
                <c:pt idx="3281">
                  <c:v>14.83</c:v>
                </c:pt>
                <c:pt idx="3282">
                  <c:v>20.47</c:v>
                </c:pt>
                <c:pt idx="3283">
                  <c:v>5.82</c:v>
                </c:pt>
                <c:pt idx="3284">
                  <c:v>21.05</c:v>
                </c:pt>
                <c:pt idx="3285">
                  <c:v>24.08</c:v>
                </c:pt>
                <c:pt idx="3286">
                  <c:v>10.75</c:v>
                </c:pt>
                <c:pt idx="3287">
                  <c:v>9.25</c:v>
                </c:pt>
                <c:pt idx="3288">
                  <c:v>17.23</c:v>
                </c:pt>
                <c:pt idx="3289">
                  <c:v>16.989999999999998</c:v>
                </c:pt>
                <c:pt idx="3290">
                  <c:v>5.47</c:v>
                </c:pt>
                <c:pt idx="3291">
                  <c:v>23.39</c:v>
                </c:pt>
                <c:pt idx="3292">
                  <c:v>13.54</c:v>
                </c:pt>
                <c:pt idx="3293">
                  <c:v>19.82</c:v>
                </c:pt>
                <c:pt idx="3294">
                  <c:v>10.9</c:v>
                </c:pt>
                <c:pt idx="3295">
                  <c:v>8.75</c:v>
                </c:pt>
                <c:pt idx="3296">
                  <c:v>5.45</c:v>
                </c:pt>
                <c:pt idx="3297">
                  <c:v>9.0399999999999991</c:v>
                </c:pt>
                <c:pt idx="3298">
                  <c:v>24.86</c:v>
                </c:pt>
                <c:pt idx="3299">
                  <c:v>17.48</c:v>
                </c:pt>
                <c:pt idx="3300">
                  <c:v>20.66</c:v>
                </c:pt>
                <c:pt idx="3301">
                  <c:v>24.09</c:v>
                </c:pt>
                <c:pt idx="3302">
                  <c:v>4.74</c:v>
                </c:pt>
                <c:pt idx="3303">
                  <c:v>6.62</c:v>
                </c:pt>
                <c:pt idx="3304">
                  <c:v>23.42</c:v>
                </c:pt>
                <c:pt idx="3305">
                  <c:v>15.42</c:v>
                </c:pt>
                <c:pt idx="3306">
                  <c:v>16.97</c:v>
                </c:pt>
                <c:pt idx="3307">
                  <c:v>12.41</c:v>
                </c:pt>
                <c:pt idx="3308">
                  <c:v>20.92</c:v>
                </c:pt>
                <c:pt idx="3309">
                  <c:v>14.38</c:v>
                </c:pt>
                <c:pt idx="3310">
                  <c:v>21.17</c:v>
                </c:pt>
                <c:pt idx="3311">
                  <c:v>24.83</c:v>
                </c:pt>
                <c:pt idx="3312">
                  <c:v>17.23</c:v>
                </c:pt>
                <c:pt idx="3313">
                  <c:v>14.63</c:v>
                </c:pt>
                <c:pt idx="3314">
                  <c:v>11.03</c:v>
                </c:pt>
                <c:pt idx="3315">
                  <c:v>7.28</c:v>
                </c:pt>
                <c:pt idx="3316">
                  <c:v>17.45</c:v>
                </c:pt>
                <c:pt idx="3317">
                  <c:v>4.38</c:v>
                </c:pt>
                <c:pt idx="3318">
                  <c:v>24.04</c:v>
                </c:pt>
                <c:pt idx="3319">
                  <c:v>17.25</c:v>
                </c:pt>
                <c:pt idx="3320">
                  <c:v>24.11</c:v>
                </c:pt>
                <c:pt idx="3321">
                  <c:v>8.99</c:v>
                </c:pt>
                <c:pt idx="3322">
                  <c:v>23.82</c:v>
                </c:pt>
                <c:pt idx="3323">
                  <c:v>16.47</c:v>
                </c:pt>
                <c:pt idx="3324">
                  <c:v>20.83</c:v>
                </c:pt>
                <c:pt idx="3325">
                  <c:v>6.94</c:v>
                </c:pt>
                <c:pt idx="3326">
                  <c:v>14</c:v>
                </c:pt>
                <c:pt idx="3327">
                  <c:v>15.52</c:v>
                </c:pt>
                <c:pt idx="3328">
                  <c:v>11.64</c:v>
                </c:pt>
                <c:pt idx="3329">
                  <c:v>8.57</c:v>
                </c:pt>
                <c:pt idx="3330">
                  <c:v>22.91</c:v>
                </c:pt>
                <c:pt idx="3331">
                  <c:v>4.87</c:v>
                </c:pt>
                <c:pt idx="3332">
                  <c:v>6.39</c:v>
                </c:pt>
                <c:pt idx="3333">
                  <c:v>10.050000000000001</c:v>
                </c:pt>
                <c:pt idx="3334">
                  <c:v>23.23</c:v>
                </c:pt>
                <c:pt idx="3335">
                  <c:v>15.41</c:v>
                </c:pt>
                <c:pt idx="3336">
                  <c:v>11.21</c:v>
                </c:pt>
                <c:pt idx="3337">
                  <c:v>11.86</c:v>
                </c:pt>
                <c:pt idx="3338">
                  <c:v>21.43</c:v>
                </c:pt>
                <c:pt idx="3339">
                  <c:v>3.59</c:v>
                </c:pt>
                <c:pt idx="3340">
                  <c:v>3.25</c:v>
                </c:pt>
                <c:pt idx="3341">
                  <c:v>4.01</c:v>
                </c:pt>
                <c:pt idx="3342">
                  <c:v>13.32</c:v>
                </c:pt>
                <c:pt idx="3343">
                  <c:v>15.79</c:v>
                </c:pt>
                <c:pt idx="3344">
                  <c:v>16.739999999999998</c:v>
                </c:pt>
                <c:pt idx="3345">
                  <c:v>19.09</c:v>
                </c:pt>
                <c:pt idx="3346">
                  <c:v>7.17</c:v>
                </c:pt>
                <c:pt idx="3347">
                  <c:v>8.77</c:v>
                </c:pt>
                <c:pt idx="3348">
                  <c:v>8.36</c:v>
                </c:pt>
                <c:pt idx="3349">
                  <c:v>6.28</c:v>
                </c:pt>
                <c:pt idx="3350">
                  <c:v>8.3800000000000008</c:v>
                </c:pt>
                <c:pt idx="3351">
                  <c:v>16.5</c:v>
                </c:pt>
                <c:pt idx="3352">
                  <c:v>11.06</c:v>
                </c:pt>
                <c:pt idx="3353">
                  <c:v>19.89</c:v>
                </c:pt>
                <c:pt idx="3354">
                  <c:v>14.8</c:v>
                </c:pt>
                <c:pt idx="3355">
                  <c:v>7.66</c:v>
                </c:pt>
                <c:pt idx="3356">
                  <c:v>13.28</c:v>
                </c:pt>
                <c:pt idx="3357">
                  <c:v>16.05</c:v>
                </c:pt>
                <c:pt idx="3358">
                  <c:v>22.06</c:v>
                </c:pt>
                <c:pt idx="3359">
                  <c:v>21.34</c:v>
                </c:pt>
                <c:pt idx="3360">
                  <c:v>12.38</c:v>
                </c:pt>
                <c:pt idx="3361">
                  <c:v>17.25</c:v>
                </c:pt>
                <c:pt idx="3362">
                  <c:v>9.5500000000000007</c:v>
                </c:pt>
                <c:pt idx="3363">
                  <c:v>16.93</c:v>
                </c:pt>
                <c:pt idx="3364">
                  <c:v>23.08</c:v>
                </c:pt>
                <c:pt idx="3365">
                  <c:v>16.739999999999998</c:v>
                </c:pt>
                <c:pt idx="3366">
                  <c:v>9.68</c:v>
                </c:pt>
                <c:pt idx="3367">
                  <c:v>17.170000000000002</c:v>
                </c:pt>
                <c:pt idx="3368">
                  <c:v>22.86</c:v>
                </c:pt>
                <c:pt idx="3369">
                  <c:v>6.02</c:v>
                </c:pt>
                <c:pt idx="3370">
                  <c:v>13.61</c:v>
                </c:pt>
                <c:pt idx="3371">
                  <c:v>10.06</c:v>
                </c:pt>
                <c:pt idx="3372">
                  <c:v>8.31</c:v>
                </c:pt>
                <c:pt idx="3373">
                  <c:v>11.72</c:v>
                </c:pt>
                <c:pt idx="3374">
                  <c:v>11.67</c:v>
                </c:pt>
                <c:pt idx="3375">
                  <c:v>7.63</c:v>
                </c:pt>
                <c:pt idx="3376">
                  <c:v>11.88</c:v>
                </c:pt>
                <c:pt idx="3377">
                  <c:v>16.940000000000001</c:v>
                </c:pt>
                <c:pt idx="3378">
                  <c:v>3.57</c:v>
                </c:pt>
                <c:pt idx="3379">
                  <c:v>24.76</c:v>
                </c:pt>
                <c:pt idx="3380">
                  <c:v>9.51</c:v>
                </c:pt>
                <c:pt idx="3381">
                  <c:v>16.72</c:v>
                </c:pt>
                <c:pt idx="3382">
                  <c:v>9.24</c:v>
                </c:pt>
                <c:pt idx="3383">
                  <c:v>11.66</c:v>
                </c:pt>
                <c:pt idx="3384">
                  <c:v>15.08</c:v>
                </c:pt>
                <c:pt idx="3385">
                  <c:v>16.46</c:v>
                </c:pt>
                <c:pt idx="3386">
                  <c:v>19.95</c:v>
                </c:pt>
                <c:pt idx="3387">
                  <c:v>20.420000000000002</c:v>
                </c:pt>
                <c:pt idx="3388">
                  <c:v>14.41</c:v>
                </c:pt>
                <c:pt idx="3389">
                  <c:v>4.67</c:v>
                </c:pt>
                <c:pt idx="3390">
                  <c:v>15.27</c:v>
                </c:pt>
                <c:pt idx="3391">
                  <c:v>13.51</c:v>
                </c:pt>
                <c:pt idx="3392">
                  <c:v>7.74</c:v>
                </c:pt>
                <c:pt idx="3393">
                  <c:v>3.22</c:v>
                </c:pt>
                <c:pt idx="3394">
                  <c:v>9.9499999999999993</c:v>
                </c:pt>
                <c:pt idx="3395">
                  <c:v>8.7100000000000009</c:v>
                </c:pt>
                <c:pt idx="3396">
                  <c:v>13.62</c:v>
                </c:pt>
                <c:pt idx="3397">
                  <c:v>19.760000000000002</c:v>
                </c:pt>
                <c:pt idx="3398">
                  <c:v>12.66</c:v>
                </c:pt>
                <c:pt idx="3399">
                  <c:v>23.93</c:v>
                </c:pt>
                <c:pt idx="3400">
                  <c:v>7.87</c:v>
                </c:pt>
                <c:pt idx="3401">
                  <c:v>7.86</c:v>
                </c:pt>
                <c:pt idx="3402">
                  <c:v>16.3</c:v>
                </c:pt>
                <c:pt idx="3403">
                  <c:v>22.72</c:v>
                </c:pt>
                <c:pt idx="3404">
                  <c:v>17.78</c:v>
                </c:pt>
                <c:pt idx="3405">
                  <c:v>17.82</c:v>
                </c:pt>
                <c:pt idx="3406">
                  <c:v>20.74</c:v>
                </c:pt>
                <c:pt idx="3407">
                  <c:v>17.71</c:v>
                </c:pt>
                <c:pt idx="3408">
                  <c:v>19.71</c:v>
                </c:pt>
                <c:pt idx="3409">
                  <c:v>22.05</c:v>
                </c:pt>
                <c:pt idx="3410">
                  <c:v>3.17</c:v>
                </c:pt>
                <c:pt idx="3411">
                  <c:v>22.48</c:v>
                </c:pt>
                <c:pt idx="3412">
                  <c:v>7.74</c:v>
                </c:pt>
                <c:pt idx="3413">
                  <c:v>23.07</c:v>
                </c:pt>
                <c:pt idx="3414">
                  <c:v>8.86</c:v>
                </c:pt>
                <c:pt idx="3415">
                  <c:v>13.02</c:v>
                </c:pt>
                <c:pt idx="3416">
                  <c:v>23.55</c:v>
                </c:pt>
                <c:pt idx="3417">
                  <c:v>5.41</c:v>
                </c:pt>
                <c:pt idx="3418">
                  <c:v>19.399999999999999</c:v>
                </c:pt>
                <c:pt idx="3419">
                  <c:v>11.63</c:v>
                </c:pt>
                <c:pt idx="3420">
                  <c:v>3.53</c:v>
                </c:pt>
                <c:pt idx="3421">
                  <c:v>23.66</c:v>
                </c:pt>
                <c:pt idx="3422">
                  <c:v>5.59</c:v>
                </c:pt>
                <c:pt idx="3423">
                  <c:v>20.03</c:v>
                </c:pt>
                <c:pt idx="3424">
                  <c:v>11.45</c:v>
                </c:pt>
                <c:pt idx="3425">
                  <c:v>20.83</c:v>
                </c:pt>
                <c:pt idx="3426">
                  <c:v>19.510000000000002</c:v>
                </c:pt>
                <c:pt idx="3427">
                  <c:v>16.93</c:v>
                </c:pt>
                <c:pt idx="3428">
                  <c:v>23.66</c:v>
                </c:pt>
                <c:pt idx="3429">
                  <c:v>5.18</c:v>
                </c:pt>
                <c:pt idx="3430">
                  <c:v>20.57</c:v>
                </c:pt>
                <c:pt idx="3431">
                  <c:v>17.760000000000002</c:v>
                </c:pt>
                <c:pt idx="3432">
                  <c:v>9.92</c:v>
                </c:pt>
                <c:pt idx="3433">
                  <c:v>15.01</c:v>
                </c:pt>
                <c:pt idx="3434">
                  <c:v>17.18</c:v>
                </c:pt>
                <c:pt idx="3435">
                  <c:v>19.2</c:v>
                </c:pt>
                <c:pt idx="3436">
                  <c:v>7.12</c:v>
                </c:pt>
                <c:pt idx="3437">
                  <c:v>5.25</c:v>
                </c:pt>
                <c:pt idx="3438">
                  <c:v>5.25</c:v>
                </c:pt>
                <c:pt idx="3439">
                  <c:v>9.4700000000000006</c:v>
                </c:pt>
                <c:pt idx="3440">
                  <c:v>6.39</c:v>
                </c:pt>
                <c:pt idx="3441">
                  <c:v>14.78</c:v>
                </c:pt>
                <c:pt idx="3442">
                  <c:v>12.61</c:v>
                </c:pt>
                <c:pt idx="3443">
                  <c:v>22.65</c:v>
                </c:pt>
                <c:pt idx="3444">
                  <c:v>18.78</c:v>
                </c:pt>
                <c:pt idx="3445">
                  <c:v>7.53</c:v>
                </c:pt>
                <c:pt idx="3446">
                  <c:v>4.01</c:v>
                </c:pt>
                <c:pt idx="3447">
                  <c:v>18.600000000000001</c:v>
                </c:pt>
                <c:pt idx="3448">
                  <c:v>21.61</c:v>
                </c:pt>
                <c:pt idx="3449">
                  <c:v>18.420000000000002</c:v>
                </c:pt>
                <c:pt idx="3450">
                  <c:v>17.16</c:v>
                </c:pt>
                <c:pt idx="3451">
                  <c:v>8.48</c:v>
                </c:pt>
                <c:pt idx="3452">
                  <c:v>13.88</c:v>
                </c:pt>
                <c:pt idx="3453">
                  <c:v>18.95</c:v>
                </c:pt>
                <c:pt idx="3454">
                  <c:v>7.25</c:v>
                </c:pt>
                <c:pt idx="3455">
                  <c:v>13.48</c:v>
                </c:pt>
                <c:pt idx="3456">
                  <c:v>5.57</c:v>
                </c:pt>
                <c:pt idx="3457">
                  <c:v>14.68</c:v>
                </c:pt>
                <c:pt idx="3458">
                  <c:v>15.62</c:v>
                </c:pt>
                <c:pt idx="3459">
                  <c:v>14.78</c:v>
                </c:pt>
                <c:pt idx="3460">
                  <c:v>13.33</c:v>
                </c:pt>
                <c:pt idx="3461">
                  <c:v>15.92</c:v>
                </c:pt>
                <c:pt idx="3462">
                  <c:v>24.93</c:v>
                </c:pt>
                <c:pt idx="3463">
                  <c:v>16.7</c:v>
                </c:pt>
                <c:pt idx="3464">
                  <c:v>19.559999999999999</c:v>
                </c:pt>
                <c:pt idx="3465">
                  <c:v>7.23</c:v>
                </c:pt>
                <c:pt idx="3466">
                  <c:v>14.66</c:v>
                </c:pt>
                <c:pt idx="3467">
                  <c:v>3.17</c:v>
                </c:pt>
                <c:pt idx="3468">
                  <c:v>3.69</c:v>
                </c:pt>
                <c:pt idx="3469">
                  <c:v>10.09</c:v>
                </c:pt>
                <c:pt idx="3470">
                  <c:v>13.27</c:v>
                </c:pt>
                <c:pt idx="3471">
                  <c:v>15.66</c:v>
                </c:pt>
                <c:pt idx="3472">
                  <c:v>22.54</c:v>
                </c:pt>
                <c:pt idx="3473">
                  <c:v>19.98</c:v>
                </c:pt>
                <c:pt idx="3474">
                  <c:v>9.6</c:v>
                </c:pt>
                <c:pt idx="3475">
                  <c:v>19.36</c:v>
                </c:pt>
                <c:pt idx="3476">
                  <c:v>15.09</c:v>
                </c:pt>
                <c:pt idx="3477">
                  <c:v>20.14</c:v>
                </c:pt>
                <c:pt idx="3478">
                  <c:v>12.04</c:v>
                </c:pt>
                <c:pt idx="3479">
                  <c:v>5.0199999999999996</c:v>
                </c:pt>
                <c:pt idx="3480">
                  <c:v>16.61</c:v>
                </c:pt>
                <c:pt idx="3481">
                  <c:v>15.25</c:v>
                </c:pt>
                <c:pt idx="3482">
                  <c:v>23.98</c:v>
                </c:pt>
                <c:pt idx="3483">
                  <c:v>6.57</c:v>
                </c:pt>
                <c:pt idx="3484">
                  <c:v>17.43</c:v>
                </c:pt>
                <c:pt idx="3485">
                  <c:v>13.43</c:v>
                </c:pt>
                <c:pt idx="3486">
                  <c:v>11.34</c:v>
                </c:pt>
                <c:pt idx="3487">
                  <c:v>20.48</c:v>
                </c:pt>
                <c:pt idx="3488">
                  <c:v>20.83</c:v>
                </c:pt>
                <c:pt idx="3489">
                  <c:v>18.72</c:v>
                </c:pt>
                <c:pt idx="3490">
                  <c:v>4.84</c:v>
                </c:pt>
                <c:pt idx="3491">
                  <c:v>10.59</c:v>
                </c:pt>
                <c:pt idx="3492">
                  <c:v>4.03</c:v>
                </c:pt>
                <c:pt idx="3493">
                  <c:v>10.56</c:v>
                </c:pt>
                <c:pt idx="3494">
                  <c:v>17.25</c:v>
                </c:pt>
                <c:pt idx="3495">
                  <c:v>14.41</c:v>
                </c:pt>
                <c:pt idx="3496">
                  <c:v>18.46</c:v>
                </c:pt>
                <c:pt idx="3497">
                  <c:v>15.13</c:v>
                </c:pt>
                <c:pt idx="3498">
                  <c:v>15.23</c:v>
                </c:pt>
                <c:pt idx="3499">
                  <c:v>14.24</c:v>
                </c:pt>
                <c:pt idx="3500">
                  <c:v>11.02</c:v>
                </c:pt>
                <c:pt idx="3501">
                  <c:v>12.82</c:v>
                </c:pt>
                <c:pt idx="3502">
                  <c:v>5.47</c:v>
                </c:pt>
                <c:pt idx="3503">
                  <c:v>21.36</c:v>
                </c:pt>
                <c:pt idx="3504">
                  <c:v>22.56</c:v>
                </c:pt>
                <c:pt idx="3505">
                  <c:v>19.86</c:v>
                </c:pt>
                <c:pt idx="3506">
                  <c:v>15.84</c:v>
                </c:pt>
                <c:pt idx="3507">
                  <c:v>15.52</c:v>
                </c:pt>
                <c:pt idx="3508">
                  <c:v>13.35</c:v>
                </c:pt>
                <c:pt idx="3509">
                  <c:v>8.09</c:v>
                </c:pt>
                <c:pt idx="3510">
                  <c:v>11.44</c:v>
                </c:pt>
                <c:pt idx="3511">
                  <c:v>24.78</c:v>
                </c:pt>
                <c:pt idx="3512">
                  <c:v>6.21</c:v>
                </c:pt>
                <c:pt idx="3513">
                  <c:v>14.94</c:v>
                </c:pt>
                <c:pt idx="3514">
                  <c:v>22.06</c:v>
                </c:pt>
                <c:pt idx="3515">
                  <c:v>12.97</c:v>
                </c:pt>
                <c:pt idx="3516">
                  <c:v>16.32</c:v>
                </c:pt>
                <c:pt idx="3517">
                  <c:v>21.21</c:v>
                </c:pt>
                <c:pt idx="3518">
                  <c:v>15.05</c:v>
                </c:pt>
                <c:pt idx="3519">
                  <c:v>19.09</c:v>
                </c:pt>
                <c:pt idx="3520">
                  <c:v>10.64</c:v>
                </c:pt>
                <c:pt idx="3521">
                  <c:v>19.13</c:v>
                </c:pt>
                <c:pt idx="3522">
                  <c:v>3.9</c:v>
                </c:pt>
                <c:pt idx="3523">
                  <c:v>6.36</c:v>
                </c:pt>
                <c:pt idx="3524">
                  <c:v>17.02</c:v>
                </c:pt>
                <c:pt idx="3525">
                  <c:v>12.88</c:v>
                </c:pt>
                <c:pt idx="3526">
                  <c:v>21.22</c:v>
                </c:pt>
                <c:pt idx="3527">
                  <c:v>10.52</c:v>
                </c:pt>
                <c:pt idx="3528">
                  <c:v>19.88</c:v>
                </c:pt>
                <c:pt idx="3529">
                  <c:v>6.06</c:v>
                </c:pt>
                <c:pt idx="3530">
                  <c:v>23.46</c:v>
                </c:pt>
                <c:pt idx="3531">
                  <c:v>12.21</c:v>
                </c:pt>
                <c:pt idx="3532">
                  <c:v>8.08</c:v>
                </c:pt>
                <c:pt idx="3533">
                  <c:v>20.36</c:v>
                </c:pt>
                <c:pt idx="3534">
                  <c:v>23.85</c:v>
                </c:pt>
                <c:pt idx="3535">
                  <c:v>23.2</c:v>
                </c:pt>
                <c:pt idx="3536">
                  <c:v>8.23</c:v>
                </c:pt>
                <c:pt idx="3537">
                  <c:v>17.78</c:v>
                </c:pt>
                <c:pt idx="3538">
                  <c:v>15.03</c:v>
                </c:pt>
                <c:pt idx="3539">
                  <c:v>18.95</c:v>
                </c:pt>
                <c:pt idx="3540">
                  <c:v>13.71</c:v>
                </c:pt>
                <c:pt idx="3541">
                  <c:v>13.33</c:v>
                </c:pt>
                <c:pt idx="3542">
                  <c:v>22.42</c:v>
                </c:pt>
                <c:pt idx="3543">
                  <c:v>22.17</c:v>
                </c:pt>
                <c:pt idx="3544">
                  <c:v>20.329999999999998</c:v>
                </c:pt>
                <c:pt idx="3545">
                  <c:v>18.510000000000002</c:v>
                </c:pt>
                <c:pt idx="3546">
                  <c:v>17.920000000000002</c:v>
                </c:pt>
                <c:pt idx="3547">
                  <c:v>4.24</c:v>
                </c:pt>
                <c:pt idx="3548">
                  <c:v>19.489999999999998</c:v>
                </c:pt>
                <c:pt idx="3549">
                  <c:v>17.04</c:v>
                </c:pt>
                <c:pt idx="3550">
                  <c:v>9.65</c:v>
                </c:pt>
                <c:pt idx="3551">
                  <c:v>21.04</c:v>
                </c:pt>
                <c:pt idx="3552">
                  <c:v>21.31</c:v>
                </c:pt>
                <c:pt idx="3553">
                  <c:v>23.51</c:v>
                </c:pt>
                <c:pt idx="3554">
                  <c:v>12.2</c:v>
                </c:pt>
                <c:pt idx="3555">
                  <c:v>15.13</c:v>
                </c:pt>
                <c:pt idx="3556">
                  <c:v>22.93</c:v>
                </c:pt>
                <c:pt idx="3557">
                  <c:v>9.9700000000000006</c:v>
                </c:pt>
                <c:pt idx="3558">
                  <c:v>20.53</c:v>
                </c:pt>
                <c:pt idx="3559">
                  <c:v>24.82</c:v>
                </c:pt>
                <c:pt idx="3560">
                  <c:v>17.34</c:v>
                </c:pt>
                <c:pt idx="3561">
                  <c:v>24.64</c:v>
                </c:pt>
                <c:pt idx="3562">
                  <c:v>14.35</c:v>
                </c:pt>
                <c:pt idx="3563">
                  <c:v>6.37</c:v>
                </c:pt>
                <c:pt idx="3564">
                  <c:v>6.86</c:v>
                </c:pt>
                <c:pt idx="3565">
                  <c:v>19.09</c:v>
                </c:pt>
                <c:pt idx="3566">
                  <c:v>3.02</c:v>
                </c:pt>
                <c:pt idx="3567">
                  <c:v>17.559999999999999</c:v>
                </c:pt>
                <c:pt idx="3568">
                  <c:v>6.33</c:v>
                </c:pt>
                <c:pt idx="3569">
                  <c:v>24.66</c:v>
                </c:pt>
                <c:pt idx="3570">
                  <c:v>6.59</c:v>
                </c:pt>
                <c:pt idx="3571">
                  <c:v>15.15</c:v>
                </c:pt>
                <c:pt idx="3572">
                  <c:v>17.73</c:v>
                </c:pt>
                <c:pt idx="3573">
                  <c:v>21.03</c:v>
                </c:pt>
                <c:pt idx="3574">
                  <c:v>13.1</c:v>
                </c:pt>
                <c:pt idx="3575">
                  <c:v>23.54</c:v>
                </c:pt>
                <c:pt idx="3576">
                  <c:v>13.57</c:v>
                </c:pt>
                <c:pt idx="3577">
                  <c:v>8.5500000000000007</c:v>
                </c:pt>
                <c:pt idx="3578">
                  <c:v>16.05</c:v>
                </c:pt>
                <c:pt idx="3579">
                  <c:v>17.48</c:v>
                </c:pt>
                <c:pt idx="3580">
                  <c:v>14.16</c:v>
                </c:pt>
                <c:pt idx="3581">
                  <c:v>19.13</c:v>
                </c:pt>
                <c:pt idx="3582">
                  <c:v>12.25</c:v>
                </c:pt>
                <c:pt idx="3583">
                  <c:v>3.1</c:v>
                </c:pt>
                <c:pt idx="3584">
                  <c:v>8.82</c:v>
                </c:pt>
                <c:pt idx="3585">
                  <c:v>23.81</c:v>
                </c:pt>
                <c:pt idx="3586">
                  <c:v>19.79</c:v>
                </c:pt>
                <c:pt idx="3587">
                  <c:v>7.17</c:v>
                </c:pt>
                <c:pt idx="3588">
                  <c:v>4.47</c:v>
                </c:pt>
                <c:pt idx="3589">
                  <c:v>10.72</c:v>
                </c:pt>
                <c:pt idx="3590">
                  <c:v>21.4</c:v>
                </c:pt>
                <c:pt idx="3591">
                  <c:v>5.33</c:v>
                </c:pt>
                <c:pt idx="3592">
                  <c:v>14.95</c:v>
                </c:pt>
                <c:pt idx="3593">
                  <c:v>9.0500000000000007</c:v>
                </c:pt>
                <c:pt idx="3594">
                  <c:v>18.98</c:v>
                </c:pt>
                <c:pt idx="3595">
                  <c:v>3.01</c:v>
                </c:pt>
                <c:pt idx="3596">
                  <c:v>9.1</c:v>
                </c:pt>
                <c:pt idx="3597">
                  <c:v>17.940000000000001</c:v>
                </c:pt>
                <c:pt idx="3598">
                  <c:v>15.03</c:v>
                </c:pt>
                <c:pt idx="3599">
                  <c:v>20.14</c:v>
                </c:pt>
                <c:pt idx="3600">
                  <c:v>6.47</c:v>
                </c:pt>
                <c:pt idx="3601">
                  <c:v>14.68</c:v>
                </c:pt>
                <c:pt idx="3602">
                  <c:v>7.31</c:v>
                </c:pt>
                <c:pt idx="3603">
                  <c:v>17.059999999999999</c:v>
                </c:pt>
                <c:pt idx="3604">
                  <c:v>5.89</c:v>
                </c:pt>
                <c:pt idx="3605">
                  <c:v>6.27</c:v>
                </c:pt>
                <c:pt idx="3606">
                  <c:v>10.220000000000001</c:v>
                </c:pt>
                <c:pt idx="3607">
                  <c:v>11.84</c:v>
                </c:pt>
                <c:pt idx="3608">
                  <c:v>13.97</c:v>
                </c:pt>
                <c:pt idx="3609">
                  <c:v>15.78</c:v>
                </c:pt>
                <c:pt idx="3610">
                  <c:v>13.31</c:v>
                </c:pt>
                <c:pt idx="3611">
                  <c:v>4</c:v>
                </c:pt>
                <c:pt idx="3612">
                  <c:v>10.56</c:v>
                </c:pt>
                <c:pt idx="3613">
                  <c:v>4.3499999999999996</c:v>
                </c:pt>
                <c:pt idx="3614">
                  <c:v>5.6</c:v>
                </c:pt>
                <c:pt idx="3615">
                  <c:v>5.04</c:v>
                </c:pt>
                <c:pt idx="3616">
                  <c:v>6.48</c:v>
                </c:pt>
                <c:pt idx="3617">
                  <c:v>20.88</c:v>
                </c:pt>
                <c:pt idx="3618">
                  <c:v>16.809999999999999</c:v>
                </c:pt>
                <c:pt idx="3619">
                  <c:v>14.15</c:v>
                </c:pt>
                <c:pt idx="3620">
                  <c:v>19.11</c:v>
                </c:pt>
                <c:pt idx="3621">
                  <c:v>24.15</c:v>
                </c:pt>
                <c:pt idx="3622">
                  <c:v>12.19</c:v>
                </c:pt>
                <c:pt idx="3623">
                  <c:v>11.08</c:v>
                </c:pt>
                <c:pt idx="3624">
                  <c:v>24.51</c:v>
                </c:pt>
                <c:pt idx="3625">
                  <c:v>19.97</c:v>
                </c:pt>
                <c:pt idx="3626">
                  <c:v>20.100000000000001</c:v>
                </c:pt>
                <c:pt idx="3627">
                  <c:v>16.2</c:v>
                </c:pt>
                <c:pt idx="3628">
                  <c:v>14.15</c:v>
                </c:pt>
                <c:pt idx="3629">
                  <c:v>15.11</c:v>
                </c:pt>
                <c:pt idx="3630">
                  <c:v>17.350000000000001</c:v>
                </c:pt>
                <c:pt idx="3631">
                  <c:v>11.29</c:v>
                </c:pt>
                <c:pt idx="3632">
                  <c:v>20.21</c:v>
                </c:pt>
                <c:pt idx="3633">
                  <c:v>23</c:v>
                </c:pt>
                <c:pt idx="3634">
                  <c:v>15.57</c:v>
                </c:pt>
                <c:pt idx="3635">
                  <c:v>11.39</c:v>
                </c:pt>
                <c:pt idx="3636">
                  <c:v>18.3</c:v>
                </c:pt>
                <c:pt idx="3637">
                  <c:v>7.01</c:v>
                </c:pt>
                <c:pt idx="3638">
                  <c:v>24.31</c:v>
                </c:pt>
                <c:pt idx="3639">
                  <c:v>17.48</c:v>
                </c:pt>
                <c:pt idx="3640">
                  <c:v>4.49</c:v>
                </c:pt>
                <c:pt idx="3641">
                  <c:v>14.65</c:v>
                </c:pt>
                <c:pt idx="3642">
                  <c:v>19.510000000000002</c:v>
                </c:pt>
                <c:pt idx="3643">
                  <c:v>9.11</c:v>
                </c:pt>
                <c:pt idx="3644">
                  <c:v>4.12</c:v>
                </c:pt>
                <c:pt idx="3645">
                  <c:v>13.76</c:v>
                </c:pt>
                <c:pt idx="3646">
                  <c:v>21.34</c:v>
                </c:pt>
                <c:pt idx="3647">
                  <c:v>8.5299999999999994</c:v>
                </c:pt>
                <c:pt idx="3648">
                  <c:v>18.77</c:v>
                </c:pt>
                <c:pt idx="3649">
                  <c:v>11.97</c:v>
                </c:pt>
                <c:pt idx="3650">
                  <c:v>4.3099999999999996</c:v>
                </c:pt>
                <c:pt idx="3651">
                  <c:v>9.69</c:v>
                </c:pt>
                <c:pt idx="3652">
                  <c:v>9.91</c:v>
                </c:pt>
                <c:pt idx="3653">
                  <c:v>22.9</c:v>
                </c:pt>
                <c:pt idx="3654">
                  <c:v>24.6</c:v>
                </c:pt>
                <c:pt idx="3655">
                  <c:v>7.61</c:v>
                </c:pt>
                <c:pt idx="3656">
                  <c:v>12.47</c:v>
                </c:pt>
                <c:pt idx="3657">
                  <c:v>24.49</c:v>
                </c:pt>
                <c:pt idx="3658">
                  <c:v>11.96</c:v>
                </c:pt>
                <c:pt idx="3659">
                  <c:v>10.68</c:v>
                </c:pt>
                <c:pt idx="3660">
                  <c:v>5.42</c:v>
                </c:pt>
                <c:pt idx="3661">
                  <c:v>19.57</c:v>
                </c:pt>
                <c:pt idx="3662">
                  <c:v>12.83</c:v>
                </c:pt>
                <c:pt idx="3663">
                  <c:v>17.05</c:v>
                </c:pt>
                <c:pt idx="3664">
                  <c:v>14.22</c:v>
                </c:pt>
                <c:pt idx="3665">
                  <c:v>6.84</c:v>
                </c:pt>
                <c:pt idx="3666">
                  <c:v>6.88</c:v>
                </c:pt>
                <c:pt idx="3667">
                  <c:v>23.67</c:v>
                </c:pt>
                <c:pt idx="3668">
                  <c:v>22.57</c:v>
                </c:pt>
                <c:pt idx="3669">
                  <c:v>16.43</c:v>
                </c:pt>
                <c:pt idx="3670">
                  <c:v>3.03</c:v>
                </c:pt>
                <c:pt idx="3671">
                  <c:v>12.53</c:v>
                </c:pt>
                <c:pt idx="3672">
                  <c:v>14.67</c:v>
                </c:pt>
                <c:pt idx="3673">
                  <c:v>12.89</c:v>
                </c:pt>
                <c:pt idx="3674">
                  <c:v>23.36</c:v>
                </c:pt>
                <c:pt idx="3675">
                  <c:v>3.9</c:v>
                </c:pt>
                <c:pt idx="3676">
                  <c:v>17.41</c:v>
                </c:pt>
                <c:pt idx="3677">
                  <c:v>9.9</c:v>
                </c:pt>
                <c:pt idx="3678">
                  <c:v>15.31</c:v>
                </c:pt>
                <c:pt idx="3679">
                  <c:v>17.43</c:v>
                </c:pt>
                <c:pt idx="3680">
                  <c:v>12.7</c:v>
                </c:pt>
                <c:pt idx="3681">
                  <c:v>6.26</c:v>
                </c:pt>
                <c:pt idx="3682">
                  <c:v>14.42</c:v>
                </c:pt>
                <c:pt idx="3683">
                  <c:v>23.53</c:v>
                </c:pt>
                <c:pt idx="3684">
                  <c:v>14.79</c:v>
                </c:pt>
                <c:pt idx="3685">
                  <c:v>5.7</c:v>
                </c:pt>
                <c:pt idx="3686">
                  <c:v>21.13</c:v>
                </c:pt>
                <c:pt idx="3687">
                  <c:v>7.88</c:v>
                </c:pt>
                <c:pt idx="3688">
                  <c:v>11.14</c:v>
                </c:pt>
                <c:pt idx="3689">
                  <c:v>12.43</c:v>
                </c:pt>
                <c:pt idx="3690">
                  <c:v>10.47</c:v>
                </c:pt>
                <c:pt idx="3691">
                  <c:v>11.9</c:v>
                </c:pt>
                <c:pt idx="3692">
                  <c:v>20.5</c:v>
                </c:pt>
                <c:pt idx="3693">
                  <c:v>7.91</c:v>
                </c:pt>
                <c:pt idx="3694">
                  <c:v>13.35</c:v>
                </c:pt>
                <c:pt idx="3695">
                  <c:v>3.44</c:v>
                </c:pt>
                <c:pt idx="3696">
                  <c:v>14.17</c:v>
                </c:pt>
                <c:pt idx="3697">
                  <c:v>5.46</c:v>
                </c:pt>
                <c:pt idx="3698">
                  <c:v>9.2100000000000009</c:v>
                </c:pt>
                <c:pt idx="3699">
                  <c:v>10.15</c:v>
                </c:pt>
                <c:pt idx="3700">
                  <c:v>4.8099999999999996</c:v>
                </c:pt>
                <c:pt idx="3701">
                  <c:v>10.93</c:v>
                </c:pt>
                <c:pt idx="3702">
                  <c:v>13.96</c:v>
                </c:pt>
                <c:pt idx="3703">
                  <c:v>12.48</c:v>
                </c:pt>
                <c:pt idx="3704">
                  <c:v>9.17</c:v>
                </c:pt>
                <c:pt idx="3705">
                  <c:v>9.49</c:v>
                </c:pt>
                <c:pt idx="3706">
                  <c:v>16.940000000000001</c:v>
                </c:pt>
                <c:pt idx="3707">
                  <c:v>18.8</c:v>
                </c:pt>
                <c:pt idx="3708">
                  <c:v>15.68</c:v>
                </c:pt>
                <c:pt idx="3709">
                  <c:v>24.48</c:v>
                </c:pt>
                <c:pt idx="3710">
                  <c:v>23.79</c:v>
                </c:pt>
                <c:pt idx="3711">
                  <c:v>5.17</c:v>
                </c:pt>
                <c:pt idx="3712">
                  <c:v>8.75</c:v>
                </c:pt>
                <c:pt idx="3713">
                  <c:v>22.1</c:v>
                </c:pt>
                <c:pt idx="3714">
                  <c:v>3.65</c:v>
                </c:pt>
                <c:pt idx="3715">
                  <c:v>16.03</c:v>
                </c:pt>
                <c:pt idx="3716">
                  <c:v>24</c:v>
                </c:pt>
                <c:pt idx="3717">
                  <c:v>17.93</c:v>
                </c:pt>
                <c:pt idx="3718">
                  <c:v>5.0199999999999996</c:v>
                </c:pt>
                <c:pt idx="3719">
                  <c:v>19.45</c:v>
                </c:pt>
                <c:pt idx="3720">
                  <c:v>11.28</c:v>
                </c:pt>
                <c:pt idx="3721">
                  <c:v>23.27</c:v>
                </c:pt>
                <c:pt idx="3722">
                  <c:v>9.3000000000000007</c:v>
                </c:pt>
                <c:pt idx="3723">
                  <c:v>13.41</c:v>
                </c:pt>
                <c:pt idx="3724">
                  <c:v>19.43</c:v>
                </c:pt>
                <c:pt idx="3725">
                  <c:v>8.67</c:v>
                </c:pt>
                <c:pt idx="3726">
                  <c:v>7</c:v>
                </c:pt>
                <c:pt idx="3727">
                  <c:v>3.06</c:v>
                </c:pt>
                <c:pt idx="3728">
                  <c:v>13.74</c:v>
                </c:pt>
                <c:pt idx="3729">
                  <c:v>23.43</c:v>
                </c:pt>
                <c:pt idx="3730">
                  <c:v>9.19</c:v>
                </c:pt>
                <c:pt idx="3731">
                  <c:v>3.95</c:v>
                </c:pt>
                <c:pt idx="3732">
                  <c:v>16.649999999999999</c:v>
                </c:pt>
                <c:pt idx="3733">
                  <c:v>4.24</c:v>
                </c:pt>
                <c:pt idx="3734">
                  <c:v>14.15</c:v>
                </c:pt>
                <c:pt idx="3735">
                  <c:v>11.39</c:v>
                </c:pt>
                <c:pt idx="3736">
                  <c:v>13.46</c:v>
                </c:pt>
                <c:pt idx="3737">
                  <c:v>6.58</c:v>
                </c:pt>
                <c:pt idx="3738">
                  <c:v>4.9800000000000004</c:v>
                </c:pt>
                <c:pt idx="3739">
                  <c:v>19.48</c:v>
                </c:pt>
                <c:pt idx="3740">
                  <c:v>8.4</c:v>
                </c:pt>
                <c:pt idx="3741">
                  <c:v>20.61</c:v>
                </c:pt>
                <c:pt idx="3742">
                  <c:v>19.690000000000001</c:v>
                </c:pt>
                <c:pt idx="3743">
                  <c:v>7.36</c:v>
                </c:pt>
                <c:pt idx="3744">
                  <c:v>22.98</c:v>
                </c:pt>
                <c:pt idx="3745">
                  <c:v>6.55</c:v>
                </c:pt>
                <c:pt idx="3746">
                  <c:v>20.54</c:v>
                </c:pt>
                <c:pt idx="3747">
                  <c:v>12.25</c:v>
                </c:pt>
                <c:pt idx="3748">
                  <c:v>7.03</c:v>
                </c:pt>
                <c:pt idx="3749">
                  <c:v>23.64</c:v>
                </c:pt>
                <c:pt idx="3750">
                  <c:v>24.19</c:v>
                </c:pt>
                <c:pt idx="3751">
                  <c:v>14.25</c:v>
                </c:pt>
                <c:pt idx="3752">
                  <c:v>13.32</c:v>
                </c:pt>
                <c:pt idx="3753">
                  <c:v>22.82</c:v>
                </c:pt>
                <c:pt idx="3754">
                  <c:v>16.12</c:v>
                </c:pt>
                <c:pt idx="3755">
                  <c:v>8.85</c:v>
                </c:pt>
                <c:pt idx="3756">
                  <c:v>12.35</c:v>
                </c:pt>
                <c:pt idx="3757">
                  <c:v>21.39</c:v>
                </c:pt>
                <c:pt idx="3758">
                  <c:v>21.91</c:v>
                </c:pt>
                <c:pt idx="3759">
                  <c:v>23.66</c:v>
                </c:pt>
                <c:pt idx="3760">
                  <c:v>9.34</c:v>
                </c:pt>
                <c:pt idx="3761">
                  <c:v>17.96</c:v>
                </c:pt>
                <c:pt idx="3762">
                  <c:v>4.5</c:v>
                </c:pt>
                <c:pt idx="3763">
                  <c:v>18.97</c:v>
                </c:pt>
                <c:pt idx="3764">
                  <c:v>15.39</c:v>
                </c:pt>
                <c:pt idx="3765">
                  <c:v>8.49</c:v>
                </c:pt>
                <c:pt idx="3766">
                  <c:v>17.399999999999999</c:v>
                </c:pt>
                <c:pt idx="3767">
                  <c:v>5.97</c:v>
                </c:pt>
                <c:pt idx="3768">
                  <c:v>10.34</c:v>
                </c:pt>
                <c:pt idx="3769">
                  <c:v>11.82</c:v>
                </c:pt>
                <c:pt idx="3770">
                  <c:v>20.100000000000001</c:v>
                </c:pt>
                <c:pt idx="3771">
                  <c:v>9.7899999999999991</c:v>
                </c:pt>
                <c:pt idx="3772">
                  <c:v>4.08</c:v>
                </c:pt>
                <c:pt idx="3773">
                  <c:v>6.98</c:v>
                </c:pt>
                <c:pt idx="3774">
                  <c:v>16.38</c:v>
                </c:pt>
                <c:pt idx="3775">
                  <c:v>3.34</c:v>
                </c:pt>
                <c:pt idx="3776">
                  <c:v>20.43</c:v>
                </c:pt>
                <c:pt idx="3777">
                  <c:v>22.82</c:v>
                </c:pt>
                <c:pt idx="3778">
                  <c:v>13.9</c:v>
                </c:pt>
                <c:pt idx="3779">
                  <c:v>18.57</c:v>
                </c:pt>
                <c:pt idx="3780">
                  <c:v>13.18</c:v>
                </c:pt>
                <c:pt idx="3781">
                  <c:v>9.7899999999999991</c:v>
                </c:pt>
                <c:pt idx="3782">
                  <c:v>6.63</c:v>
                </c:pt>
                <c:pt idx="3783">
                  <c:v>14.4</c:v>
                </c:pt>
                <c:pt idx="3784">
                  <c:v>23.46</c:v>
                </c:pt>
                <c:pt idx="3785">
                  <c:v>22.58</c:v>
                </c:pt>
                <c:pt idx="3786">
                  <c:v>23.23</c:v>
                </c:pt>
                <c:pt idx="3787">
                  <c:v>24.26</c:v>
                </c:pt>
                <c:pt idx="3788">
                  <c:v>6.64</c:v>
                </c:pt>
                <c:pt idx="3789">
                  <c:v>6.22</c:v>
                </c:pt>
                <c:pt idx="3790">
                  <c:v>12.41</c:v>
                </c:pt>
                <c:pt idx="3791">
                  <c:v>18.16</c:v>
                </c:pt>
                <c:pt idx="3792">
                  <c:v>12.67</c:v>
                </c:pt>
                <c:pt idx="3793">
                  <c:v>22.63</c:v>
                </c:pt>
                <c:pt idx="3794">
                  <c:v>18.78</c:v>
                </c:pt>
                <c:pt idx="3795">
                  <c:v>16.95</c:v>
                </c:pt>
                <c:pt idx="3796">
                  <c:v>4.5599999999999996</c:v>
                </c:pt>
                <c:pt idx="3797">
                  <c:v>6.86</c:v>
                </c:pt>
                <c:pt idx="3798">
                  <c:v>12.42</c:v>
                </c:pt>
                <c:pt idx="3799">
                  <c:v>24.48</c:v>
                </c:pt>
                <c:pt idx="3800">
                  <c:v>10.36</c:v>
                </c:pt>
                <c:pt idx="3801">
                  <c:v>16.86</c:v>
                </c:pt>
                <c:pt idx="3802">
                  <c:v>24.76</c:v>
                </c:pt>
                <c:pt idx="3803">
                  <c:v>8.81</c:v>
                </c:pt>
                <c:pt idx="3804">
                  <c:v>6.67</c:v>
                </c:pt>
                <c:pt idx="3805">
                  <c:v>15.02</c:v>
                </c:pt>
                <c:pt idx="3806">
                  <c:v>15.14</c:v>
                </c:pt>
                <c:pt idx="3807">
                  <c:v>23.28</c:v>
                </c:pt>
                <c:pt idx="3808">
                  <c:v>3.58</c:v>
                </c:pt>
                <c:pt idx="3809">
                  <c:v>11.96</c:v>
                </c:pt>
                <c:pt idx="3810">
                  <c:v>9.8699999999999992</c:v>
                </c:pt>
                <c:pt idx="3811">
                  <c:v>15.56</c:v>
                </c:pt>
                <c:pt idx="3812">
                  <c:v>3.21</c:v>
                </c:pt>
                <c:pt idx="3813">
                  <c:v>18.64</c:v>
                </c:pt>
                <c:pt idx="3814">
                  <c:v>13.67</c:v>
                </c:pt>
                <c:pt idx="3815">
                  <c:v>18.420000000000002</c:v>
                </c:pt>
                <c:pt idx="3816">
                  <c:v>12.85</c:v>
                </c:pt>
                <c:pt idx="3817">
                  <c:v>13.43</c:v>
                </c:pt>
                <c:pt idx="3818">
                  <c:v>22.7</c:v>
                </c:pt>
                <c:pt idx="3819">
                  <c:v>7.64</c:v>
                </c:pt>
                <c:pt idx="3820">
                  <c:v>7.78</c:v>
                </c:pt>
                <c:pt idx="3821">
                  <c:v>15.31</c:v>
                </c:pt>
                <c:pt idx="3822">
                  <c:v>17.52</c:v>
                </c:pt>
                <c:pt idx="3823">
                  <c:v>10.8</c:v>
                </c:pt>
                <c:pt idx="3824">
                  <c:v>14.43</c:v>
                </c:pt>
                <c:pt idx="3825">
                  <c:v>8.01</c:v>
                </c:pt>
                <c:pt idx="3826">
                  <c:v>5.99</c:v>
                </c:pt>
                <c:pt idx="3827">
                  <c:v>8.24</c:v>
                </c:pt>
                <c:pt idx="3828">
                  <c:v>23.16</c:v>
                </c:pt>
                <c:pt idx="3829">
                  <c:v>20.64</c:v>
                </c:pt>
                <c:pt idx="3830">
                  <c:v>6.09</c:v>
                </c:pt>
                <c:pt idx="3831">
                  <c:v>4.0199999999999996</c:v>
                </c:pt>
                <c:pt idx="3832">
                  <c:v>5.05</c:v>
                </c:pt>
                <c:pt idx="3833">
                  <c:v>9.4600000000000009</c:v>
                </c:pt>
                <c:pt idx="3834">
                  <c:v>20.85</c:v>
                </c:pt>
                <c:pt idx="3835">
                  <c:v>10.07</c:v>
                </c:pt>
                <c:pt idx="3836">
                  <c:v>7.08</c:v>
                </c:pt>
                <c:pt idx="3837">
                  <c:v>11.71</c:v>
                </c:pt>
                <c:pt idx="3838">
                  <c:v>5.73</c:v>
                </c:pt>
                <c:pt idx="3839">
                  <c:v>13.34</c:v>
                </c:pt>
                <c:pt idx="3840">
                  <c:v>17.86</c:v>
                </c:pt>
                <c:pt idx="3841">
                  <c:v>11.11</c:v>
                </c:pt>
                <c:pt idx="3842">
                  <c:v>6.82</c:v>
                </c:pt>
                <c:pt idx="3843">
                  <c:v>12.97</c:v>
                </c:pt>
                <c:pt idx="3844">
                  <c:v>19.77</c:v>
                </c:pt>
                <c:pt idx="3845">
                  <c:v>4.6900000000000004</c:v>
                </c:pt>
                <c:pt idx="3846">
                  <c:v>4.5599999999999996</c:v>
                </c:pt>
                <c:pt idx="3847">
                  <c:v>10</c:v>
                </c:pt>
                <c:pt idx="3848">
                  <c:v>12.13</c:v>
                </c:pt>
                <c:pt idx="3849">
                  <c:v>7.76</c:v>
                </c:pt>
                <c:pt idx="3850">
                  <c:v>3.59</c:v>
                </c:pt>
                <c:pt idx="3851">
                  <c:v>7.83</c:v>
                </c:pt>
                <c:pt idx="3852">
                  <c:v>12.58</c:v>
                </c:pt>
                <c:pt idx="3853">
                  <c:v>4.75</c:v>
                </c:pt>
                <c:pt idx="3854">
                  <c:v>18.75</c:v>
                </c:pt>
                <c:pt idx="3855">
                  <c:v>15.15</c:v>
                </c:pt>
                <c:pt idx="3856">
                  <c:v>12.56</c:v>
                </c:pt>
                <c:pt idx="3857">
                  <c:v>14.41</c:v>
                </c:pt>
                <c:pt idx="3858">
                  <c:v>17.43</c:v>
                </c:pt>
                <c:pt idx="3859">
                  <c:v>24.89</c:v>
                </c:pt>
                <c:pt idx="3860">
                  <c:v>20.05</c:v>
                </c:pt>
                <c:pt idx="3861">
                  <c:v>14.89</c:v>
                </c:pt>
                <c:pt idx="3862">
                  <c:v>19.95</c:v>
                </c:pt>
                <c:pt idx="3863">
                  <c:v>13.45</c:v>
                </c:pt>
                <c:pt idx="3864">
                  <c:v>9.84</c:v>
                </c:pt>
                <c:pt idx="3865">
                  <c:v>8.76</c:v>
                </c:pt>
                <c:pt idx="3866">
                  <c:v>11.79</c:v>
                </c:pt>
                <c:pt idx="3867">
                  <c:v>3.05</c:v>
                </c:pt>
                <c:pt idx="3868">
                  <c:v>6.89</c:v>
                </c:pt>
                <c:pt idx="3869">
                  <c:v>5.78</c:v>
                </c:pt>
                <c:pt idx="3870">
                  <c:v>24.13</c:v>
                </c:pt>
                <c:pt idx="3871">
                  <c:v>4.43</c:v>
                </c:pt>
                <c:pt idx="3872">
                  <c:v>14.02</c:v>
                </c:pt>
                <c:pt idx="3873">
                  <c:v>23.23</c:v>
                </c:pt>
                <c:pt idx="3874">
                  <c:v>16.37</c:v>
                </c:pt>
                <c:pt idx="3875">
                  <c:v>13.9</c:v>
                </c:pt>
                <c:pt idx="3876">
                  <c:v>19.350000000000001</c:v>
                </c:pt>
                <c:pt idx="3877">
                  <c:v>10.77</c:v>
                </c:pt>
                <c:pt idx="3878">
                  <c:v>7.26</c:v>
                </c:pt>
                <c:pt idx="3879">
                  <c:v>21.64</c:v>
                </c:pt>
                <c:pt idx="3880">
                  <c:v>4.24</c:v>
                </c:pt>
                <c:pt idx="3881">
                  <c:v>20.77</c:v>
                </c:pt>
                <c:pt idx="3882">
                  <c:v>5.27</c:v>
                </c:pt>
                <c:pt idx="3883">
                  <c:v>16.760000000000002</c:v>
                </c:pt>
                <c:pt idx="3884">
                  <c:v>13.5</c:v>
                </c:pt>
                <c:pt idx="3885">
                  <c:v>24.97</c:v>
                </c:pt>
                <c:pt idx="3886">
                  <c:v>11.53</c:v>
                </c:pt>
                <c:pt idx="3887">
                  <c:v>24.06</c:v>
                </c:pt>
                <c:pt idx="3888">
                  <c:v>11.88</c:v>
                </c:pt>
                <c:pt idx="3889">
                  <c:v>18</c:v>
                </c:pt>
                <c:pt idx="3890">
                  <c:v>17.16</c:v>
                </c:pt>
                <c:pt idx="3891">
                  <c:v>4.9000000000000004</c:v>
                </c:pt>
                <c:pt idx="3892">
                  <c:v>19.350000000000001</c:v>
                </c:pt>
                <c:pt idx="3893">
                  <c:v>7.59</c:v>
                </c:pt>
                <c:pt idx="3894">
                  <c:v>11.55</c:v>
                </c:pt>
                <c:pt idx="3895">
                  <c:v>20.21</c:v>
                </c:pt>
                <c:pt idx="3896">
                  <c:v>23.77</c:v>
                </c:pt>
                <c:pt idx="3897">
                  <c:v>15.32</c:v>
                </c:pt>
                <c:pt idx="3898">
                  <c:v>14.43</c:v>
                </c:pt>
                <c:pt idx="3899">
                  <c:v>14.11</c:v>
                </c:pt>
                <c:pt idx="3900">
                  <c:v>20.96</c:v>
                </c:pt>
                <c:pt idx="3901">
                  <c:v>24.85</c:v>
                </c:pt>
                <c:pt idx="3902">
                  <c:v>16.940000000000001</c:v>
                </c:pt>
                <c:pt idx="3903">
                  <c:v>11.33</c:v>
                </c:pt>
                <c:pt idx="3904">
                  <c:v>7.81</c:v>
                </c:pt>
                <c:pt idx="3905">
                  <c:v>7.37</c:v>
                </c:pt>
                <c:pt idx="3906">
                  <c:v>21.84</c:v>
                </c:pt>
                <c:pt idx="3907">
                  <c:v>24.83</c:v>
                </c:pt>
                <c:pt idx="3908">
                  <c:v>18.36</c:v>
                </c:pt>
                <c:pt idx="3909">
                  <c:v>24.03</c:v>
                </c:pt>
                <c:pt idx="3910">
                  <c:v>10.7</c:v>
                </c:pt>
                <c:pt idx="3911">
                  <c:v>16.809999999999999</c:v>
                </c:pt>
                <c:pt idx="3912">
                  <c:v>14.26</c:v>
                </c:pt>
                <c:pt idx="3913">
                  <c:v>13.6</c:v>
                </c:pt>
                <c:pt idx="3914">
                  <c:v>16.91</c:v>
                </c:pt>
                <c:pt idx="3915">
                  <c:v>9.83</c:v>
                </c:pt>
                <c:pt idx="3916">
                  <c:v>17.09</c:v>
                </c:pt>
                <c:pt idx="3917">
                  <c:v>17.8</c:v>
                </c:pt>
                <c:pt idx="3918">
                  <c:v>21.39</c:v>
                </c:pt>
                <c:pt idx="3919">
                  <c:v>19.07</c:v>
                </c:pt>
                <c:pt idx="3920">
                  <c:v>10.039999999999999</c:v>
                </c:pt>
                <c:pt idx="3921">
                  <c:v>12.92</c:v>
                </c:pt>
                <c:pt idx="3922">
                  <c:v>5.65</c:v>
                </c:pt>
                <c:pt idx="3923">
                  <c:v>8.66</c:v>
                </c:pt>
                <c:pt idx="3924">
                  <c:v>14.46</c:v>
                </c:pt>
                <c:pt idx="3925">
                  <c:v>5.22</c:v>
                </c:pt>
                <c:pt idx="3926">
                  <c:v>15.55</c:v>
                </c:pt>
                <c:pt idx="3927">
                  <c:v>11.59</c:v>
                </c:pt>
                <c:pt idx="3928">
                  <c:v>3.76</c:v>
                </c:pt>
                <c:pt idx="3929">
                  <c:v>12.56</c:v>
                </c:pt>
                <c:pt idx="3930">
                  <c:v>9.19</c:v>
                </c:pt>
                <c:pt idx="3931">
                  <c:v>4.47</c:v>
                </c:pt>
                <c:pt idx="3932">
                  <c:v>9.4499999999999993</c:v>
                </c:pt>
                <c:pt idx="3933">
                  <c:v>9.4700000000000006</c:v>
                </c:pt>
                <c:pt idx="3934">
                  <c:v>10.81</c:v>
                </c:pt>
                <c:pt idx="3935">
                  <c:v>11.06</c:v>
                </c:pt>
                <c:pt idx="3936">
                  <c:v>12.45</c:v>
                </c:pt>
                <c:pt idx="3937">
                  <c:v>5.0199999999999996</c:v>
                </c:pt>
                <c:pt idx="3938">
                  <c:v>3.12</c:v>
                </c:pt>
                <c:pt idx="3939">
                  <c:v>19.190000000000001</c:v>
                </c:pt>
                <c:pt idx="3940">
                  <c:v>10.42</c:v>
                </c:pt>
                <c:pt idx="3941">
                  <c:v>16.5</c:v>
                </c:pt>
                <c:pt idx="3942">
                  <c:v>9.75</c:v>
                </c:pt>
                <c:pt idx="3943">
                  <c:v>24.65</c:v>
                </c:pt>
                <c:pt idx="3944">
                  <c:v>9.94</c:v>
                </c:pt>
                <c:pt idx="3945">
                  <c:v>16.309999999999999</c:v>
                </c:pt>
                <c:pt idx="3946">
                  <c:v>7.84</c:v>
                </c:pt>
                <c:pt idx="3947">
                  <c:v>14.39</c:v>
                </c:pt>
                <c:pt idx="3948">
                  <c:v>15.75</c:v>
                </c:pt>
                <c:pt idx="3949">
                  <c:v>7.02</c:v>
                </c:pt>
                <c:pt idx="3950">
                  <c:v>5.72</c:v>
                </c:pt>
                <c:pt idx="3951">
                  <c:v>24.42</c:v>
                </c:pt>
                <c:pt idx="3952">
                  <c:v>22.65</c:v>
                </c:pt>
                <c:pt idx="3953">
                  <c:v>17.52</c:v>
                </c:pt>
                <c:pt idx="3954">
                  <c:v>21.94</c:v>
                </c:pt>
                <c:pt idx="3955">
                  <c:v>5.0999999999999996</c:v>
                </c:pt>
                <c:pt idx="3956">
                  <c:v>19.05</c:v>
                </c:pt>
                <c:pt idx="3957">
                  <c:v>9.2799999999999994</c:v>
                </c:pt>
                <c:pt idx="3958">
                  <c:v>14.87</c:v>
                </c:pt>
                <c:pt idx="3959">
                  <c:v>19.829999999999998</c:v>
                </c:pt>
                <c:pt idx="3960">
                  <c:v>3.74</c:v>
                </c:pt>
                <c:pt idx="3961">
                  <c:v>18.29</c:v>
                </c:pt>
                <c:pt idx="3962">
                  <c:v>12.57</c:v>
                </c:pt>
                <c:pt idx="3963">
                  <c:v>12.67</c:v>
                </c:pt>
                <c:pt idx="3964">
                  <c:v>22.96</c:v>
                </c:pt>
                <c:pt idx="3965">
                  <c:v>21.91</c:v>
                </c:pt>
                <c:pt idx="3966">
                  <c:v>4.2699999999999996</c:v>
                </c:pt>
                <c:pt idx="3967">
                  <c:v>16.600000000000001</c:v>
                </c:pt>
                <c:pt idx="3968">
                  <c:v>12.59</c:v>
                </c:pt>
                <c:pt idx="3969">
                  <c:v>5.59</c:v>
                </c:pt>
                <c:pt idx="3970">
                  <c:v>21.72</c:v>
                </c:pt>
                <c:pt idx="3971">
                  <c:v>4.57</c:v>
                </c:pt>
                <c:pt idx="3972">
                  <c:v>3.71</c:v>
                </c:pt>
                <c:pt idx="3973">
                  <c:v>7.35</c:v>
                </c:pt>
                <c:pt idx="3974">
                  <c:v>9.67</c:v>
                </c:pt>
                <c:pt idx="3975">
                  <c:v>4.34</c:v>
                </c:pt>
                <c:pt idx="3976">
                  <c:v>17.11</c:v>
                </c:pt>
                <c:pt idx="3977">
                  <c:v>12.62</c:v>
                </c:pt>
                <c:pt idx="3978">
                  <c:v>12.07</c:v>
                </c:pt>
                <c:pt idx="3979">
                  <c:v>6.2</c:v>
                </c:pt>
                <c:pt idx="3980">
                  <c:v>12.63</c:v>
                </c:pt>
                <c:pt idx="3981">
                  <c:v>11.58</c:v>
                </c:pt>
                <c:pt idx="3982">
                  <c:v>11.44</c:v>
                </c:pt>
                <c:pt idx="3983">
                  <c:v>7.81</c:v>
                </c:pt>
                <c:pt idx="3984">
                  <c:v>5.08</c:v>
                </c:pt>
                <c:pt idx="3985">
                  <c:v>8.74</c:v>
                </c:pt>
                <c:pt idx="3986">
                  <c:v>17.68</c:v>
                </c:pt>
                <c:pt idx="3987">
                  <c:v>4.5999999999999996</c:v>
                </c:pt>
                <c:pt idx="3988">
                  <c:v>11.41</c:v>
                </c:pt>
                <c:pt idx="3989">
                  <c:v>14.32</c:v>
                </c:pt>
                <c:pt idx="3990">
                  <c:v>24.19</c:v>
                </c:pt>
                <c:pt idx="3991">
                  <c:v>21.56</c:v>
                </c:pt>
                <c:pt idx="3992">
                  <c:v>23.17</c:v>
                </c:pt>
                <c:pt idx="3993">
                  <c:v>21.04</c:v>
                </c:pt>
                <c:pt idx="3994">
                  <c:v>15.96</c:v>
                </c:pt>
                <c:pt idx="3995">
                  <c:v>21.94</c:v>
                </c:pt>
                <c:pt idx="3996">
                  <c:v>15.44</c:v>
                </c:pt>
                <c:pt idx="3997">
                  <c:v>10.87</c:v>
                </c:pt>
                <c:pt idx="3998">
                  <c:v>11.19</c:v>
                </c:pt>
                <c:pt idx="3999">
                  <c:v>15.44</c:v>
                </c:pt>
                <c:pt idx="4000">
                  <c:v>20.81</c:v>
                </c:pt>
                <c:pt idx="4001">
                  <c:v>5.94</c:v>
                </c:pt>
                <c:pt idx="4002">
                  <c:v>3.86</c:v>
                </c:pt>
                <c:pt idx="4003">
                  <c:v>20.37</c:v>
                </c:pt>
                <c:pt idx="4004">
                  <c:v>17.25</c:v>
                </c:pt>
                <c:pt idx="4005">
                  <c:v>21.07</c:v>
                </c:pt>
                <c:pt idx="4006">
                  <c:v>24.49</c:v>
                </c:pt>
                <c:pt idx="4007">
                  <c:v>8.5299999999999994</c:v>
                </c:pt>
                <c:pt idx="4008">
                  <c:v>7.27</c:v>
                </c:pt>
                <c:pt idx="4009">
                  <c:v>10.5</c:v>
                </c:pt>
                <c:pt idx="4010">
                  <c:v>22.32</c:v>
                </c:pt>
                <c:pt idx="4011">
                  <c:v>3.31</c:v>
                </c:pt>
                <c:pt idx="4012">
                  <c:v>3.23</c:v>
                </c:pt>
                <c:pt idx="4013">
                  <c:v>7.77</c:v>
                </c:pt>
                <c:pt idx="4014">
                  <c:v>11.27</c:v>
                </c:pt>
                <c:pt idx="4015">
                  <c:v>9.65</c:v>
                </c:pt>
                <c:pt idx="4016">
                  <c:v>21.15</c:v>
                </c:pt>
                <c:pt idx="4017">
                  <c:v>18.170000000000002</c:v>
                </c:pt>
                <c:pt idx="4018">
                  <c:v>21.43</c:v>
                </c:pt>
                <c:pt idx="4019">
                  <c:v>11.44</c:v>
                </c:pt>
                <c:pt idx="4020">
                  <c:v>16.11</c:v>
                </c:pt>
                <c:pt idx="4021">
                  <c:v>14.34</c:v>
                </c:pt>
                <c:pt idx="4022">
                  <c:v>13.44</c:v>
                </c:pt>
                <c:pt idx="4023">
                  <c:v>9.34</c:v>
                </c:pt>
                <c:pt idx="4024">
                  <c:v>18.600000000000001</c:v>
                </c:pt>
                <c:pt idx="4025">
                  <c:v>14.53</c:v>
                </c:pt>
                <c:pt idx="4026">
                  <c:v>4.7300000000000004</c:v>
                </c:pt>
                <c:pt idx="4027">
                  <c:v>3.01</c:v>
                </c:pt>
                <c:pt idx="4028">
                  <c:v>3.45</c:v>
                </c:pt>
                <c:pt idx="4029">
                  <c:v>4.67</c:v>
                </c:pt>
                <c:pt idx="4030">
                  <c:v>11.16</c:v>
                </c:pt>
                <c:pt idx="4031">
                  <c:v>9.7200000000000006</c:v>
                </c:pt>
                <c:pt idx="4032">
                  <c:v>6.45</c:v>
                </c:pt>
                <c:pt idx="4033">
                  <c:v>14.34</c:v>
                </c:pt>
                <c:pt idx="4034">
                  <c:v>24.34</c:v>
                </c:pt>
                <c:pt idx="4035">
                  <c:v>6.54</c:v>
                </c:pt>
                <c:pt idx="4036">
                  <c:v>8.51</c:v>
                </c:pt>
                <c:pt idx="4037">
                  <c:v>13.17</c:v>
                </c:pt>
                <c:pt idx="4038">
                  <c:v>17.100000000000001</c:v>
                </c:pt>
                <c:pt idx="4039">
                  <c:v>16.21</c:v>
                </c:pt>
                <c:pt idx="4040">
                  <c:v>14.47</c:v>
                </c:pt>
                <c:pt idx="4041">
                  <c:v>19.22</c:v>
                </c:pt>
                <c:pt idx="4042">
                  <c:v>21.61</c:v>
                </c:pt>
                <c:pt idx="4043">
                  <c:v>24.98</c:v>
                </c:pt>
                <c:pt idx="4044">
                  <c:v>13.24</c:v>
                </c:pt>
                <c:pt idx="4045">
                  <c:v>24.89</c:v>
                </c:pt>
                <c:pt idx="4046">
                  <c:v>19.07</c:v>
                </c:pt>
                <c:pt idx="4047">
                  <c:v>17.46</c:v>
                </c:pt>
                <c:pt idx="4048">
                  <c:v>17.07</c:v>
                </c:pt>
                <c:pt idx="4049">
                  <c:v>23.04</c:v>
                </c:pt>
                <c:pt idx="4050">
                  <c:v>23.85</c:v>
                </c:pt>
                <c:pt idx="4051">
                  <c:v>6.93</c:v>
                </c:pt>
                <c:pt idx="4052">
                  <c:v>13.86</c:v>
                </c:pt>
                <c:pt idx="4053">
                  <c:v>23.71</c:v>
                </c:pt>
                <c:pt idx="4054">
                  <c:v>11.41</c:v>
                </c:pt>
                <c:pt idx="4055">
                  <c:v>8.1199999999999992</c:v>
                </c:pt>
                <c:pt idx="4056">
                  <c:v>5.26</c:v>
                </c:pt>
                <c:pt idx="4057">
                  <c:v>16.14</c:v>
                </c:pt>
                <c:pt idx="4058">
                  <c:v>18.41</c:v>
                </c:pt>
                <c:pt idx="4059">
                  <c:v>7.3</c:v>
                </c:pt>
                <c:pt idx="4060">
                  <c:v>17.82</c:v>
                </c:pt>
                <c:pt idx="4061">
                  <c:v>22.79</c:v>
                </c:pt>
                <c:pt idx="4062">
                  <c:v>8.36</c:v>
                </c:pt>
                <c:pt idx="4063">
                  <c:v>5.68</c:v>
                </c:pt>
                <c:pt idx="4064">
                  <c:v>21.38</c:v>
                </c:pt>
                <c:pt idx="4065">
                  <c:v>23.16</c:v>
                </c:pt>
                <c:pt idx="4066">
                  <c:v>7.73</c:v>
                </c:pt>
                <c:pt idx="4067">
                  <c:v>18.87</c:v>
                </c:pt>
                <c:pt idx="4068">
                  <c:v>16</c:v>
                </c:pt>
                <c:pt idx="4069">
                  <c:v>8.26</c:v>
                </c:pt>
                <c:pt idx="4070">
                  <c:v>21.12</c:v>
                </c:pt>
                <c:pt idx="4071">
                  <c:v>13.35</c:v>
                </c:pt>
                <c:pt idx="4072">
                  <c:v>18.41</c:v>
                </c:pt>
                <c:pt idx="4073">
                  <c:v>9.6300000000000008</c:v>
                </c:pt>
                <c:pt idx="4074">
                  <c:v>20.95</c:v>
                </c:pt>
                <c:pt idx="4075">
                  <c:v>8.81</c:v>
                </c:pt>
                <c:pt idx="4076">
                  <c:v>11.03</c:v>
                </c:pt>
                <c:pt idx="4077">
                  <c:v>11.61</c:v>
                </c:pt>
                <c:pt idx="4078">
                  <c:v>7.54</c:v>
                </c:pt>
                <c:pt idx="4079">
                  <c:v>22.24</c:v>
                </c:pt>
                <c:pt idx="4080">
                  <c:v>5.5</c:v>
                </c:pt>
                <c:pt idx="4081">
                  <c:v>15.39</c:v>
                </c:pt>
                <c:pt idx="4082">
                  <c:v>20.91</c:v>
                </c:pt>
                <c:pt idx="4083">
                  <c:v>15.78</c:v>
                </c:pt>
                <c:pt idx="4084">
                  <c:v>10.19</c:v>
                </c:pt>
                <c:pt idx="4085">
                  <c:v>20.190000000000001</c:v>
                </c:pt>
                <c:pt idx="4086">
                  <c:v>13.98</c:v>
                </c:pt>
                <c:pt idx="4087">
                  <c:v>6.59</c:v>
                </c:pt>
                <c:pt idx="4088">
                  <c:v>9.9700000000000006</c:v>
                </c:pt>
                <c:pt idx="4089">
                  <c:v>16.02</c:v>
                </c:pt>
                <c:pt idx="4090">
                  <c:v>17.489999999999998</c:v>
                </c:pt>
                <c:pt idx="4091">
                  <c:v>15.06</c:v>
                </c:pt>
                <c:pt idx="4092">
                  <c:v>8.98</c:v>
                </c:pt>
                <c:pt idx="4093">
                  <c:v>16.059999999999999</c:v>
                </c:pt>
                <c:pt idx="4094">
                  <c:v>10.31</c:v>
                </c:pt>
                <c:pt idx="4095">
                  <c:v>7.95</c:v>
                </c:pt>
                <c:pt idx="4096">
                  <c:v>23.8</c:v>
                </c:pt>
                <c:pt idx="4097">
                  <c:v>9.93</c:v>
                </c:pt>
                <c:pt idx="4098">
                  <c:v>10.38</c:v>
                </c:pt>
                <c:pt idx="4099">
                  <c:v>22.73</c:v>
                </c:pt>
                <c:pt idx="4100">
                  <c:v>6.14</c:v>
                </c:pt>
                <c:pt idx="4101">
                  <c:v>15.86</c:v>
                </c:pt>
                <c:pt idx="4102">
                  <c:v>20.239999999999998</c:v>
                </c:pt>
                <c:pt idx="4103">
                  <c:v>9.02</c:v>
                </c:pt>
                <c:pt idx="4104">
                  <c:v>21.57</c:v>
                </c:pt>
                <c:pt idx="4105">
                  <c:v>19.93</c:v>
                </c:pt>
                <c:pt idx="4106">
                  <c:v>13.69</c:v>
                </c:pt>
                <c:pt idx="4107">
                  <c:v>5.61</c:v>
                </c:pt>
                <c:pt idx="4108">
                  <c:v>24.34</c:v>
                </c:pt>
                <c:pt idx="4109">
                  <c:v>16.73</c:v>
                </c:pt>
                <c:pt idx="4110">
                  <c:v>14.38</c:v>
                </c:pt>
                <c:pt idx="4111">
                  <c:v>22.48</c:v>
                </c:pt>
                <c:pt idx="4112">
                  <c:v>12.27</c:v>
                </c:pt>
                <c:pt idx="4113">
                  <c:v>15.4</c:v>
                </c:pt>
                <c:pt idx="4114">
                  <c:v>21.89</c:v>
                </c:pt>
                <c:pt idx="4115">
                  <c:v>11.65</c:v>
                </c:pt>
                <c:pt idx="4116">
                  <c:v>19.989999999999998</c:v>
                </c:pt>
                <c:pt idx="4117">
                  <c:v>8.64</c:v>
                </c:pt>
                <c:pt idx="4118">
                  <c:v>18.45</c:v>
                </c:pt>
                <c:pt idx="4119">
                  <c:v>14.23</c:v>
                </c:pt>
                <c:pt idx="4120">
                  <c:v>6.63</c:v>
                </c:pt>
                <c:pt idx="4121">
                  <c:v>5.99</c:v>
                </c:pt>
                <c:pt idx="4122">
                  <c:v>13.07</c:v>
                </c:pt>
                <c:pt idx="4123">
                  <c:v>18.64</c:v>
                </c:pt>
                <c:pt idx="4124">
                  <c:v>16.27</c:v>
                </c:pt>
                <c:pt idx="4125">
                  <c:v>21.8</c:v>
                </c:pt>
                <c:pt idx="4126">
                  <c:v>11.57</c:v>
                </c:pt>
                <c:pt idx="4127">
                  <c:v>21.56</c:v>
                </c:pt>
                <c:pt idx="4128">
                  <c:v>3.81</c:v>
                </c:pt>
                <c:pt idx="4129">
                  <c:v>11.05</c:v>
                </c:pt>
                <c:pt idx="4130">
                  <c:v>4.6100000000000003</c:v>
                </c:pt>
                <c:pt idx="4131">
                  <c:v>23.22</c:v>
                </c:pt>
                <c:pt idx="4132">
                  <c:v>13.46</c:v>
                </c:pt>
                <c:pt idx="4133">
                  <c:v>9.9600000000000009</c:v>
                </c:pt>
                <c:pt idx="4134">
                  <c:v>13.83</c:v>
                </c:pt>
                <c:pt idx="4135">
                  <c:v>14.72</c:v>
                </c:pt>
                <c:pt idx="4136">
                  <c:v>21.62</c:v>
                </c:pt>
                <c:pt idx="4137">
                  <c:v>14.93</c:v>
                </c:pt>
                <c:pt idx="4138">
                  <c:v>12.49</c:v>
                </c:pt>
                <c:pt idx="4139">
                  <c:v>24.15</c:v>
                </c:pt>
                <c:pt idx="4140">
                  <c:v>24.31</c:v>
                </c:pt>
                <c:pt idx="4141">
                  <c:v>3.85</c:v>
                </c:pt>
                <c:pt idx="4142">
                  <c:v>18.55</c:v>
                </c:pt>
                <c:pt idx="4143">
                  <c:v>11.18</c:v>
                </c:pt>
                <c:pt idx="4144">
                  <c:v>17.850000000000001</c:v>
                </c:pt>
                <c:pt idx="4145">
                  <c:v>17.010000000000002</c:v>
                </c:pt>
                <c:pt idx="4146">
                  <c:v>10.26</c:v>
                </c:pt>
                <c:pt idx="4147">
                  <c:v>24.71</c:v>
                </c:pt>
                <c:pt idx="4148">
                  <c:v>10.86</c:v>
                </c:pt>
                <c:pt idx="4149">
                  <c:v>16.899999999999999</c:v>
                </c:pt>
                <c:pt idx="4150">
                  <c:v>20.89</c:v>
                </c:pt>
                <c:pt idx="4151">
                  <c:v>6.2</c:v>
                </c:pt>
                <c:pt idx="4152">
                  <c:v>9.61</c:v>
                </c:pt>
                <c:pt idx="4153">
                  <c:v>7.38</c:v>
                </c:pt>
                <c:pt idx="4154">
                  <c:v>20.2</c:v>
                </c:pt>
                <c:pt idx="4155">
                  <c:v>20.63</c:v>
                </c:pt>
                <c:pt idx="4156">
                  <c:v>8.6300000000000008</c:v>
                </c:pt>
                <c:pt idx="4157">
                  <c:v>3.09</c:v>
                </c:pt>
                <c:pt idx="4158">
                  <c:v>12.31</c:v>
                </c:pt>
                <c:pt idx="4159">
                  <c:v>18.12</c:v>
                </c:pt>
                <c:pt idx="4160">
                  <c:v>16.7</c:v>
                </c:pt>
                <c:pt idx="4161">
                  <c:v>12.81</c:v>
                </c:pt>
                <c:pt idx="4162">
                  <c:v>9.64</c:v>
                </c:pt>
                <c:pt idx="4163">
                  <c:v>13.44</c:v>
                </c:pt>
                <c:pt idx="4164">
                  <c:v>3.33</c:v>
                </c:pt>
                <c:pt idx="4165">
                  <c:v>4.63</c:v>
                </c:pt>
                <c:pt idx="4166">
                  <c:v>6.58</c:v>
                </c:pt>
                <c:pt idx="4167">
                  <c:v>16.760000000000002</c:v>
                </c:pt>
                <c:pt idx="4168">
                  <c:v>7.81</c:v>
                </c:pt>
                <c:pt idx="4169">
                  <c:v>12.31</c:v>
                </c:pt>
                <c:pt idx="4170">
                  <c:v>16.670000000000002</c:v>
                </c:pt>
                <c:pt idx="4171">
                  <c:v>21.27</c:v>
                </c:pt>
                <c:pt idx="4172">
                  <c:v>15.09</c:v>
                </c:pt>
                <c:pt idx="4173">
                  <c:v>6.9</c:v>
                </c:pt>
                <c:pt idx="4174">
                  <c:v>23.94</c:v>
                </c:pt>
                <c:pt idx="4175">
                  <c:v>4.9800000000000004</c:v>
                </c:pt>
                <c:pt idx="4176">
                  <c:v>11.08</c:v>
                </c:pt>
                <c:pt idx="4177">
                  <c:v>23.27</c:v>
                </c:pt>
                <c:pt idx="4178">
                  <c:v>16.25</c:v>
                </c:pt>
                <c:pt idx="4179">
                  <c:v>17.579999999999998</c:v>
                </c:pt>
                <c:pt idx="4180">
                  <c:v>9.64</c:v>
                </c:pt>
                <c:pt idx="4181">
                  <c:v>4.7300000000000004</c:v>
                </c:pt>
                <c:pt idx="4182">
                  <c:v>11.05</c:v>
                </c:pt>
                <c:pt idx="4183">
                  <c:v>11.85</c:v>
                </c:pt>
                <c:pt idx="4184">
                  <c:v>8.9499999999999993</c:v>
                </c:pt>
                <c:pt idx="4185">
                  <c:v>7.74</c:v>
                </c:pt>
                <c:pt idx="4186">
                  <c:v>10.82</c:v>
                </c:pt>
                <c:pt idx="4187">
                  <c:v>17.07</c:v>
                </c:pt>
                <c:pt idx="4188">
                  <c:v>23.88</c:v>
                </c:pt>
                <c:pt idx="4189">
                  <c:v>18.48</c:v>
                </c:pt>
                <c:pt idx="4190">
                  <c:v>20.149999999999999</c:v>
                </c:pt>
                <c:pt idx="4191">
                  <c:v>9.73</c:v>
                </c:pt>
                <c:pt idx="4192">
                  <c:v>5.3</c:v>
                </c:pt>
                <c:pt idx="4193">
                  <c:v>9.41</c:v>
                </c:pt>
                <c:pt idx="4194">
                  <c:v>11.86</c:v>
                </c:pt>
                <c:pt idx="4195">
                  <c:v>18.18</c:v>
                </c:pt>
                <c:pt idx="4196">
                  <c:v>23.67</c:v>
                </c:pt>
                <c:pt idx="4197">
                  <c:v>20.8</c:v>
                </c:pt>
                <c:pt idx="4198">
                  <c:v>8.86</c:v>
                </c:pt>
                <c:pt idx="4199">
                  <c:v>21.05</c:v>
                </c:pt>
                <c:pt idx="4200">
                  <c:v>12.06</c:v>
                </c:pt>
                <c:pt idx="4201">
                  <c:v>6.86</c:v>
                </c:pt>
                <c:pt idx="4202">
                  <c:v>13.15</c:v>
                </c:pt>
                <c:pt idx="4203">
                  <c:v>15.39</c:v>
                </c:pt>
                <c:pt idx="4204">
                  <c:v>19.79</c:v>
                </c:pt>
                <c:pt idx="4205">
                  <c:v>10.7</c:v>
                </c:pt>
                <c:pt idx="4206">
                  <c:v>6.23</c:v>
                </c:pt>
                <c:pt idx="4207">
                  <c:v>5.08</c:v>
                </c:pt>
                <c:pt idx="4208">
                  <c:v>5.47</c:v>
                </c:pt>
                <c:pt idx="4209">
                  <c:v>23.9</c:v>
                </c:pt>
                <c:pt idx="4210">
                  <c:v>23.94</c:v>
                </c:pt>
                <c:pt idx="4211">
                  <c:v>24.31</c:v>
                </c:pt>
                <c:pt idx="4212">
                  <c:v>9.65</c:v>
                </c:pt>
                <c:pt idx="4213">
                  <c:v>7.22</c:v>
                </c:pt>
                <c:pt idx="4214">
                  <c:v>24.58</c:v>
                </c:pt>
                <c:pt idx="4215">
                  <c:v>24.74</c:v>
                </c:pt>
                <c:pt idx="4216">
                  <c:v>4.72</c:v>
                </c:pt>
                <c:pt idx="4217">
                  <c:v>19.559999999999999</c:v>
                </c:pt>
                <c:pt idx="4218">
                  <c:v>9.35</c:v>
                </c:pt>
                <c:pt idx="4219">
                  <c:v>23</c:v>
                </c:pt>
                <c:pt idx="4220">
                  <c:v>4.96</c:v>
                </c:pt>
                <c:pt idx="4221">
                  <c:v>22.55</c:v>
                </c:pt>
                <c:pt idx="4222">
                  <c:v>3.06</c:v>
                </c:pt>
                <c:pt idx="4223">
                  <c:v>14.48</c:v>
                </c:pt>
                <c:pt idx="4224">
                  <c:v>10.38</c:v>
                </c:pt>
                <c:pt idx="4225">
                  <c:v>12.4</c:v>
                </c:pt>
                <c:pt idx="4226">
                  <c:v>12.54</c:v>
                </c:pt>
                <c:pt idx="4227">
                  <c:v>17.38</c:v>
                </c:pt>
                <c:pt idx="4228">
                  <c:v>3.51</c:v>
                </c:pt>
                <c:pt idx="4229">
                  <c:v>18.21</c:v>
                </c:pt>
                <c:pt idx="4230">
                  <c:v>3.49</c:v>
                </c:pt>
                <c:pt idx="4231">
                  <c:v>7.08</c:v>
                </c:pt>
                <c:pt idx="4232">
                  <c:v>16.350000000000001</c:v>
                </c:pt>
                <c:pt idx="4233">
                  <c:v>4.9000000000000004</c:v>
                </c:pt>
                <c:pt idx="4234">
                  <c:v>24.8</c:v>
                </c:pt>
                <c:pt idx="4235">
                  <c:v>20.260000000000002</c:v>
                </c:pt>
                <c:pt idx="4236">
                  <c:v>18.52</c:v>
                </c:pt>
                <c:pt idx="4237">
                  <c:v>8.89</c:v>
                </c:pt>
                <c:pt idx="4238">
                  <c:v>4.07</c:v>
                </c:pt>
                <c:pt idx="4239">
                  <c:v>24.53</c:v>
                </c:pt>
                <c:pt idx="4240">
                  <c:v>6.25</c:v>
                </c:pt>
                <c:pt idx="4241">
                  <c:v>21.27</c:v>
                </c:pt>
                <c:pt idx="4242">
                  <c:v>7.35</c:v>
                </c:pt>
                <c:pt idx="4243">
                  <c:v>11.23</c:v>
                </c:pt>
                <c:pt idx="4244">
                  <c:v>18.260000000000002</c:v>
                </c:pt>
                <c:pt idx="4245">
                  <c:v>23.8</c:v>
                </c:pt>
                <c:pt idx="4246">
                  <c:v>3.44</c:v>
                </c:pt>
                <c:pt idx="4247">
                  <c:v>8.74</c:v>
                </c:pt>
                <c:pt idx="4248">
                  <c:v>19.829999999999998</c:v>
                </c:pt>
                <c:pt idx="4249">
                  <c:v>6.81</c:v>
                </c:pt>
                <c:pt idx="4250">
                  <c:v>5.45</c:v>
                </c:pt>
                <c:pt idx="4251">
                  <c:v>4.0199999999999996</c:v>
                </c:pt>
                <c:pt idx="4252">
                  <c:v>14.05</c:v>
                </c:pt>
                <c:pt idx="4253">
                  <c:v>19.89</c:v>
                </c:pt>
                <c:pt idx="4254">
                  <c:v>24.16</c:v>
                </c:pt>
                <c:pt idx="4255">
                  <c:v>8.8800000000000008</c:v>
                </c:pt>
                <c:pt idx="4256">
                  <c:v>5.67</c:v>
                </c:pt>
                <c:pt idx="4257">
                  <c:v>11.86</c:v>
                </c:pt>
                <c:pt idx="4258">
                  <c:v>4.22</c:v>
                </c:pt>
                <c:pt idx="4259">
                  <c:v>10.29</c:v>
                </c:pt>
                <c:pt idx="4260">
                  <c:v>17.149999999999999</c:v>
                </c:pt>
                <c:pt idx="4261">
                  <c:v>6.7</c:v>
                </c:pt>
                <c:pt idx="4262">
                  <c:v>16.899999999999999</c:v>
                </c:pt>
                <c:pt idx="4263">
                  <c:v>24.38</c:v>
                </c:pt>
                <c:pt idx="4264">
                  <c:v>22.01</c:v>
                </c:pt>
                <c:pt idx="4265">
                  <c:v>10.85</c:v>
                </c:pt>
                <c:pt idx="4266">
                  <c:v>12.27</c:v>
                </c:pt>
                <c:pt idx="4267">
                  <c:v>12.23</c:v>
                </c:pt>
                <c:pt idx="4268">
                  <c:v>21.92</c:v>
                </c:pt>
                <c:pt idx="4269">
                  <c:v>24.86</c:v>
                </c:pt>
                <c:pt idx="4270">
                  <c:v>21.17</c:v>
                </c:pt>
                <c:pt idx="4271">
                  <c:v>15.28</c:v>
                </c:pt>
                <c:pt idx="4272">
                  <c:v>5.14</c:v>
                </c:pt>
                <c:pt idx="4273">
                  <c:v>24</c:v>
                </c:pt>
                <c:pt idx="4274">
                  <c:v>21.92</c:v>
                </c:pt>
                <c:pt idx="4275">
                  <c:v>21.51</c:v>
                </c:pt>
                <c:pt idx="4276">
                  <c:v>11.62</c:v>
                </c:pt>
                <c:pt idx="4277">
                  <c:v>12.84</c:v>
                </c:pt>
                <c:pt idx="4278">
                  <c:v>5.63</c:v>
                </c:pt>
                <c:pt idx="4279">
                  <c:v>23.63</c:v>
                </c:pt>
                <c:pt idx="4280">
                  <c:v>23.75</c:v>
                </c:pt>
                <c:pt idx="4281">
                  <c:v>8.6</c:v>
                </c:pt>
                <c:pt idx="4282">
                  <c:v>18.309999999999999</c:v>
                </c:pt>
                <c:pt idx="4283">
                  <c:v>7.48</c:v>
                </c:pt>
                <c:pt idx="4284">
                  <c:v>11.64</c:v>
                </c:pt>
                <c:pt idx="4285">
                  <c:v>9.65</c:v>
                </c:pt>
                <c:pt idx="4286">
                  <c:v>11.57</c:v>
                </c:pt>
                <c:pt idx="4287">
                  <c:v>9.8000000000000007</c:v>
                </c:pt>
                <c:pt idx="4288">
                  <c:v>10.6</c:v>
                </c:pt>
                <c:pt idx="4289">
                  <c:v>20.399999999999999</c:v>
                </c:pt>
                <c:pt idx="4290">
                  <c:v>9.6</c:v>
                </c:pt>
                <c:pt idx="4291">
                  <c:v>20.92</c:v>
                </c:pt>
                <c:pt idx="4292">
                  <c:v>15.49</c:v>
                </c:pt>
                <c:pt idx="4293">
                  <c:v>20.170000000000002</c:v>
                </c:pt>
                <c:pt idx="4294">
                  <c:v>23.22</c:v>
                </c:pt>
                <c:pt idx="4295">
                  <c:v>6.05</c:v>
                </c:pt>
                <c:pt idx="4296">
                  <c:v>10.57</c:v>
                </c:pt>
                <c:pt idx="4297">
                  <c:v>4.22</c:v>
                </c:pt>
                <c:pt idx="4298">
                  <c:v>11.95</c:v>
                </c:pt>
                <c:pt idx="4299">
                  <c:v>8.2200000000000006</c:v>
                </c:pt>
                <c:pt idx="4300">
                  <c:v>15.58</c:v>
                </c:pt>
                <c:pt idx="4301">
                  <c:v>20.23</c:v>
                </c:pt>
                <c:pt idx="4302">
                  <c:v>13.7</c:v>
                </c:pt>
                <c:pt idx="4303">
                  <c:v>10.34</c:v>
                </c:pt>
                <c:pt idx="4304">
                  <c:v>6.36</c:v>
                </c:pt>
                <c:pt idx="4305">
                  <c:v>3.59</c:v>
                </c:pt>
                <c:pt idx="4306">
                  <c:v>17.91</c:v>
                </c:pt>
                <c:pt idx="4307">
                  <c:v>3.67</c:v>
                </c:pt>
                <c:pt idx="4308">
                  <c:v>23.26</c:v>
                </c:pt>
                <c:pt idx="4309">
                  <c:v>16.07</c:v>
                </c:pt>
                <c:pt idx="4310">
                  <c:v>10.77</c:v>
                </c:pt>
                <c:pt idx="4311">
                  <c:v>3.92</c:v>
                </c:pt>
                <c:pt idx="4312">
                  <c:v>12.1</c:v>
                </c:pt>
                <c:pt idx="4313">
                  <c:v>22.08</c:v>
                </c:pt>
                <c:pt idx="4314">
                  <c:v>24.34</c:v>
                </c:pt>
                <c:pt idx="4315">
                  <c:v>4.87</c:v>
                </c:pt>
                <c:pt idx="4316">
                  <c:v>20.100000000000001</c:v>
                </c:pt>
                <c:pt idx="4317">
                  <c:v>8.68</c:v>
                </c:pt>
                <c:pt idx="4318">
                  <c:v>11.35</c:v>
                </c:pt>
                <c:pt idx="4319">
                  <c:v>15.05</c:v>
                </c:pt>
                <c:pt idx="4320">
                  <c:v>24.88</c:v>
                </c:pt>
                <c:pt idx="4321">
                  <c:v>7.59</c:v>
                </c:pt>
                <c:pt idx="4322">
                  <c:v>5.87</c:v>
                </c:pt>
                <c:pt idx="4323">
                  <c:v>16.09</c:v>
                </c:pt>
                <c:pt idx="4324">
                  <c:v>21.77</c:v>
                </c:pt>
                <c:pt idx="4325">
                  <c:v>17.260000000000002</c:v>
                </c:pt>
                <c:pt idx="4326">
                  <c:v>10.65</c:v>
                </c:pt>
                <c:pt idx="4327">
                  <c:v>24.49</c:v>
                </c:pt>
                <c:pt idx="4328">
                  <c:v>24.89</c:v>
                </c:pt>
                <c:pt idx="4329">
                  <c:v>19.95</c:v>
                </c:pt>
                <c:pt idx="4330">
                  <c:v>20.65</c:v>
                </c:pt>
                <c:pt idx="4331">
                  <c:v>19.739999999999998</c:v>
                </c:pt>
                <c:pt idx="4332">
                  <c:v>8.67</c:v>
                </c:pt>
                <c:pt idx="4333">
                  <c:v>6.31</c:v>
                </c:pt>
                <c:pt idx="4334">
                  <c:v>15.2</c:v>
                </c:pt>
                <c:pt idx="4335">
                  <c:v>23.99</c:v>
                </c:pt>
                <c:pt idx="4336">
                  <c:v>22.32</c:v>
                </c:pt>
                <c:pt idx="4337">
                  <c:v>5.35</c:v>
                </c:pt>
                <c:pt idx="4338">
                  <c:v>4.25</c:v>
                </c:pt>
                <c:pt idx="4339">
                  <c:v>22.22</c:v>
                </c:pt>
                <c:pt idx="4340">
                  <c:v>16.489999999999998</c:v>
                </c:pt>
                <c:pt idx="4341">
                  <c:v>9.6999999999999993</c:v>
                </c:pt>
                <c:pt idx="4342">
                  <c:v>15.36</c:v>
                </c:pt>
                <c:pt idx="4343">
                  <c:v>7.88</c:v>
                </c:pt>
                <c:pt idx="4344">
                  <c:v>23.83</c:v>
                </c:pt>
                <c:pt idx="4345">
                  <c:v>21.2</c:v>
                </c:pt>
                <c:pt idx="4346">
                  <c:v>24.17</c:v>
                </c:pt>
                <c:pt idx="4347">
                  <c:v>7.12</c:v>
                </c:pt>
                <c:pt idx="4348">
                  <c:v>21.56</c:v>
                </c:pt>
                <c:pt idx="4349">
                  <c:v>15.33</c:v>
                </c:pt>
                <c:pt idx="4350">
                  <c:v>10.15</c:v>
                </c:pt>
                <c:pt idx="4351">
                  <c:v>13.55</c:v>
                </c:pt>
                <c:pt idx="4352">
                  <c:v>23.78</c:v>
                </c:pt>
                <c:pt idx="4353">
                  <c:v>18.21</c:v>
                </c:pt>
                <c:pt idx="4354">
                  <c:v>10.92</c:v>
                </c:pt>
                <c:pt idx="4355">
                  <c:v>25</c:v>
                </c:pt>
                <c:pt idx="4356">
                  <c:v>10.61</c:v>
                </c:pt>
                <c:pt idx="4357">
                  <c:v>20.9</c:v>
                </c:pt>
                <c:pt idx="4358">
                  <c:v>20.260000000000002</c:v>
                </c:pt>
                <c:pt idx="4359">
                  <c:v>18.899999999999999</c:v>
                </c:pt>
                <c:pt idx="4360">
                  <c:v>17.73</c:v>
                </c:pt>
                <c:pt idx="4361">
                  <c:v>5.39</c:v>
                </c:pt>
                <c:pt idx="4362">
                  <c:v>24.89</c:v>
                </c:pt>
                <c:pt idx="4363">
                  <c:v>6.54</c:v>
                </c:pt>
                <c:pt idx="4364">
                  <c:v>16.11</c:v>
                </c:pt>
                <c:pt idx="4365">
                  <c:v>8.48</c:v>
                </c:pt>
                <c:pt idx="4366">
                  <c:v>6.71</c:v>
                </c:pt>
                <c:pt idx="4367">
                  <c:v>15.31</c:v>
                </c:pt>
                <c:pt idx="4368">
                  <c:v>21.4</c:v>
                </c:pt>
                <c:pt idx="4369">
                  <c:v>11.29</c:v>
                </c:pt>
                <c:pt idx="4370">
                  <c:v>4.7</c:v>
                </c:pt>
                <c:pt idx="4371">
                  <c:v>16.72</c:v>
                </c:pt>
                <c:pt idx="4372">
                  <c:v>19.86</c:v>
                </c:pt>
                <c:pt idx="4373">
                  <c:v>9.51</c:v>
                </c:pt>
                <c:pt idx="4374">
                  <c:v>18.190000000000001</c:v>
                </c:pt>
                <c:pt idx="4375">
                  <c:v>4.67</c:v>
                </c:pt>
                <c:pt idx="4376">
                  <c:v>10.95</c:v>
                </c:pt>
                <c:pt idx="4377">
                  <c:v>13.43</c:v>
                </c:pt>
                <c:pt idx="4378">
                  <c:v>20.2</c:v>
                </c:pt>
                <c:pt idx="4379">
                  <c:v>10.44</c:v>
                </c:pt>
                <c:pt idx="4380">
                  <c:v>12.98</c:v>
                </c:pt>
                <c:pt idx="4381">
                  <c:v>16.82</c:v>
                </c:pt>
                <c:pt idx="4382">
                  <c:v>16.73</c:v>
                </c:pt>
                <c:pt idx="4383">
                  <c:v>14.39</c:v>
                </c:pt>
                <c:pt idx="4384">
                  <c:v>10.23</c:v>
                </c:pt>
                <c:pt idx="4385">
                  <c:v>17.739999999999998</c:v>
                </c:pt>
                <c:pt idx="4386">
                  <c:v>21.42</c:v>
                </c:pt>
                <c:pt idx="4387">
                  <c:v>6.38</c:v>
                </c:pt>
                <c:pt idx="4388">
                  <c:v>10.49</c:v>
                </c:pt>
                <c:pt idx="4389">
                  <c:v>17.71</c:v>
                </c:pt>
                <c:pt idx="4390">
                  <c:v>19.63</c:v>
                </c:pt>
                <c:pt idx="4391">
                  <c:v>20.190000000000001</c:v>
                </c:pt>
                <c:pt idx="4392">
                  <c:v>17.37</c:v>
                </c:pt>
                <c:pt idx="4393">
                  <c:v>13.52</c:v>
                </c:pt>
                <c:pt idx="4394">
                  <c:v>17.21</c:v>
                </c:pt>
                <c:pt idx="4395">
                  <c:v>5.97</c:v>
                </c:pt>
                <c:pt idx="4396">
                  <c:v>7.57</c:v>
                </c:pt>
                <c:pt idx="4397">
                  <c:v>23.41</c:v>
                </c:pt>
                <c:pt idx="4398">
                  <c:v>23.29</c:v>
                </c:pt>
                <c:pt idx="4399">
                  <c:v>18.93</c:v>
                </c:pt>
                <c:pt idx="4400">
                  <c:v>10.199999999999999</c:v>
                </c:pt>
                <c:pt idx="4401">
                  <c:v>17.27</c:v>
                </c:pt>
                <c:pt idx="4402">
                  <c:v>18.13</c:v>
                </c:pt>
                <c:pt idx="4403">
                  <c:v>14.33</c:v>
                </c:pt>
                <c:pt idx="4404">
                  <c:v>19.47</c:v>
                </c:pt>
                <c:pt idx="4405">
                  <c:v>3.65</c:v>
                </c:pt>
                <c:pt idx="4406">
                  <c:v>8.64</c:v>
                </c:pt>
                <c:pt idx="4407">
                  <c:v>20.48</c:v>
                </c:pt>
                <c:pt idx="4408">
                  <c:v>23.65</c:v>
                </c:pt>
                <c:pt idx="4409">
                  <c:v>22.27</c:v>
                </c:pt>
                <c:pt idx="4410">
                  <c:v>18.760000000000002</c:v>
                </c:pt>
                <c:pt idx="4411">
                  <c:v>6.64</c:v>
                </c:pt>
                <c:pt idx="4412">
                  <c:v>11.11</c:v>
                </c:pt>
                <c:pt idx="4413">
                  <c:v>4.0999999999999996</c:v>
                </c:pt>
                <c:pt idx="4414">
                  <c:v>17.079999999999998</c:v>
                </c:pt>
                <c:pt idx="4415">
                  <c:v>12.9</c:v>
                </c:pt>
                <c:pt idx="4416">
                  <c:v>15.61</c:v>
                </c:pt>
                <c:pt idx="4417">
                  <c:v>24.55</c:v>
                </c:pt>
                <c:pt idx="4418">
                  <c:v>11.85</c:v>
                </c:pt>
                <c:pt idx="4419">
                  <c:v>9.75</c:v>
                </c:pt>
                <c:pt idx="4420">
                  <c:v>6.31</c:v>
                </c:pt>
                <c:pt idx="4421">
                  <c:v>6.16</c:v>
                </c:pt>
                <c:pt idx="4422">
                  <c:v>14.41</c:v>
                </c:pt>
                <c:pt idx="4423">
                  <c:v>19.48</c:v>
                </c:pt>
                <c:pt idx="4424">
                  <c:v>15.42</c:v>
                </c:pt>
                <c:pt idx="4425">
                  <c:v>22.21</c:v>
                </c:pt>
                <c:pt idx="4426">
                  <c:v>9.9499999999999993</c:v>
                </c:pt>
                <c:pt idx="4427">
                  <c:v>16.09</c:v>
                </c:pt>
                <c:pt idx="4428">
                  <c:v>17.55</c:v>
                </c:pt>
                <c:pt idx="4429">
                  <c:v>9.18</c:v>
                </c:pt>
                <c:pt idx="4430">
                  <c:v>11.72</c:v>
                </c:pt>
                <c:pt idx="4431">
                  <c:v>16</c:v>
                </c:pt>
                <c:pt idx="4432">
                  <c:v>3.46</c:v>
                </c:pt>
                <c:pt idx="4433">
                  <c:v>22.51</c:v>
                </c:pt>
                <c:pt idx="4434">
                  <c:v>5.44</c:v>
                </c:pt>
                <c:pt idx="4435">
                  <c:v>4.05</c:v>
                </c:pt>
                <c:pt idx="4436">
                  <c:v>7.73</c:v>
                </c:pt>
                <c:pt idx="4437">
                  <c:v>14.05</c:v>
                </c:pt>
                <c:pt idx="4438">
                  <c:v>10.23</c:v>
                </c:pt>
                <c:pt idx="4439">
                  <c:v>12.68</c:v>
                </c:pt>
                <c:pt idx="4440">
                  <c:v>4.8499999999999996</c:v>
                </c:pt>
                <c:pt idx="4441">
                  <c:v>8.1300000000000008</c:v>
                </c:pt>
                <c:pt idx="4442">
                  <c:v>5.15</c:v>
                </c:pt>
                <c:pt idx="4443">
                  <c:v>8.0500000000000007</c:v>
                </c:pt>
                <c:pt idx="4444">
                  <c:v>18.47</c:v>
                </c:pt>
                <c:pt idx="4445">
                  <c:v>15.66</c:v>
                </c:pt>
                <c:pt idx="4446">
                  <c:v>10.35</c:v>
                </c:pt>
                <c:pt idx="4447">
                  <c:v>8.75</c:v>
                </c:pt>
                <c:pt idx="4448">
                  <c:v>24.95</c:v>
                </c:pt>
                <c:pt idx="4449">
                  <c:v>19.89</c:v>
                </c:pt>
                <c:pt idx="4450">
                  <c:v>21.08</c:v>
                </c:pt>
                <c:pt idx="4451">
                  <c:v>3.58</c:v>
                </c:pt>
                <c:pt idx="4452">
                  <c:v>4.3099999999999996</c:v>
                </c:pt>
                <c:pt idx="4453">
                  <c:v>18.68</c:v>
                </c:pt>
                <c:pt idx="4454">
                  <c:v>7.22</c:v>
                </c:pt>
                <c:pt idx="4455">
                  <c:v>12.36</c:v>
                </c:pt>
                <c:pt idx="4456">
                  <c:v>7.05</c:v>
                </c:pt>
                <c:pt idx="4457">
                  <c:v>6.9</c:v>
                </c:pt>
                <c:pt idx="4458">
                  <c:v>5.4</c:v>
                </c:pt>
                <c:pt idx="4459">
                  <c:v>16.07</c:v>
                </c:pt>
                <c:pt idx="4460">
                  <c:v>19.260000000000002</c:v>
                </c:pt>
                <c:pt idx="4461">
                  <c:v>4.25</c:v>
                </c:pt>
                <c:pt idx="4462">
                  <c:v>9.06</c:v>
                </c:pt>
                <c:pt idx="4463">
                  <c:v>17.48</c:v>
                </c:pt>
                <c:pt idx="4464">
                  <c:v>11.63</c:v>
                </c:pt>
                <c:pt idx="4465">
                  <c:v>18.5</c:v>
                </c:pt>
                <c:pt idx="4466">
                  <c:v>19.7</c:v>
                </c:pt>
                <c:pt idx="4467">
                  <c:v>3.71</c:v>
                </c:pt>
                <c:pt idx="4468">
                  <c:v>11.38</c:v>
                </c:pt>
                <c:pt idx="4469">
                  <c:v>19.04</c:v>
                </c:pt>
                <c:pt idx="4470">
                  <c:v>11.33</c:v>
                </c:pt>
                <c:pt idx="4471">
                  <c:v>3.13</c:v>
                </c:pt>
                <c:pt idx="4472">
                  <c:v>10.4</c:v>
                </c:pt>
                <c:pt idx="4473">
                  <c:v>22.2</c:v>
                </c:pt>
                <c:pt idx="4474">
                  <c:v>23.94</c:v>
                </c:pt>
                <c:pt idx="4475">
                  <c:v>15.33</c:v>
                </c:pt>
                <c:pt idx="4476">
                  <c:v>9.74</c:v>
                </c:pt>
                <c:pt idx="4477">
                  <c:v>13.25</c:v>
                </c:pt>
                <c:pt idx="4478">
                  <c:v>8.1999999999999993</c:v>
                </c:pt>
                <c:pt idx="4479">
                  <c:v>6.7</c:v>
                </c:pt>
                <c:pt idx="4480">
                  <c:v>13.86</c:v>
                </c:pt>
                <c:pt idx="4481">
                  <c:v>19.21</c:v>
                </c:pt>
                <c:pt idx="4482">
                  <c:v>7.89</c:v>
                </c:pt>
                <c:pt idx="4483">
                  <c:v>23.01</c:v>
                </c:pt>
                <c:pt idx="4484">
                  <c:v>6.7</c:v>
                </c:pt>
                <c:pt idx="4485">
                  <c:v>15.29</c:v>
                </c:pt>
                <c:pt idx="4486">
                  <c:v>20.079999999999998</c:v>
                </c:pt>
                <c:pt idx="4487">
                  <c:v>7.69</c:v>
                </c:pt>
                <c:pt idx="4488">
                  <c:v>9.52</c:v>
                </c:pt>
                <c:pt idx="4489">
                  <c:v>4.13</c:v>
                </c:pt>
                <c:pt idx="4490">
                  <c:v>23.77</c:v>
                </c:pt>
                <c:pt idx="4491">
                  <c:v>13.71</c:v>
                </c:pt>
                <c:pt idx="4492">
                  <c:v>4.41</c:v>
                </c:pt>
                <c:pt idx="4493">
                  <c:v>21.26</c:v>
                </c:pt>
                <c:pt idx="4494">
                  <c:v>15.53</c:v>
                </c:pt>
                <c:pt idx="4495">
                  <c:v>4.22</c:v>
                </c:pt>
                <c:pt idx="4496">
                  <c:v>12.92</c:v>
                </c:pt>
                <c:pt idx="4497">
                  <c:v>12.56</c:v>
                </c:pt>
                <c:pt idx="4498">
                  <c:v>6.21</c:v>
                </c:pt>
                <c:pt idx="4499">
                  <c:v>12.25</c:v>
                </c:pt>
                <c:pt idx="4500">
                  <c:v>9.2200000000000006</c:v>
                </c:pt>
                <c:pt idx="4501">
                  <c:v>18.399999999999999</c:v>
                </c:pt>
                <c:pt idx="4502">
                  <c:v>3.12</c:v>
                </c:pt>
                <c:pt idx="4503">
                  <c:v>5.34</c:v>
                </c:pt>
                <c:pt idx="4504">
                  <c:v>23.21</c:v>
                </c:pt>
                <c:pt idx="4505">
                  <c:v>12.53</c:v>
                </c:pt>
                <c:pt idx="4506">
                  <c:v>6.88</c:v>
                </c:pt>
                <c:pt idx="4507">
                  <c:v>20.45</c:v>
                </c:pt>
                <c:pt idx="4508">
                  <c:v>21.74</c:v>
                </c:pt>
                <c:pt idx="4509">
                  <c:v>7.65</c:v>
                </c:pt>
                <c:pt idx="4510">
                  <c:v>18.7</c:v>
                </c:pt>
                <c:pt idx="4511">
                  <c:v>16.53</c:v>
                </c:pt>
                <c:pt idx="4512">
                  <c:v>19.39</c:v>
                </c:pt>
                <c:pt idx="4513">
                  <c:v>20.329999999999998</c:v>
                </c:pt>
                <c:pt idx="4514">
                  <c:v>17.54</c:v>
                </c:pt>
                <c:pt idx="4515">
                  <c:v>24.04</c:v>
                </c:pt>
                <c:pt idx="4516">
                  <c:v>22.01</c:v>
                </c:pt>
                <c:pt idx="4517">
                  <c:v>8.0399999999999991</c:v>
                </c:pt>
                <c:pt idx="4518">
                  <c:v>23.1</c:v>
                </c:pt>
                <c:pt idx="4519">
                  <c:v>10.91</c:v>
                </c:pt>
                <c:pt idx="4520">
                  <c:v>18.98</c:v>
                </c:pt>
                <c:pt idx="4521">
                  <c:v>21.66</c:v>
                </c:pt>
                <c:pt idx="4522">
                  <c:v>12.6</c:v>
                </c:pt>
                <c:pt idx="4523">
                  <c:v>4.13</c:v>
                </c:pt>
                <c:pt idx="4524">
                  <c:v>23.89</c:v>
                </c:pt>
                <c:pt idx="4525">
                  <c:v>4.59</c:v>
                </c:pt>
                <c:pt idx="4526">
                  <c:v>10.66</c:v>
                </c:pt>
                <c:pt idx="4527">
                  <c:v>16.12</c:v>
                </c:pt>
                <c:pt idx="4528">
                  <c:v>5.59</c:v>
                </c:pt>
                <c:pt idx="4529">
                  <c:v>21.44</c:v>
                </c:pt>
                <c:pt idx="4530">
                  <c:v>7.48</c:v>
                </c:pt>
                <c:pt idx="4531">
                  <c:v>24.69</c:v>
                </c:pt>
                <c:pt idx="4532">
                  <c:v>23.16</c:v>
                </c:pt>
                <c:pt idx="4533">
                  <c:v>16.3</c:v>
                </c:pt>
                <c:pt idx="4534">
                  <c:v>17.52</c:v>
                </c:pt>
                <c:pt idx="4535">
                  <c:v>14.74</c:v>
                </c:pt>
                <c:pt idx="4536">
                  <c:v>11.6</c:v>
                </c:pt>
                <c:pt idx="4537">
                  <c:v>10.74</c:v>
                </c:pt>
                <c:pt idx="4538">
                  <c:v>22.62</c:v>
                </c:pt>
                <c:pt idx="4539">
                  <c:v>15.69</c:v>
                </c:pt>
                <c:pt idx="4540">
                  <c:v>21.11</c:v>
                </c:pt>
                <c:pt idx="4541">
                  <c:v>14.31</c:v>
                </c:pt>
                <c:pt idx="4542">
                  <c:v>9.75</c:v>
                </c:pt>
                <c:pt idx="4543">
                  <c:v>5.0199999999999996</c:v>
                </c:pt>
                <c:pt idx="4544">
                  <c:v>10.119999999999999</c:v>
                </c:pt>
                <c:pt idx="4545">
                  <c:v>22.36</c:v>
                </c:pt>
                <c:pt idx="4546">
                  <c:v>18.66</c:v>
                </c:pt>
                <c:pt idx="4547">
                  <c:v>20.29</c:v>
                </c:pt>
                <c:pt idx="4548">
                  <c:v>20.02</c:v>
                </c:pt>
                <c:pt idx="4549">
                  <c:v>5.64</c:v>
                </c:pt>
                <c:pt idx="4550">
                  <c:v>6.49</c:v>
                </c:pt>
                <c:pt idx="4551">
                  <c:v>9.98</c:v>
                </c:pt>
                <c:pt idx="4552">
                  <c:v>9.6199999999999992</c:v>
                </c:pt>
                <c:pt idx="4553">
                  <c:v>4.45</c:v>
                </c:pt>
                <c:pt idx="4554">
                  <c:v>6.38</c:v>
                </c:pt>
                <c:pt idx="4555">
                  <c:v>21.84</c:v>
                </c:pt>
                <c:pt idx="4556">
                  <c:v>15.96</c:v>
                </c:pt>
                <c:pt idx="4557">
                  <c:v>10.53</c:v>
                </c:pt>
                <c:pt idx="4558">
                  <c:v>14.58</c:v>
                </c:pt>
                <c:pt idx="4559">
                  <c:v>8.75</c:v>
                </c:pt>
                <c:pt idx="4560">
                  <c:v>15.84</c:v>
                </c:pt>
                <c:pt idx="4561">
                  <c:v>4.6399999999999997</c:v>
                </c:pt>
                <c:pt idx="4562">
                  <c:v>22.86</c:v>
                </c:pt>
                <c:pt idx="4563">
                  <c:v>8.2899999999999991</c:v>
                </c:pt>
                <c:pt idx="4564">
                  <c:v>21.02</c:v>
                </c:pt>
                <c:pt idx="4565">
                  <c:v>17.52</c:v>
                </c:pt>
                <c:pt idx="4566">
                  <c:v>14.51</c:v>
                </c:pt>
                <c:pt idx="4567">
                  <c:v>23.46</c:v>
                </c:pt>
                <c:pt idx="4568">
                  <c:v>6.45</c:v>
                </c:pt>
                <c:pt idx="4569">
                  <c:v>5.62</c:v>
                </c:pt>
                <c:pt idx="4570">
                  <c:v>10.08</c:v>
                </c:pt>
                <c:pt idx="4571">
                  <c:v>21.26</c:v>
                </c:pt>
                <c:pt idx="4572">
                  <c:v>3.77</c:v>
                </c:pt>
                <c:pt idx="4573">
                  <c:v>8.27</c:v>
                </c:pt>
                <c:pt idx="4574">
                  <c:v>12.34</c:v>
                </c:pt>
                <c:pt idx="4575">
                  <c:v>18.68</c:v>
                </c:pt>
                <c:pt idx="4576">
                  <c:v>9.58</c:v>
                </c:pt>
                <c:pt idx="4577">
                  <c:v>12.86</c:v>
                </c:pt>
                <c:pt idx="4578">
                  <c:v>10.41</c:v>
                </c:pt>
                <c:pt idx="4579">
                  <c:v>5.03</c:v>
                </c:pt>
                <c:pt idx="4580">
                  <c:v>19.25</c:v>
                </c:pt>
                <c:pt idx="4581">
                  <c:v>13.15</c:v>
                </c:pt>
                <c:pt idx="4582">
                  <c:v>20.88</c:v>
                </c:pt>
                <c:pt idx="4583">
                  <c:v>18.28</c:v>
                </c:pt>
                <c:pt idx="4584">
                  <c:v>4.2699999999999996</c:v>
                </c:pt>
                <c:pt idx="4585">
                  <c:v>14</c:v>
                </c:pt>
                <c:pt idx="4586">
                  <c:v>24.8</c:v>
                </c:pt>
                <c:pt idx="4587">
                  <c:v>9.77</c:v>
                </c:pt>
                <c:pt idx="4588">
                  <c:v>13.85</c:v>
                </c:pt>
                <c:pt idx="4589">
                  <c:v>17.34</c:v>
                </c:pt>
                <c:pt idx="4590">
                  <c:v>7.45</c:v>
                </c:pt>
                <c:pt idx="4591">
                  <c:v>18.46</c:v>
                </c:pt>
                <c:pt idx="4592">
                  <c:v>17.52</c:v>
                </c:pt>
                <c:pt idx="4593">
                  <c:v>11.25</c:v>
                </c:pt>
                <c:pt idx="4594">
                  <c:v>9.26</c:v>
                </c:pt>
                <c:pt idx="4595">
                  <c:v>23.22</c:v>
                </c:pt>
                <c:pt idx="4596">
                  <c:v>5.79</c:v>
                </c:pt>
                <c:pt idx="4597">
                  <c:v>12.5</c:v>
                </c:pt>
                <c:pt idx="4598">
                  <c:v>19.87</c:v>
                </c:pt>
                <c:pt idx="4599">
                  <c:v>6.26</c:v>
                </c:pt>
                <c:pt idx="4600">
                  <c:v>23.52</c:v>
                </c:pt>
                <c:pt idx="4601">
                  <c:v>14.58</c:v>
                </c:pt>
                <c:pt idx="4602">
                  <c:v>14.11</c:v>
                </c:pt>
                <c:pt idx="4603">
                  <c:v>12.33</c:v>
                </c:pt>
                <c:pt idx="4604">
                  <c:v>22.08</c:v>
                </c:pt>
                <c:pt idx="4605">
                  <c:v>23.87</c:v>
                </c:pt>
                <c:pt idx="4606">
                  <c:v>11.36</c:v>
                </c:pt>
                <c:pt idx="4607">
                  <c:v>14.93</c:v>
                </c:pt>
                <c:pt idx="4608">
                  <c:v>9.94</c:v>
                </c:pt>
                <c:pt idx="4609">
                  <c:v>11.1</c:v>
                </c:pt>
                <c:pt idx="4610">
                  <c:v>3.62</c:v>
                </c:pt>
                <c:pt idx="4611">
                  <c:v>20.29</c:v>
                </c:pt>
                <c:pt idx="4612">
                  <c:v>24.33</c:v>
                </c:pt>
                <c:pt idx="4613">
                  <c:v>19.93</c:v>
                </c:pt>
                <c:pt idx="4614">
                  <c:v>14.4</c:v>
                </c:pt>
                <c:pt idx="4615">
                  <c:v>21.21</c:v>
                </c:pt>
                <c:pt idx="4616">
                  <c:v>21.87</c:v>
                </c:pt>
                <c:pt idx="4617">
                  <c:v>14.98</c:v>
                </c:pt>
                <c:pt idx="4618">
                  <c:v>23.62</c:v>
                </c:pt>
                <c:pt idx="4619">
                  <c:v>3.66</c:v>
                </c:pt>
                <c:pt idx="4620">
                  <c:v>3.22</c:v>
                </c:pt>
                <c:pt idx="4621">
                  <c:v>4.79</c:v>
                </c:pt>
                <c:pt idx="4622">
                  <c:v>4.2699999999999996</c:v>
                </c:pt>
                <c:pt idx="4623">
                  <c:v>12.34</c:v>
                </c:pt>
                <c:pt idx="4624">
                  <c:v>23.69</c:v>
                </c:pt>
                <c:pt idx="4625">
                  <c:v>17.850000000000001</c:v>
                </c:pt>
                <c:pt idx="4626">
                  <c:v>17.510000000000002</c:v>
                </c:pt>
                <c:pt idx="4627">
                  <c:v>11.47</c:v>
                </c:pt>
                <c:pt idx="4628">
                  <c:v>14.74</c:v>
                </c:pt>
                <c:pt idx="4629">
                  <c:v>9.69</c:v>
                </c:pt>
                <c:pt idx="4630">
                  <c:v>14.39</c:v>
                </c:pt>
                <c:pt idx="4631">
                  <c:v>19.43</c:v>
                </c:pt>
                <c:pt idx="4632">
                  <c:v>15.29</c:v>
                </c:pt>
                <c:pt idx="4633">
                  <c:v>12.22</c:v>
                </c:pt>
                <c:pt idx="4634">
                  <c:v>21.59</c:v>
                </c:pt>
                <c:pt idx="4635">
                  <c:v>9.32</c:v>
                </c:pt>
                <c:pt idx="4636">
                  <c:v>13.59</c:v>
                </c:pt>
                <c:pt idx="4637">
                  <c:v>24.52</c:v>
                </c:pt>
                <c:pt idx="4638">
                  <c:v>24.28</c:v>
                </c:pt>
                <c:pt idx="4639">
                  <c:v>3.14</c:v>
                </c:pt>
                <c:pt idx="4640">
                  <c:v>14.71</c:v>
                </c:pt>
                <c:pt idx="4641">
                  <c:v>10.41</c:v>
                </c:pt>
                <c:pt idx="4642">
                  <c:v>9.41</c:v>
                </c:pt>
                <c:pt idx="4643">
                  <c:v>16.12</c:v>
                </c:pt>
                <c:pt idx="4644">
                  <c:v>12.82</c:v>
                </c:pt>
                <c:pt idx="4645">
                  <c:v>19.12</c:v>
                </c:pt>
                <c:pt idx="4646">
                  <c:v>3.6</c:v>
                </c:pt>
                <c:pt idx="4647">
                  <c:v>23.39</c:v>
                </c:pt>
                <c:pt idx="4648">
                  <c:v>15.49</c:v>
                </c:pt>
                <c:pt idx="4649">
                  <c:v>18.05</c:v>
                </c:pt>
                <c:pt idx="4650">
                  <c:v>16.3</c:v>
                </c:pt>
                <c:pt idx="4651">
                  <c:v>24.76</c:v>
                </c:pt>
                <c:pt idx="4652">
                  <c:v>24.7</c:v>
                </c:pt>
                <c:pt idx="4653">
                  <c:v>16.420000000000002</c:v>
                </c:pt>
                <c:pt idx="4654">
                  <c:v>18.05</c:v>
                </c:pt>
                <c:pt idx="4655">
                  <c:v>16.61</c:v>
                </c:pt>
                <c:pt idx="4656">
                  <c:v>9.83</c:v>
                </c:pt>
                <c:pt idx="4657">
                  <c:v>7.24</c:v>
                </c:pt>
                <c:pt idx="4658">
                  <c:v>11.86</c:v>
                </c:pt>
                <c:pt idx="4659">
                  <c:v>18.02</c:v>
                </c:pt>
                <c:pt idx="4660">
                  <c:v>4.2300000000000004</c:v>
                </c:pt>
                <c:pt idx="4661">
                  <c:v>14.31</c:v>
                </c:pt>
                <c:pt idx="4662">
                  <c:v>11.98</c:v>
                </c:pt>
                <c:pt idx="4663">
                  <c:v>14.6</c:v>
                </c:pt>
                <c:pt idx="4664">
                  <c:v>21.92</c:v>
                </c:pt>
                <c:pt idx="4665">
                  <c:v>4.05</c:v>
                </c:pt>
                <c:pt idx="4666">
                  <c:v>19.8</c:v>
                </c:pt>
                <c:pt idx="4667">
                  <c:v>17.670000000000002</c:v>
                </c:pt>
                <c:pt idx="4668">
                  <c:v>7.48</c:v>
                </c:pt>
                <c:pt idx="4669">
                  <c:v>19.149999999999999</c:v>
                </c:pt>
                <c:pt idx="4670">
                  <c:v>13.92</c:v>
                </c:pt>
                <c:pt idx="4671">
                  <c:v>13.58</c:v>
                </c:pt>
                <c:pt idx="4672">
                  <c:v>13.63</c:v>
                </c:pt>
                <c:pt idx="4673">
                  <c:v>23.88</c:v>
                </c:pt>
                <c:pt idx="4674">
                  <c:v>23.78</c:v>
                </c:pt>
                <c:pt idx="4675">
                  <c:v>23.1</c:v>
                </c:pt>
                <c:pt idx="4676">
                  <c:v>22.51</c:v>
                </c:pt>
                <c:pt idx="4677">
                  <c:v>3.83</c:v>
                </c:pt>
                <c:pt idx="4678">
                  <c:v>11.81</c:v>
                </c:pt>
                <c:pt idx="4679">
                  <c:v>22.69</c:v>
                </c:pt>
                <c:pt idx="4680">
                  <c:v>19.61</c:v>
                </c:pt>
                <c:pt idx="4681">
                  <c:v>13.05</c:v>
                </c:pt>
                <c:pt idx="4682">
                  <c:v>20.010000000000002</c:v>
                </c:pt>
                <c:pt idx="4683">
                  <c:v>7.58</c:v>
                </c:pt>
                <c:pt idx="4684">
                  <c:v>16.2</c:v>
                </c:pt>
                <c:pt idx="4685">
                  <c:v>14.73</c:v>
                </c:pt>
                <c:pt idx="4686">
                  <c:v>15.62</c:v>
                </c:pt>
                <c:pt idx="4687">
                  <c:v>18.88</c:v>
                </c:pt>
                <c:pt idx="4688">
                  <c:v>23.9</c:v>
                </c:pt>
                <c:pt idx="4689">
                  <c:v>8.81</c:v>
                </c:pt>
                <c:pt idx="4690">
                  <c:v>19.68</c:v>
                </c:pt>
                <c:pt idx="4691">
                  <c:v>17.190000000000001</c:v>
                </c:pt>
                <c:pt idx="4692">
                  <c:v>18.29</c:v>
                </c:pt>
                <c:pt idx="4693">
                  <c:v>12.44</c:v>
                </c:pt>
                <c:pt idx="4694">
                  <c:v>23.78</c:v>
                </c:pt>
                <c:pt idx="4695">
                  <c:v>13.55</c:v>
                </c:pt>
                <c:pt idx="4696">
                  <c:v>5.68</c:v>
                </c:pt>
                <c:pt idx="4697">
                  <c:v>17.98</c:v>
                </c:pt>
                <c:pt idx="4698">
                  <c:v>5.84</c:v>
                </c:pt>
                <c:pt idx="4699">
                  <c:v>10.1</c:v>
                </c:pt>
                <c:pt idx="4700">
                  <c:v>8.02</c:v>
                </c:pt>
                <c:pt idx="4701">
                  <c:v>14.86</c:v>
                </c:pt>
                <c:pt idx="4702">
                  <c:v>10.65</c:v>
                </c:pt>
                <c:pt idx="4703">
                  <c:v>6.52</c:v>
                </c:pt>
                <c:pt idx="4704">
                  <c:v>20.399999999999999</c:v>
                </c:pt>
                <c:pt idx="4705">
                  <c:v>13.31</c:v>
                </c:pt>
                <c:pt idx="4706">
                  <c:v>13</c:v>
                </c:pt>
                <c:pt idx="4707">
                  <c:v>22.5</c:v>
                </c:pt>
                <c:pt idx="4708">
                  <c:v>14.85</c:v>
                </c:pt>
                <c:pt idx="4709">
                  <c:v>18.62</c:v>
                </c:pt>
                <c:pt idx="4710">
                  <c:v>10.220000000000001</c:v>
                </c:pt>
                <c:pt idx="4711">
                  <c:v>15.35</c:v>
                </c:pt>
                <c:pt idx="4712">
                  <c:v>18.98</c:v>
                </c:pt>
                <c:pt idx="4713">
                  <c:v>9.52</c:v>
                </c:pt>
                <c:pt idx="4714">
                  <c:v>18.149999999999999</c:v>
                </c:pt>
                <c:pt idx="4715">
                  <c:v>15.51</c:v>
                </c:pt>
                <c:pt idx="4716">
                  <c:v>12.55</c:v>
                </c:pt>
                <c:pt idx="4717">
                  <c:v>18.690000000000001</c:v>
                </c:pt>
                <c:pt idx="4718">
                  <c:v>9.9700000000000006</c:v>
                </c:pt>
                <c:pt idx="4719">
                  <c:v>18.72</c:v>
                </c:pt>
                <c:pt idx="4720">
                  <c:v>15.12</c:v>
                </c:pt>
                <c:pt idx="4721">
                  <c:v>8.4</c:v>
                </c:pt>
                <c:pt idx="4722">
                  <c:v>17.7</c:v>
                </c:pt>
                <c:pt idx="4723">
                  <c:v>22.46</c:v>
                </c:pt>
                <c:pt idx="4724">
                  <c:v>9.82</c:v>
                </c:pt>
                <c:pt idx="4725">
                  <c:v>20.87</c:v>
                </c:pt>
                <c:pt idx="4726">
                  <c:v>10.39</c:v>
                </c:pt>
                <c:pt idx="4727">
                  <c:v>21.06</c:v>
                </c:pt>
                <c:pt idx="4728">
                  <c:v>4.13</c:v>
                </c:pt>
                <c:pt idx="4729">
                  <c:v>3.16</c:v>
                </c:pt>
                <c:pt idx="4730">
                  <c:v>5.49</c:v>
                </c:pt>
                <c:pt idx="4731">
                  <c:v>22.23</c:v>
                </c:pt>
                <c:pt idx="4732">
                  <c:v>14.74</c:v>
                </c:pt>
                <c:pt idx="4733">
                  <c:v>16.07</c:v>
                </c:pt>
                <c:pt idx="4734">
                  <c:v>21.53</c:v>
                </c:pt>
                <c:pt idx="4735">
                  <c:v>4.1100000000000003</c:v>
                </c:pt>
                <c:pt idx="4736">
                  <c:v>11.52</c:v>
                </c:pt>
                <c:pt idx="4737">
                  <c:v>17.149999999999999</c:v>
                </c:pt>
                <c:pt idx="4738">
                  <c:v>11.9</c:v>
                </c:pt>
                <c:pt idx="4739">
                  <c:v>3.71</c:v>
                </c:pt>
                <c:pt idx="4740">
                  <c:v>17.32</c:v>
                </c:pt>
                <c:pt idx="4741">
                  <c:v>11.61</c:v>
                </c:pt>
                <c:pt idx="4742">
                  <c:v>3.42</c:v>
                </c:pt>
                <c:pt idx="4743">
                  <c:v>6.75</c:v>
                </c:pt>
                <c:pt idx="4744">
                  <c:v>7.79</c:v>
                </c:pt>
                <c:pt idx="4745">
                  <c:v>14.23</c:v>
                </c:pt>
                <c:pt idx="4746">
                  <c:v>7.1</c:v>
                </c:pt>
                <c:pt idx="4747">
                  <c:v>10.95</c:v>
                </c:pt>
                <c:pt idx="4748">
                  <c:v>19.510000000000002</c:v>
                </c:pt>
                <c:pt idx="4749">
                  <c:v>20.77</c:v>
                </c:pt>
                <c:pt idx="4750">
                  <c:v>20.5</c:v>
                </c:pt>
                <c:pt idx="4751">
                  <c:v>18.29</c:v>
                </c:pt>
                <c:pt idx="4752">
                  <c:v>14.92</c:v>
                </c:pt>
                <c:pt idx="4753">
                  <c:v>15.11</c:v>
                </c:pt>
                <c:pt idx="4754">
                  <c:v>23.97</c:v>
                </c:pt>
                <c:pt idx="4755">
                  <c:v>22.31</c:v>
                </c:pt>
                <c:pt idx="4756">
                  <c:v>17.3</c:v>
                </c:pt>
                <c:pt idx="4757">
                  <c:v>13.31</c:v>
                </c:pt>
                <c:pt idx="4758">
                  <c:v>19.04</c:v>
                </c:pt>
                <c:pt idx="4759">
                  <c:v>4.38</c:v>
                </c:pt>
                <c:pt idx="4760">
                  <c:v>23.78</c:v>
                </c:pt>
                <c:pt idx="4761">
                  <c:v>15.05</c:v>
                </c:pt>
                <c:pt idx="4762">
                  <c:v>14.06</c:v>
                </c:pt>
                <c:pt idx="4763">
                  <c:v>9.4</c:v>
                </c:pt>
                <c:pt idx="4764">
                  <c:v>3.07</c:v>
                </c:pt>
                <c:pt idx="4765">
                  <c:v>4.3499999999999996</c:v>
                </c:pt>
                <c:pt idx="4766">
                  <c:v>8.7899999999999991</c:v>
                </c:pt>
                <c:pt idx="4767">
                  <c:v>14.91</c:v>
                </c:pt>
                <c:pt idx="4768">
                  <c:v>4.84</c:v>
                </c:pt>
                <c:pt idx="4769">
                  <c:v>24.39</c:v>
                </c:pt>
                <c:pt idx="4770">
                  <c:v>12.04</c:v>
                </c:pt>
                <c:pt idx="4771">
                  <c:v>9.9600000000000009</c:v>
                </c:pt>
                <c:pt idx="4772">
                  <c:v>14.55</c:v>
                </c:pt>
                <c:pt idx="4773">
                  <c:v>4.43</c:v>
                </c:pt>
                <c:pt idx="4774">
                  <c:v>21.71</c:v>
                </c:pt>
                <c:pt idx="4775">
                  <c:v>13.13</c:v>
                </c:pt>
                <c:pt idx="4776">
                  <c:v>6.92</c:v>
                </c:pt>
                <c:pt idx="4777">
                  <c:v>6.56</c:v>
                </c:pt>
                <c:pt idx="4778">
                  <c:v>10.94</c:v>
                </c:pt>
                <c:pt idx="4779">
                  <c:v>15.61</c:v>
                </c:pt>
                <c:pt idx="4780">
                  <c:v>12.17</c:v>
                </c:pt>
                <c:pt idx="4781">
                  <c:v>16.13</c:v>
                </c:pt>
                <c:pt idx="4782">
                  <c:v>18.52</c:v>
                </c:pt>
                <c:pt idx="4783">
                  <c:v>19.47</c:v>
                </c:pt>
                <c:pt idx="4784">
                  <c:v>11.82</c:v>
                </c:pt>
                <c:pt idx="4785">
                  <c:v>18.77</c:v>
                </c:pt>
                <c:pt idx="4786">
                  <c:v>6.11</c:v>
                </c:pt>
                <c:pt idx="4787">
                  <c:v>14.29</c:v>
                </c:pt>
                <c:pt idx="4788">
                  <c:v>4.5999999999999996</c:v>
                </c:pt>
                <c:pt idx="4789">
                  <c:v>8.3699999999999992</c:v>
                </c:pt>
                <c:pt idx="4790">
                  <c:v>15.83</c:v>
                </c:pt>
                <c:pt idx="4791">
                  <c:v>19.29</c:v>
                </c:pt>
                <c:pt idx="4792">
                  <c:v>5.0999999999999996</c:v>
                </c:pt>
                <c:pt idx="4793">
                  <c:v>7.56</c:v>
                </c:pt>
                <c:pt idx="4794">
                  <c:v>24.82</c:v>
                </c:pt>
                <c:pt idx="4795">
                  <c:v>10.43</c:v>
                </c:pt>
                <c:pt idx="4796">
                  <c:v>9.25</c:v>
                </c:pt>
                <c:pt idx="4797">
                  <c:v>4.88</c:v>
                </c:pt>
                <c:pt idx="4798">
                  <c:v>18.29</c:v>
                </c:pt>
                <c:pt idx="4799">
                  <c:v>14.18</c:v>
                </c:pt>
                <c:pt idx="4800">
                  <c:v>6.47</c:v>
                </c:pt>
                <c:pt idx="4801">
                  <c:v>16.920000000000002</c:v>
                </c:pt>
                <c:pt idx="4802">
                  <c:v>14.57</c:v>
                </c:pt>
                <c:pt idx="4803">
                  <c:v>15.43</c:v>
                </c:pt>
                <c:pt idx="4804">
                  <c:v>24.89</c:v>
                </c:pt>
                <c:pt idx="4805">
                  <c:v>3.63</c:v>
                </c:pt>
                <c:pt idx="4806">
                  <c:v>23.13</c:v>
                </c:pt>
                <c:pt idx="4807">
                  <c:v>21.52</c:v>
                </c:pt>
                <c:pt idx="4808">
                  <c:v>12.14</c:v>
                </c:pt>
                <c:pt idx="4809">
                  <c:v>22.38</c:v>
                </c:pt>
                <c:pt idx="4810">
                  <c:v>17.27</c:v>
                </c:pt>
                <c:pt idx="4811">
                  <c:v>22.57</c:v>
                </c:pt>
                <c:pt idx="4812">
                  <c:v>16.079999999999998</c:v>
                </c:pt>
                <c:pt idx="4813">
                  <c:v>7.76</c:v>
                </c:pt>
                <c:pt idx="4814">
                  <c:v>15.68</c:v>
                </c:pt>
                <c:pt idx="4815">
                  <c:v>6.94</c:v>
                </c:pt>
                <c:pt idx="4816">
                  <c:v>6.1</c:v>
                </c:pt>
                <c:pt idx="4817">
                  <c:v>17.39</c:v>
                </c:pt>
                <c:pt idx="4818">
                  <c:v>23.84</c:v>
                </c:pt>
                <c:pt idx="4819">
                  <c:v>15.95</c:v>
                </c:pt>
                <c:pt idx="4820">
                  <c:v>20.51</c:v>
                </c:pt>
                <c:pt idx="4821">
                  <c:v>6.7</c:v>
                </c:pt>
                <c:pt idx="4822">
                  <c:v>17.39</c:v>
                </c:pt>
                <c:pt idx="4823">
                  <c:v>19.13</c:v>
                </c:pt>
                <c:pt idx="4824">
                  <c:v>3.92</c:v>
                </c:pt>
                <c:pt idx="4825">
                  <c:v>5.14</c:v>
                </c:pt>
                <c:pt idx="4826">
                  <c:v>20.190000000000001</c:v>
                </c:pt>
                <c:pt idx="4827">
                  <c:v>12.68</c:v>
                </c:pt>
                <c:pt idx="4828">
                  <c:v>11.92</c:v>
                </c:pt>
                <c:pt idx="4829">
                  <c:v>23.25</c:v>
                </c:pt>
                <c:pt idx="4830">
                  <c:v>24.82</c:v>
                </c:pt>
                <c:pt idx="4831">
                  <c:v>19.82</c:v>
                </c:pt>
                <c:pt idx="4832">
                  <c:v>20.440000000000001</c:v>
                </c:pt>
                <c:pt idx="4833">
                  <c:v>7.58</c:v>
                </c:pt>
                <c:pt idx="4834">
                  <c:v>7.23</c:v>
                </c:pt>
                <c:pt idx="4835">
                  <c:v>24.58</c:v>
                </c:pt>
                <c:pt idx="4836">
                  <c:v>18.29</c:v>
                </c:pt>
                <c:pt idx="4837">
                  <c:v>18.11</c:v>
                </c:pt>
                <c:pt idx="4838">
                  <c:v>9.3000000000000007</c:v>
                </c:pt>
                <c:pt idx="4839">
                  <c:v>22.5</c:v>
                </c:pt>
                <c:pt idx="4840">
                  <c:v>3.98</c:v>
                </c:pt>
                <c:pt idx="4841">
                  <c:v>9.0399999999999991</c:v>
                </c:pt>
                <c:pt idx="4842">
                  <c:v>6.96</c:v>
                </c:pt>
                <c:pt idx="4843">
                  <c:v>18.64</c:v>
                </c:pt>
                <c:pt idx="4844">
                  <c:v>18.739999999999998</c:v>
                </c:pt>
                <c:pt idx="4845">
                  <c:v>14.76</c:v>
                </c:pt>
                <c:pt idx="4846">
                  <c:v>3.12</c:v>
                </c:pt>
                <c:pt idx="4847">
                  <c:v>22.22</c:v>
                </c:pt>
                <c:pt idx="4848">
                  <c:v>24.02</c:v>
                </c:pt>
                <c:pt idx="4849">
                  <c:v>7.45</c:v>
                </c:pt>
                <c:pt idx="4850">
                  <c:v>21.53</c:v>
                </c:pt>
                <c:pt idx="4851">
                  <c:v>24.41</c:v>
                </c:pt>
                <c:pt idx="4852">
                  <c:v>10.19</c:v>
                </c:pt>
                <c:pt idx="4853">
                  <c:v>7.07</c:v>
                </c:pt>
                <c:pt idx="4854">
                  <c:v>24.51</c:v>
                </c:pt>
                <c:pt idx="4855">
                  <c:v>4.3099999999999996</c:v>
                </c:pt>
                <c:pt idx="4856">
                  <c:v>9.07</c:v>
                </c:pt>
                <c:pt idx="4857">
                  <c:v>19.32</c:v>
                </c:pt>
                <c:pt idx="4858">
                  <c:v>16.579999999999998</c:v>
                </c:pt>
                <c:pt idx="4859">
                  <c:v>18.059999999999999</c:v>
                </c:pt>
                <c:pt idx="4860">
                  <c:v>18.579999999999998</c:v>
                </c:pt>
                <c:pt idx="4861">
                  <c:v>18.100000000000001</c:v>
                </c:pt>
                <c:pt idx="4862">
                  <c:v>10.53</c:v>
                </c:pt>
                <c:pt idx="4863">
                  <c:v>9.85</c:v>
                </c:pt>
                <c:pt idx="4864">
                  <c:v>12.43</c:v>
                </c:pt>
                <c:pt idx="4865">
                  <c:v>20.77</c:v>
                </c:pt>
                <c:pt idx="4866">
                  <c:v>23.64</c:v>
                </c:pt>
                <c:pt idx="4867">
                  <c:v>13.02</c:v>
                </c:pt>
                <c:pt idx="4868">
                  <c:v>4.8899999999999997</c:v>
                </c:pt>
                <c:pt idx="4869">
                  <c:v>23.64</c:v>
                </c:pt>
                <c:pt idx="4870">
                  <c:v>4.7699999999999996</c:v>
                </c:pt>
                <c:pt idx="4871">
                  <c:v>6.5</c:v>
                </c:pt>
                <c:pt idx="4872">
                  <c:v>22.09</c:v>
                </c:pt>
                <c:pt idx="4873">
                  <c:v>15.13</c:v>
                </c:pt>
                <c:pt idx="4874">
                  <c:v>10.76</c:v>
                </c:pt>
                <c:pt idx="4875">
                  <c:v>23.48</c:v>
                </c:pt>
                <c:pt idx="4876">
                  <c:v>24.13</c:v>
                </c:pt>
                <c:pt idx="4877">
                  <c:v>10.28</c:v>
                </c:pt>
                <c:pt idx="4878">
                  <c:v>22.11</c:v>
                </c:pt>
                <c:pt idx="4879">
                  <c:v>17.93</c:v>
                </c:pt>
                <c:pt idx="4880">
                  <c:v>9.0399999999999991</c:v>
                </c:pt>
                <c:pt idx="4881">
                  <c:v>23.71</c:v>
                </c:pt>
                <c:pt idx="4882">
                  <c:v>4.3899999999999997</c:v>
                </c:pt>
                <c:pt idx="4883">
                  <c:v>9.99</c:v>
                </c:pt>
                <c:pt idx="4884">
                  <c:v>11.72</c:v>
                </c:pt>
                <c:pt idx="4885">
                  <c:v>18.190000000000001</c:v>
                </c:pt>
                <c:pt idx="4886">
                  <c:v>3.85</c:v>
                </c:pt>
                <c:pt idx="4887">
                  <c:v>22.58</c:v>
                </c:pt>
                <c:pt idx="4888">
                  <c:v>17.5</c:v>
                </c:pt>
                <c:pt idx="4889">
                  <c:v>9.0500000000000007</c:v>
                </c:pt>
                <c:pt idx="4890">
                  <c:v>17.48</c:v>
                </c:pt>
                <c:pt idx="4891">
                  <c:v>14.81</c:v>
                </c:pt>
                <c:pt idx="4892">
                  <c:v>10.4</c:v>
                </c:pt>
                <c:pt idx="4893">
                  <c:v>3.63</c:v>
                </c:pt>
                <c:pt idx="4894">
                  <c:v>15.12</c:v>
                </c:pt>
                <c:pt idx="4895">
                  <c:v>4.8099999999999996</c:v>
                </c:pt>
                <c:pt idx="4896">
                  <c:v>20.82</c:v>
                </c:pt>
                <c:pt idx="4897">
                  <c:v>4.95</c:v>
                </c:pt>
                <c:pt idx="4898">
                  <c:v>12.43</c:v>
                </c:pt>
                <c:pt idx="4899">
                  <c:v>12.56</c:v>
                </c:pt>
                <c:pt idx="4900">
                  <c:v>15.24</c:v>
                </c:pt>
                <c:pt idx="4901">
                  <c:v>3.87</c:v>
                </c:pt>
                <c:pt idx="4902">
                  <c:v>7.48</c:v>
                </c:pt>
                <c:pt idx="4903">
                  <c:v>7.39</c:v>
                </c:pt>
                <c:pt idx="4904">
                  <c:v>16.18</c:v>
                </c:pt>
                <c:pt idx="4905">
                  <c:v>8.8000000000000007</c:v>
                </c:pt>
                <c:pt idx="4906">
                  <c:v>6.17</c:v>
                </c:pt>
                <c:pt idx="4907">
                  <c:v>3.4</c:v>
                </c:pt>
                <c:pt idx="4908">
                  <c:v>21.49</c:v>
                </c:pt>
                <c:pt idx="4909">
                  <c:v>24.37</c:v>
                </c:pt>
                <c:pt idx="4910">
                  <c:v>18.47</c:v>
                </c:pt>
                <c:pt idx="4911">
                  <c:v>12.08</c:v>
                </c:pt>
                <c:pt idx="4912">
                  <c:v>5.68</c:v>
                </c:pt>
                <c:pt idx="4913">
                  <c:v>13.45</c:v>
                </c:pt>
                <c:pt idx="4914">
                  <c:v>13.06</c:v>
                </c:pt>
                <c:pt idx="4915">
                  <c:v>12.24</c:v>
                </c:pt>
                <c:pt idx="4916">
                  <c:v>11.32</c:v>
                </c:pt>
                <c:pt idx="4917">
                  <c:v>13.93</c:v>
                </c:pt>
                <c:pt idx="4918">
                  <c:v>4.6100000000000003</c:v>
                </c:pt>
                <c:pt idx="4919">
                  <c:v>3.84</c:v>
                </c:pt>
                <c:pt idx="4920">
                  <c:v>4.41</c:v>
                </c:pt>
                <c:pt idx="4921">
                  <c:v>7.4</c:v>
                </c:pt>
                <c:pt idx="4922">
                  <c:v>9.1199999999999992</c:v>
                </c:pt>
                <c:pt idx="4923">
                  <c:v>6.73</c:v>
                </c:pt>
                <c:pt idx="4924">
                  <c:v>8.5399999999999991</c:v>
                </c:pt>
                <c:pt idx="4925">
                  <c:v>7.09</c:v>
                </c:pt>
                <c:pt idx="4926">
                  <c:v>6.32</c:v>
                </c:pt>
                <c:pt idx="4927">
                  <c:v>9.4499999999999993</c:v>
                </c:pt>
                <c:pt idx="4928">
                  <c:v>11.75</c:v>
                </c:pt>
                <c:pt idx="4929">
                  <c:v>19.37</c:v>
                </c:pt>
                <c:pt idx="4930">
                  <c:v>24.02</c:v>
                </c:pt>
                <c:pt idx="4931">
                  <c:v>23.22</c:v>
                </c:pt>
                <c:pt idx="4932">
                  <c:v>13.47</c:v>
                </c:pt>
                <c:pt idx="4933">
                  <c:v>13.15</c:v>
                </c:pt>
                <c:pt idx="4934">
                  <c:v>5.77</c:v>
                </c:pt>
                <c:pt idx="4935">
                  <c:v>24.38</c:v>
                </c:pt>
                <c:pt idx="4936">
                  <c:v>19.72</c:v>
                </c:pt>
                <c:pt idx="4937">
                  <c:v>21.65</c:v>
                </c:pt>
                <c:pt idx="4938">
                  <c:v>8.15</c:v>
                </c:pt>
                <c:pt idx="4939">
                  <c:v>11.82</c:v>
                </c:pt>
                <c:pt idx="4940">
                  <c:v>5.26</c:v>
                </c:pt>
                <c:pt idx="4941">
                  <c:v>23.7</c:v>
                </c:pt>
                <c:pt idx="4942">
                  <c:v>9.2899999999999991</c:v>
                </c:pt>
                <c:pt idx="4943">
                  <c:v>16.11</c:v>
                </c:pt>
                <c:pt idx="4944">
                  <c:v>6.35</c:v>
                </c:pt>
                <c:pt idx="4945">
                  <c:v>20.66</c:v>
                </c:pt>
                <c:pt idx="4946">
                  <c:v>7.1</c:v>
                </c:pt>
                <c:pt idx="4947">
                  <c:v>20.81</c:v>
                </c:pt>
                <c:pt idx="4948">
                  <c:v>11.84</c:v>
                </c:pt>
                <c:pt idx="4949">
                  <c:v>15.71</c:v>
                </c:pt>
                <c:pt idx="4950">
                  <c:v>8.93</c:v>
                </c:pt>
                <c:pt idx="4951">
                  <c:v>22.42</c:v>
                </c:pt>
                <c:pt idx="4952">
                  <c:v>19.72</c:v>
                </c:pt>
                <c:pt idx="4953">
                  <c:v>10.79</c:v>
                </c:pt>
                <c:pt idx="4954">
                  <c:v>15.88</c:v>
                </c:pt>
                <c:pt idx="4955">
                  <c:v>5.84</c:v>
                </c:pt>
                <c:pt idx="4956">
                  <c:v>6.53</c:v>
                </c:pt>
                <c:pt idx="4957">
                  <c:v>14.74</c:v>
                </c:pt>
                <c:pt idx="4958">
                  <c:v>17.09</c:v>
                </c:pt>
                <c:pt idx="4959">
                  <c:v>15.26</c:v>
                </c:pt>
                <c:pt idx="4960">
                  <c:v>15.31</c:v>
                </c:pt>
                <c:pt idx="4961">
                  <c:v>19.329999999999998</c:v>
                </c:pt>
                <c:pt idx="4962">
                  <c:v>22.85</c:v>
                </c:pt>
                <c:pt idx="4963">
                  <c:v>11.53</c:v>
                </c:pt>
                <c:pt idx="4964">
                  <c:v>14.81</c:v>
                </c:pt>
                <c:pt idx="4965">
                  <c:v>22.65</c:v>
                </c:pt>
                <c:pt idx="4966">
                  <c:v>13.21</c:v>
                </c:pt>
                <c:pt idx="4967">
                  <c:v>12.79</c:v>
                </c:pt>
                <c:pt idx="4968">
                  <c:v>19.86</c:v>
                </c:pt>
                <c:pt idx="4969">
                  <c:v>22.3</c:v>
                </c:pt>
                <c:pt idx="4970">
                  <c:v>19.23</c:v>
                </c:pt>
                <c:pt idx="4971">
                  <c:v>5.2</c:v>
                </c:pt>
                <c:pt idx="4972">
                  <c:v>13.22</c:v>
                </c:pt>
                <c:pt idx="4973">
                  <c:v>7.66</c:v>
                </c:pt>
                <c:pt idx="4974">
                  <c:v>9.98</c:v>
                </c:pt>
                <c:pt idx="4975">
                  <c:v>13.31</c:v>
                </c:pt>
                <c:pt idx="4976">
                  <c:v>7.87</c:v>
                </c:pt>
                <c:pt idx="4977">
                  <c:v>14.35</c:v>
                </c:pt>
                <c:pt idx="4978">
                  <c:v>17.149999999999999</c:v>
                </c:pt>
                <c:pt idx="4979">
                  <c:v>22.25</c:v>
                </c:pt>
                <c:pt idx="4980">
                  <c:v>7.65</c:v>
                </c:pt>
                <c:pt idx="4981">
                  <c:v>9.83</c:v>
                </c:pt>
                <c:pt idx="4982">
                  <c:v>11.93</c:v>
                </c:pt>
                <c:pt idx="4983">
                  <c:v>7.94</c:v>
                </c:pt>
                <c:pt idx="4984">
                  <c:v>10.3</c:v>
                </c:pt>
                <c:pt idx="4985">
                  <c:v>22.43</c:v>
                </c:pt>
                <c:pt idx="4986">
                  <c:v>6.05</c:v>
                </c:pt>
                <c:pt idx="4987">
                  <c:v>12.76</c:v>
                </c:pt>
                <c:pt idx="4988">
                  <c:v>9.84</c:v>
                </c:pt>
                <c:pt idx="4989">
                  <c:v>4.7</c:v>
                </c:pt>
                <c:pt idx="4990">
                  <c:v>5.1100000000000003</c:v>
                </c:pt>
                <c:pt idx="4991">
                  <c:v>20.27</c:v>
                </c:pt>
                <c:pt idx="4992">
                  <c:v>21.75</c:v>
                </c:pt>
                <c:pt idx="4993">
                  <c:v>19.309999999999999</c:v>
                </c:pt>
                <c:pt idx="4994">
                  <c:v>14.86</c:v>
                </c:pt>
                <c:pt idx="4995">
                  <c:v>20</c:v>
                </c:pt>
                <c:pt idx="4996">
                  <c:v>6.34</c:v>
                </c:pt>
                <c:pt idx="4997">
                  <c:v>20.16</c:v>
                </c:pt>
                <c:pt idx="4998">
                  <c:v>12.32</c:v>
                </c:pt>
                <c:pt idx="4999">
                  <c:v>19.510000000000002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CF-4665-B6E5-9FC7D6244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588271"/>
        <c:axId val="1251595951"/>
      </c:scatterChart>
      <c:valAx>
        <c:axId val="1251588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595951"/>
        <c:crosses val="autoZero"/>
        <c:crossBetween val="midCat"/>
      </c:valAx>
      <c:valAx>
        <c:axId val="12515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58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Sheet1!$BT$11</c:f>
              <c:strCache>
                <c:ptCount val="1"/>
                <c:pt idx="0">
                  <c:v>CLASS INTERVALS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Sheet1!$BV$12:$BV$18</c:f>
              <c:numCache>
                <c:formatCode>General</c:formatCode>
                <c:ptCount val="7"/>
                <c:pt idx="0">
                  <c:v>0.5</c:v>
                </c:pt>
                <c:pt idx="1">
                  <c:v>5.5</c:v>
                </c:pt>
                <c:pt idx="2">
                  <c:v>10.5</c:v>
                </c:pt>
                <c:pt idx="3">
                  <c:v>15.5</c:v>
                </c:pt>
                <c:pt idx="4">
                  <c:v>20.5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Sheet1!$BT$12:$BT$18</c:f>
              <c:numCache>
                <c:formatCode>General</c:formatCode>
                <c:ptCount val="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82-46D8-B7C3-B50386CE7634}"/>
            </c:ext>
          </c:extLst>
        </c:ser>
        <c:ser>
          <c:idx val="1"/>
          <c:order val="1"/>
          <c:tx>
            <c:strRef>
              <c:f>Sheet1!$BU$11</c:f>
              <c:strCache>
                <c:ptCount val="1"/>
                <c:pt idx="0">
                  <c:v>FREQUENCY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Sheet1!$BV$12:$BV$18</c:f>
              <c:numCache>
                <c:formatCode>General</c:formatCode>
                <c:ptCount val="7"/>
                <c:pt idx="0">
                  <c:v>0.5</c:v>
                </c:pt>
                <c:pt idx="1">
                  <c:v>5.5</c:v>
                </c:pt>
                <c:pt idx="2">
                  <c:v>10.5</c:v>
                </c:pt>
                <c:pt idx="3">
                  <c:v>15.5</c:v>
                </c:pt>
                <c:pt idx="4">
                  <c:v>20.5</c:v>
                </c:pt>
                <c:pt idx="5">
                  <c:v>25.5</c:v>
                </c:pt>
                <c:pt idx="6">
                  <c:v>30.5</c:v>
                </c:pt>
              </c:numCache>
            </c:numRef>
          </c:cat>
          <c:val>
            <c:numRef>
              <c:f>Sheet1!$BU$12:$BU$18</c:f>
              <c:numCache>
                <c:formatCode>General</c:formatCode>
                <c:ptCount val="7"/>
                <c:pt idx="0">
                  <c:v>0</c:v>
                </c:pt>
                <c:pt idx="1">
                  <c:v>1162</c:v>
                </c:pt>
                <c:pt idx="2">
                  <c:v>1153</c:v>
                </c:pt>
                <c:pt idx="3">
                  <c:v>1147</c:v>
                </c:pt>
                <c:pt idx="4">
                  <c:v>1086</c:v>
                </c:pt>
                <c:pt idx="5">
                  <c:v>452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82-46D8-B7C3-B50386CE7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40416"/>
        <c:axId val="48741856"/>
      </c:lineChart>
      <c:catAx>
        <c:axId val="487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41856"/>
        <c:crosses val="autoZero"/>
        <c:auto val="1"/>
        <c:lblAlgn val="ctr"/>
        <c:lblOffset val="100"/>
        <c:noMultiLvlLbl val="0"/>
      </c:catAx>
      <c:valAx>
        <c:axId val="48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4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Sheet1!$CC$8</c:f>
              <c:strCache>
                <c:ptCount val="1"/>
                <c:pt idx="0">
                  <c:v>RELATIVE FREQUENCY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Sheet1!$CB$9:$CB$14</c:f>
              <c:strCache>
                <c:ptCount val="6"/>
                <c:pt idx="1">
                  <c:v>3---8</c:v>
                </c:pt>
                <c:pt idx="2">
                  <c:v>8---13</c:v>
                </c:pt>
                <c:pt idx="3">
                  <c:v>13---18</c:v>
                </c:pt>
                <c:pt idx="4">
                  <c:v>18---23</c:v>
                </c:pt>
                <c:pt idx="5">
                  <c:v>23---28</c:v>
                </c:pt>
              </c:strCache>
            </c:strRef>
          </c:cat>
          <c:val>
            <c:numRef>
              <c:f>Sheet1!$CC$9:$CC$14</c:f>
              <c:numCache>
                <c:formatCode>General</c:formatCode>
                <c:ptCount val="6"/>
                <c:pt idx="1">
                  <c:v>0.2324</c:v>
                </c:pt>
                <c:pt idx="2">
                  <c:v>0.2306</c:v>
                </c:pt>
                <c:pt idx="3">
                  <c:v>0.22939999999999999</c:v>
                </c:pt>
                <c:pt idx="4">
                  <c:v>0.2172</c:v>
                </c:pt>
                <c:pt idx="5">
                  <c:v>9.0399999999999994E-2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7-4F9B-825E-DA334CF2FD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01808752"/>
        <c:axId val="401813552"/>
      </c:barChart>
      <c:catAx>
        <c:axId val="40180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13552"/>
        <c:crosses val="autoZero"/>
        <c:auto val="1"/>
        <c:lblAlgn val="ctr"/>
        <c:lblOffset val="100"/>
        <c:noMultiLvlLbl val="0"/>
      </c:catAx>
      <c:valAx>
        <c:axId val="40181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0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[Amazon_Prime_Customers_Data_4.xlsx]Sheet1!PivotTable5</c:name>
    <c:fmtId val="7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Sheet1!$CI$15:$CI$16</c:f>
              <c:strCache>
                <c:ptCount val="1"/>
                <c:pt idx="0">
                  <c:v>Basic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Sheet1!$CH$17:$CH$22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Sheet1!$CI$17:$CI$22</c:f>
              <c:numCache>
                <c:formatCode>General</c:formatCode>
                <c:ptCount val="5"/>
                <c:pt idx="0">
                  <c:v>56.779783393501795</c:v>
                </c:pt>
                <c:pt idx="1">
                  <c:v>55.811688311688322</c:v>
                </c:pt>
                <c:pt idx="2">
                  <c:v>54.580333333333343</c:v>
                </c:pt>
                <c:pt idx="3">
                  <c:v>54.279354838709686</c:v>
                </c:pt>
                <c:pt idx="4">
                  <c:v>54.679935275080851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B-4C25-A1BD-A5BC28129AF7}"/>
            </c:ext>
          </c:extLst>
        </c:ser>
        <c:ser>
          <c:idx val="1"/>
          <c:order val="1"/>
          <c:tx>
            <c:strRef>
              <c:f>Sheet1!$CJ$15:$CJ$16</c:f>
              <c:strCache>
                <c:ptCount val="1"/>
                <c:pt idx="0">
                  <c:v>Premium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Sheet1!$CH$17:$CH$22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Sheet1!$CJ$17:$CJ$22</c:f>
              <c:numCache>
                <c:formatCode>General</c:formatCode>
                <c:ptCount val="5"/>
                <c:pt idx="0">
                  <c:v>54.372401433691728</c:v>
                </c:pt>
                <c:pt idx="1">
                  <c:v>56.032659932659946</c:v>
                </c:pt>
                <c:pt idx="2">
                  <c:v>55.577377049180313</c:v>
                </c:pt>
                <c:pt idx="3">
                  <c:v>54.475850340136049</c:v>
                </c:pt>
                <c:pt idx="4">
                  <c:v>53.21888544891641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B-4C25-A1BD-A5BC28129AF7}"/>
            </c:ext>
          </c:extLst>
        </c:ser>
        <c:ser>
          <c:idx val="2"/>
          <c:order val="2"/>
          <c:tx>
            <c:strRef>
              <c:f>Sheet1!$CK$15:$CK$16</c:f>
              <c:strCache>
                <c:ptCount val="1"/>
                <c:pt idx="0">
                  <c:v>Standard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Sheet1!$CH$17:$CH$22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Sheet1!$CK$17:$CK$22</c:f>
              <c:numCache>
                <c:formatCode>General</c:formatCode>
                <c:ptCount val="5"/>
                <c:pt idx="0">
                  <c:v>55.702010050251239</c:v>
                </c:pt>
                <c:pt idx="1">
                  <c:v>55.019021739130444</c:v>
                </c:pt>
                <c:pt idx="2">
                  <c:v>55.41124121779864</c:v>
                </c:pt>
                <c:pt idx="3">
                  <c:v>55.676455696202552</c:v>
                </c:pt>
                <c:pt idx="4">
                  <c:v>53.517804878048779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EB-4C25-A1BD-A5BC28129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073232"/>
        <c:axId val="784082352"/>
      </c:lineChart>
      <c:catAx>
        <c:axId val="784073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82352"/>
        <c:crosses val="autoZero"/>
        <c:auto val="1"/>
        <c:lblAlgn val="ctr"/>
        <c:lblOffset val="100"/>
        <c:noMultiLvlLbl val="0"/>
      </c:catAx>
      <c:valAx>
        <c:axId val="784082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7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4050806863503E-2"/>
          <c:y val="0.19927335383440803"/>
          <c:w val="0.89028518377920141"/>
          <c:h val="0.714567704805400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Sheet1!$Z$31</c:f>
              <c:strCache>
                <c:ptCount val="1"/>
                <c:pt idx="0">
                  <c:v>Annual_Income_INR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Sheet1!$Y$32:$Y$48</c:f>
              <c:numCache>
                <c:formatCode>General</c:formatCode>
                <c:ptCount val="17"/>
                <c:pt idx="0">
                  <c:v>8.1</c:v>
                </c:pt>
                <c:pt idx="1">
                  <c:v>3.9</c:v>
                </c:pt>
                <c:pt idx="2">
                  <c:v>8.3000000000000007</c:v>
                </c:pt>
                <c:pt idx="3">
                  <c:v>4.5999999999999996</c:v>
                </c:pt>
                <c:pt idx="4">
                  <c:v>6</c:v>
                </c:pt>
                <c:pt idx="5">
                  <c:v>2.6</c:v>
                </c:pt>
                <c:pt idx="6">
                  <c:v>9.3000000000000007</c:v>
                </c:pt>
                <c:pt idx="7">
                  <c:v>7.3</c:v>
                </c:pt>
                <c:pt idx="8">
                  <c:v>8.6999999999999993</c:v>
                </c:pt>
                <c:pt idx="9">
                  <c:v>2.9</c:v>
                </c:pt>
                <c:pt idx="10">
                  <c:v>1.6</c:v>
                </c:pt>
                <c:pt idx="11">
                  <c:v>4</c:v>
                </c:pt>
                <c:pt idx="12">
                  <c:v>5.7</c:v>
                </c:pt>
                <c:pt idx="13">
                  <c:v>8.1999999999999993</c:v>
                </c:pt>
                <c:pt idx="14">
                  <c:v>4.5999999999999996</c:v>
                </c:pt>
                <c:pt idx="15">
                  <c:v>3.4</c:v>
                </c:pt>
                <c:pt idx="16">
                  <c:v>4.4000000000000004</c:v>
                </c:pt>
              </c:numCache>
            </c:numRef>
          </c:xVal>
          <c:yVal>
            <c:numRef>
              <c:f>Sheet1!$Z$32:$Z$48</c:f>
              <c:numCache>
                <c:formatCode>General</c:formatCode>
                <c:ptCount val="17"/>
                <c:pt idx="0">
                  <c:v>4.67</c:v>
                </c:pt>
                <c:pt idx="1">
                  <c:v>16.28</c:v>
                </c:pt>
                <c:pt idx="2">
                  <c:v>13.56</c:v>
                </c:pt>
                <c:pt idx="3">
                  <c:v>12.41</c:v>
                </c:pt>
                <c:pt idx="4">
                  <c:v>19.739999999999998</c:v>
                </c:pt>
                <c:pt idx="5">
                  <c:v>24.33</c:v>
                </c:pt>
                <c:pt idx="6">
                  <c:v>13.51</c:v>
                </c:pt>
                <c:pt idx="7">
                  <c:v>3.14</c:v>
                </c:pt>
                <c:pt idx="8">
                  <c:v>16.12</c:v>
                </c:pt>
                <c:pt idx="9">
                  <c:v>17.39</c:v>
                </c:pt>
                <c:pt idx="10">
                  <c:v>21.22</c:v>
                </c:pt>
                <c:pt idx="11">
                  <c:v>7.39</c:v>
                </c:pt>
                <c:pt idx="12">
                  <c:v>14.54</c:v>
                </c:pt>
                <c:pt idx="13">
                  <c:v>12.84</c:v>
                </c:pt>
                <c:pt idx="14">
                  <c:v>17.62</c:v>
                </c:pt>
                <c:pt idx="15">
                  <c:v>4.41</c:v>
                </c:pt>
                <c:pt idx="16">
                  <c:v>22.45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87-4953-B547-6C339AC612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10024287"/>
        <c:axId val="1310020927"/>
      </c:scatterChart>
      <c:valAx>
        <c:axId val="131002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20927"/>
        <c:crosses val="autoZero"/>
        <c:crossBetween val="midCat"/>
      </c:valAx>
      <c:valAx>
        <c:axId val="131002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2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Sheet1!$BW$45</c:f>
              <c:strCache>
                <c:ptCount val="1"/>
                <c:pt idx="0">
                  <c:v>Basic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Sheet1!$BV$46:$BV$50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xVal>
          <c:yVal>
            <c:numRef>
              <c:f>Sheet1!$BW$46:$BW$50</c:f>
              <c:numCache>
                <c:formatCode>General</c:formatCode>
                <c:ptCount val="5"/>
                <c:pt idx="0">
                  <c:v>56.779783393501795</c:v>
                </c:pt>
                <c:pt idx="1">
                  <c:v>55.811688311688322</c:v>
                </c:pt>
                <c:pt idx="2">
                  <c:v>54.580333333333343</c:v>
                </c:pt>
                <c:pt idx="3">
                  <c:v>54.279354838709686</c:v>
                </c:pt>
                <c:pt idx="4">
                  <c:v>54.679935275080851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B7-4F9A-973F-17081217127E}"/>
            </c:ext>
          </c:extLst>
        </c:ser>
        <c:ser>
          <c:idx val="1"/>
          <c:order val="1"/>
          <c:tx>
            <c:strRef>
              <c:f>Sheet1!$BX$45</c:f>
              <c:strCache>
                <c:ptCount val="1"/>
                <c:pt idx="0">
                  <c:v>Premium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Sheet1!$BV$46:$BV$50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xVal>
          <c:yVal>
            <c:numRef>
              <c:f>Sheet1!$BX$46:$BX$50</c:f>
              <c:numCache>
                <c:formatCode>General</c:formatCode>
                <c:ptCount val="5"/>
                <c:pt idx="0">
                  <c:v>54.372401433691728</c:v>
                </c:pt>
                <c:pt idx="1">
                  <c:v>56.032659932659946</c:v>
                </c:pt>
                <c:pt idx="2">
                  <c:v>55.577377049180313</c:v>
                </c:pt>
                <c:pt idx="3">
                  <c:v>54.475850340136049</c:v>
                </c:pt>
                <c:pt idx="4">
                  <c:v>53.21888544891641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B7-4F9A-973F-17081217127E}"/>
            </c:ext>
          </c:extLst>
        </c:ser>
        <c:ser>
          <c:idx val="2"/>
          <c:order val="2"/>
          <c:tx>
            <c:strRef>
              <c:f>Sheet1!$BY$45</c:f>
              <c:strCache>
                <c:ptCount val="1"/>
                <c:pt idx="0">
                  <c:v>Standard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Sheet1!$BV$46:$BV$50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xVal>
          <c:yVal>
            <c:numRef>
              <c:f>Sheet1!$BY$46:$BY$50</c:f>
              <c:numCache>
                <c:formatCode>General</c:formatCode>
                <c:ptCount val="5"/>
                <c:pt idx="0">
                  <c:v>55.702010050251239</c:v>
                </c:pt>
                <c:pt idx="1">
                  <c:v>55.019021739130444</c:v>
                </c:pt>
                <c:pt idx="2">
                  <c:v>55.41124121779864</c:v>
                </c:pt>
                <c:pt idx="3">
                  <c:v>55.676455696202552</c:v>
                </c:pt>
                <c:pt idx="4">
                  <c:v>53.517804878048779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B7-4F9A-973F-17081217127E}"/>
            </c:ext>
          </c:extLst>
        </c:ser>
        <c:ser>
          <c:idx val="3"/>
          <c:order val="3"/>
          <c:tx>
            <c:strRef>
              <c:f>Sheet1!$BZ$45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Sheet1!$BV$46:$BV$50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xVal>
          <c:yVal>
            <c:numRef>
              <c:f>Sheet1!$BZ$46:$BZ$50</c:f>
              <c:numCache>
                <c:formatCode>General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B7-4F9A-973F-17081217127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10085727"/>
        <c:axId val="1310081887"/>
      </c:scatterChart>
      <c:valAx>
        <c:axId val="131008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81887"/>
        <c:crosses val="autoZero"/>
        <c:crossBetween val="midCat"/>
      </c:valAx>
      <c:valAx>
        <c:axId val="13100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8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Sheet1!$AI$37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Sheet1!$AH$38:$AH$40</c:f>
              <c:strCache>
                <c:ptCount val="3"/>
                <c:pt idx="1">
                  <c:v>MALE </c:v>
                </c:pt>
                <c:pt idx="2">
                  <c:v>FEMALE</c:v>
                </c:pt>
              </c:strCache>
            </c:strRef>
          </c:cat>
          <c:val>
            <c:numRef>
              <c:f>Sheet1!$AI$38:$AI$40</c:f>
              <c:numCache>
                <c:formatCode>General</c:formatCode>
                <c:ptCount val="3"/>
                <c:pt idx="1">
                  <c:v>18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1-4275-A837-C09F7EA6B32F}"/>
            </c:ext>
          </c:extLst>
        </c:ser>
        <c:ser>
          <c:idx val="1"/>
          <c:order val="1"/>
          <c:tx>
            <c:strRef>
              <c:f>Sheet1!$AJ$37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Sheet1!$AH$38:$AH$40</c:f>
              <c:strCache>
                <c:ptCount val="3"/>
                <c:pt idx="1">
                  <c:v>MALE </c:v>
                </c:pt>
                <c:pt idx="2">
                  <c:v>FEMALE</c:v>
                </c:pt>
              </c:strCache>
            </c:strRef>
          </c:cat>
          <c:val>
            <c:numRef>
              <c:f>Sheet1!$AJ$38:$AJ$40</c:f>
              <c:numCache>
                <c:formatCode>General</c:formatCode>
                <c:ptCount val="3"/>
                <c:pt idx="1">
                  <c:v>22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81-4275-A837-C09F7EA6B3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7717552"/>
        <c:axId val="867714672"/>
      </c:barChart>
      <c:catAx>
        <c:axId val="86771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14672"/>
        <c:crosses val="autoZero"/>
        <c:auto val="1"/>
        <c:lblAlgn val="ctr"/>
        <c:lblOffset val="100"/>
        <c:noMultiLvlLbl val="0"/>
      </c:catAx>
      <c:valAx>
        <c:axId val="86771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1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[Amazon_Prime_Customers_Data_4.xlsx]Sheet1!PivotTable6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Sheet1!$AN$59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Sheet1!$AM$60:$AM$62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Sheet1!$AN$60:$AN$62</c:f>
              <c:numCache>
                <c:formatCode>General</c:formatCode>
                <c:ptCount val="2"/>
                <c:pt idx="0">
                  <c:v>2447</c:v>
                </c:pt>
                <c:pt idx="1">
                  <c:v>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1-48A1-81B8-5B07283310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94470463"/>
        <c:axId val="794479103"/>
      </c:barChart>
      <c:catAx>
        <c:axId val="7944704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79103"/>
        <c:crosses val="autoZero"/>
        <c:auto val="1"/>
        <c:lblAlgn val="ctr"/>
        <c:lblOffset val="100"/>
        <c:noMultiLvlLbl val="0"/>
      </c:catAx>
      <c:valAx>
        <c:axId val="79447910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47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[Amazon_Prime_Customers_Data_4.xlsx]Sheet1!PivotTable6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Sheet1!$AN$59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D8-4E3B-8D22-5D2BE33160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6D8-4E3B-8D22-5D2BE331608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Sheet1!$AM$60:$AM$62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Sheet1!$AN$60:$AN$62</c:f>
              <c:numCache>
                <c:formatCode>General</c:formatCode>
                <c:ptCount val="2"/>
                <c:pt idx="0">
                  <c:v>2447</c:v>
                </c:pt>
                <c:pt idx="1">
                  <c:v>2553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4-4004-9E83-4EAC338F1C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[Amazon_Prime_Customers_Data_4.xlsx]Sheet1!PivotTable7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Sheet1!$U$58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Sheet1!$T$59:$T$62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Sheet1!$U$59:$U$62</c:f>
              <c:numCache>
                <c:formatCode>General</c:formatCode>
                <c:ptCount val="3"/>
                <c:pt idx="0">
                  <c:v>1504</c:v>
                </c:pt>
                <c:pt idx="1">
                  <c:v>1498</c:v>
                </c:pt>
                <c:pt idx="2">
                  <c:v>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7-4902-B117-06E9CB5E1A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57220352"/>
        <c:axId val="1957220832"/>
      </c:barChart>
      <c:catAx>
        <c:axId val="195722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20832"/>
        <c:crosses val="autoZero"/>
        <c:auto val="1"/>
        <c:lblAlgn val="ctr"/>
        <c:lblOffset val="100"/>
        <c:noMultiLvlLbl val="0"/>
      </c:catAx>
      <c:valAx>
        <c:axId val="19572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2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1A6AD7D5-FF79-4459-BA98-4E89BF6742B1}">
          <cx:tx>
            <cx:txData>
              <cx:f>_xlchart.v1.0</cx:f>
              <cx:v>Age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63F139E2-0DAF-4681-8707-ABF70D9468A1}">
          <cx:tx>
            <cx:txData>
              <cx:f>_xlchart.v1.2</cx:f>
              <cx:v>Annual_Income_INR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microsoft.com/office/2014/relationships/chartEx" Target="../charts/chartEx2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microsoft.com/office/2014/relationships/chartEx" Target="../charts/chartEx1.xml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125393</xdr:colOff>
      <xdr:row>12</xdr:row>
      <xdr:rowOff>137931</xdr:rowOff>
    </xdr:from>
    <xdr:to>
      <xdr:col>50</xdr:col>
      <xdr:colOff>77165</xdr:colOff>
      <xdr:row>27</xdr:row>
      <xdr:rowOff>112853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3734A-D4D5-0995-A1E7-9B1BCC9BD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196362</xdr:colOff>
      <xdr:row>13</xdr:row>
      <xdr:rowOff>158263</xdr:rowOff>
    </xdr:from>
    <xdr:to>
      <xdr:col>40</xdr:col>
      <xdr:colOff>1230924</xdr:colOff>
      <xdr:row>27</xdr:row>
      <xdr:rowOff>169985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EF9F71-612D-5523-9D36-8D58D97B2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392722</xdr:colOff>
      <xdr:row>3</xdr:row>
      <xdr:rowOff>82062</xdr:rowOff>
    </xdr:from>
    <xdr:to>
      <xdr:col>62</xdr:col>
      <xdr:colOff>568570</xdr:colOff>
      <xdr:row>18</xdr:row>
      <xdr:rowOff>17584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B50180-3355-3ED3-D918-A0BD11978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258029</xdr:colOff>
      <xdr:row>28</xdr:row>
      <xdr:rowOff>106502</xdr:rowOff>
    </xdr:from>
    <xdr:to>
      <xdr:col>46</xdr:col>
      <xdr:colOff>576971</xdr:colOff>
      <xdr:row>43</xdr:row>
      <xdr:rowOff>109298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8BAFDD8-C2C3-FB86-DBCE-10BE4B31FC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35069" y="5227142"/>
              <a:ext cx="4578522" cy="31650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60</xdr:col>
      <xdr:colOff>239520</xdr:colOff>
      <xdr:row>21</xdr:row>
      <xdr:rowOff>17256</xdr:rowOff>
    </xdr:from>
    <xdr:to>
      <xdr:col>67</xdr:col>
      <xdr:colOff>579552</xdr:colOff>
      <xdr:row>35</xdr:row>
      <xdr:rowOff>174964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ECA8EDA2-ACB7-01DE-717E-AC9B9A5861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533800" y="3857736"/>
              <a:ext cx="4607232" cy="27180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53</xdr:col>
      <xdr:colOff>526762</xdr:colOff>
      <xdr:row>20</xdr:row>
      <xdr:rowOff>89766</xdr:rowOff>
    </xdr:from>
    <xdr:to>
      <xdr:col>58</xdr:col>
      <xdr:colOff>411018</xdr:colOff>
      <xdr:row>35</xdr:row>
      <xdr:rowOff>103621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0DA12F-CB54-5EA2-A525-628F637C3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68</xdr:col>
      <xdr:colOff>499844</xdr:colOff>
      <xdr:row>19</xdr:row>
      <xdr:rowOff>9088</xdr:rowOff>
    </xdr:from>
    <xdr:to>
      <xdr:col>74</xdr:col>
      <xdr:colOff>394982</xdr:colOff>
      <xdr:row>34</xdr:row>
      <xdr:rowOff>25866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3DF86E-0F6E-A2E2-DB38-E84ACBD13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75</xdr:col>
      <xdr:colOff>211666</xdr:colOff>
      <xdr:row>16</xdr:row>
      <xdr:rowOff>33867</xdr:rowOff>
    </xdr:from>
    <xdr:to>
      <xdr:col>80</xdr:col>
      <xdr:colOff>1049866</xdr:colOff>
      <xdr:row>30</xdr:row>
      <xdr:rowOff>169334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FA0A47-3FFE-9073-F7F0-53C9889A0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83</xdr:col>
      <xdr:colOff>118534</xdr:colOff>
      <xdr:row>23</xdr:row>
      <xdr:rowOff>160866</xdr:rowOff>
    </xdr:from>
    <xdr:to>
      <xdr:col>89</xdr:col>
      <xdr:colOff>25400</xdr:colOff>
      <xdr:row>40</xdr:row>
      <xdr:rowOff>186265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EB3476-F397-B6B9-1C98-7414FD969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347134</xdr:colOff>
      <xdr:row>29</xdr:row>
      <xdr:rowOff>118533</xdr:rowOff>
    </xdr:from>
    <xdr:to>
      <xdr:col>32</xdr:col>
      <xdr:colOff>135467</xdr:colOff>
      <xdr:row>44</xdr:row>
      <xdr:rowOff>67733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96C9531-16E6-5E5F-0E42-7EB2411B1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79</xdr:col>
      <xdr:colOff>0</xdr:colOff>
      <xdr:row>38</xdr:row>
      <xdr:rowOff>160867</xdr:rowOff>
    </xdr:from>
    <xdr:to>
      <xdr:col>82</xdr:col>
      <xdr:colOff>160867</xdr:colOff>
      <xdr:row>53</xdr:row>
      <xdr:rowOff>110067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934DFBF-94AC-4A8E-029C-5105FD1F1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1093303</xdr:colOff>
      <xdr:row>42</xdr:row>
      <xdr:rowOff>19878</xdr:rowOff>
    </xdr:from>
    <xdr:to>
      <xdr:col>37</xdr:col>
      <xdr:colOff>472108</xdr:colOff>
      <xdr:row>57</xdr:row>
      <xdr:rowOff>29817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07E7D80-A5F1-B159-16CD-3690B46E4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28</xdr:col>
      <xdr:colOff>548268</xdr:colOff>
      <xdr:row>60</xdr:row>
      <xdr:rowOff>64118</xdr:rowOff>
    </xdr:from>
    <xdr:to>
      <xdr:col>33</xdr:col>
      <xdr:colOff>269487</xdr:colOff>
      <xdr:row>75</xdr:row>
      <xdr:rowOff>19514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A9CB731-D53B-52F1-F10E-3E09FC285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223025</xdr:colOff>
      <xdr:row>64</xdr:row>
      <xdr:rowOff>73412</xdr:rowOff>
    </xdr:from>
    <xdr:to>
      <xdr:col>39</xdr:col>
      <xdr:colOff>148683</xdr:colOff>
      <xdr:row>79</xdr:row>
      <xdr:rowOff>28807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DD2D70-DD98-2F65-D3CF-848BA1CD0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371707</xdr:colOff>
      <xdr:row>63</xdr:row>
      <xdr:rowOff>184924</xdr:rowOff>
    </xdr:from>
    <xdr:to>
      <xdr:col>22</xdr:col>
      <xdr:colOff>353121</xdr:colOff>
      <xdr:row>78</xdr:row>
      <xdr:rowOff>140320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E96E96A-D470-D132-A689-8CEE7095E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" refreshedDate="45953.60313009259" createdVersion="8" refreshedVersion="8" minRefreshableVersion="3" recordCount="5000" xr:uid="{0B06F2F8-0E9A-4476-A28B-8593907815BE}">
  <cacheSource type="worksheet">
    <worksheetSource ref="E1:E5001" sheet="Sheet1"/>
  </cacheSource>
  <cacheFields count="1">
    <cacheField name="Subscription_Plan" numFmtId="0">
      <sharedItems count="3">
        <s v="Basic"/>
        <s v="Standard"/>
        <s v="Premiu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" refreshedDate="45954.476876620371" createdVersion="8" refreshedVersion="8" minRefreshableVersion="3" recordCount="5000" xr:uid="{07D566A6-BDDF-4F81-8946-9559EE95FD89}">
  <cacheSource type="worksheet">
    <worksheetSource ref="A1:O5001" sheet="Sheet1"/>
  </cacheSource>
  <cacheFields count="15">
    <cacheField name="UserID" numFmtId="0">
      <sharedItems/>
    </cacheField>
    <cacheField name="Signup_Month" numFmtId="0">
      <sharedItems containsSemiMixedTypes="0" containsString="0" containsNumber="1" containsInteger="1" minValue="1" maxValue="12" count="12">
        <n v="7"/>
        <n v="4"/>
        <n v="11"/>
        <n v="8"/>
        <n v="5"/>
        <n v="10"/>
        <n v="3"/>
        <n v="6"/>
        <n v="2"/>
        <n v="12"/>
        <n v="1"/>
        <n v="9"/>
      </sharedItems>
    </cacheField>
    <cacheField name="Age" numFmtId="0">
      <sharedItems containsSemiMixedTypes="0" containsString="0" containsNumber="1" containsInteger="1" minValue="18" maxValue="69"/>
    </cacheField>
    <cacheField name="Gender" numFmtId="0">
      <sharedItems/>
    </cacheField>
    <cacheField name="Subscription_Plan" numFmtId="0">
      <sharedItems count="3">
        <s v="Basic"/>
        <s v="Standard"/>
        <s v="Premium"/>
      </sharedItems>
    </cacheField>
    <cacheField name="Country" numFmtId="0">
      <sharedItems count="5">
        <s v="USA"/>
        <s v="India"/>
        <s v="Canada"/>
        <s v="UK"/>
        <s v="Australia"/>
      </sharedItems>
    </cacheField>
    <cacheField name="Time_Spent_hrs" numFmtId="0">
      <sharedItems containsSemiMixedTypes="0" containsString="0" containsNumber="1" minValue="5" maxValue="24.99"/>
    </cacheField>
    <cacheField name="Devices_Used" numFmtId="0">
      <sharedItems containsSemiMixedTypes="0" containsString="0" containsNumber="1" containsInteger="1" minValue="1" maxValue="5"/>
    </cacheField>
    <cacheField name="Satisfaction_Score" numFmtId="0">
      <sharedItems containsSemiMixedTypes="0" containsString="0" containsNumber="1" minValue="1" maxValue="10"/>
    </cacheField>
    <cacheField name="Annual_Income_INR" numFmtId="0">
      <sharedItems containsSemiMixedTypes="0" containsString="0" containsNumber="1" minValue="3" maxValue="25"/>
    </cacheField>
    <cacheField name="Watch_Hours_Month" numFmtId="0">
      <sharedItems containsSemiMixedTypes="0" containsString="0" containsNumber="1" minValue="10" maxValue="99.9"/>
    </cacheField>
    <cacheField name="Preferred_Genre" numFmtId="0">
      <sharedItems/>
    </cacheField>
    <cacheField name="Membership_Duration" numFmtId="0">
      <sharedItems containsSemiMixedTypes="0" containsString="0" containsNumber="1" containsInteger="1" minValue="1" maxValue="11"/>
    </cacheField>
    <cacheField name="Reviews_Written" numFmtId="0">
      <sharedItems containsSemiMixedTypes="0" containsString="0" containsNumber="1" containsInteger="1" minValue="0" maxValue="4"/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ERTHI" refreshedDate="45954.48450752315" createdVersion="8" refreshedVersion="8" minRefreshableVersion="3" recordCount="5000" xr:uid="{6BF5744F-453B-4222-9237-ADF4EAD4FDA1}">
  <cacheSource type="worksheet">
    <worksheetSource ref="D1:D5001" sheet="Sheet1"/>
  </cacheSource>
  <cacheFields count="1"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</r>
  <r>
    <x v="0"/>
  </r>
  <r>
    <x v="1"/>
  </r>
  <r>
    <x v="1"/>
  </r>
  <r>
    <x v="0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1"/>
  </r>
  <r>
    <x v="1"/>
  </r>
  <r>
    <x v="2"/>
  </r>
  <r>
    <x v="1"/>
  </r>
  <r>
    <x v="1"/>
  </r>
  <r>
    <x v="1"/>
  </r>
  <r>
    <x v="0"/>
  </r>
  <r>
    <x v="1"/>
  </r>
  <r>
    <x v="2"/>
  </r>
  <r>
    <x v="0"/>
  </r>
  <r>
    <x v="1"/>
  </r>
  <r>
    <x v="1"/>
  </r>
  <r>
    <x v="0"/>
  </r>
  <r>
    <x v="0"/>
  </r>
  <r>
    <x v="2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0"/>
  </r>
  <r>
    <x v="1"/>
  </r>
  <r>
    <x v="0"/>
  </r>
  <r>
    <x v="2"/>
  </r>
  <r>
    <x v="0"/>
  </r>
  <r>
    <x v="1"/>
  </r>
  <r>
    <x v="1"/>
  </r>
  <r>
    <x v="1"/>
  </r>
  <r>
    <x v="1"/>
  </r>
  <r>
    <x v="2"/>
  </r>
  <r>
    <x v="1"/>
  </r>
  <r>
    <x v="2"/>
  </r>
  <r>
    <x v="0"/>
  </r>
  <r>
    <x v="1"/>
  </r>
  <r>
    <x v="1"/>
  </r>
  <r>
    <x v="0"/>
  </r>
  <r>
    <x v="1"/>
  </r>
  <r>
    <x v="1"/>
  </r>
  <r>
    <x v="1"/>
  </r>
  <r>
    <x v="2"/>
  </r>
  <r>
    <x v="1"/>
  </r>
  <r>
    <x v="0"/>
  </r>
  <r>
    <x v="0"/>
  </r>
  <r>
    <x v="1"/>
  </r>
  <r>
    <x v="0"/>
  </r>
  <r>
    <x v="0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0"/>
  </r>
  <r>
    <x v="1"/>
  </r>
  <r>
    <x v="1"/>
  </r>
  <r>
    <x v="2"/>
  </r>
  <r>
    <x v="2"/>
  </r>
  <r>
    <x v="1"/>
  </r>
  <r>
    <x v="0"/>
  </r>
  <r>
    <x v="0"/>
  </r>
  <r>
    <x v="1"/>
  </r>
  <r>
    <x v="1"/>
  </r>
  <r>
    <x v="0"/>
  </r>
  <r>
    <x v="1"/>
  </r>
  <r>
    <x v="0"/>
  </r>
  <r>
    <x v="2"/>
  </r>
  <r>
    <x v="0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2"/>
  </r>
  <r>
    <x v="0"/>
  </r>
  <r>
    <x v="1"/>
  </r>
  <r>
    <x v="0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2"/>
  </r>
  <r>
    <x v="1"/>
  </r>
  <r>
    <x v="2"/>
  </r>
  <r>
    <x v="0"/>
  </r>
  <r>
    <x v="2"/>
  </r>
  <r>
    <x v="2"/>
  </r>
  <r>
    <x v="0"/>
  </r>
  <r>
    <x v="0"/>
  </r>
  <r>
    <x v="1"/>
  </r>
  <r>
    <x v="2"/>
  </r>
  <r>
    <x v="0"/>
  </r>
  <r>
    <x v="1"/>
  </r>
  <r>
    <x v="0"/>
  </r>
  <r>
    <x v="1"/>
  </r>
  <r>
    <x v="1"/>
  </r>
  <r>
    <x v="2"/>
  </r>
  <r>
    <x v="1"/>
  </r>
  <r>
    <x v="2"/>
  </r>
  <r>
    <x v="1"/>
  </r>
  <r>
    <x v="0"/>
  </r>
  <r>
    <x v="1"/>
  </r>
  <r>
    <x v="1"/>
  </r>
  <r>
    <x v="2"/>
  </r>
  <r>
    <x v="2"/>
  </r>
  <r>
    <x v="0"/>
  </r>
  <r>
    <x v="0"/>
  </r>
  <r>
    <x v="0"/>
  </r>
  <r>
    <x v="2"/>
  </r>
  <r>
    <x v="2"/>
  </r>
  <r>
    <x v="2"/>
  </r>
  <r>
    <x v="1"/>
  </r>
  <r>
    <x v="1"/>
  </r>
  <r>
    <x v="1"/>
  </r>
  <r>
    <x v="0"/>
  </r>
  <r>
    <x v="1"/>
  </r>
  <r>
    <x v="0"/>
  </r>
  <r>
    <x v="0"/>
  </r>
  <r>
    <x v="2"/>
  </r>
  <r>
    <x v="2"/>
  </r>
  <r>
    <x v="1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2"/>
  </r>
  <r>
    <x v="1"/>
  </r>
  <r>
    <x v="0"/>
  </r>
  <r>
    <x v="1"/>
  </r>
  <r>
    <x v="2"/>
  </r>
  <r>
    <x v="0"/>
  </r>
  <r>
    <x v="1"/>
  </r>
  <r>
    <x v="1"/>
  </r>
  <r>
    <x v="0"/>
  </r>
  <r>
    <x v="1"/>
  </r>
  <r>
    <x v="2"/>
  </r>
  <r>
    <x v="1"/>
  </r>
  <r>
    <x v="2"/>
  </r>
  <r>
    <x v="0"/>
  </r>
  <r>
    <x v="0"/>
  </r>
  <r>
    <x v="2"/>
  </r>
  <r>
    <x v="1"/>
  </r>
  <r>
    <x v="1"/>
  </r>
  <r>
    <x v="2"/>
  </r>
  <r>
    <x v="1"/>
  </r>
  <r>
    <x v="2"/>
  </r>
  <r>
    <x v="0"/>
  </r>
  <r>
    <x v="0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1"/>
  </r>
  <r>
    <x v="2"/>
  </r>
  <r>
    <x v="1"/>
  </r>
  <r>
    <x v="1"/>
  </r>
  <r>
    <x v="2"/>
  </r>
  <r>
    <x v="2"/>
  </r>
  <r>
    <x v="0"/>
  </r>
  <r>
    <x v="2"/>
  </r>
  <r>
    <x v="1"/>
  </r>
  <r>
    <x v="0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2"/>
  </r>
  <r>
    <x v="1"/>
  </r>
  <r>
    <x v="1"/>
  </r>
  <r>
    <x v="1"/>
  </r>
  <r>
    <x v="2"/>
  </r>
  <r>
    <x v="1"/>
  </r>
  <r>
    <x v="2"/>
  </r>
  <r>
    <x v="1"/>
  </r>
  <r>
    <x v="2"/>
  </r>
  <r>
    <x v="2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2"/>
  </r>
  <r>
    <x v="1"/>
  </r>
  <r>
    <x v="0"/>
  </r>
  <r>
    <x v="1"/>
  </r>
  <r>
    <x v="1"/>
  </r>
  <r>
    <x v="0"/>
  </r>
  <r>
    <x v="1"/>
  </r>
  <r>
    <x v="2"/>
  </r>
  <r>
    <x v="2"/>
  </r>
  <r>
    <x v="2"/>
  </r>
  <r>
    <x v="0"/>
  </r>
  <r>
    <x v="2"/>
  </r>
  <r>
    <x v="2"/>
  </r>
  <r>
    <x v="2"/>
  </r>
  <r>
    <x v="0"/>
  </r>
  <r>
    <x v="2"/>
  </r>
  <r>
    <x v="2"/>
  </r>
  <r>
    <x v="2"/>
  </r>
  <r>
    <x v="0"/>
  </r>
  <r>
    <x v="2"/>
  </r>
  <r>
    <x v="2"/>
  </r>
  <r>
    <x v="1"/>
  </r>
  <r>
    <x v="1"/>
  </r>
  <r>
    <x v="2"/>
  </r>
  <r>
    <x v="1"/>
  </r>
  <r>
    <x v="1"/>
  </r>
  <r>
    <x v="1"/>
  </r>
  <r>
    <x v="2"/>
  </r>
  <r>
    <x v="0"/>
  </r>
  <r>
    <x v="1"/>
  </r>
  <r>
    <x v="1"/>
  </r>
  <r>
    <x v="2"/>
  </r>
  <r>
    <x v="1"/>
  </r>
  <r>
    <x v="2"/>
  </r>
  <r>
    <x v="2"/>
  </r>
  <r>
    <x v="0"/>
  </r>
  <r>
    <x v="1"/>
  </r>
  <r>
    <x v="0"/>
  </r>
  <r>
    <x v="1"/>
  </r>
  <r>
    <x v="1"/>
  </r>
  <r>
    <x v="2"/>
  </r>
  <r>
    <x v="2"/>
  </r>
  <r>
    <x v="0"/>
  </r>
  <r>
    <x v="0"/>
  </r>
  <r>
    <x v="1"/>
  </r>
  <r>
    <x v="1"/>
  </r>
  <r>
    <x v="0"/>
  </r>
  <r>
    <x v="2"/>
  </r>
  <r>
    <x v="2"/>
  </r>
  <r>
    <x v="1"/>
  </r>
  <r>
    <x v="2"/>
  </r>
  <r>
    <x v="1"/>
  </r>
  <r>
    <x v="2"/>
  </r>
  <r>
    <x v="1"/>
  </r>
  <r>
    <x v="0"/>
  </r>
  <r>
    <x v="2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0"/>
  </r>
  <r>
    <x v="1"/>
  </r>
  <r>
    <x v="0"/>
  </r>
  <r>
    <x v="1"/>
  </r>
  <r>
    <x v="0"/>
  </r>
  <r>
    <x v="1"/>
  </r>
  <r>
    <x v="2"/>
  </r>
  <r>
    <x v="1"/>
  </r>
  <r>
    <x v="0"/>
  </r>
  <r>
    <x v="0"/>
  </r>
  <r>
    <x v="2"/>
  </r>
  <r>
    <x v="0"/>
  </r>
  <r>
    <x v="1"/>
  </r>
  <r>
    <x v="1"/>
  </r>
  <r>
    <x v="1"/>
  </r>
  <r>
    <x v="1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1"/>
  </r>
  <r>
    <x v="0"/>
  </r>
  <r>
    <x v="1"/>
  </r>
  <r>
    <x v="0"/>
  </r>
  <r>
    <x v="0"/>
  </r>
  <r>
    <x v="1"/>
  </r>
  <r>
    <x v="2"/>
  </r>
  <r>
    <x v="2"/>
  </r>
  <r>
    <x v="0"/>
  </r>
  <r>
    <x v="2"/>
  </r>
  <r>
    <x v="2"/>
  </r>
  <r>
    <x v="1"/>
  </r>
  <r>
    <x v="2"/>
  </r>
  <r>
    <x v="1"/>
  </r>
  <r>
    <x v="0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1"/>
  </r>
  <r>
    <x v="2"/>
  </r>
  <r>
    <x v="1"/>
  </r>
  <r>
    <x v="2"/>
  </r>
  <r>
    <x v="0"/>
  </r>
  <r>
    <x v="0"/>
  </r>
  <r>
    <x v="2"/>
  </r>
  <r>
    <x v="0"/>
  </r>
  <r>
    <x v="1"/>
  </r>
  <r>
    <x v="0"/>
  </r>
  <r>
    <x v="1"/>
  </r>
  <r>
    <x v="2"/>
  </r>
  <r>
    <x v="1"/>
  </r>
  <r>
    <x v="1"/>
  </r>
  <r>
    <x v="0"/>
  </r>
  <r>
    <x v="2"/>
  </r>
  <r>
    <x v="1"/>
  </r>
  <r>
    <x v="1"/>
  </r>
  <r>
    <x v="2"/>
  </r>
  <r>
    <x v="0"/>
  </r>
  <r>
    <x v="2"/>
  </r>
  <r>
    <x v="1"/>
  </r>
  <r>
    <x v="1"/>
  </r>
  <r>
    <x v="0"/>
  </r>
  <r>
    <x v="2"/>
  </r>
  <r>
    <x v="2"/>
  </r>
  <r>
    <x v="0"/>
  </r>
  <r>
    <x v="1"/>
  </r>
  <r>
    <x v="2"/>
  </r>
  <r>
    <x v="1"/>
  </r>
  <r>
    <x v="2"/>
  </r>
  <r>
    <x v="1"/>
  </r>
  <r>
    <x v="2"/>
  </r>
  <r>
    <x v="1"/>
  </r>
  <r>
    <x v="0"/>
  </r>
  <r>
    <x v="1"/>
  </r>
  <r>
    <x v="2"/>
  </r>
  <r>
    <x v="1"/>
  </r>
  <r>
    <x v="1"/>
  </r>
  <r>
    <x v="1"/>
  </r>
  <r>
    <x v="1"/>
  </r>
  <r>
    <x v="2"/>
  </r>
  <r>
    <x v="2"/>
  </r>
  <r>
    <x v="0"/>
  </r>
  <r>
    <x v="2"/>
  </r>
  <r>
    <x v="2"/>
  </r>
  <r>
    <x v="2"/>
  </r>
  <r>
    <x v="1"/>
  </r>
  <r>
    <x v="2"/>
  </r>
  <r>
    <x v="0"/>
  </r>
  <r>
    <x v="1"/>
  </r>
  <r>
    <x v="2"/>
  </r>
  <r>
    <x v="0"/>
  </r>
  <r>
    <x v="0"/>
  </r>
  <r>
    <x v="2"/>
  </r>
  <r>
    <x v="2"/>
  </r>
  <r>
    <x v="0"/>
  </r>
  <r>
    <x v="2"/>
  </r>
  <r>
    <x v="1"/>
  </r>
  <r>
    <x v="1"/>
  </r>
  <r>
    <x v="2"/>
  </r>
  <r>
    <x v="1"/>
  </r>
  <r>
    <x v="0"/>
  </r>
  <r>
    <x v="0"/>
  </r>
  <r>
    <x v="1"/>
  </r>
  <r>
    <x v="1"/>
  </r>
  <r>
    <x v="2"/>
  </r>
  <r>
    <x v="2"/>
  </r>
  <r>
    <x v="1"/>
  </r>
  <r>
    <x v="2"/>
  </r>
  <r>
    <x v="0"/>
  </r>
  <r>
    <x v="0"/>
  </r>
  <r>
    <x v="2"/>
  </r>
  <r>
    <x v="0"/>
  </r>
  <r>
    <x v="0"/>
  </r>
  <r>
    <x v="1"/>
  </r>
  <r>
    <x v="1"/>
  </r>
  <r>
    <x v="2"/>
  </r>
  <r>
    <x v="0"/>
  </r>
  <r>
    <x v="0"/>
  </r>
  <r>
    <x v="1"/>
  </r>
  <r>
    <x v="1"/>
  </r>
  <r>
    <x v="1"/>
  </r>
  <r>
    <x v="1"/>
  </r>
  <r>
    <x v="2"/>
  </r>
  <r>
    <x v="2"/>
  </r>
  <r>
    <x v="0"/>
  </r>
  <r>
    <x v="1"/>
  </r>
  <r>
    <x v="1"/>
  </r>
  <r>
    <x v="2"/>
  </r>
  <r>
    <x v="2"/>
  </r>
  <r>
    <x v="0"/>
  </r>
  <r>
    <x v="2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2"/>
  </r>
  <r>
    <x v="0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2"/>
  </r>
  <r>
    <x v="2"/>
  </r>
  <r>
    <x v="0"/>
  </r>
  <r>
    <x v="2"/>
  </r>
  <r>
    <x v="1"/>
  </r>
  <r>
    <x v="2"/>
  </r>
  <r>
    <x v="2"/>
  </r>
  <r>
    <x v="0"/>
  </r>
  <r>
    <x v="2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2"/>
  </r>
  <r>
    <x v="0"/>
  </r>
  <r>
    <x v="1"/>
  </r>
  <r>
    <x v="2"/>
  </r>
  <r>
    <x v="1"/>
  </r>
  <r>
    <x v="1"/>
  </r>
  <r>
    <x v="1"/>
  </r>
  <r>
    <x v="0"/>
  </r>
  <r>
    <x v="2"/>
  </r>
  <r>
    <x v="1"/>
  </r>
  <r>
    <x v="2"/>
  </r>
  <r>
    <x v="2"/>
  </r>
  <r>
    <x v="2"/>
  </r>
  <r>
    <x v="2"/>
  </r>
  <r>
    <x v="1"/>
  </r>
  <r>
    <x v="1"/>
  </r>
  <r>
    <x v="1"/>
  </r>
  <r>
    <x v="1"/>
  </r>
  <r>
    <x v="2"/>
  </r>
  <r>
    <x v="0"/>
  </r>
  <r>
    <x v="2"/>
  </r>
  <r>
    <x v="2"/>
  </r>
  <r>
    <x v="2"/>
  </r>
  <r>
    <x v="2"/>
  </r>
  <r>
    <x v="0"/>
  </r>
  <r>
    <x v="0"/>
  </r>
  <r>
    <x v="0"/>
  </r>
  <r>
    <x v="0"/>
  </r>
  <r>
    <x v="1"/>
  </r>
  <r>
    <x v="2"/>
  </r>
  <r>
    <x v="2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2"/>
  </r>
  <r>
    <x v="0"/>
  </r>
  <r>
    <x v="1"/>
  </r>
  <r>
    <x v="2"/>
  </r>
  <r>
    <x v="1"/>
  </r>
  <r>
    <x v="2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2"/>
  </r>
  <r>
    <x v="0"/>
  </r>
  <r>
    <x v="2"/>
  </r>
  <r>
    <x v="2"/>
  </r>
  <r>
    <x v="0"/>
  </r>
  <r>
    <x v="2"/>
  </r>
  <r>
    <x v="1"/>
  </r>
  <r>
    <x v="2"/>
  </r>
  <r>
    <x v="1"/>
  </r>
  <r>
    <x v="1"/>
  </r>
  <r>
    <x v="1"/>
  </r>
  <r>
    <x v="2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2"/>
  </r>
  <r>
    <x v="2"/>
  </r>
  <r>
    <x v="1"/>
  </r>
  <r>
    <x v="1"/>
  </r>
  <r>
    <x v="2"/>
  </r>
  <r>
    <x v="0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2"/>
  </r>
  <r>
    <x v="1"/>
  </r>
  <r>
    <x v="2"/>
  </r>
  <r>
    <x v="1"/>
  </r>
  <r>
    <x v="0"/>
  </r>
  <r>
    <x v="0"/>
  </r>
  <r>
    <x v="0"/>
  </r>
  <r>
    <x v="1"/>
  </r>
  <r>
    <x v="1"/>
  </r>
  <r>
    <x v="2"/>
  </r>
  <r>
    <x v="2"/>
  </r>
  <r>
    <x v="0"/>
  </r>
  <r>
    <x v="0"/>
  </r>
  <r>
    <x v="0"/>
  </r>
  <r>
    <x v="1"/>
  </r>
  <r>
    <x v="0"/>
  </r>
  <r>
    <x v="0"/>
  </r>
  <r>
    <x v="2"/>
  </r>
  <r>
    <x v="2"/>
  </r>
  <r>
    <x v="0"/>
  </r>
  <r>
    <x v="1"/>
  </r>
  <r>
    <x v="1"/>
  </r>
  <r>
    <x v="2"/>
  </r>
  <r>
    <x v="1"/>
  </r>
  <r>
    <x v="0"/>
  </r>
  <r>
    <x v="2"/>
  </r>
  <r>
    <x v="1"/>
  </r>
  <r>
    <x v="0"/>
  </r>
  <r>
    <x v="1"/>
  </r>
  <r>
    <x v="1"/>
  </r>
  <r>
    <x v="1"/>
  </r>
  <r>
    <x v="0"/>
  </r>
  <r>
    <x v="1"/>
  </r>
  <r>
    <x v="0"/>
  </r>
  <r>
    <x v="2"/>
  </r>
  <r>
    <x v="0"/>
  </r>
  <r>
    <x v="0"/>
  </r>
  <r>
    <x v="1"/>
  </r>
  <r>
    <x v="2"/>
  </r>
  <r>
    <x v="2"/>
  </r>
  <r>
    <x v="1"/>
  </r>
  <r>
    <x v="0"/>
  </r>
  <r>
    <x v="2"/>
  </r>
  <r>
    <x v="1"/>
  </r>
  <r>
    <x v="0"/>
  </r>
  <r>
    <x v="2"/>
  </r>
  <r>
    <x v="0"/>
  </r>
  <r>
    <x v="2"/>
  </r>
  <r>
    <x v="2"/>
  </r>
  <r>
    <x v="1"/>
  </r>
  <r>
    <x v="2"/>
  </r>
  <r>
    <x v="2"/>
  </r>
  <r>
    <x v="0"/>
  </r>
  <r>
    <x v="1"/>
  </r>
  <r>
    <x v="0"/>
  </r>
  <r>
    <x v="1"/>
  </r>
  <r>
    <x v="2"/>
  </r>
  <r>
    <x v="1"/>
  </r>
  <r>
    <x v="1"/>
  </r>
  <r>
    <x v="1"/>
  </r>
  <r>
    <x v="2"/>
  </r>
  <r>
    <x v="0"/>
  </r>
  <r>
    <x v="1"/>
  </r>
  <r>
    <x v="0"/>
  </r>
  <r>
    <x v="1"/>
  </r>
  <r>
    <x v="0"/>
  </r>
  <r>
    <x v="1"/>
  </r>
  <r>
    <x v="0"/>
  </r>
  <r>
    <x v="0"/>
  </r>
  <r>
    <x v="2"/>
  </r>
  <r>
    <x v="0"/>
  </r>
  <r>
    <x v="1"/>
  </r>
  <r>
    <x v="0"/>
  </r>
  <r>
    <x v="1"/>
  </r>
  <r>
    <x v="1"/>
  </r>
  <r>
    <x v="1"/>
  </r>
  <r>
    <x v="0"/>
  </r>
  <r>
    <x v="1"/>
  </r>
  <r>
    <x v="1"/>
  </r>
  <r>
    <x v="2"/>
  </r>
  <r>
    <x v="1"/>
  </r>
  <r>
    <x v="1"/>
  </r>
  <r>
    <x v="0"/>
  </r>
  <r>
    <x v="0"/>
  </r>
  <r>
    <x v="0"/>
  </r>
  <r>
    <x v="0"/>
  </r>
  <r>
    <x v="0"/>
  </r>
  <r>
    <x v="1"/>
  </r>
  <r>
    <x v="1"/>
  </r>
  <r>
    <x v="2"/>
  </r>
  <r>
    <x v="0"/>
  </r>
  <r>
    <x v="1"/>
  </r>
  <r>
    <x v="2"/>
  </r>
  <r>
    <x v="1"/>
  </r>
  <r>
    <x v="0"/>
  </r>
  <r>
    <x v="0"/>
  </r>
  <r>
    <x v="0"/>
  </r>
  <r>
    <x v="1"/>
  </r>
  <r>
    <x v="2"/>
  </r>
  <r>
    <x v="0"/>
  </r>
  <r>
    <x v="0"/>
  </r>
  <r>
    <x v="2"/>
  </r>
  <r>
    <x v="2"/>
  </r>
  <r>
    <x v="1"/>
  </r>
  <r>
    <x v="1"/>
  </r>
  <r>
    <x v="1"/>
  </r>
  <r>
    <x v="0"/>
  </r>
  <r>
    <x v="1"/>
  </r>
  <r>
    <x v="1"/>
  </r>
  <r>
    <x v="2"/>
  </r>
  <r>
    <x v="0"/>
  </r>
  <r>
    <x v="1"/>
  </r>
  <r>
    <x v="1"/>
  </r>
  <r>
    <x v="1"/>
  </r>
  <r>
    <x v="0"/>
  </r>
  <r>
    <x v="1"/>
  </r>
  <r>
    <x v="2"/>
  </r>
  <r>
    <x v="1"/>
  </r>
  <r>
    <x v="1"/>
  </r>
  <r>
    <x v="0"/>
  </r>
  <r>
    <x v="0"/>
  </r>
  <r>
    <x v="1"/>
  </r>
  <r>
    <x v="2"/>
  </r>
  <r>
    <x v="2"/>
  </r>
  <r>
    <x v="1"/>
  </r>
  <r>
    <x v="1"/>
  </r>
  <r>
    <x v="2"/>
  </r>
  <r>
    <x v="1"/>
  </r>
  <r>
    <x v="1"/>
  </r>
  <r>
    <x v="0"/>
  </r>
  <r>
    <x v="2"/>
  </r>
  <r>
    <x v="1"/>
  </r>
  <r>
    <x v="2"/>
  </r>
  <r>
    <x v="2"/>
  </r>
  <r>
    <x v="0"/>
  </r>
  <r>
    <x v="2"/>
  </r>
  <r>
    <x v="2"/>
  </r>
  <r>
    <x v="1"/>
  </r>
  <r>
    <x v="0"/>
  </r>
  <r>
    <x v="0"/>
  </r>
  <r>
    <x v="1"/>
  </r>
  <r>
    <x v="1"/>
  </r>
  <r>
    <x v="1"/>
  </r>
  <r>
    <x v="0"/>
  </r>
  <r>
    <x v="2"/>
  </r>
  <r>
    <x v="0"/>
  </r>
  <r>
    <x v="0"/>
  </r>
  <r>
    <x v="1"/>
  </r>
  <r>
    <x v="1"/>
  </r>
  <r>
    <x v="0"/>
  </r>
  <r>
    <x v="0"/>
  </r>
  <r>
    <x v="0"/>
  </r>
  <r>
    <x v="2"/>
  </r>
  <r>
    <x v="2"/>
  </r>
  <r>
    <x v="1"/>
  </r>
  <r>
    <x v="2"/>
  </r>
  <r>
    <x v="2"/>
  </r>
  <r>
    <x v="0"/>
  </r>
  <r>
    <x v="2"/>
  </r>
  <r>
    <x v="2"/>
  </r>
  <r>
    <x v="0"/>
  </r>
  <r>
    <x v="0"/>
  </r>
  <r>
    <x v="0"/>
  </r>
  <r>
    <x v="0"/>
  </r>
  <r>
    <x v="2"/>
  </r>
  <r>
    <x v="1"/>
  </r>
  <r>
    <x v="2"/>
  </r>
  <r>
    <x v="2"/>
  </r>
  <r>
    <x v="1"/>
  </r>
  <r>
    <x v="1"/>
  </r>
  <r>
    <x v="0"/>
  </r>
  <r>
    <x v="1"/>
  </r>
  <r>
    <x v="1"/>
  </r>
  <r>
    <x v="0"/>
  </r>
  <r>
    <x v="0"/>
  </r>
  <r>
    <x v="2"/>
  </r>
  <r>
    <x v="1"/>
  </r>
  <r>
    <x v="0"/>
  </r>
  <r>
    <x v="1"/>
  </r>
  <r>
    <x v="2"/>
  </r>
  <r>
    <x v="1"/>
  </r>
  <r>
    <x v="0"/>
  </r>
  <r>
    <x v="2"/>
  </r>
  <r>
    <x v="1"/>
  </r>
  <r>
    <x v="0"/>
  </r>
  <r>
    <x v="1"/>
  </r>
  <r>
    <x v="2"/>
  </r>
  <r>
    <x v="0"/>
  </r>
  <r>
    <x v="0"/>
  </r>
  <r>
    <x v="0"/>
  </r>
  <r>
    <x v="2"/>
  </r>
  <r>
    <x v="0"/>
  </r>
  <r>
    <x v="1"/>
  </r>
  <r>
    <x v="2"/>
  </r>
  <r>
    <x v="0"/>
  </r>
  <r>
    <x v="2"/>
  </r>
  <r>
    <x v="2"/>
  </r>
  <r>
    <x v="2"/>
  </r>
  <r>
    <x v="0"/>
  </r>
  <r>
    <x v="1"/>
  </r>
  <r>
    <x v="2"/>
  </r>
  <r>
    <x v="2"/>
  </r>
  <r>
    <x v="0"/>
  </r>
  <r>
    <x v="2"/>
  </r>
  <r>
    <x v="1"/>
  </r>
  <r>
    <x v="0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2"/>
  </r>
  <r>
    <x v="1"/>
  </r>
  <r>
    <x v="1"/>
  </r>
  <r>
    <x v="2"/>
  </r>
  <r>
    <x v="2"/>
  </r>
  <r>
    <x v="0"/>
  </r>
  <r>
    <x v="0"/>
  </r>
  <r>
    <x v="1"/>
  </r>
  <r>
    <x v="1"/>
  </r>
  <r>
    <x v="2"/>
  </r>
  <r>
    <x v="2"/>
  </r>
  <r>
    <x v="1"/>
  </r>
  <r>
    <x v="2"/>
  </r>
  <r>
    <x v="1"/>
  </r>
  <r>
    <x v="0"/>
  </r>
  <r>
    <x v="2"/>
  </r>
  <r>
    <x v="0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2"/>
  </r>
  <r>
    <x v="1"/>
  </r>
  <r>
    <x v="1"/>
  </r>
  <r>
    <x v="2"/>
  </r>
  <r>
    <x v="1"/>
  </r>
  <r>
    <x v="1"/>
  </r>
  <r>
    <x v="2"/>
  </r>
  <r>
    <x v="0"/>
  </r>
  <r>
    <x v="2"/>
  </r>
  <r>
    <x v="0"/>
  </r>
  <r>
    <x v="0"/>
  </r>
  <r>
    <x v="2"/>
  </r>
  <r>
    <x v="0"/>
  </r>
  <r>
    <x v="2"/>
  </r>
  <r>
    <x v="2"/>
  </r>
  <r>
    <x v="2"/>
  </r>
  <r>
    <x v="2"/>
  </r>
  <r>
    <x v="0"/>
  </r>
  <r>
    <x v="2"/>
  </r>
  <r>
    <x v="0"/>
  </r>
  <r>
    <x v="1"/>
  </r>
  <r>
    <x v="2"/>
  </r>
  <r>
    <x v="1"/>
  </r>
  <r>
    <x v="1"/>
  </r>
  <r>
    <x v="1"/>
  </r>
  <r>
    <x v="1"/>
  </r>
  <r>
    <x v="2"/>
  </r>
  <r>
    <x v="0"/>
  </r>
  <r>
    <x v="1"/>
  </r>
  <r>
    <x v="2"/>
  </r>
  <r>
    <x v="1"/>
  </r>
  <r>
    <x v="0"/>
  </r>
  <r>
    <x v="1"/>
  </r>
  <r>
    <x v="1"/>
  </r>
  <r>
    <x v="0"/>
  </r>
  <r>
    <x v="2"/>
  </r>
  <r>
    <x v="1"/>
  </r>
  <r>
    <x v="2"/>
  </r>
  <r>
    <x v="2"/>
  </r>
  <r>
    <x v="1"/>
  </r>
  <r>
    <x v="0"/>
  </r>
  <r>
    <x v="1"/>
  </r>
  <r>
    <x v="0"/>
  </r>
  <r>
    <x v="2"/>
  </r>
  <r>
    <x v="0"/>
  </r>
  <r>
    <x v="0"/>
  </r>
  <r>
    <x v="1"/>
  </r>
  <r>
    <x v="0"/>
  </r>
  <r>
    <x v="0"/>
  </r>
  <r>
    <x v="1"/>
  </r>
  <r>
    <x v="0"/>
  </r>
  <r>
    <x v="0"/>
  </r>
  <r>
    <x v="1"/>
  </r>
  <r>
    <x v="2"/>
  </r>
  <r>
    <x v="1"/>
  </r>
  <r>
    <x v="1"/>
  </r>
  <r>
    <x v="1"/>
  </r>
  <r>
    <x v="1"/>
  </r>
  <r>
    <x v="2"/>
  </r>
  <r>
    <x v="0"/>
  </r>
  <r>
    <x v="1"/>
  </r>
  <r>
    <x v="2"/>
  </r>
  <r>
    <x v="2"/>
  </r>
  <r>
    <x v="0"/>
  </r>
  <r>
    <x v="0"/>
  </r>
  <r>
    <x v="2"/>
  </r>
  <r>
    <x v="0"/>
  </r>
  <r>
    <x v="2"/>
  </r>
  <r>
    <x v="2"/>
  </r>
  <r>
    <x v="2"/>
  </r>
  <r>
    <x v="0"/>
  </r>
  <r>
    <x v="2"/>
  </r>
  <r>
    <x v="1"/>
  </r>
  <r>
    <x v="2"/>
  </r>
  <r>
    <x v="0"/>
  </r>
  <r>
    <x v="0"/>
  </r>
  <r>
    <x v="1"/>
  </r>
  <r>
    <x v="0"/>
  </r>
  <r>
    <x v="1"/>
  </r>
  <r>
    <x v="2"/>
  </r>
  <r>
    <x v="1"/>
  </r>
  <r>
    <x v="2"/>
  </r>
  <r>
    <x v="0"/>
  </r>
  <r>
    <x v="0"/>
  </r>
  <r>
    <x v="0"/>
  </r>
  <r>
    <x v="1"/>
  </r>
  <r>
    <x v="2"/>
  </r>
  <r>
    <x v="0"/>
  </r>
  <r>
    <x v="1"/>
  </r>
  <r>
    <x v="1"/>
  </r>
  <r>
    <x v="2"/>
  </r>
  <r>
    <x v="0"/>
  </r>
  <r>
    <x v="0"/>
  </r>
  <r>
    <x v="0"/>
  </r>
  <r>
    <x v="1"/>
  </r>
  <r>
    <x v="0"/>
  </r>
  <r>
    <x v="2"/>
  </r>
  <r>
    <x v="1"/>
  </r>
  <r>
    <x v="1"/>
  </r>
  <r>
    <x v="1"/>
  </r>
  <r>
    <x v="0"/>
  </r>
  <r>
    <x v="1"/>
  </r>
  <r>
    <x v="2"/>
  </r>
  <r>
    <x v="2"/>
  </r>
  <r>
    <x v="2"/>
  </r>
  <r>
    <x v="2"/>
  </r>
  <r>
    <x v="0"/>
  </r>
  <r>
    <x v="0"/>
  </r>
  <r>
    <x v="0"/>
  </r>
  <r>
    <x v="1"/>
  </r>
  <r>
    <x v="0"/>
  </r>
  <r>
    <x v="1"/>
  </r>
  <r>
    <x v="1"/>
  </r>
  <r>
    <x v="2"/>
  </r>
  <r>
    <x v="2"/>
  </r>
  <r>
    <x v="2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2"/>
  </r>
  <r>
    <x v="2"/>
  </r>
  <r>
    <x v="1"/>
  </r>
  <r>
    <x v="0"/>
  </r>
  <r>
    <x v="1"/>
  </r>
  <r>
    <x v="1"/>
  </r>
  <r>
    <x v="1"/>
  </r>
  <r>
    <x v="1"/>
  </r>
  <r>
    <x v="1"/>
  </r>
  <r>
    <x v="1"/>
  </r>
  <r>
    <x v="2"/>
  </r>
  <r>
    <x v="0"/>
  </r>
  <r>
    <x v="2"/>
  </r>
  <r>
    <x v="0"/>
  </r>
  <r>
    <x v="0"/>
  </r>
  <r>
    <x v="2"/>
  </r>
  <r>
    <x v="2"/>
  </r>
  <r>
    <x v="0"/>
  </r>
  <r>
    <x v="1"/>
  </r>
  <r>
    <x v="0"/>
  </r>
  <r>
    <x v="1"/>
  </r>
  <r>
    <x v="2"/>
  </r>
  <r>
    <x v="2"/>
  </r>
  <r>
    <x v="1"/>
  </r>
  <r>
    <x v="1"/>
  </r>
  <r>
    <x v="1"/>
  </r>
  <r>
    <x v="1"/>
  </r>
  <r>
    <x v="2"/>
  </r>
  <r>
    <x v="2"/>
  </r>
  <r>
    <x v="1"/>
  </r>
  <r>
    <x v="1"/>
  </r>
  <r>
    <x v="0"/>
  </r>
  <r>
    <x v="0"/>
  </r>
  <r>
    <x v="2"/>
  </r>
  <r>
    <x v="1"/>
  </r>
  <r>
    <x v="1"/>
  </r>
  <r>
    <x v="1"/>
  </r>
  <r>
    <x v="2"/>
  </r>
  <r>
    <x v="0"/>
  </r>
  <r>
    <x v="2"/>
  </r>
  <r>
    <x v="2"/>
  </r>
  <r>
    <x v="2"/>
  </r>
  <r>
    <x v="1"/>
  </r>
  <r>
    <x v="0"/>
  </r>
  <r>
    <x v="1"/>
  </r>
  <r>
    <x v="1"/>
  </r>
  <r>
    <x v="0"/>
  </r>
  <r>
    <x v="1"/>
  </r>
  <r>
    <x v="1"/>
  </r>
  <r>
    <x v="2"/>
  </r>
  <r>
    <x v="0"/>
  </r>
  <r>
    <x v="1"/>
  </r>
  <r>
    <x v="2"/>
  </r>
  <r>
    <x v="2"/>
  </r>
  <r>
    <x v="2"/>
  </r>
  <r>
    <x v="2"/>
  </r>
  <r>
    <x v="2"/>
  </r>
  <r>
    <x v="1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2"/>
  </r>
  <r>
    <x v="1"/>
  </r>
  <r>
    <x v="1"/>
  </r>
  <r>
    <x v="0"/>
  </r>
  <r>
    <x v="2"/>
  </r>
  <r>
    <x v="2"/>
  </r>
  <r>
    <x v="2"/>
  </r>
  <r>
    <x v="1"/>
  </r>
  <r>
    <x v="1"/>
  </r>
  <r>
    <x v="2"/>
  </r>
  <r>
    <x v="0"/>
  </r>
  <r>
    <x v="1"/>
  </r>
  <r>
    <x v="0"/>
  </r>
  <r>
    <x v="2"/>
  </r>
  <r>
    <x v="0"/>
  </r>
  <r>
    <x v="0"/>
  </r>
  <r>
    <x v="1"/>
  </r>
  <r>
    <x v="2"/>
  </r>
  <r>
    <x v="1"/>
  </r>
  <r>
    <x v="0"/>
  </r>
  <r>
    <x v="0"/>
  </r>
  <r>
    <x v="2"/>
  </r>
  <r>
    <x v="2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0"/>
  </r>
  <r>
    <x v="0"/>
  </r>
  <r>
    <x v="1"/>
  </r>
  <r>
    <x v="1"/>
  </r>
  <r>
    <x v="2"/>
  </r>
  <r>
    <x v="1"/>
  </r>
  <r>
    <x v="2"/>
  </r>
  <r>
    <x v="2"/>
  </r>
  <r>
    <x v="2"/>
  </r>
  <r>
    <x v="1"/>
  </r>
  <r>
    <x v="1"/>
  </r>
  <r>
    <x v="2"/>
  </r>
  <r>
    <x v="0"/>
  </r>
  <r>
    <x v="0"/>
  </r>
  <r>
    <x v="1"/>
  </r>
  <r>
    <x v="0"/>
  </r>
  <r>
    <x v="2"/>
  </r>
  <r>
    <x v="1"/>
  </r>
  <r>
    <x v="1"/>
  </r>
  <r>
    <x v="1"/>
  </r>
  <r>
    <x v="1"/>
  </r>
  <r>
    <x v="0"/>
  </r>
  <r>
    <x v="1"/>
  </r>
  <r>
    <x v="2"/>
  </r>
  <r>
    <x v="1"/>
  </r>
  <r>
    <x v="2"/>
  </r>
  <r>
    <x v="0"/>
  </r>
  <r>
    <x v="0"/>
  </r>
  <r>
    <x v="0"/>
  </r>
  <r>
    <x v="1"/>
  </r>
  <r>
    <x v="2"/>
  </r>
  <r>
    <x v="2"/>
  </r>
  <r>
    <x v="1"/>
  </r>
  <r>
    <x v="1"/>
  </r>
  <r>
    <x v="2"/>
  </r>
  <r>
    <x v="0"/>
  </r>
  <r>
    <x v="0"/>
  </r>
  <r>
    <x v="2"/>
  </r>
  <r>
    <x v="1"/>
  </r>
  <r>
    <x v="2"/>
  </r>
  <r>
    <x v="1"/>
  </r>
  <r>
    <x v="2"/>
  </r>
  <r>
    <x v="0"/>
  </r>
  <r>
    <x v="0"/>
  </r>
  <r>
    <x v="1"/>
  </r>
  <r>
    <x v="1"/>
  </r>
  <r>
    <x v="0"/>
  </r>
  <r>
    <x v="0"/>
  </r>
  <r>
    <x v="0"/>
  </r>
  <r>
    <x v="2"/>
  </r>
  <r>
    <x v="1"/>
  </r>
  <r>
    <x v="0"/>
  </r>
  <r>
    <x v="0"/>
  </r>
  <r>
    <x v="0"/>
  </r>
  <r>
    <x v="1"/>
  </r>
  <r>
    <x v="0"/>
  </r>
  <r>
    <x v="2"/>
  </r>
  <r>
    <x v="0"/>
  </r>
  <r>
    <x v="0"/>
  </r>
  <r>
    <x v="2"/>
  </r>
  <r>
    <x v="2"/>
  </r>
  <r>
    <x v="0"/>
  </r>
  <r>
    <x v="2"/>
  </r>
  <r>
    <x v="1"/>
  </r>
  <r>
    <x v="2"/>
  </r>
  <r>
    <x v="1"/>
  </r>
  <r>
    <x v="1"/>
  </r>
  <r>
    <x v="2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2"/>
  </r>
  <r>
    <x v="2"/>
  </r>
  <r>
    <x v="1"/>
  </r>
  <r>
    <x v="2"/>
  </r>
  <r>
    <x v="1"/>
  </r>
  <r>
    <x v="2"/>
  </r>
  <r>
    <x v="0"/>
  </r>
  <r>
    <x v="0"/>
  </r>
  <r>
    <x v="0"/>
  </r>
  <r>
    <x v="2"/>
  </r>
  <r>
    <x v="1"/>
  </r>
  <r>
    <x v="0"/>
  </r>
  <r>
    <x v="0"/>
  </r>
  <r>
    <x v="2"/>
  </r>
  <r>
    <x v="2"/>
  </r>
  <r>
    <x v="1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1"/>
  </r>
  <r>
    <x v="1"/>
  </r>
  <r>
    <x v="0"/>
  </r>
  <r>
    <x v="2"/>
  </r>
  <r>
    <x v="0"/>
  </r>
  <r>
    <x v="2"/>
  </r>
  <r>
    <x v="2"/>
  </r>
  <r>
    <x v="2"/>
  </r>
  <r>
    <x v="0"/>
  </r>
  <r>
    <x v="0"/>
  </r>
  <r>
    <x v="1"/>
  </r>
  <r>
    <x v="0"/>
  </r>
  <r>
    <x v="1"/>
  </r>
  <r>
    <x v="1"/>
  </r>
  <r>
    <x v="0"/>
  </r>
  <r>
    <x v="0"/>
  </r>
  <r>
    <x v="2"/>
  </r>
  <r>
    <x v="0"/>
  </r>
  <r>
    <x v="0"/>
  </r>
  <r>
    <x v="1"/>
  </r>
  <r>
    <x v="2"/>
  </r>
  <r>
    <x v="1"/>
  </r>
  <r>
    <x v="0"/>
  </r>
  <r>
    <x v="1"/>
  </r>
  <r>
    <x v="2"/>
  </r>
  <r>
    <x v="2"/>
  </r>
  <r>
    <x v="1"/>
  </r>
  <r>
    <x v="1"/>
  </r>
  <r>
    <x v="1"/>
  </r>
  <r>
    <x v="0"/>
  </r>
  <r>
    <x v="1"/>
  </r>
  <r>
    <x v="2"/>
  </r>
  <r>
    <x v="2"/>
  </r>
  <r>
    <x v="0"/>
  </r>
  <r>
    <x v="0"/>
  </r>
  <r>
    <x v="1"/>
  </r>
  <r>
    <x v="2"/>
  </r>
  <r>
    <x v="2"/>
  </r>
  <r>
    <x v="0"/>
  </r>
  <r>
    <x v="0"/>
  </r>
  <r>
    <x v="1"/>
  </r>
  <r>
    <x v="1"/>
  </r>
  <r>
    <x v="2"/>
  </r>
  <r>
    <x v="1"/>
  </r>
  <r>
    <x v="2"/>
  </r>
  <r>
    <x v="1"/>
  </r>
  <r>
    <x v="2"/>
  </r>
  <r>
    <x v="1"/>
  </r>
  <r>
    <x v="2"/>
  </r>
  <r>
    <x v="0"/>
  </r>
  <r>
    <x v="1"/>
  </r>
  <r>
    <x v="0"/>
  </r>
  <r>
    <x v="1"/>
  </r>
  <r>
    <x v="1"/>
  </r>
  <r>
    <x v="0"/>
  </r>
  <r>
    <x v="2"/>
  </r>
  <r>
    <x v="0"/>
  </r>
  <r>
    <x v="2"/>
  </r>
  <r>
    <x v="2"/>
  </r>
  <r>
    <x v="0"/>
  </r>
  <r>
    <x v="1"/>
  </r>
  <r>
    <x v="0"/>
  </r>
  <r>
    <x v="0"/>
  </r>
  <r>
    <x v="1"/>
  </r>
  <r>
    <x v="2"/>
  </r>
  <r>
    <x v="0"/>
  </r>
  <r>
    <x v="1"/>
  </r>
  <r>
    <x v="1"/>
  </r>
  <r>
    <x v="2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1"/>
  </r>
  <r>
    <x v="1"/>
  </r>
  <r>
    <x v="2"/>
  </r>
  <r>
    <x v="0"/>
  </r>
  <r>
    <x v="2"/>
  </r>
  <r>
    <x v="1"/>
  </r>
  <r>
    <x v="1"/>
  </r>
  <r>
    <x v="2"/>
  </r>
  <r>
    <x v="1"/>
  </r>
  <r>
    <x v="1"/>
  </r>
  <r>
    <x v="1"/>
  </r>
  <r>
    <x v="1"/>
  </r>
  <r>
    <x v="2"/>
  </r>
  <r>
    <x v="2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2"/>
  </r>
  <r>
    <x v="2"/>
  </r>
  <r>
    <x v="1"/>
  </r>
  <r>
    <x v="0"/>
  </r>
  <r>
    <x v="2"/>
  </r>
  <r>
    <x v="2"/>
  </r>
  <r>
    <x v="2"/>
  </r>
  <r>
    <x v="0"/>
  </r>
  <r>
    <x v="2"/>
  </r>
  <r>
    <x v="0"/>
  </r>
  <r>
    <x v="2"/>
  </r>
  <r>
    <x v="2"/>
  </r>
  <r>
    <x v="0"/>
  </r>
  <r>
    <x v="2"/>
  </r>
  <r>
    <x v="1"/>
  </r>
  <r>
    <x v="2"/>
  </r>
  <r>
    <x v="0"/>
  </r>
  <r>
    <x v="2"/>
  </r>
  <r>
    <x v="0"/>
  </r>
  <r>
    <x v="2"/>
  </r>
  <r>
    <x v="1"/>
  </r>
  <r>
    <x v="1"/>
  </r>
  <r>
    <x v="0"/>
  </r>
  <r>
    <x v="2"/>
  </r>
  <r>
    <x v="0"/>
  </r>
  <r>
    <x v="1"/>
  </r>
  <r>
    <x v="0"/>
  </r>
  <r>
    <x v="2"/>
  </r>
  <r>
    <x v="0"/>
  </r>
  <r>
    <x v="0"/>
  </r>
  <r>
    <x v="0"/>
  </r>
  <r>
    <x v="1"/>
  </r>
  <r>
    <x v="0"/>
  </r>
  <r>
    <x v="1"/>
  </r>
  <r>
    <x v="2"/>
  </r>
  <r>
    <x v="2"/>
  </r>
  <r>
    <x v="1"/>
  </r>
  <r>
    <x v="0"/>
  </r>
  <r>
    <x v="1"/>
  </r>
  <r>
    <x v="0"/>
  </r>
  <r>
    <x v="2"/>
  </r>
  <r>
    <x v="0"/>
  </r>
  <r>
    <x v="1"/>
  </r>
  <r>
    <x v="1"/>
  </r>
  <r>
    <x v="2"/>
  </r>
  <r>
    <x v="0"/>
  </r>
  <r>
    <x v="1"/>
  </r>
  <r>
    <x v="0"/>
  </r>
  <r>
    <x v="2"/>
  </r>
  <r>
    <x v="2"/>
  </r>
  <r>
    <x v="1"/>
  </r>
  <r>
    <x v="1"/>
  </r>
  <r>
    <x v="2"/>
  </r>
  <r>
    <x v="1"/>
  </r>
  <r>
    <x v="1"/>
  </r>
  <r>
    <x v="1"/>
  </r>
  <r>
    <x v="1"/>
  </r>
  <r>
    <x v="0"/>
  </r>
  <r>
    <x v="2"/>
  </r>
  <r>
    <x v="1"/>
  </r>
  <r>
    <x v="0"/>
  </r>
  <r>
    <x v="2"/>
  </r>
  <r>
    <x v="1"/>
  </r>
  <r>
    <x v="0"/>
  </r>
  <r>
    <x v="1"/>
  </r>
  <r>
    <x v="2"/>
  </r>
  <r>
    <x v="2"/>
  </r>
  <r>
    <x v="2"/>
  </r>
  <r>
    <x v="2"/>
  </r>
  <r>
    <x v="0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1"/>
  </r>
  <r>
    <x v="0"/>
  </r>
  <r>
    <x v="1"/>
  </r>
  <r>
    <x v="2"/>
  </r>
  <r>
    <x v="2"/>
  </r>
  <r>
    <x v="2"/>
  </r>
  <r>
    <x v="2"/>
  </r>
  <r>
    <x v="0"/>
  </r>
  <r>
    <x v="2"/>
  </r>
  <r>
    <x v="2"/>
  </r>
  <r>
    <x v="0"/>
  </r>
  <r>
    <x v="0"/>
  </r>
  <r>
    <x v="2"/>
  </r>
  <r>
    <x v="2"/>
  </r>
  <r>
    <x v="2"/>
  </r>
  <r>
    <x v="2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0"/>
  </r>
  <r>
    <x v="0"/>
  </r>
  <r>
    <x v="0"/>
  </r>
  <r>
    <x v="2"/>
  </r>
  <r>
    <x v="0"/>
  </r>
  <r>
    <x v="0"/>
  </r>
  <r>
    <x v="1"/>
  </r>
  <r>
    <x v="1"/>
  </r>
  <r>
    <x v="0"/>
  </r>
  <r>
    <x v="2"/>
  </r>
  <r>
    <x v="2"/>
  </r>
  <r>
    <x v="0"/>
  </r>
  <r>
    <x v="0"/>
  </r>
  <r>
    <x v="2"/>
  </r>
  <r>
    <x v="2"/>
  </r>
  <r>
    <x v="1"/>
  </r>
  <r>
    <x v="0"/>
  </r>
  <r>
    <x v="1"/>
  </r>
  <r>
    <x v="1"/>
  </r>
  <r>
    <x v="0"/>
  </r>
  <r>
    <x v="1"/>
  </r>
  <r>
    <x v="1"/>
  </r>
  <r>
    <x v="1"/>
  </r>
  <r>
    <x v="2"/>
  </r>
  <r>
    <x v="2"/>
  </r>
  <r>
    <x v="1"/>
  </r>
  <r>
    <x v="2"/>
  </r>
  <r>
    <x v="0"/>
  </r>
  <r>
    <x v="2"/>
  </r>
  <r>
    <x v="0"/>
  </r>
  <r>
    <x v="0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2"/>
  </r>
  <r>
    <x v="2"/>
  </r>
  <r>
    <x v="0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1"/>
  </r>
  <r>
    <x v="0"/>
  </r>
  <r>
    <x v="1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2"/>
  </r>
  <r>
    <x v="1"/>
  </r>
  <r>
    <x v="1"/>
  </r>
  <r>
    <x v="2"/>
  </r>
  <r>
    <x v="2"/>
  </r>
  <r>
    <x v="0"/>
  </r>
  <r>
    <x v="2"/>
  </r>
  <r>
    <x v="1"/>
  </r>
  <r>
    <x v="0"/>
  </r>
  <r>
    <x v="0"/>
  </r>
  <r>
    <x v="1"/>
  </r>
  <r>
    <x v="1"/>
  </r>
  <r>
    <x v="0"/>
  </r>
  <r>
    <x v="1"/>
  </r>
  <r>
    <x v="2"/>
  </r>
  <r>
    <x v="0"/>
  </r>
  <r>
    <x v="0"/>
  </r>
  <r>
    <x v="2"/>
  </r>
  <r>
    <x v="0"/>
  </r>
  <r>
    <x v="2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2"/>
  </r>
  <r>
    <x v="1"/>
  </r>
  <r>
    <x v="2"/>
  </r>
  <r>
    <x v="1"/>
  </r>
  <r>
    <x v="1"/>
  </r>
  <r>
    <x v="1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2"/>
  </r>
  <r>
    <x v="1"/>
  </r>
  <r>
    <x v="0"/>
  </r>
  <r>
    <x v="2"/>
  </r>
  <r>
    <x v="0"/>
  </r>
  <r>
    <x v="2"/>
  </r>
  <r>
    <x v="2"/>
  </r>
  <r>
    <x v="2"/>
  </r>
  <r>
    <x v="0"/>
  </r>
  <r>
    <x v="1"/>
  </r>
  <r>
    <x v="1"/>
  </r>
  <r>
    <x v="1"/>
  </r>
  <r>
    <x v="0"/>
  </r>
  <r>
    <x v="1"/>
  </r>
  <r>
    <x v="1"/>
  </r>
  <r>
    <x v="0"/>
  </r>
  <r>
    <x v="1"/>
  </r>
  <r>
    <x v="2"/>
  </r>
  <r>
    <x v="2"/>
  </r>
  <r>
    <x v="2"/>
  </r>
  <r>
    <x v="1"/>
  </r>
  <r>
    <x v="2"/>
  </r>
  <r>
    <x v="2"/>
  </r>
  <r>
    <x v="0"/>
  </r>
  <r>
    <x v="0"/>
  </r>
  <r>
    <x v="1"/>
  </r>
  <r>
    <x v="1"/>
  </r>
  <r>
    <x v="1"/>
  </r>
  <r>
    <x v="1"/>
  </r>
  <r>
    <x v="2"/>
  </r>
  <r>
    <x v="1"/>
  </r>
  <r>
    <x v="0"/>
  </r>
  <r>
    <x v="2"/>
  </r>
  <r>
    <x v="1"/>
  </r>
  <r>
    <x v="2"/>
  </r>
  <r>
    <x v="0"/>
  </r>
  <r>
    <x v="2"/>
  </r>
  <r>
    <x v="0"/>
  </r>
  <r>
    <x v="0"/>
  </r>
  <r>
    <x v="0"/>
  </r>
  <r>
    <x v="2"/>
  </r>
  <r>
    <x v="2"/>
  </r>
  <r>
    <x v="1"/>
  </r>
  <r>
    <x v="2"/>
  </r>
  <r>
    <x v="1"/>
  </r>
  <r>
    <x v="1"/>
  </r>
  <r>
    <x v="2"/>
  </r>
  <r>
    <x v="0"/>
  </r>
  <r>
    <x v="1"/>
  </r>
  <r>
    <x v="2"/>
  </r>
  <r>
    <x v="2"/>
  </r>
  <r>
    <x v="2"/>
  </r>
  <r>
    <x v="2"/>
  </r>
  <r>
    <x v="0"/>
  </r>
  <r>
    <x v="2"/>
  </r>
  <r>
    <x v="1"/>
  </r>
  <r>
    <x v="2"/>
  </r>
  <r>
    <x v="1"/>
  </r>
  <r>
    <x v="1"/>
  </r>
  <r>
    <x v="1"/>
  </r>
  <r>
    <x v="1"/>
  </r>
  <r>
    <x v="0"/>
  </r>
  <r>
    <x v="2"/>
  </r>
  <r>
    <x v="2"/>
  </r>
  <r>
    <x v="0"/>
  </r>
  <r>
    <x v="2"/>
  </r>
  <r>
    <x v="1"/>
  </r>
  <r>
    <x v="1"/>
  </r>
  <r>
    <x v="0"/>
  </r>
  <r>
    <x v="2"/>
  </r>
  <r>
    <x v="2"/>
  </r>
  <r>
    <x v="1"/>
  </r>
  <r>
    <x v="1"/>
  </r>
  <r>
    <x v="0"/>
  </r>
  <r>
    <x v="1"/>
  </r>
  <r>
    <x v="0"/>
  </r>
  <r>
    <x v="0"/>
  </r>
  <r>
    <x v="1"/>
  </r>
  <r>
    <x v="2"/>
  </r>
  <r>
    <x v="1"/>
  </r>
  <r>
    <x v="0"/>
  </r>
  <r>
    <x v="1"/>
  </r>
  <r>
    <x v="2"/>
  </r>
  <r>
    <x v="2"/>
  </r>
  <r>
    <x v="2"/>
  </r>
  <r>
    <x v="1"/>
  </r>
  <r>
    <x v="2"/>
  </r>
  <r>
    <x v="0"/>
  </r>
  <r>
    <x v="1"/>
  </r>
  <r>
    <x v="1"/>
  </r>
  <r>
    <x v="1"/>
  </r>
  <r>
    <x v="2"/>
  </r>
  <r>
    <x v="2"/>
  </r>
  <r>
    <x v="0"/>
  </r>
  <r>
    <x v="0"/>
  </r>
  <r>
    <x v="1"/>
  </r>
  <r>
    <x v="0"/>
  </r>
  <r>
    <x v="1"/>
  </r>
  <r>
    <x v="2"/>
  </r>
  <r>
    <x v="2"/>
  </r>
  <r>
    <x v="1"/>
  </r>
  <r>
    <x v="2"/>
  </r>
  <r>
    <x v="1"/>
  </r>
  <r>
    <x v="0"/>
  </r>
  <r>
    <x v="1"/>
  </r>
  <r>
    <x v="1"/>
  </r>
  <r>
    <x v="2"/>
  </r>
  <r>
    <x v="0"/>
  </r>
  <r>
    <x v="1"/>
  </r>
  <r>
    <x v="1"/>
  </r>
  <r>
    <x v="2"/>
  </r>
  <r>
    <x v="1"/>
  </r>
  <r>
    <x v="2"/>
  </r>
  <r>
    <x v="2"/>
  </r>
  <r>
    <x v="0"/>
  </r>
  <r>
    <x v="1"/>
  </r>
  <r>
    <x v="2"/>
  </r>
  <r>
    <x v="1"/>
  </r>
  <r>
    <x v="2"/>
  </r>
  <r>
    <x v="0"/>
  </r>
  <r>
    <x v="0"/>
  </r>
  <r>
    <x v="2"/>
  </r>
  <r>
    <x v="2"/>
  </r>
  <r>
    <x v="2"/>
  </r>
  <r>
    <x v="1"/>
  </r>
  <r>
    <x v="2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2"/>
  </r>
  <r>
    <x v="2"/>
  </r>
  <r>
    <x v="1"/>
  </r>
  <r>
    <x v="0"/>
  </r>
  <r>
    <x v="0"/>
  </r>
  <r>
    <x v="1"/>
  </r>
  <r>
    <x v="2"/>
  </r>
  <r>
    <x v="0"/>
  </r>
  <r>
    <x v="2"/>
  </r>
  <r>
    <x v="1"/>
  </r>
  <r>
    <x v="0"/>
  </r>
  <r>
    <x v="1"/>
  </r>
  <r>
    <x v="0"/>
  </r>
  <r>
    <x v="2"/>
  </r>
  <r>
    <x v="0"/>
  </r>
  <r>
    <x v="2"/>
  </r>
  <r>
    <x v="0"/>
  </r>
  <r>
    <x v="2"/>
  </r>
  <r>
    <x v="0"/>
  </r>
  <r>
    <x v="2"/>
  </r>
  <r>
    <x v="2"/>
  </r>
  <r>
    <x v="2"/>
  </r>
  <r>
    <x v="1"/>
  </r>
  <r>
    <x v="2"/>
  </r>
  <r>
    <x v="1"/>
  </r>
  <r>
    <x v="0"/>
  </r>
  <r>
    <x v="1"/>
  </r>
  <r>
    <x v="0"/>
  </r>
  <r>
    <x v="2"/>
  </r>
  <r>
    <x v="0"/>
  </r>
  <r>
    <x v="1"/>
  </r>
  <r>
    <x v="1"/>
  </r>
  <r>
    <x v="1"/>
  </r>
  <r>
    <x v="1"/>
  </r>
  <r>
    <x v="0"/>
  </r>
  <r>
    <x v="1"/>
  </r>
  <r>
    <x v="0"/>
  </r>
  <r>
    <x v="2"/>
  </r>
  <r>
    <x v="2"/>
  </r>
  <r>
    <x v="2"/>
  </r>
  <r>
    <x v="0"/>
  </r>
  <r>
    <x v="0"/>
  </r>
  <r>
    <x v="0"/>
  </r>
  <r>
    <x v="0"/>
  </r>
  <r>
    <x v="0"/>
  </r>
  <r>
    <x v="1"/>
  </r>
  <r>
    <x v="0"/>
  </r>
  <r>
    <x v="1"/>
  </r>
  <r>
    <x v="2"/>
  </r>
  <r>
    <x v="1"/>
  </r>
  <r>
    <x v="1"/>
  </r>
  <r>
    <x v="1"/>
  </r>
  <r>
    <x v="1"/>
  </r>
  <r>
    <x v="0"/>
  </r>
  <r>
    <x v="1"/>
  </r>
  <r>
    <x v="1"/>
  </r>
  <r>
    <x v="2"/>
  </r>
  <r>
    <x v="2"/>
  </r>
  <r>
    <x v="1"/>
  </r>
  <r>
    <x v="1"/>
  </r>
  <r>
    <x v="0"/>
  </r>
  <r>
    <x v="2"/>
  </r>
  <r>
    <x v="1"/>
  </r>
  <r>
    <x v="0"/>
  </r>
  <r>
    <x v="0"/>
  </r>
  <r>
    <x v="0"/>
  </r>
  <r>
    <x v="2"/>
  </r>
  <r>
    <x v="0"/>
  </r>
  <r>
    <x v="1"/>
  </r>
  <r>
    <x v="1"/>
  </r>
  <r>
    <x v="1"/>
  </r>
  <r>
    <x v="2"/>
  </r>
  <r>
    <x v="2"/>
  </r>
  <r>
    <x v="1"/>
  </r>
  <r>
    <x v="0"/>
  </r>
  <r>
    <x v="1"/>
  </r>
  <r>
    <x v="1"/>
  </r>
  <r>
    <x v="1"/>
  </r>
  <r>
    <x v="1"/>
  </r>
  <r>
    <x v="0"/>
  </r>
  <r>
    <x v="1"/>
  </r>
  <r>
    <x v="0"/>
  </r>
  <r>
    <x v="2"/>
  </r>
  <r>
    <x v="1"/>
  </r>
  <r>
    <x v="2"/>
  </r>
  <r>
    <x v="0"/>
  </r>
  <r>
    <x v="1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2"/>
  </r>
  <r>
    <x v="2"/>
  </r>
  <r>
    <x v="0"/>
  </r>
  <r>
    <x v="2"/>
  </r>
  <r>
    <x v="1"/>
  </r>
  <r>
    <x v="2"/>
  </r>
  <r>
    <x v="2"/>
  </r>
  <r>
    <x v="2"/>
  </r>
  <r>
    <x v="0"/>
  </r>
  <r>
    <x v="0"/>
  </r>
  <r>
    <x v="0"/>
  </r>
  <r>
    <x v="2"/>
  </r>
  <r>
    <x v="1"/>
  </r>
  <r>
    <x v="2"/>
  </r>
  <r>
    <x v="1"/>
  </r>
  <r>
    <x v="2"/>
  </r>
  <r>
    <x v="0"/>
  </r>
  <r>
    <x v="0"/>
  </r>
  <r>
    <x v="1"/>
  </r>
  <r>
    <x v="1"/>
  </r>
  <r>
    <x v="1"/>
  </r>
  <r>
    <x v="2"/>
  </r>
  <r>
    <x v="0"/>
  </r>
  <r>
    <x v="1"/>
  </r>
  <r>
    <x v="2"/>
  </r>
  <r>
    <x v="0"/>
  </r>
  <r>
    <x v="2"/>
  </r>
  <r>
    <x v="2"/>
  </r>
  <r>
    <x v="0"/>
  </r>
  <r>
    <x v="0"/>
  </r>
  <r>
    <x v="1"/>
  </r>
  <r>
    <x v="2"/>
  </r>
  <r>
    <x v="1"/>
  </r>
  <r>
    <x v="1"/>
  </r>
  <r>
    <x v="2"/>
  </r>
  <r>
    <x v="0"/>
  </r>
  <r>
    <x v="2"/>
  </r>
  <r>
    <x v="2"/>
  </r>
  <r>
    <x v="1"/>
  </r>
  <r>
    <x v="2"/>
  </r>
  <r>
    <x v="2"/>
  </r>
  <r>
    <x v="0"/>
  </r>
  <r>
    <x v="1"/>
  </r>
  <r>
    <x v="1"/>
  </r>
  <r>
    <x v="0"/>
  </r>
  <r>
    <x v="2"/>
  </r>
  <r>
    <x v="0"/>
  </r>
  <r>
    <x v="1"/>
  </r>
  <r>
    <x v="1"/>
  </r>
  <r>
    <x v="0"/>
  </r>
  <r>
    <x v="2"/>
  </r>
  <r>
    <x v="2"/>
  </r>
  <r>
    <x v="1"/>
  </r>
  <r>
    <x v="0"/>
  </r>
  <r>
    <x v="0"/>
  </r>
  <r>
    <x v="1"/>
  </r>
  <r>
    <x v="0"/>
  </r>
  <r>
    <x v="1"/>
  </r>
  <r>
    <x v="2"/>
  </r>
  <r>
    <x v="1"/>
  </r>
  <r>
    <x v="2"/>
  </r>
  <r>
    <x v="1"/>
  </r>
  <r>
    <x v="1"/>
  </r>
  <r>
    <x v="2"/>
  </r>
  <r>
    <x v="1"/>
  </r>
  <r>
    <x v="2"/>
  </r>
  <r>
    <x v="0"/>
  </r>
  <r>
    <x v="0"/>
  </r>
  <r>
    <x v="2"/>
  </r>
  <r>
    <x v="1"/>
  </r>
  <r>
    <x v="2"/>
  </r>
  <r>
    <x v="2"/>
  </r>
  <r>
    <x v="0"/>
  </r>
  <r>
    <x v="1"/>
  </r>
  <r>
    <x v="1"/>
  </r>
  <r>
    <x v="1"/>
  </r>
  <r>
    <x v="2"/>
  </r>
  <r>
    <x v="0"/>
  </r>
  <r>
    <x v="1"/>
  </r>
  <r>
    <x v="2"/>
  </r>
  <r>
    <x v="0"/>
  </r>
  <r>
    <x v="2"/>
  </r>
  <r>
    <x v="1"/>
  </r>
  <r>
    <x v="2"/>
  </r>
  <r>
    <x v="1"/>
  </r>
  <r>
    <x v="0"/>
  </r>
  <r>
    <x v="1"/>
  </r>
  <r>
    <x v="0"/>
  </r>
  <r>
    <x v="2"/>
  </r>
  <r>
    <x v="0"/>
  </r>
  <r>
    <x v="2"/>
  </r>
  <r>
    <x v="1"/>
  </r>
  <r>
    <x v="1"/>
  </r>
  <r>
    <x v="0"/>
  </r>
  <r>
    <x v="1"/>
  </r>
  <r>
    <x v="1"/>
  </r>
  <r>
    <x v="0"/>
  </r>
  <r>
    <x v="2"/>
  </r>
  <r>
    <x v="1"/>
  </r>
  <r>
    <x v="1"/>
  </r>
  <r>
    <x v="1"/>
  </r>
  <r>
    <x v="0"/>
  </r>
  <r>
    <x v="2"/>
  </r>
  <r>
    <x v="1"/>
  </r>
  <r>
    <x v="0"/>
  </r>
  <r>
    <x v="1"/>
  </r>
  <r>
    <x v="1"/>
  </r>
  <r>
    <x v="1"/>
  </r>
  <r>
    <x v="1"/>
  </r>
  <r>
    <x v="0"/>
  </r>
  <r>
    <x v="0"/>
  </r>
  <r>
    <x v="2"/>
  </r>
  <r>
    <x v="0"/>
  </r>
  <r>
    <x v="2"/>
  </r>
  <r>
    <x v="0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0"/>
  </r>
  <r>
    <x v="0"/>
  </r>
  <r>
    <x v="1"/>
  </r>
  <r>
    <x v="0"/>
  </r>
  <r>
    <x v="2"/>
  </r>
  <r>
    <x v="2"/>
  </r>
  <r>
    <x v="0"/>
  </r>
  <r>
    <x v="0"/>
  </r>
  <r>
    <x v="1"/>
  </r>
  <r>
    <x v="1"/>
  </r>
  <r>
    <x v="0"/>
  </r>
  <r>
    <x v="2"/>
  </r>
  <r>
    <x v="1"/>
  </r>
  <r>
    <x v="1"/>
  </r>
  <r>
    <x v="0"/>
  </r>
  <r>
    <x v="2"/>
  </r>
  <r>
    <x v="0"/>
  </r>
  <r>
    <x v="2"/>
  </r>
  <r>
    <x v="1"/>
  </r>
  <r>
    <x v="1"/>
  </r>
  <r>
    <x v="2"/>
  </r>
  <r>
    <x v="2"/>
  </r>
  <r>
    <x v="1"/>
  </r>
  <r>
    <x v="0"/>
  </r>
  <r>
    <x v="2"/>
  </r>
  <r>
    <x v="1"/>
  </r>
  <r>
    <x v="0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2"/>
  </r>
  <r>
    <x v="0"/>
  </r>
  <r>
    <x v="2"/>
  </r>
  <r>
    <x v="0"/>
  </r>
  <r>
    <x v="2"/>
  </r>
  <r>
    <x v="0"/>
  </r>
  <r>
    <x v="0"/>
  </r>
  <r>
    <x v="2"/>
  </r>
  <r>
    <x v="2"/>
  </r>
  <r>
    <x v="1"/>
  </r>
  <r>
    <x v="2"/>
  </r>
  <r>
    <x v="1"/>
  </r>
  <r>
    <x v="2"/>
  </r>
  <r>
    <x v="1"/>
  </r>
  <r>
    <x v="1"/>
  </r>
  <r>
    <x v="1"/>
  </r>
  <r>
    <x v="1"/>
  </r>
  <r>
    <x v="2"/>
  </r>
  <r>
    <x v="0"/>
  </r>
  <r>
    <x v="0"/>
  </r>
  <r>
    <x v="1"/>
  </r>
  <r>
    <x v="1"/>
  </r>
  <r>
    <x v="0"/>
  </r>
  <r>
    <x v="1"/>
  </r>
  <r>
    <x v="2"/>
  </r>
  <r>
    <x v="0"/>
  </r>
  <r>
    <x v="1"/>
  </r>
  <r>
    <x v="2"/>
  </r>
  <r>
    <x v="1"/>
  </r>
  <r>
    <x v="2"/>
  </r>
  <r>
    <x v="2"/>
  </r>
  <r>
    <x v="1"/>
  </r>
  <r>
    <x v="1"/>
  </r>
  <r>
    <x v="1"/>
  </r>
  <r>
    <x v="1"/>
  </r>
  <r>
    <x v="2"/>
  </r>
  <r>
    <x v="1"/>
  </r>
  <r>
    <x v="0"/>
  </r>
  <r>
    <x v="0"/>
  </r>
  <r>
    <x v="0"/>
  </r>
  <r>
    <x v="0"/>
  </r>
  <r>
    <x v="2"/>
  </r>
  <r>
    <x v="1"/>
  </r>
  <r>
    <x v="1"/>
  </r>
  <r>
    <x v="1"/>
  </r>
  <r>
    <x v="2"/>
  </r>
  <r>
    <x v="1"/>
  </r>
  <r>
    <x v="2"/>
  </r>
  <r>
    <x v="1"/>
  </r>
  <r>
    <x v="2"/>
  </r>
  <r>
    <x v="1"/>
  </r>
  <r>
    <x v="0"/>
  </r>
  <r>
    <x v="1"/>
  </r>
  <r>
    <x v="1"/>
  </r>
  <r>
    <x v="0"/>
  </r>
  <r>
    <x v="1"/>
  </r>
  <r>
    <x v="1"/>
  </r>
  <r>
    <x v="0"/>
  </r>
  <r>
    <x v="2"/>
  </r>
  <r>
    <x v="1"/>
  </r>
  <r>
    <x v="2"/>
  </r>
  <r>
    <x v="1"/>
  </r>
  <r>
    <x v="1"/>
  </r>
  <r>
    <x v="1"/>
  </r>
  <r>
    <x v="1"/>
  </r>
  <r>
    <x v="2"/>
  </r>
  <r>
    <x v="0"/>
  </r>
  <r>
    <x v="2"/>
  </r>
  <r>
    <x v="2"/>
  </r>
  <r>
    <x v="1"/>
  </r>
  <r>
    <x v="2"/>
  </r>
  <r>
    <x v="1"/>
  </r>
  <r>
    <x v="2"/>
  </r>
  <r>
    <x v="2"/>
  </r>
  <r>
    <x v="0"/>
  </r>
  <r>
    <x v="2"/>
  </r>
  <r>
    <x v="1"/>
  </r>
  <r>
    <x v="1"/>
  </r>
  <r>
    <x v="1"/>
  </r>
  <r>
    <x v="0"/>
  </r>
  <r>
    <x v="1"/>
  </r>
  <r>
    <x v="2"/>
  </r>
  <r>
    <x v="0"/>
  </r>
  <r>
    <x v="0"/>
  </r>
  <r>
    <x v="0"/>
  </r>
  <r>
    <x v="1"/>
  </r>
  <r>
    <x v="2"/>
  </r>
  <r>
    <x v="2"/>
  </r>
  <r>
    <x v="2"/>
  </r>
  <r>
    <x v="1"/>
  </r>
  <r>
    <x v="0"/>
  </r>
  <r>
    <x v="2"/>
  </r>
  <r>
    <x v="2"/>
  </r>
  <r>
    <x v="1"/>
  </r>
  <r>
    <x v="1"/>
  </r>
  <r>
    <x v="2"/>
  </r>
  <r>
    <x v="2"/>
  </r>
  <r>
    <x v="1"/>
  </r>
  <r>
    <x v="2"/>
  </r>
  <r>
    <x v="0"/>
  </r>
  <r>
    <x v="1"/>
  </r>
  <r>
    <x v="1"/>
  </r>
  <r>
    <x v="0"/>
  </r>
  <r>
    <x v="0"/>
  </r>
  <r>
    <x v="0"/>
  </r>
  <r>
    <x v="1"/>
  </r>
  <r>
    <x v="2"/>
  </r>
  <r>
    <x v="2"/>
  </r>
  <r>
    <x v="1"/>
  </r>
  <r>
    <x v="1"/>
  </r>
  <r>
    <x v="2"/>
  </r>
  <r>
    <x v="0"/>
  </r>
  <r>
    <x v="2"/>
  </r>
  <r>
    <x v="2"/>
  </r>
  <r>
    <x v="0"/>
  </r>
  <r>
    <x v="2"/>
  </r>
  <r>
    <x v="2"/>
  </r>
  <r>
    <x v="0"/>
  </r>
  <r>
    <x v="0"/>
  </r>
  <r>
    <x v="0"/>
  </r>
  <r>
    <x v="1"/>
  </r>
  <r>
    <x v="1"/>
  </r>
  <r>
    <x v="1"/>
  </r>
  <r>
    <x v="0"/>
  </r>
  <r>
    <x v="2"/>
  </r>
  <r>
    <x v="1"/>
  </r>
  <r>
    <x v="0"/>
  </r>
  <r>
    <x v="1"/>
  </r>
  <r>
    <x v="1"/>
  </r>
  <r>
    <x v="1"/>
  </r>
  <r>
    <x v="0"/>
  </r>
  <r>
    <x v="0"/>
  </r>
  <r>
    <x v="2"/>
  </r>
  <r>
    <x v="2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2"/>
  </r>
  <r>
    <x v="0"/>
  </r>
  <r>
    <x v="1"/>
  </r>
  <r>
    <x v="1"/>
  </r>
  <r>
    <x v="1"/>
  </r>
  <r>
    <x v="2"/>
  </r>
  <r>
    <x v="2"/>
  </r>
  <r>
    <x v="2"/>
  </r>
  <r>
    <x v="2"/>
  </r>
  <r>
    <x v="0"/>
  </r>
  <r>
    <x v="2"/>
  </r>
  <r>
    <x v="2"/>
  </r>
  <r>
    <x v="1"/>
  </r>
  <r>
    <x v="2"/>
  </r>
  <r>
    <x v="0"/>
  </r>
  <r>
    <x v="2"/>
  </r>
  <r>
    <x v="1"/>
  </r>
  <r>
    <x v="0"/>
  </r>
  <r>
    <x v="1"/>
  </r>
  <r>
    <x v="1"/>
  </r>
  <r>
    <x v="0"/>
  </r>
  <r>
    <x v="0"/>
  </r>
  <r>
    <x v="1"/>
  </r>
  <r>
    <x v="1"/>
  </r>
  <r>
    <x v="2"/>
  </r>
  <r>
    <x v="2"/>
  </r>
  <r>
    <x v="1"/>
  </r>
  <r>
    <x v="2"/>
  </r>
  <r>
    <x v="1"/>
  </r>
  <r>
    <x v="2"/>
  </r>
  <r>
    <x v="0"/>
  </r>
  <r>
    <x v="1"/>
  </r>
  <r>
    <x v="1"/>
  </r>
  <r>
    <x v="0"/>
  </r>
  <r>
    <x v="2"/>
  </r>
  <r>
    <x v="2"/>
  </r>
  <r>
    <x v="1"/>
  </r>
  <r>
    <x v="1"/>
  </r>
  <r>
    <x v="2"/>
  </r>
  <r>
    <x v="2"/>
  </r>
  <r>
    <x v="0"/>
  </r>
  <r>
    <x v="1"/>
  </r>
  <r>
    <x v="1"/>
  </r>
  <r>
    <x v="1"/>
  </r>
  <r>
    <x v="0"/>
  </r>
  <r>
    <x v="1"/>
  </r>
  <r>
    <x v="2"/>
  </r>
  <r>
    <x v="1"/>
  </r>
  <r>
    <x v="2"/>
  </r>
  <r>
    <x v="2"/>
  </r>
  <r>
    <x v="2"/>
  </r>
  <r>
    <x v="0"/>
  </r>
  <r>
    <x v="2"/>
  </r>
  <r>
    <x v="0"/>
  </r>
  <r>
    <x v="1"/>
  </r>
  <r>
    <x v="1"/>
  </r>
  <r>
    <x v="1"/>
  </r>
  <r>
    <x v="2"/>
  </r>
  <r>
    <x v="2"/>
  </r>
  <r>
    <x v="0"/>
  </r>
  <r>
    <x v="1"/>
  </r>
  <r>
    <x v="1"/>
  </r>
  <r>
    <x v="1"/>
  </r>
  <r>
    <x v="2"/>
  </r>
  <r>
    <x v="1"/>
  </r>
  <r>
    <x v="2"/>
  </r>
  <r>
    <x v="0"/>
  </r>
  <r>
    <x v="1"/>
  </r>
  <r>
    <x v="1"/>
  </r>
  <r>
    <x v="0"/>
  </r>
  <r>
    <x v="1"/>
  </r>
  <r>
    <x v="2"/>
  </r>
  <r>
    <x v="2"/>
  </r>
  <r>
    <x v="1"/>
  </r>
  <r>
    <x v="1"/>
  </r>
  <r>
    <x v="0"/>
  </r>
  <r>
    <x v="0"/>
  </r>
  <r>
    <x v="1"/>
  </r>
  <r>
    <x v="0"/>
  </r>
  <r>
    <x v="2"/>
  </r>
  <r>
    <x v="2"/>
  </r>
  <r>
    <x v="2"/>
  </r>
  <r>
    <x v="1"/>
  </r>
  <r>
    <x v="2"/>
  </r>
  <r>
    <x v="1"/>
  </r>
  <r>
    <x v="1"/>
  </r>
  <r>
    <x v="2"/>
  </r>
  <r>
    <x v="1"/>
  </r>
  <r>
    <x v="0"/>
  </r>
  <r>
    <x v="2"/>
  </r>
  <r>
    <x v="2"/>
  </r>
  <r>
    <x v="2"/>
  </r>
  <r>
    <x v="1"/>
  </r>
  <r>
    <x v="1"/>
  </r>
  <r>
    <x v="2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2"/>
  </r>
  <r>
    <x v="1"/>
  </r>
  <r>
    <x v="1"/>
  </r>
  <r>
    <x v="2"/>
  </r>
  <r>
    <x v="0"/>
  </r>
  <r>
    <x v="1"/>
  </r>
  <r>
    <x v="1"/>
  </r>
  <r>
    <x v="2"/>
  </r>
  <r>
    <x v="2"/>
  </r>
  <r>
    <x v="2"/>
  </r>
  <r>
    <x v="2"/>
  </r>
  <r>
    <x v="0"/>
  </r>
  <r>
    <x v="0"/>
  </r>
  <r>
    <x v="1"/>
  </r>
  <r>
    <x v="0"/>
  </r>
  <r>
    <x v="2"/>
  </r>
  <r>
    <x v="1"/>
  </r>
  <r>
    <x v="0"/>
  </r>
  <r>
    <x v="2"/>
  </r>
  <r>
    <x v="0"/>
  </r>
  <r>
    <x v="1"/>
  </r>
  <r>
    <x v="1"/>
  </r>
  <r>
    <x v="1"/>
  </r>
  <r>
    <x v="1"/>
  </r>
  <r>
    <x v="0"/>
  </r>
  <r>
    <x v="1"/>
  </r>
  <r>
    <x v="2"/>
  </r>
  <r>
    <x v="2"/>
  </r>
  <r>
    <x v="1"/>
  </r>
  <r>
    <x v="1"/>
  </r>
  <r>
    <x v="2"/>
  </r>
  <r>
    <x v="2"/>
  </r>
  <r>
    <x v="0"/>
  </r>
  <r>
    <x v="1"/>
  </r>
  <r>
    <x v="2"/>
  </r>
  <r>
    <x v="1"/>
  </r>
  <r>
    <x v="0"/>
  </r>
  <r>
    <x v="1"/>
  </r>
  <r>
    <x v="0"/>
  </r>
  <r>
    <x v="1"/>
  </r>
  <r>
    <x v="1"/>
  </r>
  <r>
    <x v="2"/>
  </r>
  <r>
    <x v="1"/>
  </r>
  <r>
    <x v="0"/>
  </r>
  <r>
    <x v="0"/>
  </r>
  <r>
    <x v="2"/>
  </r>
  <r>
    <x v="0"/>
  </r>
  <r>
    <x v="1"/>
  </r>
  <r>
    <x v="0"/>
  </r>
  <r>
    <x v="2"/>
  </r>
  <r>
    <x v="1"/>
  </r>
  <r>
    <x v="1"/>
  </r>
  <r>
    <x v="1"/>
  </r>
  <r>
    <x v="2"/>
  </r>
  <r>
    <x v="1"/>
  </r>
  <r>
    <x v="2"/>
  </r>
  <r>
    <x v="2"/>
  </r>
  <r>
    <x v="2"/>
  </r>
  <r>
    <x v="1"/>
  </r>
  <r>
    <x v="2"/>
  </r>
  <r>
    <x v="0"/>
  </r>
  <r>
    <x v="1"/>
  </r>
  <r>
    <x v="2"/>
  </r>
  <r>
    <x v="0"/>
  </r>
  <r>
    <x v="0"/>
  </r>
  <r>
    <x v="1"/>
  </r>
  <r>
    <x v="1"/>
  </r>
  <r>
    <x v="1"/>
  </r>
  <r>
    <x v="2"/>
  </r>
  <r>
    <x v="2"/>
  </r>
  <r>
    <x v="1"/>
  </r>
  <r>
    <x v="0"/>
  </r>
  <r>
    <x v="2"/>
  </r>
  <r>
    <x v="0"/>
  </r>
  <r>
    <x v="0"/>
  </r>
  <r>
    <x v="0"/>
  </r>
  <r>
    <x v="1"/>
  </r>
  <r>
    <x v="0"/>
  </r>
  <r>
    <x v="0"/>
  </r>
  <r>
    <x v="1"/>
  </r>
  <r>
    <x v="0"/>
  </r>
  <r>
    <x v="1"/>
  </r>
  <r>
    <x v="2"/>
  </r>
  <r>
    <x v="2"/>
  </r>
  <r>
    <x v="0"/>
  </r>
  <r>
    <x v="0"/>
  </r>
  <r>
    <x v="2"/>
  </r>
  <r>
    <x v="0"/>
  </r>
  <r>
    <x v="2"/>
  </r>
  <r>
    <x v="0"/>
  </r>
  <r>
    <x v="2"/>
  </r>
  <r>
    <x v="1"/>
  </r>
  <r>
    <x v="1"/>
  </r>
  <r>
    <x v="2"/>
  </r>
  <r>
    <x v="1"/>
  </r>
  <r>
    <x v="1"/>
  </r>
  <r>
    <x v="1"/>
  </r>
  <r>
    <x v="2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2"/>
  </r>
  <r>
    <x v="0"/>
  </r>
  <r>
    <x v="2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2"/>
  </r>
  <r>
    <x v="1"/>
  </r>
  <r>
    <x v="1"/>
  </r>
  <r>
    <x v="0"/>
  </r>
  <r>
    <x v="0"/>
  </r>
  <r>
    <x v="2"/>
  </r>
  <r>
    <x v="1"/>
  </r>
  <r>
    <x v="1"/>
  </r>
  <r>
    <x v="0"/>
  </r>
  <r>
    <x v="2"/>
  </r>
  <r>
    <x v="0"/>
  </r>
  <r>
    <x v="2"/>
  </r>
  <r>
    <x v="0"/>
  </r>
  <r>
    <x v="2"/>
  </r>
  <r>
    <x v="2"/>
  </r>
  <r>
    <x v="0"/>
  </r>
  <r>
    <x v="1"/>
  </r>
  <r>
    <x v="1"/>
  </r>
  <r>
    <x v="0"/>
  </r>
  <r>
    <x v="2"/>
  </r>
  <r>
    <x v="1"/>
  </r>
  <r>
    <x v="1"/>
  </r>
  <r>
    <x v="0"/>
  </r>
  <r>
    <x v="1"/>
  </r>
  <r>
    <x v="2"/>
  </r>
  <r>
    <x v="1"/>
  </r>
  <r>
    <x v="2"/>
  </r>
  <r>
    <x v="2"/>
  </r>
  <r>
    <x v="0"/>
  </r>
  <r>
    <x v="0"/>
  </r>
  <r>
    <x v="2"/>
  </r>
  <r>
    <x v="1"/>
  </r>
  <r>
    <x v="0"/>
  </r>
  <r>
    <x v="0"/>
  </r>
  <r>
    <x v="1"/>
  </r>
  <r>
    <x v="2"/>
  </r>
  <r>
    <x v="0"/>
  </r>
  <r>
    <x v="0"/>
  </r>
  <r>
    <x v="2"/>
  </r>
  <r>
    <x v="2"/>
  </r>
  <r>
    <x v="1"/>
  </r>
  <r>
    <x v="2"/>
  </r>
  <r>
    <x v="1"/>
  </r>
  <r>
    <x v="2"/>
  </r>
  <r>
    <x v="1"/>
  </r>
  <r>
    <x v="0"/>
  </r>
  <r>
    <x v="2"/>
  </r>
  <r>
    <x v="1"/>
  </r>
  <r>
    <x v="2"/>
  </r>
  <r>
    <x v="1"/>
  </r>
  <r>
    <x v="2"/>
  </r>
  <r>
    <x v="2"/>
  </r>
  <r>
    <x v="0"/>
  </r>
  <r>
    <x v="2"/>
  </r>
  <r>
    <x v="1"/>
  </r>
  <r>
    <x v="2"/>
  </r>
  <r>
    <x v="1"/>
  </r>
  <r>
    <x v="2"/>
  </r>
  <r>
    <x v="1"/>
  </r>
  <r>
    <x v="0"/>
  </r>
  <r>
    <x v="0"/>
  </r>
  <r>
    <x v="1"/>
  </r>
  <r>
    <x v="2"/>
  </r>
  <r>
    <x v="1"/>
  </r>
  <r>
    <x v="1"/>
  </r>
  <r>
    <x v="0"/>
  </r>
  <r>
    <x v="1"/>
  </r>
  <r>
    <x v="0"/>
  </r>
  <r>
    <x v="2"/>
  </r>
  <r>
    <x v="2"/>
  </r>
  <r>
    <x v="1"/>
  </r>
  <r>
    <x v="0"/>
  </r>
  <r>
    <x v="0"/>
  </r>
  <r>
    <x v="1"/>
  </r>
  <r>
    <x v="1"/>
  </r>
  <r>
    <x v="2"/>
  </r>
  <r>
    <x v="0"/>
  </r>
  <r>
    <x v="2"/>
  </r>
  <r>
    <x v="1"/>
  </r>
  <r>
    <x v="1"/>
  </r>
  <r>
    <x v="1"/>
  </r>
  <r>
    <x v="0"/>
  </r>
  <r>
    <x v="1"/>
  </r>
  <r>
    <x v="2"/>
  </r>
  <r>
    <x v="1"/>
  </r>
  <r>
    <x v="2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2"/>
  </r>
  <r>
    <x v="1"/>
  </r>
  <r>
    <x v="2"/>
  </r>
  <r>
    <x v="1"/>
  </r>
  <r>
    <x v="2"/>
  </r>
  <r>
    <x v="0"/>
  </r>
  <r>
    <x v="2"/>
  </r>
  <r>
    <x v="1"/>
  </r>
  <r>
    <x v="2"/>
  </r>
  <r>
    <x v="1"/>
  </r>
  <r>
    <x v="0"/>
  </r>
  <r>
    <x v="1"/>
  </r>
  <r>
    <x v="0"/>
  </r>
  <r>
    <x v="1"/>
  </r>
  <r>
    <x v="0"/>
  </r>
  <r>
    <x v="1"/>
  </r>
  <r>
    <x v="2"/>
  </r>
  <r>
    <x v="1"/>
  </r>
  <r>
    <x v="2"/>
  </r>
  <r>
    <x v="1"/>
  </r>
  <r>
    <x v="1"/>
  </r>
  <r>
    <x v="2"/>
  </r>
  <r>
    <x v="2"/>
  </r>
  <r>
    <x v="2"/>
  </r>
  <r>
    <x v="0"/>
  </r>
  <r>
    <x v="1"/>
  </r>
  <r>
    <x v="0"/>
  </r>
  <r>
    <x v="1"/>
  </r>
  <r>
    <x v="1"/>
  </r>
  <r>
    <x v="2"/>
  </r>
  <r>
    <x v="2"/>
  </r>
  <r>
    <x v="1"/>
  </r>
  <r>
    <x v="0"/>
  </r>
  <r>
    <x v="2"/>
  </r>
  <r>
    <x v="0"/>
  </r>
  <r>
    <x v="1"/>
  </r>
  <r>
    <x v="0"/>
  </r>
  <r>
    <x v="1"/>
  </r>
  <r>
    <x v="2"/>
  </r>
  <r>
    <x v="0"/>
  </r>
  <r>
    <x v="1"/>
  </r>
  <r>
    <x v="1"/>
  </r>
  <r>
    <x v="2"/>
  </r>
  <r>
    <x v="2"/>
  </r>
  <r>
    <x v="0"/>
  </r>
  <r>
    <x v="0"/>
  </r>
  <r>
    <x v="1"/>
  </r>
  <r>
    <x v="1"/>
  </r>
  <r>
    <x v="1"/>
  </r>
  <r>
    <x v="0"/>
  </r>
  <r>
    <x v="0"/>
  </r>
  <r>
    <x v="1"/>
  </r>
  <r>
    <x v="0"/>
  </r>
  <r>
    <x v="2"/>
  </r>
  <r>
    <x v="0"/>
  </r>
  <r>
    <x v="0"/>
  </r>
  <r>
    <x v="2"/>
  </r>
  <r>
    <x v="1"/>
  </r>
  <r>
    <x v="2"/>
  </r>
  <r>
    <x v="0"/>
  </r>
  <r>
    <x v="1"/>
  </r>
  <r>
    <x v="2"/>
  </r>
  <r>
    <x v="1"/>
  </r>
  <r>
    <x v="2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2"/>
  </r>
  <r>
    <x v="0"/>
  </r>
  <r>
    <x v="1"/>
  </r>
  <r>
    <x v="2"/>
  </r>
  <r>
    <x v="1"/>
  </r>
  <r>
    <x v="1"/>
  </r>
  <r>
    <x v="0"/>
  </r>
  <r>
    <x v="1"/>
  </r>
  <r>
    <x v="0"/>
  </r>
  <r>
    <x v="2"/>
  </r>
  <r>
    <x v="1"/>
  </r>
  <r>
    <x v="2"/>
  </r>
  <r>
    <x v="1"/>
  </r>
  <r>
    <x v="1"/>
  </r>
  <r>
    <x v="1"/>
  </r>
  <r>
    <x v="2"/>
  </r>
  <r>
    <x v="2"/>
  </r>
  <r>
    <x v="0"/>
  </r>
  <r>
    <x v="1"/>
  </r>
  <r>
    <x v="1"/>
  </r>
  <r>
    <x v="0"/>
  </r>
  <r>
    <x v="1"/>
  </r>
  <r>
    <x v="2"/>
  </r>
  <r>
    <x v="1"/>
  </r>
  <r>
    <x v="2"/>
  </r>
  <r>
    <x v="1"/>
  </r>
  <r>
    <x v="1"/>
  </r>
  <r>
    <x v="0"/>
  </r>
  <r>
    <x v="2"/>
  </r>
  <r>
    <x v="2"/>
  </r>
  <r>
    <x v="1"/>
  </r>
  <r>
    <x v="0"/>
  </r>
  <r>
    <x v="0"/>
  </r>
  <r>
    <x v="0"/>
  </r>
  <r>
    <x v="1"/>
  </r>
  <r>
    <x v="2"/>
  </r>
  <r>
    <x v="0"/>
  </r>
  <r>
    <x v="2"/>
  </r>
  <r>
    <x v="1"/>
  </r>
  <r>
    <x v="1"/>
  </r>
  <r>
    <x v="2"/>
  </r>
  <r>
    <x v="0"/>
  </r>
  <r>
    <x v="2"/>
  </r>
  <r>
    <x v="0"/>
  </r>
  <r>
    <x v="1"/>
  </r>
  <r>
    <x v="2"/>
  </r>
  <r>
    <x v="2"/>
  </r>
  <r>
    <x v="1"/>
  </r>
  <r>
    <x v="1"/>
  </r>
  <r>
    <x v="2"/>
  </r>
  <r>
    <x v="2"/>
  </r>
  <r>
    <x v="0"/>
  </r>
  <r>
    <x v="2"/>
  </r>
  <r>
    <x v="1"/>
  </r>
  <r>
    <x v="1"/>
  </r>
  <r>
    <x v="1"/>
  </r>
  <r>
    <x v="1"/>
  </r>
  <r>
    <x v="2"/>
  </r>
  <r>
    <x v="1"/>
  </r>
  <r>
    <x v="2"/>
  </r>
  <r>
    <x v="0"/>
  </r>
  <r>
    <x v="2"/>
  </r>
  <r>
    <x v="2"/>
  </r>
  <r>
    <x v="1"/>
  </r>
  <r>
    <x v="1"/>
  </r>
  <r>
    <x v="1"/>
  </r>
  <r>
    <x v="2"/>
  </r>
  <r>
    <x v="2"/>
  </r>
  <r>
    <x v="0"/>
  </r>
  <r>
    <x v="2"/>
  </r>
  <r>
    <x v="1"/>
  </r>
  <r>
    <x v="0"/>
  </r>
  <r>
    <x v="2"/>
  </r>
  <r>
    <x v="1"/>
  </r>
  <r>
    <x v="2"/>
  </r>
  <r>
    <x v="0"/>
  </r>
  <r>
    <x v="0"/>
  </r>
  <r>
    <x v="1"/>
  </r>
  <r>
    <x v="0"/>
  </r>
  <r>
    <x v="2"/>
  </r>
  <r>
    <x v="0"/>
  </r>
  <r>
    <x v="1"/>
  </r>
  <r>
    <x v="0"/>
  </r>
  <r>
    <x v="0"/>
  </r>
  <r>
    <x v="2"/>
  </r>
  <r>
    <x v="0"/>
  </r>
  <r>
    <x v="1"/>
  </r>
  <r>
    <x v="2"/>
  </r>
  <r>
    <x v="1"/>
  </r>
  <r>
    <x v="2"/>
  </r>
  <r>
    <x v="0"/>
  </r>
  <r>
    <x v="0"/>
  </r>
  <r>
    <x v="2"/>
  </r>
  <r>
    <x v="2"/>
  </r>
  <r>
    <x v="1"/>
  </r>
  <r>
    <x v="1"/>
  </r>
  <r>
    <x v="1"/>
  </r>
  <r>
    <x v="0"/>
  </r>
  <r>
    <x v="2"/>
  </r>
  <r>
    <x v="1"/>
  </r>
  <r>
    <x v="1"/>
  </r>
  <r>
    <x v="2"/>
  </r>
  <r>
    <x v="1"/>
  </r>
  <r>
    <x v="0"/>
  </r>
  <r>
    <x v="2"/>
  </r>
  <r>
    <x v="2"/>
  </r>
  <r>
    <x v="1"/>
  </r>
  <r>
    <x v="0"/>
  </r>
  <r>
    <x v="0"/>
  </r>
  <r>
    <x v="1"/>
  </r>
  <r>
    <x v="1"/>
  </r>
  <r>
    <x v="2"/>
  </r>
  <r>
    <x v="2"/>
  </r>
  <r>
    <x v="2"/>
  </r>
  <r>
    <x v="1"/>
  </r>
  <r>
    <x v="2"/>
  </r>
  <r>
    <x v="1"/>
  </r>
  <r>
    <x v="0"/>
  </r>
  <r>
    <x v="0"/>
  </r>
  <r>
    <x v="1"/>
  </r>
  <r>
    <x v="2"/>
  </r>
  <r>
    <x v="0"/>
  </r>
  <r>
    <x v="0"/>
  </r>
  <r>
    <x v="2"/>
  </r>
  <r>
    <x v="0"/>
  </r>
  <r>
    <x v="2"/>
  </r>
  <r>
    <x v="1"/>
  </r>
  <r>
    <x v="0"/>
  </r>
  <r>
    <x v="2"/>
  </r>
  <r>
    <x v="0"/>
  </r>
  <r>
    <x v="1"/>
  </r>
  <r>
    <x v="0"/>
  </r>
  <r>
    <x v="0"/>
  </r>
  <r>
    <x v="0"/>
  </r>
  <r>
    <x v="0"/>
  </r>
  <r>
    <x v="0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0"/>
  </r>
  <r>
    <x v="0"/>
  </r>
  <r>
    <x v="1"/>
  </r>
  <r>
    <x v="1"/>
  </r>
  <r>
    <x v="0"/>
  </r>
  <r>
    <x v="2"/>
  </r>
  <r>
    <x v="1"/>
  </r>
  <r>
    <x v="1"/>
  </r>
  <r>
    <x v="0"/>
  </r>
  <r>
    <x v="0"/>
  </r>
  <r>
    <x v="2"/>
  </r>
  <r>
    <x v="1"/>
  </r>
  <r>
    <x v="2"/>
  </r>
  <r>
    <x v="2"/>
  </r>
  <r>
    <x v="1"/>
  </r>
  <r>
    <x v="0"/>
  </r>
  <r>
    <x v="2"/>
  </r>
  <r>
    <x v="2"/>
  </r>
  <r>
    <x v="1"/>
  </r>
  <r>
    <x v="2"/>
  </r>
  <r>
    <x v="2"/>
  </r>
  <r>
    <x v="1"/>
  </r>
  <r>
    <x v="1"/>
  </r>
  <r>
    <x v="2"/>
  </r>
  <r>
    <x v="1"/>
  </r>
  <r>
    <x v="0"/>
  </r>
  <r>
    <x v="1"/>
  </r>
  <r>
    <x v="0"/>
  </r>
  <r>
    <x v="0"/>
  </r>
  <r>
    <x v="2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2"/>
  </r>
  <r>
    <x v="1"/>
  </r>
  <r>
    <x v="0"/>
  </r>
  <r>
    <x v="2"/>
  </r>
  <r>
    <x v="1"/>
  </r>
  <r>
    <x v="1"/>
  </r>
  <r>
    <x v="0"/>
  </r>
  <r>
    <x v="1"/>
  </r>
  <r>
    <x v="2"/>
  </r>
  <r>
    <x v="2"/>
  </r>
  <r>
    <x v="0"/>
  </r>
  <r>
    <x v="1"/>
  </r>
  <r>
    <x v="1"/>
  </r>
  <r>
    <x v="2"/>
  </r>
  <r>
    <x v="2"/>
  </r>
  <r>
    <x v="0"/>
  </r>
  <r>
    <x v="0"/>
  </r>
  <r>
    <x v="1"/>
  </r>
  <r>
    <x v="0"/>
  </r>
  <r>
    <x v="1"/>
  </r>
  <r>
    <x v="0"/>
  </r>
  <r>
    <x v="1"/>
  </r>
  <r>
    <x v="2"/>
  </r>
  <r>
    <x v="2"/>
  </r>
  <r>
    <x v="1"/>
  </r>
  <r>
    <x v="1"/>
  </r>
  <r>
    <x v="2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2"/>
  </r>
  <r>
    <x v="1"/>
  </r>
  <r>
    <x v="1"/>
  </r>
  <r>
    <x v="1"/>
  </r>
  <r>
    <x v="1"/>
  </r>
  <r>
    <x v="0"/>
  </r>
  <r>
    <x v="2"/>
  </r>
  <r>
    <x v="0"/>
  </r>
  <r>
    <x v="0"/>
  </r>
  <r>
    <x v="2"/>
  </r>
  <r>
    <x v="0"/>
  </r>
  <r>
    <x v="1"/>
  </r>
  <r>
    <x v="1"/>
  </r>
  <r>
    <x v="1"/>
  </r>
  <r>
    <x v="2"/>
  </r>
  <r>
    <x v="1"/>
  </r>
  <r>
    <x v="1"/>
  </r>
  <r>
    <x v="2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1"/>
  </r>
  <r>
    <x v="2"/>
  </r>
  <r>
    <x v="2"/>
  </r>
  <r>
    <x v="0"/>
  </r>
  <r>
    <x v="1"/>
  </r>
  <r>
    <x v="1"/>
  </r>
  <r>
    <x v="2"/>
  </r>
  <r>
    <x v="2"/>
  </r>
  <r>
    <x v="2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1"/>
  </r>
  <r>
    <x v="0"/>
  </r>
  <r>
    <x v="1"/>
  </r>
  <r>
    <x v="2"/>
  </r>
  <r>
    <x v="1"/>
  </r>
  <r>
    <x v="0"/>
  </r>
  <r>
    <x v="1"/>
  </r>
  <r>
    <x v="2"/>
  </r>
  <r>
    <x v="2"/>
  </r>
  <r>
    <x v="1"/>
  </r>
  <r>
    <x v="2"/>
  </r>
  <r>
    <x v="2"/>
  </r>
  <r>
    <x v="1"/>
  </r>
  <r>
    <x v="1"/>
  </r>
  <r>
    <x v="1"/>
  </r>
  <r>
    <x v="2"/>
  </r>
  <r>
    <x v="0"/>
  </r>
  <r>
    <x v="2"/>
  </r>
  <r>
    <x v="0"/>
  </r>
  <r>
    <x v="1"/>
  </r>
  <r>
    <x v="2"/>
  </r>
  <r>
    <x v="0"/>
  </r>
  <r>
    <x v="1"/>
  </r>
  <r>
    <x v="0"/>
  </r>
  <r>
    <x v="1"/>
  </r>
  <r>
    <x v="0"/>
  </r>
  <r>
    <x v="1"/>
  </r>
  <r>
    <x v="1"/>
  </r>
  <r>
    <x v="2"/>
  </r>
  <r>
    <x v="2"/>
  </r>
  <r>
    <x v="0"/>
  </r>
  <r>
    <x v="2"/>
  </r>
  <r>
    <x v="0"/>
  </r>
  <r>
    <x v="0"/>
  </r>
  <r>
    <x v="0"/>
  </r>
  <r>
    <x v="2"/>
  </r>
  <r>
    <x v="2"/>
  </r>
  <r>
    <x v="0"/>
  </r>
  <r>
    <x v="0"/>
  </r>
  <r>
    <x v="0"/>
  </r>
  <r>
    <x v="1"/>
  </r>
  <r>
    <x v="1"/>
  </r>
  <r>
    <x v="0"/>
  </r>
  <r>
    <x v="2"/>
  </r>
  <r>
    <x v="1"/>
  </r>
  <r>
    <x v="2"/>
  </r>
  <r>
    <x v="1"/>
  </r>
  <r>
    <x v="1"/>
  </r>
  <r>
    <x v="2"/>
  </r>
  <r>
    <x v="2"/>
  </r>
  <r>
    <x v="0"/>
  </r>
  <r>
    <x v="1"/>
  </r>
  <r>
    <x v="2"/>
  </r>
  <r>
    <x v="0"/>
  </r>
  <r>
    <x v="0"/>
  </r>
  <r>
    <x v="1"/>
  </r>
  <r>
    <x v="2"/>
  </r>
  <r>
    <x v="2"/>
  </r>
  <r>
    <x v="2"/>
  </r>
  <r>
    <x v="1"/>
  </r>
  <r>
    <x v="0"/>
  </r>
  <r>
    <x v="1"/>
  </r>
  <r>
    <x v="2"/>
  </r>
  <r>
    <x v="0"/>
  </r>
  <r>
    <x v="0"/>
  </r>
  <r>
    <x v="0"/>
  </r>
  <r>
    <x v="1"/>
  </r>
  <r>
    <x v="2"/>
  </r>
  <r>
    <x v="1"/>
  </r>
  <r>
    <x v="2"/>
  </r>
  <r>
    <x v="0"/>
  </r>
  <r>
    <x v="2"/>
  </r>
  <r>
    <x v="2"/>
  </r>
  <r>
    <x v="1"/>
  </r>
  <r>
    <x v="2"/>
  </r>
  <r>
    <x v="0"/>
  </r>
  <r>
    <x v="2"/>
  </r>
  <r>
    <x v="2"/>
  </r>
  <r>
    <x v="2"/>
  </r>
  <r>
    <x v="1"/>
  </r>
  <r>
    <x v="0"/>
  </r>
  <r>
    <x v="1"/>
  </r>
  <r>
    <x v="1"/>
  </r>
  <r>
    <x v="2"/>
  </r>
  <r>
    <x v="2"/>
  </r>
  <r>
    <x v="2"/>
  </r>
  <r>
    <x v="0"/>
  </r>
  <r>
    <x v="2"/>
  </r>
  <r>
    <x v="2"/>
  </r>
  <r>
    <x v="2"/>
  </r>
  <r>
    <x v="0"/>
  </r>
  <r>
    <x v="0"/>
  </r>
  <r>
    <x v="0"/>
  </r>
  <r>
    <x v="1"/>
  </r>
  <r>
    <x v="1"/>
  </r>
  <r>
    <x v="2"/>
  </r>
  <r>
    <x v="1"/>
  </r>
  <r>
    <x v="1"/>
  </r>
  <r>
    <x v="1"/>
  </r>
  <r>
    <x v="2"/>
  </r>
  <r>
    <x v="2"/>
  </r>
  <r>
    <x v="2"/>
  </r>
  <r>
    <x v="1"/>
  </r>
  <r>
    <x v="1"/>
  </r>
  <r>
    <x v="2"/>
  </r>
  <r>
    <x v="1"/>
  </r>
  <r>
    <x v="0"/>
  </r>
  <r>
    <x v="0"/>
  </r>
  <r>
    <x v="0"/>
  </r>
  <r>
    <x v="2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2"/>
  </r>
  <r>
    <x v="1"/>
  </r>
  <r>
    <x v="0"/>
  </r>
  <r>
    <x v="0"/>
  </r>
  <r>
    <x v="2"/>
  </r>
  <r>
    <x v="1"/>
  </r>
  <r>
    <x v="1"/>
  </r>
  <r>
    <x v="2"/>
  </r>
  <r>
    <x v="2"/>
  </r>
  <r>
    <x v="2"/>
  </r>
  <r>
    <x v="1"/>
  </r>
  <r>
    <x v="1"/>
  </r>
  <r>
    <x v="0"/>
  </r>
  <r>
    <x v="2"/>
  </r>
  <r>
    <x v="1"/>
  </r>
  <r>
    <x v="0"/>
  </r>
  <r>
    <x v="2"/>
  </r>
  <r>
    <x v="2"/>
  </r>
  <r>
    <x v="2"/>
  </r>
  <r>
    <x v="2"/>
  </r>
  <r>
    <x v="2"/>
  </r>
  <r>
    <x v="0"/>
  </r>
  <r>
    <x v="2"/>
  </r>
  <r>
    <x v="2"/>
  </r>
  <r>
    <x v="0"/>
  </r>
  <r>
    <x v="0"/>
  </r>
  <r>
    <x v="2"/>
  </r>
  <r>
    <x v="0"/>
  </r>
  <r>
    <x v="2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2"/>
  </r>
  <r>
    <x v="1"/>
  </r>
  <r>
    <x v="0"/>
  </r>
  <r>
    <x v="1"/>
  </r>
  <r>
    <x v="0"/>
  </r>
  <r>
    <x v="0"/>
  </r>
  <r>
    <x v="0"/>
  </r>
  <r>
    <x v="2"/>
  </r>
  <r>
    <x v="2"/>
  </r>
  <r>
    <x v="2"/>
  </r>
  <r>
    <x v="1"/>
  </r>
  <r>
    <x v="0"/>
  </r>
  <r>
    <x v="1"/>
  </r>
  <r>
    <x v="2"/>
  </r>
  <r>
    <x v="2"/>
  </r>
  <r>
    <x v="0"/>
  </r>
  <r>
    <x v="0"/>
  </r>
  <r>
    <x v="1"/>
  </r>
  <r>
    <x v="2"/>
  </r>
  <r>
    <x v="2"/>
  </r>
  <r>
    <x v="1"/>
  </r>
  <r>
    <x v="2"/>
  </r>
  <r>
    <x v="1"/>
  </r>
  <r>
    <x v="2"/>
  </r>
  <r>
    <x v="2"/>
  </r>
  <r>
    <x v="2"/>
  </r>
  <r>
    <x v="1"/>
  </r>
  <r>
    <x v="0"/>
  </r>
  <r>
    <x v="1"/>
  </r>
  <r>
    <x v="1"/>
  </r>
  <r>
    <x v="2"/>
  </r>
  <r>
    <x v="0"/>
  </r>
  <r>
    <x v="0"/>
  </r>
  <r>
    <x v="2"/>
  </r>
  <r>
    <x v="0"/>
  </r>
  <r>
    <x v="1"/>
  </r>
  <r>
    <x v="1"/>
  </r>
  <r>
    <x v="1"/>
  </r>
  <r>
    <x v="0"/>
  </r>
  <r>
    <x v="2"/>
  </r>
  <r>
    <x v="1"/>
  </r>
  <r>
    <x v="2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2"/>
  </r>
  <r>
    <x v="2"/>
  </r>
  <r>
    <x v="0"/>
  </r>
  <r>
    <x v="0"/>
  </r>
  <r>
    <x v="2"/>
  </r>
  <r>
    <x v="0"/>
  </r>
  <r>
    <x v="2"/>
  </r>
  <r>
    <x v="0"/>
  </r>
  <r>
    <x v="2"/>
  </r>
  <r>
    <x v="1"/>
  </r>
  <r>
    <x v="2"/>
  </r>
  <r>
    <x v="1"/>
  </r>
  <r>
    <x v="1"/>
  </r>
  <r>
    <x v="0"/>
  </r>
  <r>
    <x v="0"/>
  </r>
  <r>
    <x v="2"/>
  </r>
  <r>
    <x v="1"/>
  </r>
  <r>
    <x v="2"/>
  </r>
  <r>
    <x v="1"/>
  </r>
  <r>
    <x v="2"/>
  </r>
  <r>
    <x v="1"/>
  </r>
  <r>
    <x v="2"/>
  </r>
  <r>
    <x v="2"/>
  </r>
  <r>
    <x v="1"/>
  </r>
  <r>
    <x v="2"/>
  </r>
  <r>
    <x v="2"/>
  </r>
  <r>
    <x v="0"/>
  </r>
  <r>
    <x v="1"/>
  </r>
  <r>
    <x v="0"/>
  </r>
  <r>
    <x v="2"/>
  </r>
  <r>
    <x v="0"/>
  </r>
  <r>
    <x v="0"/>
  </r>
  <r>
    <x v="1"/>
  </r>
  <r>
    <x v="1"/>
  </r>
  <r>
    <x v="2"/>
  </r>
  <r>
    <x v="2"/>
  </r>
  <r>
    <x v="1"/>
  </r>
  <r>
    <x v="0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0"/>
  </r>
  <r>
    <x v="2"/>
  </r>
  <r>
    <x v="1"/>
  </r>
  <r>
    <x v="0"/>
  </r>
  <r>
    <x v="1"/>
  </r>
  <r>
    <x v="1"/>
  </r>
  <r>
    <x v="2"/>
  </r>
  <r>
    <x v="1"/>
  </r>
  <r>
    <x v="2"/>
  </r>
  <r>
    <x v="0"/>
  </r>
  <r>
    <x v="1"/>
  </r>
  <r>
    <x v="2"/>
  </r>
  <r>
    <x v="2"/>
  </r>
  <r>
    <x v="0"/>
  </r>
  <r>
    <x v="0"/>
  </r>
  <r>
    <x v="1"/>
  </r>
  <r>
    <x v="1"/>
  </r>
  <r>
    <x v="2"/>
  </r>
  <r>
    <x v="2"/>
  </r>
  <r>
    <x v="1"/>
  </r>
  <r>
    <x v="2"/>
  </r>
  <r>
    <x v="1"/>
  </r>
  <r>
    <x v="0"/>
  </r>
  <r>
    <x v="1"/>
  </r>
  <r>
    <x v="2"/>
  </r>
  <r>
    <x v="2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0"/>
  </r>
  <r>
    <x v="2"/>
  </r>
  <r>
    <x v="1"/>
  </r>
  <r>
    <x v="2"/>
  </r>
  <r>
    <x v="0"/>
  </r>
  <r>
    <x v="1"/>
  </r>
  <r>
    <x v="0"/>
  </r>
  <r>
    <x v="2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1"/>
  </r>
  <r>
    <x v="0"/>
  </r>
  <r>
    <x v="0"/>
  </r>
  <r>
    <x v="2"/>
  </r>
  <r>
    <x v="2"/>
  </r>
  <r>
    <x v="1"/>
  </r>
  <r>
    <x v="1"/>
  </r>
  <r>
    <x v="0"/>
  </r>
  <r>
    <x v="2"/>
  </r>
  <r>
    <x v="2"/>
  </r>
  <r>
    <x v="1"/>
  </r>
  <r>
    <x v="2"/>
  </r>
  <r>
    <x v="2"/>
  </r>
  <r>
    <x v="0"/>
  </r>
  <r>
    <x v="1"/>
  </r>
  <r>
    <x v="0"/>
  </r>
  <r>
    <x v="0"/>
  </r>
  <r>
    <x v="2"/>
  </r>
  <r>
    <x v="0"/>
  </r>
  <r>
    <x v="2"/>
  </r>
  <r>
    <x v="2"/>
  </r>
  <r>
    <x v="0"/>
  </r>
  <r>
    <x v="1"/>
  </r>
  <r>
    <x v="2"/>
  </r>
  <r>
    <x v="2"/>
  </r>
  <r>
    <x v="2"/>
  </r>
  <r>
    <x v="1"/>
  </r>
  <r>
    <x v="1"/>
  </r>
  <r>
    <x v="1"/>
  </r>
  <r>
    <x v="2"/>
  </r>
  <r>
    <x v="1"/>
  </r>
  <r>
    <x v="2"/>
  </r>
  <r>
    <x v="0"/>
  </r>
  <r>
    <x v="2"/>
  </r>
  <r>
    <x v="1"/>
  </r>
  <r>
    <x v="1"/>
  </r>
  <r>
    <x v="1"/>
  </r>
  <r>
    <x v="0"/>
  </r>
  <r>
    <x v="0"/>
  </r>
  <r>
    <x v="0"/>
  </r>
  <r>
    <x v="0"/>
  </r>
  <r>
    <x v="1"/>
  </r>
  <r>
    <x v="2"/>
  </r>
  <r>
    <x v="1"/>
  </r>
  <r>
    <x v="0"/>
  </r>
  <r>
    <x v="2"/>
  </r>
  <r>
    <x v="1"/>
  </r>
  <r>
    <x v="2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2"/>
  </r>
  <r>
    <x v="0"/>
  </r>
  <r>
    <x v="2"/>
  </r>
  <r>
    <x v="1"/>
  </r>
  <r>
    <x v="1"/>
  </r>
  <r>
    <x v="0"/>
  </r>
  <r>
    <x v="1"/>
  </r>
  <r>
    <x v="1"/>
  </r>
  <r>
    <x v="0"/>
  </r>
  <r>
    <x v="0"/>
  </r>
  <r>
    <x v="2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2"/>
  </r>
  <r>
    <x v="1"/>
  </r>
  <r>
    <x v="1"/>
  </r>
  <r>
    <x v="1"/>
  </r>
  <r>
    <x v="2"/>
  </r>
  <r>
    <x v="0"/>
  </r>
  <r>
    <x v="0"/>
  </r>
  <r>
    <x v="1"/>
  </r>
  <r>
    <x v="1"/>
  </r>
  <r>
    <x v="2"/>
  </r>
  <r>
    <x v="0"/>
  </r>
  <r>
    <x v="2"/>
  </r>
  <r>
    <x v="0"/>
  </r>
  <r>
    <x v="0"/>
  </r>
  <r>
    <x v="2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2"/>
  </r>
  <r>
    <x v="1"/>
  </r>
  <r>
    <x v="1"/>
  </r>
  <r>
    <x v="0"/>
  </r>
  <r>
    <x v="1"/>
  </r>
  <r>
    <x v="0"/>
  </r>
  <r>
    <x v="1"/>
  </r>
  <r>
    <x v="2"/>
  </r>
  <r>
    <x v="0"/>
  </r>
  <r>
    <x v="0"/>
  </r>
  <r>
    <x v="1"/>
  </r>
  <r>
    <x v="2"/>
  </r>
  <r>
    <x v="2"/>
  </r>
  <r>
    <x v="2"/>
  </r>
  <r>
    <x v="1"/>
  </r>
  <r>
    <x v="2"/>
  </r>
  <r>
    <x v="0"/>
  </r>
  <r>
    <x v="0"/>
  </r>
  <r>
    <x v="2"/>
  </r>
  <r>
    <x v="2"/>
  </r>
  <r>
    <x v="0"/>
  </r>
  <r>
    <x v="0"/>
  </r>
  <r>
    <x v="0"/>
  </r>
  <r>
    <x v="0"/>
  </r>
  <r>
    <x v="0"/>
  </r>
  <r>
    <x v="2"/>
  </r>
  <r>
    <x v="1"/>
  </r>
  <r>
    <x v="2"/>
  </r>
  <r>
    <x v="2"/>
  </r>
  <r>
    <x v="1"/>
  </r>
  <r>
    <x v="2"/>
  </r>
  <r>
    <x v="1"/>
  </r>
  <r>
    <x v="1"/>
  </r>
  <r>
    <x v="1"/>
  </r>
  <r>
    <x v="1"/>
  </r>
  <r>
    <x v="2"/>
  </r>
  <r>
    <x v="2"/>
  </r>
  <r>
    <x v="1"/>
  </r>
  <r>
    <x v="2"/>
  </r>
  <r>
    <x v="0"/>
  </r>
  <r>
    <x v="2"/>
  </r>
  <r>
    <x v="1"/>
  </r>
  <r>
    <x v="0"/>
  </r>
  <r>
    <x v="1"/>
  </r>
  <r>
    <x v="1"/>
  </r>
  <r>
    <x v="0"/>
  </r>
  <r>
    <x v="2"/>
  </r>
  <r>
    <x v="0"/>
  </r>
  <r>
    <x v="2"/>
  </r>
  <r>
    <x v="2"/>
  </r>
  <r>
    <x v="1"/>
  </r>
  <r>
    <x v="1"/>
  </r>
  <r>
    <x v="2"/>
  </r>
  <r>
    <x v="1"/>
  </r>
  <r>
    <x v="1"/>
  </r>
  <r>
    <x v="1"/>
  </r>
  <r>
    <x v="1"/>
  </r>
  <r>
    <x v="2"/>
  </r>
  <r>
    <x v="0"/>
  </r>
  <r>
    <x v="1"/>
  </r>
  <r>
    <x v="0"/>
  </r>
  <r>
    <x v="2"/>
  </r>
  <r>
    <x v="2"/>
  </r>
  <r>
    <x v="0"/>
  </r>
  <r>
    <x v="0"/>
  </r>
  <r>
    <x v="0"/>
  </r>
  <r>
    <x v="1"/>
  </r>
  <r>
    <x v="1"/>
  </r>
  <r>
    <x v="2"/>
  </r>
  <r>
    <x v="1"/>
  </r>
  <r>
    <x v="0"/>
  </r>
  <r>
    <x v="2"/>
  </r>
  <r>
    <x v="1"/>
  </r>
  <r>
    <x v="1"/>
  </r>
  <r>
    <x v="0"/>
  </r>
  <r>
    <x v="1"/>
  </r>
  <r>
    <x v="2"/>
  </r>
  <r>
    <x v="1"/>
  </r>
  <r>
    <x v="1"/>
  </r>
  <r>
    <x v="1"/>
  </r>
  <r>
    <x v="2"/>
  </r>
  <r>
    <x v="0"/>
  </r>
  <r>
    <x v="1"/>
  </r>
  <r>
    <x v="2"/>
  </r>
  <r>
    <x v="0"/>
  </r>
  <r>
    <x v="2"/>
  </r>
  <r>
    <x v="1"/>
  </r>
  <r>
    <x v="1"/>
  </r>
  <r>
    <x v="1"/>
  </r>
  <r>
    <x v="1"/>
  </r>
  <r>
    <x v="1"/>
  </r>
  <r>
    <x v="0"/>
  </r>
  <r>
    <x v="1"/>
  </r>
  <r>
    <x v="0"/>
  </r>
  <r>
    <x v="0"/>
  </r>
  <r>
    <x v="2"/>
  </r>
  <r>
    <x v="1"/>
  </r>
  <r>
    <x v="2"/>
  </r>
  <r>
    <x v="0"/>
  </r>
  <r>
    <x v="1"/>
  </r>
  <r>
    <x v="0"/>
  </r>
  <r>
    <x v="2"/>
  </r>
  <r>
    <x v="2"/>
  </r>
  <r>
    <x v="0"/>
  </r>
  <r>
    <x v="2"/>
  </r>
  <r>
    <x v="0"/>
  </r>
  <r>
    <x v="1"/>
  </r>
  <r>
    <x v="2"/>
  </r>
  <r>
    <x v="2"/>
  </r>
  <r>
    <x v="2"/>
  </r>
  <r>
    <x v="1"/>
  </r>
  <r>
    <x v="0"/>
  </r>
  <r>
    <x v="0"/>
  </r>
  <r>
    <x v="1"/>
  </r>
  <r>
    <x v="2"/>
  </r>
  <r>
    <x v="0"/>
  </r>
  <r>
    <x v="1"/>
  </r>
  <r>
    <x v="1"/>
  </r>
  <r>
    <x v="1"/>
  </r>
  <r>
    <x v="1"/>
  </r>
  <r>
    <x v="1"/>
  </r>
  <r>
    <x v="2"/>
  </r>
  <r>
    <x v="0"/>
  </r>
  <r>
    <x v="2"/>
  </r>
  <r>
    <x v="0"/>
  </r>
  <r>
    <x v="0"/>
  </r>
  <r>
    <x v="1"/>
  </r>
  <r>
    <x v="2"/>
  </r>
  <r>
    <x v="0"/>
  </r>
  <r>
    <x v="1"/>
  </r>
  <r>
    <x v="1"/>
  </r>
  <r>
    <x v="0"/>
  </r>
  <r>
    <x v="2"/>
  </r>
  <r>
    <x v="2"/>
  </r>
  <r>
    <x v="0"/>
  </r>
  <r>
    <x v="1"/>
  </r>
  <r>
    <x v="2"/>
  </r>
  <r>
    <x v="1"/>
  </r>
  <r>
    <x v="1"/>
  </r>
  <r>
    <x v="0"/>
  </r>
  <r>
    <x v="1"/>
  </r>
  <r>
    <x v="0"/>
  </r>
  <r>
    <x v="2"/>
  </r>
  <r>
    <x v="1"/>
  </r>
  <r>
    <x v="0"/>
  </r>
  <r>
    <x v="2"/>
  </r>
  <r>
    <x v="0"/>
  </r>
  <r>
    <x v="1"/>
  </r>
  <r>
    <x v="1"/>
  </r>
  <r>
    <x v="0"/>
  </r>
  <r>
    <x v="2"/>
  </r>
  <r>
    <x v="2"/>
  </r>
  <r>
    <x v="0"/>
  </r>
  <r>
    <x v="2"/>
  </r>
  <r>
    <x v="1"/>
  </r>
  <r>
    <x v="2"/>
  </r>
  <r>
    <x v="1"/>
  </r>
  <r>
    <x v="1"/>
  </r>
  <r>
    <x v="1"/>
  </r>
  <r>
    <x v="1"/>
  </r>
  <r>
    <x v="1"/>
  </r>
  <r>
    <x v="0"/>
  </r>
  <r>
    <x v="2"/>
  </r>
  <r>
    <x v="1"/>
  </r>
  <r>
    <x v="2"/>
  </r>
  <r>
    <x v="0"/>
  </r>
  <r>
    <x v="1"/>
  </r>
  <r>
    <x v="2"/>
  </r>
  <r>
    <x v="1"/>
  </r>
  <r>
    <x v="2"/>
  </r>
  <r>
    <x v="2"/>
  </r>
  <r>
    <x v="1"/>
  </r>
  <r>
    <x v="1"/>
  </r>
  <r>
    <x v="0"/>
  </r>
  <r>
    <x v="1"/>
  </r>
  <r>
    <x v="0"/>
  </r>
  <r>
    <x v="2"/>
  </r>
  <r>
    <x v="1"/>
  </r>
  <r>
    <x v="1"/>
  </r>
  <r>
    <x v="0"/>
  </r>
  <r>
    <x v="2"/>
  </r>
  <r>
    <x v="0"/>
  </r>
  <r>
    <x v="0"/>
  </r>
  <r>
    <x v="0"/>
  </r>
  <r>
    <x v="2"/>
  </r>
  <r>
    <x v="2"/>
  </r>
  <r>
    <x v="1"/>
  </r>
  <r>
    <x v="2"/>
  </r>
  <r>
    <x v="0"/>
  </r>
  <r>
    <x v="2"/>
  </r>
  <r>
    <x v="0"/>
  </r>
  <r>
    <x v="0"/>
  </r>
  <r>
    <x v="0"/>
  </r>
  <r>
    <x v="1"/>
  </r>
  <r>
    <x v="2"/>
  </r>
  <r>
    <x v="1"/>
  </r>
  <r>
    <x v="2"/>
  </r>
  <r>
    <x v="1"/>
  </r>
  <r>
    <x v="0"/>
  </r>
  <r>
    <x v="1"/>
  </r>
  <r>
    <x v="1"/>
  </r>
  <r>
    <x v="2"/>
  </r>
  <r>
    <x v="1"/>
  </r>
  <r>
    <x v="1"/>
  </r>
  <r>
    <x v="0"/>
  </r>
  <r>
    <x v="1"/>
  </r>
  <r>
    <x v="2"/>
  </r>
  <r>
    <x v="0"/>
  </r>
  <r>
    <x v="2"/>
  </r>
  <r>
    <x v="1"/>
  </r>
  <r>
    <x v="0"/>
  </r>
  <r>
    <x v="2"/>
  </r>
  <r>
    <x v="1"/>
  </r>
  <r>
    <x v="1"/>
  </r>
  <r>
    <x v="0"/>
  </r>
  <r>
    <x v="0"/>
  </r>
  <r>
    <x v="2"/>
  </r>
  <r>
    <x v="1"/>
  </r>
  <r>
    <x v="2"/>
  </r>
  <r>
    <x v="0"/>
  </r>
  <r>
    <x v="0"/>
  </r>
  <r>
    <x v="0"/>
  </r>
  <r>
    <x v="1"/>
  </r>
  <r>
    <x v="2"/>
  </r>
  <r>
    <x v="1"/>
  </r>
  <r>
    <x v="1"/>
  </r>
  <r>
    <x v="2"/>
  </r>
  <r>
    <x v="2"/>
  </r>
  <r>
    <x v="0"/>
  </r>
  <r>
    <x v="2"/>
  </r>
  <r>
    <x v="1"/>
  </r>
  <r>
    <x v="0"/>
  </r>
  <r>
    <x v="0"/>
  </r>
  <r>
    <x v="1"/>
  </r>
  <r>
    <x v="1"/>
  </r>
  <r>
    <x v="0"/>
  </r>
  <r>
    <x v="0"/>
  </r>
  <r>
    <x v="2"/>
  </r>
  <r>
    <x v="2"/>
  </r>
  <r>
    <x v="2"/>
  </r>
  <r>
    <x v="0"/>
  </r>
  <r>
    <x v="0"/>
  </r>
  <r>
    <x v="0"/>
  </r>
  <r>
    <x v="0"/>
  </r>
  <r>
    <x v="1"/>
  </r>
  <r>
    <x v="1"/>
  </r>
  <r>
    <x v="2"/>
  </r>
  <r>
    <x v="1"/>
  </r>
  <r>
    <x v="0"/>
  </r>
  <r>
    <x v="1"/>
  </r>
  <r>
    <x v="1"/>
  </r>
  <r>
    <x v="1"/>
  </r>
  <r>
    <x v="0"/>
  </r>
  <r>
    <x v="1"/>
  </r>
  <r>
    <x v="0"/>
  </r>
  <r>
    <x v="0"/>
  </r>
  <r>
    <x v="2"/>
  </r>
  <r>
    <x v="2"/>
  </r>
  <r>
    <x v="0"/>
  </r>
  <r>
    <x v="0"/>
  </r>
  <r>
    <x v="2"/>
  </r>
  <r>
    <x v="0"/>
  </r>
  <r>
    <x v="1"/>
  </r>
  <r>
    <x v="0"/>
  </r>
  <r>
    <x v="0"/>
  </r>
  <r>
    <x v="2"/>
  </r>
  <r>
    <x v="2"/>
  </r>
  <r>
    <x v="0"/>
  </r>
  <r>
    <x v="1"/>
  </r>
  <r>
    <x v="0"/>
  </r>
  <r>
    <x v="0"/>
  </r>
  <r>
    <x v="2"/>
  </r>
  <r>
    <x v="1"/>
  </r>
  <r>
    <x v="1"/>
  </r>
  <r>
    <x v="2"/>
  </r>
  <r>
    <x v="2"/>
  </r>
  <r>
    <x v="2"/>
  </r>
  <r>
    <x v="0"/>
  </r>
  <r>
    <x v="0"/>
  </r>
  <r>
    <x v="1"/>
  </r>
  <r>
    <x v="1"/>
  </r>
  <r>
    <x v="2"/>
  </r>
  <r>
    <x v="1"/>
  </r>
  <r>
    <x v="2"/>
  </r>
  <r>
    <x v="0"/>
  </r>
  <r>
    <x v="2"/>
  </r>
  <r>
    <x v="1"/>
  </r>
  <r>
    <x v="2"/>
  </r>
  <r>
    <x v="0"/>
  </r>
  <r>
    <x v="1"/>
  </r>
  <r>
    <x v="2"/>
  </r>
  <r>
    <x v="1"/>
  </r>
  <r>
    <x v="1"/>
  </r>
  <r>
    <x v="2"/>
  </r>
  <r>
    <x v="1"/>
  </r>
  <r>
    <x v="1"/>
  </r>
  <r>
    <x v="0"/>
  </r>
  <r>
    <x v="2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2"/>
  </r>
  <r>
    <x v="0"/>
  </r>
  <r>
    <x v="0"/>
  </r>
  <r>
    <x v="0"/>
  </r>
  <r>
    <x v="1"/>
  </r>
  <r>
    <x v="2"/>
  </r>
  <r>
    <x v="0"/>
  </r>
  <r>
    <x v="0"/>
  </r>
  <r>
    <x v="0"/>
  </r>
  <r>
    <x v="1"/>
  </r>
  <r>
    <x v="1"/>
  </r>
  <r>
    <x v="1"/>
  </r>
  <r>
    <x v="2"/>
  </r>
  <r>
    <x v="1"/>
  </r>
  <r>
    <x v="0"/>
  </r>
  <r>
    <x v="0"/>
  </r>
  <r>
    <x v="1"/>
  </r>
  <r>
    <x v="1"/>
  </r>
  <r>
    <x v="1"/>
  </r>
  <r>
    <x v="1"/>
  </r>
  <r>
    <x v="1"/>
  </r>
  <r>
    <x v="2"/>
  </r>
  <r>
    <x v="1"/>
  </r>
  <r>
    <x v="2"/>
  </r>
  <r>
    <x v="0"/>
  </r>
  <r>
    <x v="1"/>
  </r>
  <r>
    <x v="2"/>
  </r>
  <r>
    <x v="1"/>
  </r>
  <r>
    <x v="2"/>
  </r>
  <r>
    <x v="2"/>
  </r>
  <r>
    <x v="0"/>
  </r>
  <r>
    <x v="1"/>
  </r>
  <r>
    <x v="0"/>
  </r>
  <r>
    <x v="2"/>
  </r>
  <r>
    <x v="2"/>
  </r>
  <r>
    <x v="0"/>
  </r>
  <r>
    <x v="0"/>
  </r>
  <r>
    <x v="1"/>
  </r>
  <r>
    <x v="1"/>
  </r>
  <r>
    <x v="0"/>
  </r>
  <r>
    <x v="1"/>
  </r>
  <r>
    <x v="1"/>
  </r>
  <r>
    <x v="0"/>
  </r>
  <r>
    <x v="2"/>
  </r>
  <r>
    <x v="2"/>
  </r>
  <r>
    <x v="2"/>
  </r>
  <r>
    <x v="2"/>
  </r>
  <r>
    <x v="0"/>
  </r>
  <r>
    <x v="0"/>
  </r>
  <r>
    <x v="0"/>
  </r>
  <r>
    <x v="2"/>
  </r>
  <r>
    <x v="2"/>
  </r>
  <r>
    <x v="2"/>
  </r>
  <r>
    <x v="2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2"/>
  </r>
  <r>
    <x v="2"/>
  </r>
  <r>
    <x v="0"/>
  </r>
  <r>
    <x v="0"/>
  </r>
  <r>
    <x v="0"/>
  </r>
  <r>
    <x v="0"/>
  </r>
  <r>
    <x v="2"/>
  </r>
  <r>
    <x v="1"/>
  </r>
  <r>
    <x v="0"/>
  </r>
  <r>
    <x v="0"/>
  </r>
  <r>
    <x v="0"/>
  </r>
  <r>
    <x v="1"/>
  </r>
  <r>
    <x v="2"/>
  </r>
  <r>
    <x v="2"/>
  </r>
  <r>
    <x v="2"/>
  </r>
  <r>
    <x v="0"/>
  </r>
  <r>
    <x v="1"/>
  </r>
  <r>
    <x v="0"/>
  </r>
  <r>
    <x v="1"/>
  </r>
  <r>
    <x v="2"/>
  </r>
  <r>
    <x v="1"/>
  </r>
  <r>
    <x v="2"/>
  </r>
  <r>
    <x v="1"/>
  </r>
  <r>
    <x v="0"/>
  </r>
  <r>
    <x v="0"/>
  </r>
  <r>
    <x v="1"/>
  </r>
  <r>
    <x v="2"/>
  </r>
  <r>
    <x v="0"/>
  </r>
  <r>
    <x v="2"/>
  </r>
  <r>
    <x v="2"/>
  </r>
  <r>
    <x v="1"/>
  </r>
  <r>
    <x v="2"/>
  </r>
  <r>
    <x v="1"/>
  </r>
  <r>
    <x v="1"/>
  </r>
  <r>
    <x v="2"/>
  </r>
  <r>
    <x v="2"/>
  </r>
  <r>
    <x v="1"/>
  </r>
  <r>
    <x v="1"/>
  </r>
  <r>
    <x v="0"/>
  </r>
  <r>
    <x v="0"/>
  </r>
  <r>
    <x v="1"/>
  </r>
  <r>
    <x v="2"/>
  </r>
  <r>
    <x v="1"/>
  </r>
  <r>
    <x v="0"/>
  </r>
  <r>
    <x v="0"/>
  </r>
  <r>
    <x v="1"/>
  </r>
  <r>
    <x v="0"/>
  </r>
  <r>
    <x v="0"/>
  </r>
  <r>
    <x v="2"/>
  </r>
  <r>
    <x v="0"/>
  </r>
  <r>
    <x v="1"/>
  </r>
  <r>
    <x v="2"/>
  </r>
  <r>
    <x v="0"/>
  </r>
  <r>
    <x v="1"/>
  </r>
  <r>
    <x v="1"/>
  </r>
  <r>
    <x v="1"/>
  </r>
  <r>
    <x v="1"/>
  </r>
  <r>
    <x v="1"/>
  </r>
  <r>
    <x v="2"/>
  </r>
  <r>
    <x v="2"/>
  </r>
  <r>
    <x v="1"/>
  </r>
  <r>
    <x v="0"/>
  </r>
  <r>
    <x v="0"/>
  </r>
  <r>
    <x v="0"/>
  </r>
  <r>
    <x v="1"/>
  </r>
  <r>
    <x v="0"/>
  </r>
  <r>
    <x v="1"/>
  </r>
  <r>
    <x v="2"/>
  </r>
  <r>
    <x v="0"/>
  </r>
  <r>
    <x v="2"/>
  </r>
  <r>
    <x v="2"/>
  </r>
  <r>
    <x v="0"/>
  </r>
  <r>
    <x v="2"/>
  </r>
  <r>
    <x v="2"/>
  </r>
  <r>
    <x v="1"/>
  </r>
  <r>
    <x v="0"/>
  </r>
  <r>
    <x v="1"/>
  </r>
  <r>
    <x v="2"/>
  </r>
  <r>
    <x v="1"/>
  </r>
  <r>
    <x v="0"/>
  </r>
  <r>
    <x v="1"/>
  </r>
  <r>
    <x v="1"/>
  </r>
  <r>
    <x v="1"/>
  </r>
  <r>
    <x v="2"/>
  </r>
  <r>
    <x v="1"/>
  </r>
  <r>
    <x v="2"/>
  </r>
  <r>
    <x v="2"/>
  </r>
  <r>
    <x v="1"/>
  </r>
  <r>
    <x v="0"/>
  </r>
  <r>
    <x v="2"/>
  </r>
  <r>
    <x v="2"/>
  </r>
  <r>
    <x v="0"/>
  </r>
  <r>
    <x v="1"/>
  </r>
  <r>
    <x v="0"/>
  </r>
  <r>
    <x v="2"/>
  </r>
  <r>
    <x v="2"/>
  </r>
  <r>
    <x v="0"/>
  </r>
  <r>
    <x v="2"/>
  </r>
  <r>
    <x v="0"/>
  </r>
  <r>
    <x v="2"/>
  </r>
  <r>
    <x v="1"/>
  </r>
  <r>
    <x v="1"/>
  </r>
  <r>
    <x v="0"/>
  </r>
  <r>
    <x v="0"/>
  </r>
  <r>
    <x v="1"/>
  </r>
  <r>
    <x v="1"/>
  </r>
  <r>
    <x v="0"/>
  </r>
  <r>
    <x v="0"/>
  </r>
  <r>
    <x v="0"/>
  </r>
  <r>
    <x v="2"/>
  </r>
  <r>
    <x v="2"/>
  </r>
  <r>
    <x v="0"/>
  </r>
  <r>
    <x v="1"/>
  </r>
  <r>
    <x v="0"/>
  </r>
  <r>
    <x v="2"/>
  </r>
  <r>
    <x v="2"/>
  </r>
  <r>
    <x v="1"/>
  </r>
  <r>
    <x v="2"/>
  </r>
  <r>
    <x v="2"/>
  </r>
  <r>
    <x v="2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2"/>
  </r>
  <r>
    <x v="2"/>
  </r>
  <r>
    <x v="1"/>
  </r>
  <r>
    <x v="1"/>
  </r>
  <r>
    <x v="1"/>
  </r>
  <r>
    <x v="0"/>
  </r>
  <r>
    <x v="2"/>
  </r>
  <r>
    <x v="0"/>
  </r>
  <r>
    <x v="0"/>
  </r>
  <r>
    <x v="2"/>
  </r>
  <r>
    <x v="0"/>
  </r>
  <r>
    <x v="1"/>
  </r>
  <r>
    <x v="0"/>
  </r>
  <r>
    <x v="0"/>
  </r>
  <r>
    <x v="0"/>
  </r>
  <r>
    <x v="0"/>
  </r>
  <r>
    <x v="1"/>
  </r>
  <r>
    <x v="2"/>
  </r>
  <r>
    <x v="1"/>
  </r>
  <r>
    <x v="2"/>
  </r>
  <r>
    <x v="0"/>
  </r>
  <r>
    <x v="1"/>
  </r>
  <r>
    <x v="0"/>
  </r>
  <r>
    <x v="1"/>
  </r>
  <r>
    <x v="1"/>
  </r>
  <r>
    <x v="1"/>
  </r>
  <r>
    <x v="2"/>
  </r>
  <r>
    <x v="1"/>
  </r>
  <r>
    <x v="1"/>
  </r>
  <r>
    <x v="2"/>
  </r>
  <r>
    <x v="0"/>
  </r>
  <r>
    <x v="1"/>
  </r>
  <r>
    <x v="2"/>
  </r>
  <r>
    <x v="1"/>
  </r>
  <r>
    <x v="0"/>
  </r>
  <r>
    <x v="1"/>
  </r>
  <r>
    <x v="1"/>
  </r>
  <r>
    <x v="1"/>
  </r>
  <r>
    <x v="0"/>
  </r>
  <r>
    <x v="2"/>
  </r>
  <r>
    <x v="2"/>
  </r>
  <r>
    <x v="1"/>
  </r>
  <r>
    <x v="1"/>
  </r>
  <r>
    <x v="2"/>
  </r>
  <r>
    <x v="0"/>
  </r>
  <r>
    <x v="0"/>
  </r>
  <r>
    <x v="1"/>
  </r>
  <r>
    <x v="2"/>
  </r>
  <r>
    <x v="0"/>
  </r>
  <r>
    <x v="2"/>
  </r>
  <r>
    <x v="1"/>
  </r>
  <r>
    <x v="1"/>
  </r>
  <r>
    <x v="0"/>
  </r>
  <r>
    <x v="0"/>
  </r>
  <r>
    <x v="2"/>
  </r>
  <r>
    <x v="2"/>
  </r>
  <r>
    <x v="1"/>
  </r>
  <r>
    <x v="2"/>
  </r>
  <r>
    <x v="2"/>
  </r>
  <r>
    <x v="1"/>
  </r>
  <r>
    <x v="1"/>
  </r>
  <r>
    <x v="1"/>
  </r>
  <r>
    <x v="1"/>
  </r>
  <r>
    <x v="0"/>
  </r>
  <r>
    <x v="1"/>
  </r>
  <r>
    <x v="0"/>
  </r>
  <r>
    <x v="2"/>
  </r>
  <r>
    <x v="2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2"/>
  </r>
  <r>
    <x v="2"/>
  </r>
  <r>
    <x v="1"/>
  </r>
  <r>
    <x v="1"/>
  </r>
  <r>
    <x v="0"/>
  </r>
  <r>
    <x v="1"/>
  </r>
  <r>
    <x v="0"/>
  </r>
  <r>
    <x v="1"/>
  </r>
  <r>
    <x v="2"/>
  </r>
  <r>
    <x v="0"/>
  </r>
  <r>
    <x v="2"/>
  </r>
  <r>
    <x v="0"/>
  </r>
  <r>
    <x v="1"/>
  </r>
  <r>
    <x v="0"/>
  </r>
  <r>
    <x v="1"/>
  </r>
  <r>
    <x v="0"/>
  </r>
  <r>
    <x v="1"/>
  </r>
  <r>
    <x v="1"/>
  </r>
  <r>
    <x v="1"/>
  </r>
  <r>
    <x v="1"/>
  </r>
  <r>
    <x v="2"/>
  </r>
  <r>
    <x v="1"/>
  </r>
  <r>
    <x v="0"/>
  </r>
  <r>
    <x v="0"/>
  </r>
  <r>
    <x v="2"/>
  </r>
  <r>
    <x v="1"/>
  </r>
  <r>
    <x v="1"/>
  </r>
  <r>
    <x v="0"/>
  </r>
  <r>
    <x v="1"/>
  </r>
  <r>
    <x v="0"/>
  </r>
  <r>
    <x v="2"/>
  </r>
  <r>
    <x v="2"/>
  </r>
  <r>
    <x v="0"/>
  </r>
  <r>
    <x v="1"/>
  </r>
  <r>
    <x v="0"/>
  </r>
  <r>
    <x v="1"/>
  </r>
  <r>
    <x v="2"/>
  </r>
  <r>
    <x v="1"/>
  </r>
  <r>
    <x v="1"/>
  </r>
  <r>
    <x v="0"/>
  </r>
  <r>
    <x v="2"/>
  </r>
  <r>
    <x v="1"/>
  </r>
  <r>
    <x v="1"/>
  </r>
  <r>
    <x v="0"/>
  </r>
  <r>
    <x v="1"/>
  </r>
  <r>
    <x v="2"/>
  </r>
  <r>
    <x v="1"/>
  </r>
  <r>
    <x v="1"/>
  </r>
  <r>
    <x v="1"/>
  </r>
  <r>
    <x v="2"/>
  </r>
  <r>
    <x v="1"/>
  </r>
  <r>
    <x v="0"/>
  </r>
  <r>
    <x v="1"/>
  </r>
  <r>
    <x v="1"/>
  </r>
  <r>
    <x v="2"/>
  </r>
  <r>
    <x v="2"/>
  </r>
  <r>
    <x v="1"/>
  </r>
  <r>
    <x v="0"/>
  </r>
  <r>
    <x v="2"/>
  </r>
  <r>
    <x v="1"/>
  </r>
  <r>
    <x v="1"/>
  </r>
  <r>
    <x v="1"/>
  </r>
  <r>
    <x v="1"/>
  </r>
  <r>
    <x v="0"/>
  </r>
  <r>
    <x v="2"/>
  </r>
  <r>
    <x v="2"/>
  </r>
  <r>
    <x v="1"/>
  </r>
  <r>
    <x v="1"/>
  </r>
  <r>
    <x v="0"/>
  </r>
  <r>
    <x v="0"/>
  </r>
  <r>
    <x v="1"/>
  </r>
  <r>
    <x v="1"/>
  </r>
  <r>
    <x v="2"/>
  </r>
  <r>
    <x v="2"/>
  </r>
  <r>
    <x v="1"/>
  </r>
  <r>
    <x v="1"/>
  </r>
  <r>
    <x v="0"/>
  </r>
  <r>
    <x v="2"/>
  </r>
  <r>
    <x v="1"/>
  </r>
  <r>
    <x v="0"/>
  </r>
  <r>
    <x v="1"/>
  </r>
  <r>
    <x v="2"/>
  </r>
  <r>
    <x v="2"/>
  </r>
  <r>
    <x v="0"/>
  </r>
  <r>
    <x v="2"/>
  </r>
  <r>
    <x v="0"/>
  </r>
  <r>
    <x v="0"/>
  </r>
  <r>
    <x v="2"/>
  </r>
  <r>
    <x v="2"/>
  </r>
  <r>
    <x v="1"/>
  </r>
  <r>
    <x v="1"/>
  </r>
  <r>
    <x v="2"/>
  </r>
  <r>
    <x v="2"/>
  </r>
  <r>
    <x v="2"/>
  </r>
  <r>
    <x v="1"/>
  </r>
  <r>
    <x v="2"/>
  </r>
  <r>
    <x v="2"/>
  </r>
  <r>
    <x v="0"/>
  </r>
  <r>
    <x v="2"/>
  </r>
  <r>
    <x v="1"/>
  </r>
  <r>
    <x v="1"/>
  </r>
  <r>
    <x v="1"/>
  </r>
  <r>
    <x v="0"/>
  </r>
  <r>
    <x v="1"/>
  </r>
  <r>
    <x v="2"/>
  </r>
  <r>
    <x v="0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0"/>
  </r>
  <r>
    <x v="0"/>
  </r>
  <r>
    <x v="0"/>
  </r>
  <r>
    <x v="0"/>
  </r>
  <r>
    <x v="1"/>
  </r>
  <r>
    <x v="0"/>
  </r>
  <r>
    <x v="2"/>
  </r>
  <r>
    <x v="0"/>
  </r>
  <r>
    <x v="1"/>
  </r>
  <r>
    <x v="1"/>
  </r>
  <r>
    <x v="0"/>
  </r>
  <r>
    <x v="2"/>
  </r>
  <r>
    <x v="0"/>
  </r>
  <r>
    <x v="1"/>
  </r>
  <r>
    <x v="2"/>
  </r>
  <r>
    <x v="1"/>
  </r>
  <r>
    <x v="0"/>
  </r>
  <r>
    <x v="1"/>
  </r>
  <r>
    <x v="2"/>
  </r>
  <r>
    <x v="2"/>
  </r>
  <r>
    <x v="2"/>
  </r>
  <r>
    <x v="1"/>
  </r>
  <r>
    <x v="2"/>
  </r>
  <r>
    <x v="0"/>
  </r>
  <r>
    <x v="0"/>
  </r>
  <r>
    <x v="2"/>
  </r>
  <r>
    <x v="0"/>
  </r>
  <r>
    <x v="0"/>
  </r>
  <r>
    <x v="0"/>
  </r>
  <r>
    <x v="1"/>
  </r>
  <r>
    <x v="2"/>
  </r>
  <r>
    <x v="1"/>
  </r>
  <r>
    <x v="0"/>
  </r>
  <r>
    <x v="1"/>
  </r>
  <r>
    <x v="2"/>
  </r>
  <r>
    <x v="2"/>
  </r>
  <r>
    <x v="1"/>
  </r>
  <r>
    <x v="2"/>
  </r>
  <r>
    <x v="2"/>
  </r>
  <r>
    <x v="0"/>
  </r>
  <r>
    <x v="0"/>
  </r>
  <r>
    <x v="0"/>
  </r>
  <r>
    <x v="2"/>
  </r>
  <r>
    <x v="0"/>
  </r>
  <r>
    <x v="1"/>
  </r>
  <r>
    <x v="0"/>
  </r>
  <r>
    <x v="2"/>
  </r>
  <r>
    <x v="1"/>
  </r>
  <r>
    <x v="2"/>
  </r>
  <r>
    <x v="2"/>
  </r>
  <r>
    <x v="0"/>
  </r>
  <r>
    <x v="1"/>
  </r>
  <r>
    <x v="0"/>
  </r>
  <r>
    <x v="2"/>
  </r>
  <r>
    <x v="1"/>
  </r>
  <r>
    <x v="0"/>
  </r>
  <r>
    <x v="0"/>
  </r>
  <r>
    <x v="1"/>
  </r>
  <r>
    <x v="2"/>
  </r>
  <r>
    <x v="1"/>
  </r>
  <r>
    <x v="2"/>
  </r>
  <r>
    <x v="1"/>
  </r>
  <r>
    <x v="0"/>
  </r>
  <r>
    <x v="2"/>
  </r>
  <r>
    <x v="0"/>
  </r>
  <r>
    <x v="2"/>
  </r>
  <r>
    <x v="1"/>
  </r>
  <r>
    <x v="0"/>
  </r>
  <r>
    <x v="1"/>
  </r>
  <r>
    <x v="2"/>
  </r>
  <r>
    <x v="2"/>
  </r>
  <r>
    <x v="0"/>
  </r>
  <r>
    <x v="0"/>
  </r>
  <r>
    <x v="1"/>
  </r>
  <r>
    <x v="1"/>
  </r>
  <r>
    <x v="2"/>
  </r>
  <r>
    <x v="0"/>
  </r>
  <r>
    <x v="2"/>
  </r>
  <r>
    <x v="1"/>
  </r>
  <r>
    <x v="2"/>
  </r>
  <r>
    <x v="1"/>
  </r>
  <r>
    <x v="1"/>
  </r>
  <r>
    <x v="2"/>
  </r>
  <r>
    <x v="1"/>
  </r>
  <r>
    <x v="2"/>
  </r>
  <r>
    <x v="2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0"/>
  </r>
  <r>
    <x v="1"/>
  </r>
  <r>
    <x v="2"/>
  </r>
  <r>
    <x v="1"/>
  </r>
  <r>
    <x v="2"/>
  </r>
  <r>
    <x v="1"/>
  </r>
  <r>
    <x v="2"/>
  </r>
  <r>
    <x v="1"/>
  </r>
  <r>
    <x v="0"/>
  </r>
  <r>
    <x v="1"/>
  </r>
  <r>
    <x v="0"/>
  </r>
  <r>
    <x v="0"/>
  </r>
  <r>
    <x v="2"/>
  </r>
  <r>
    <x v="0"/>
  </r>
  <r>
    <x v="2"/>
  </r>
  <r>
    <x v="0"/>
  </r>
  <r>
    <x v="0"/>
  </r>
  <r>
    <x v="2"/>
  </r>
  <r>
    <x v="1"/>
  </r>
  <r>
    <x v="1"/>
  </r>
  <r>
    <x v="1"/>
  </r>
  <r>
    <x v="1"/>
  </r>
  <r>
    <x v="2"/>
  </r>
  <r>
    <x v="1"/>
  </r>
  <r>
    <x v="1"/>
  </r>
  <r>
    <x v="2"/>
  </r>
  <r>
    <x v="0"/>
  </r>
  <r>
    <x v="1"/>
  </r>
  <r>
    <x v="2"/>
  </r>
  <r>
    <x v="1"/>
  </r>
  <r>
    <x v="2"/>
  </r>
  <r>
    <x v="1"/>
  </r>
  <r>
    <x v="2"/>
  </r>
  <r>
    <x v="2"/>
  </r>
  <r>
    <x v="0"/>
  </r>
  <r>
    <x v="0"/>
  </r>
  <r>
    <x v="1"/>
  </r>
  <r>
    <x v="2"/>
  </r>
  <r>
    <x v="0"/>
  </r>
  <r>
    <x v="0"/>
  </r>
  <r>
    <x v="1"/>
  </r>
  <r>
    <x v="2"/>
  </r>
  <r>
    <x v="1"/>
  </r>
  <r>
    <x v="1"/>
  </r>
  <r>
    <x v="0"/>
  </r>
  <r>
    <x v="1"/>
  </r>
  <r>
    <x v="0"/>
  </r>
  <r>
    <x v="0"/>
  </r>
  <r>
    <x v="2"/>
  </r>
  <r>
    <x v="2"/>
  </r>
  <r>
    <x v="0"/>
  </r>
  <r>
    <x v="0"/>
  </r>
  <r>
    <x v="1"/>
  </r>
  <r>
    <x v="1"/>
  </r>
  <r>
    <x v="0"/>
  </r>
  <r>
    <x v="1"/>
  </r>
  <r>
    <x v="0"/>
  </r>
  <r>
    <x v="2"/>
  </r>
  <r>
    <x v="2"/>
  </r>
  <r>
    <x v="1"/>
  </r>
  <r>
    <x v="1"/>
  </r>
  <r>
    <x v="2"/>
  </r>
  <r>
    <x v="2"/>
  </r>
  <r>
    <x v="0"/>
  </r>
  <r>
    <x v="0"/>
  </r>
  <r>
    <x v="1"/>
  </r>
  <r>
    <x v="0"/>
  </r>
  <r>
    <x v="1"/>
  </r>
  <r>
    <x v="1"/>
  </r>
  <r>
    <x v="1"/>
  </r>
  <r>
    <x v="1"/>
  </r>
  <r>
    <x v="1"/>
  </r>
  <r>
    <x v="2"/>
  </r>
  <r>
    <x v="0"/>
  </r>
  <r>
    <x v="1"/>
  </r>
  <r>
    <x v="0"/>
  </r>
  <r>
    <x v="0"/>
  </r>
  <r>
    <x v="1"/>
  </r>
  <r>
    <x v="0"/>
  </r>
  <r>
    <x v="0"/>
  </r>
  <r>
    <x v="0"/>
  </r>
  <r>
    <x v="1"/>
  </r>
  <r>
    <x v="2"/>
  </r>
  <r>
    <x v="0"/>
  </r>
  <r>
    <x v="1"/>
  </r>
  <r>
    <x v="0"/>
  </r>
  <r>
    <x v="1"/>
  </r>
  <r>
    <x v="1"/>
  </r>
  <r>
    <x v="1"/>
  </r>
  <r>
    <x v="2"/>
  </r>
  <r>
    <x v="2"/>
  </r>
  <r>
    <x v="0"/>
  </r>
  <r>
    <x v="2"/>
  </r>
  <r>
    <x v="0"/>
  </r>
  <r>
    <x v="2"/>
  </r>
  <r>
    <x v="0"/>
  </r>
  <r>
    <x v="1"/>
  </r>
  <r>
    <x v="0"/>
  </r>
  <r>
    <x v="0"/>
  </r>
  <r>
    <x v="2"/>
  </r>
  <r>
    <x v="2"/>
  </r>
  <r>
    <x v="1"/>
  </r>
  <r>
    <x v="2"/>
  </r>
  <r>
    <x v="2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2"/>
  </r>
  <r>
    <x v="0"/>
  </r>
  <r>
    <x v="2"/>
  </r>
  <r>
    <x v="2"/>
  </r>
  <r>
    <x v="1"/>
  </r>
  <r>
    <x v="0"/>
  </r>
  <r>
    <x v="1"/>
  </r>
  <r>
    <x v="0"/>
  </r>
  <r>
    <x v="0"/>
  </r>
  <r>
    <x v="0"/>
  </r>
  <r>
    <x v="0"/>
  </r>
  <r>
    <x v="1"/>
  </r>
  <r>
    <x v="2"/>
  </r>
  <r>
    <x v="0"/>
  </r>
  <r>
    <x v="2"/>
  </r>
  <r>
    <x v="2"/>
  </r>
  <r>
    <x v="2"/>
  </r>
  <r>
    <x v="2"/>
  </r>
  <r>
    <x v="1"/>
  </r>
  <r>
    <x v="0"/>
  </r>
  <r>
    <x v="1"/>
  </r>
  <r>
    <x v="1"/>
  </r>
  <r>
    <x v="2"/>
  </r>
  <r>
    <x v="2"/>
  </r>
  <r>
    <x v="1"/>
  </r>
  <r>
    <x v="1"/>
  </r>
  <r>
    <x v="0"/>
  </r>
  <r>
    <x v="0"/>
  </r>
  <r>
    <x v="1"/>
  </r>
  <r>
    <x v="1"/>
  </r>
  <r>
    <x v="2"/>
  </r>
  <r>
    <x v="1"/>
  </r>
  <r>
    <x v="2"/>
  </r>
  <r>
    <x v="1"/>
  </r>
  <r>
    <x v="2"/>
  </r>
  <r>
    <x v="0"/>
  </r>
  <r>
    <x v="2"/>
  </r>
  <r>
    <x v="1"/>
  </r>
  <r>
    <x v="0"/>
  </r>
  <r>
    <x v="0"/>
  </r>
  <r>
    <x v="2"/>
  </r>
  <r>
    <x v="0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0"/>
  </r>
  <r>
    <x v="1"/>
  </r>
  <r>
    <x v="2"/>
  </r>
  <r>
    <x v="0"/>
  </r>
  <r>
    <x v="0"/>
  </r>
  <r>
    <x v="0"/>
  </r>
  <r>
    <x v="1"/>
  </r>
  <r>
    <x v="2"/>
  </r>
  <r>
    <x v="0"/>
  </r>
  <r>
    <x v="1"/>
  </r>
  <r>
    <x v="2"/>
  </r>
  <r>
    <x v="0"/>
  </r>
  <r>
    <x v="1"/>
  </r>
  <r>
    <x v="2"/>
  </r>
  <r>
    <x v="2"/>
  </r>
  <r>
    <x v="0"/>
  </r>
  <r>
    <x v="0"/>
  </r>
  <r>
    <x v="0"/>
  </r>
  <r>
    <x v="2"/>
  </r>
  <r>
    <x v="2"/>
  </r>
  <r>
    <x v="1"/>
  </r>
  <r>
    <x v="1"/>
  </r>
  <r>
    <x v="0"/>
  </r>
  <r>
    <x v="1"/>
  </r>
  <r>
    <x v="1"/>
  </r>
  <r>
    <x v="2"/>
  </r>
  <r>
    <x v="1"/>
  </r>
  <r>
    <x v="1"/>
  </r>
  <r>
    <x v="0"/>
  </r>
  <r>
    <x v="0"/>
  </r>
  <r>
    <x v="0"/>
  </r>
  <r>
    <x v="0"/>
  </r>
  <r>
    <x v="1"/>
  </r>
  <r>
    <x v="0"/>
  </r>
  <r>
    <x v="0"/>
  </r>
  <r>
    <x v="2"/>
  </r>
  <r>
    <x v="1"/>
  </r>
  <r>
    <x v="1"/>
  </r>
  <r>
    <x v="2"/>
  </r>
  <r>
    <x v="1"/>
  </r>
  <r>
    <x v="2"/>
  </r>
  <r>
    <x v="0"/>
  </r>
  <r>
    <x v="2"/>
  </r>
  <r>
    <x v="2"/>
  </r>
  <r>
    <x v="2"/>
  </r>
  <r>
    <x v="0"/>
  </r>
  <r>
    <x v="1"/>
  </r>
  <r>
    <x v="0"/>
  </r>
  <r>
    <x v="1"/>
  </r>
  <r>
    <x v="2"/>
  </r>
  <r>
    <x v="1"/>
  </r>
  <r>
    <x v="1"/>
  </r>
  <r>
    <x v="1"/>
  </r>
  <r>
    <x v="1"/>
  </r>
  <r>
    <x v="2"/>
  </r>
  <r>
    <x v="2"/>
  </r>
  <r>
    <x v="0"/>
  </r>
  <r>
    <x v="1"/>
  </r>
  <r>
    <x v="0"/>
  </r>
  <r>
    <x v="1"/>
  </r>
  <r>
    <x v="2"/>
  </r>
  <r>
    <x v="2"/>
  </r>
  <r>
    <x v="1"/>
  </r>
  <r>
    <x v="0"/>
  </r>
  <r>
    <x v="0"/>
  </r>
  <r>
    <x v="1"/>
  </r>
  <r>
    <x v="0"/>
  </r>
  <r>
    <x v="1"/>
  </r>
  <r>
    <x v="0"/>
  </r>
  <r>
    <x v="1"/>
  </r>
  <r>
    <x v="0"/>
  </r>
  <r>
    <x v="2"/>
  </r>
  <r>
    <x v="2"/>
  </r>
  <r>
    <x v="1"/>
  </r>
  <r>
    <x v="0"/>
  </r>
  <r>
    <x v="1"/>
  </r>
  <r>
    <x v="0"/>
  </r>
  <r>
    <x v="1"/>
  </r>
  <r>
    <x v="2"/>
  </r>
  <r>
    <x v="1"/>
  </r>
  <r>
    <x v="1"/>
  </r>
  <r>
    <x v="1"/>
  </r>
  <r>
    <x v="2"/>
  </r>
  <r>
    <x v="2"/>
  </r>
  <r>
    <x v="1"/>
  </r>
  <r>
    <x v="1"/>
  </r>
  <r>
    <x v="1"/>
  </r>
  <r>
    <x v="0"/>
  </r>
  <r>
    <x v="1"/>
  </r>
  <r>
    <x v="1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2"/>
  </r>
  <r>
    <x v="0"/>
  </r>
  <r>
    <x v="1"/>
  </r>
  <r>
    <x v="1"/>
  </r>
  <r>
    <x v="2"/>
  </r>
  <r>
    <x v="1"/>
  </r>
  <r>
    <x v="2"/>
  </r>
  <r>
    <x v="2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0"/>
  </r>
  <r>
    <x v="1"/>
  </r>
  <r>
    <x v="1"/>
  </r>
  <r>
    <x v="2"/>
  </r>
  <r>
    <x v="0"/>
  </r>
  <r>
    <x v="2"/>
  </r>
  <r>
    <x v="1"/>
  </r>
  <r>
    <x v="0"/>
  </r>
  <r>
    <x v="2"/>
  </r>
  <r>
    <x v="0"/>
  </r>
  <r>
    <x v="2"/>
  </r>
  <r>
    <x v="2"/>
  </r>
  <r>
    <x v="0"/>
  </r>
  <r>
    <x v="0"/>
  </r>
  <r>
    <x v="1"/>
  </r>
  <r>
    <x v="1"/>
  </r>
  <r>
    <x v="1"/>
  </r>
  <r>
    <x v="1"/>
  </r>
  <r>
    <x v="1"/>
  </r>
  <r>
    <x v="0"/>
  </r>
  <r>
    <x v="2"/>
  </r>
  <r>
    <x v="2"/>
  </r>
  <r>
    <x v="1"/>
  </r>
  <r>
    <x v="2"/>
  </r>
  <r>
    <x v="0"/>
  </r>
  <r>
    <x v="0"/>
  </r>
  <r>
    <x v="1"/>
  </r>
  <r>
    <x v="1"/>
  </r>
  <r>
    <x v="1"/>
  </r>
  <r>
    <x v="2"/>
  </r>
  <r>
    <x v="2"/>
  </r>
  <r>
    <x v="1"/>
  </r>
  <r>
    <x v="2"/>
  </r>
  <r>
    <x v="0"/>
  </r>
  <r>
    <x v="0"/>
  </r>
  <r>
    <x v="2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2"/>
  </r>
  <r>
    <x v="0"/>
  </r>
  <r>
    <x v="0"/>
  </r>
  <r>
    <x v="1"/>
  </r>
  <r>
    <x v="1"/>
  </r>
  <r>
    <x v="0"/>
  </r>
  <r>
    <x v="0"/>
  </r>
  <r>
    <x v="2"/>
  </r>
  <r>
    <x v="1"/>
  </r>
  <r>
    <x v="1"/>
  </r>
  <r>
    <x v="1"/>
  </r>
  <r>
    <x v="0"/>
  </r>
  <r>
    <x v="1"/>
  </r>
  <r>
    <x v="1"/>
  </r>
  <r>
    <x v="2"/>
  </r>
  <r>
    <x v="0"/>
  </r>
  <r>
    <x v="2"/>
  </r>
  <r>
    <x v="0"/>
  </r>
  <r>
    <x v="0"/>
  </r>
  <r>
    <x v="0"/>
  </r>
  <r>
    <x v="0"/>
  </r>
  <r>
    <x v="2"/>
  </r>
  <r>
    <x v="1"/>
  </r>
  <r>
    <x v="0"/>
  </r>
  <r>
    <x v="2"/>
  </r>
  <r>
    <x v="2"/>
  </r>
  <r>
    <x v="2"/>
  </r>
  <r>
    <x v="2"/>
  </r>
  <r>
    <x v="0"/>
  </r>
  <r>
    <x v="2"/>
  </r>
  <r>
    <x v="1"/>
  </r>
  <r>
    <x v="2"/>
  </r>
  <r>
    <x v="2"/>
  </r>
  <r>
    <x v="1"/>
  </r>
  <r>
    <x v="2"/>
  </r>
  <r>
    <x v="0"/>
  </r>
  <r>
    <x v="1"/>
  </r>
  <r>
    <x v="0"/>
  </r>
  <r>
    <x v="2"/>
  </r>
  <r>
    <x v="0"/>
  </r>
  <r>
    <x v="1"/>
  </r>
  <r>
    <x v="1"/>
  </r>
  <r>
    <x v="2"/>
  </r>
  <r>
    <x v="1"/>
  </r>
  <r>
    <x v="2"/>
  </r>
  <r>
    <x v="2"/>
  </r>
  <r>
    <x v="1"/>
  </r>
  <r>
    <x v="1"/>
  </r>
  <r>
    <x v="2"/>
  </r>
  <r>
    <x v="2"/>
  </r>
  <r>
    <x v="2"/>
  </r>
  <r>
    <x v="0"/>
  </r>
  <r>
    <x v="2"/>
  </r>
  <r>
    <x v="1"/>
  </r>
  <r>
    <x v="1"/>
  </r>
  <r>
    <x v="2"/>
  </r>
  <r>
    <x v="0"/>
  </r>
  <r>
    <x v="2"/>
  </r>
  <r>
    <x v="1"/>
  </r>
  <r>
    <x v="2"/>
  </r>
  <r>
    <x v="0"/>
  </r>
  <r>
    <x v="1"/>
  </r>
  <r>
    <x v="2"/>
  </r>
  <r>
    <x v="0"/>
  </r>
  <r>
    <x v="0"/>
  </r>
  <r>
    <x v="2"/>
  </r>
  <r>
    <x v="0"/>
  </r>
  <r>
    <x v="2"/>
  </r>
  <r>
    <x v="0"/>
  </r>
  <r>
    <x v="1"/>
  </r>
  <r>
    <x v="2"/>
  </r>
  <r>
    <x v="1"/>
  </r>
  <r>
    <x v="1"/>
  </r>
  <r>
    <x v="1"/>
  </r>
  <r>
    <x v="2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2"/>
  </r>
  <r>
    <x v="1"/>
  </r>
  <r>
    <x v="0"/>
  </r>
  <r>
    <x v="1"/>
  </r>
  <r>
    <x v="0"/>
  </r>
  <r>
    <x v="2"/>
  </r>
  <r>
    <x v="2"/>
  </r>
  <r>
    <x v="1"/>
  </r>
  <r>
    <x v="1"/>
  </r>
  <r>
    <x v="0"/>
  </r>
  <r>
    <x v="1"/>
  </r>
  <r>
    <x v="2"/>
  </r>
  <r>
    <x v="0"/>
  </r>
  <r>
    <x v="0"/>
  </r>
  <r>
    <x v="1"/>
  </r>
  <r>
    <x v="2"/>
  </r>
  <r>
    <x v="1"/>
  </r>
  <r>
    <x v="2"/>
  </r>
  <r>
    <x v="0"/>
  </r>
  <r>
    <x v="1"/>
  </r>
  <r>
    <x v="2"/>
  </r>
  <r>
    <x v="0"/>
  </r>
  <r>
    <x v="1"/>
  </r>
  <r>
    <x v="0"/>
  </r>
  <r>
    <x v="0"/>
  </r>
  <r>
    <x v="0"/>
  </r>
  <r>
    <x v="2"/>
  </r>
  <r>
    <x v="1"/>
  </r>
  <r>
    <x v="2"/>
  </r>
  <r>
    <x v="1"/>
  </r>
  <r>
    <x v="1"/>
  </r>
  <r>
    <x v="1"/>
  </r>
  <r>
    <x v="2"/>
  </r>
  <r>
    <x v="2"/>
  </r>
  <r>
    <x v="2"/>
  </r>
  <r>
    <x v="0"/>
  </r>
  <r>
    <x v="1"/>
  </r>
  <r>
    <x v="1"/>
  </r>
  <r>
    <x v="2"/>
  </r>
  <r>
    <x v="0"/>
  </r>
  <r>
    <x v="0"/>
  </r>
  <r>
    <x v="1"/>
  </r>
  <r>
    <x v="0"/>
  </r>
  <r>
    <x v="0"/>
  </r>
  <r>
    <x v="2"/>
  </r>
  <r>
    <x v="1"/>
  </r>
  <r>
    <x v="2"/>
  </r>
  <r>
    <x v="2"/>
  </r>
  <r>
    <x v="0"/>
  </r>
  <r>
    <x v="1"/>
  </r>
  <r>
    <x v="0"/>
  </r>
  <r>
    <x v="2"/>
  </r>
  <r>
    <x v="1"/>
  </r>
  <r>
    <x v="1"/>
  </r>
  <r>
    <x v="1"/>
  </r>
  <r>
    <x v="1"/>
  </r>
  <r>
    <x v="0"/>
  </r>
  <r>
    <x v="1"/>
  </r>
  <r>
    <x v="2"/>
  </r>
  <r>
    <x v="2"/>
  </r>
  <r>
    <x v="1"/>
  </r>
  <r>
    <x v="1"/>
  </r>
  <r>
    <x v="2"/>
  </r>
  <r>
    <x v="0"/>
  </r>
  <r>
    <x v="2"/>
  </r>
  <r>
    <x v="0"/>
  </r>
  <r>
    <x v="1"/>
  </r>
  <r>
    <x v="1"/>
  </r>
  <r>
    <x v="1"/>
  </r>
  <r>
    <x v="2"/>
  </r>
  <r>
    <x v="0"/>
  </r>
  <r>
    <x v="1"/>
  </r>
  <r>
    <x v="1"/>
  </r>
  <r>
    <x v="2"/>
  </r>
  <r>
    <x v="0"/>
  </r>
  <r>
    <x v="2"/>
  </r>
  <r>
    <x v="1"/>
  </r>
  <r>
    <x v="0"/>
  </r>
  <r>
    <x v="2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2"/>
  </r>
  <r>
    <x v="2"/>
  </r>
  <r>
    <x v="0"/>
  </r>
  <r>
    <x v="0"/>
  </r>
  <r>
    <x v="2"/>
  </r>
  <r>
    <x v="1"/>
  </r>
  <r>
    <x v="1"/>
  </r>
  <r>
    <x v="2"/>
  </r>
  <r>
    <x v="1"/>
  </r>
  <r>
    <x v="1"/>
  </r>
  <r>
    <x v="2"/>
  </r>
  <r>
    <x v="1"/>
  </r>
  <r>
    <x v="0"/>
  </r>
  <r>
    <x v="0"/>
  </r>
  <r>
    <x v="0"/>
  </r>
  <r>
    <x v="2"/>
  </r>
  <r>
    <x v="0"/>
  </r>
  <r>
    <x v="0"/>
  </r>
  <r>
    <x v="2"/>
  </r>
  <r>
    <x v="0"/>
  </r>
  <r>
    <x v="0"/>
  </r>
  <r>
    <x v="0"/>
  </r>
  <r>
    <x v="0"/>
  </r>
  <r>
    <x v="1"/>
  </r>
  <r>
    <x v="2"/>
  </r>
  <r>
    <x v="2"/>
  </r>
  <r>
    <x v="1"/>
  </r>
  <r>
    <x v="1"/>
  </r>
  <r>
    <x v="1"/>
  </r>
  <r>
    <x v="0"/>
  </r>
  <r>
    <x v="0"/>
  </r>
  <r>
    <x v="2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2"/>
  </r>
  <r>
    <x v="1"/>
  </r>
  <r>
    <x v="0"/>
  </r>
  <r>
    <x v="1"/>
  </r>
  <r>
    <x v="2"/>
  </r>
  <r>
    <x v="0"/>
  </r>
  <r>
    <x v="1"/>
  </r>
  <r>
    <x v="0"/>
  </r>
  <r>
    <x v="0"/>
  </r>
  <r>
    <x v="1"/>
  </r>
  <r>
    <x v="0"/>
  </r>
  <r>
    <x v="2"/>
  </r>
  <r>
    <x v="1"/>
  </r>
  <r>
    <x v="1"/>
  </r>
  <r>
    <x v="1"/>
  </r>
  <r>
    <x v="1"/>
  </r>
  <r>
    <x v="0"/>
  </r>
  <r>
    <x v="2"/>
  </r>
  <r>
    <x v="2"/>
  </r>
  <r>
    <x v="0"/>
  </r>
  <r>
    <x v="0"/>
  </r>
  <r>
    <x v="0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1"/>
  </r>
  <r>
    <x v="2"/>
  </r>
  <r>
    <x v="1"/>
  </r>
  <r>
    <x v="1"/>
  </r>
  <r>
    <x v="0"/>
  </r>
  <r>
    <x v="0"/>
  </r>
  <r>
    <x v="2"/>
  </r>
  <r>
    <x v="0"/>
  </r>
  <r>
    <x v="1"/>
  </r>
  <r>
    <x v="1"/>
  </r>
  <r>
    <x v="1"/>
  </r>
  <r>
    <x v="2"/>
  </r>
  <r>
    <x v="1"/>
  </r>
  <r>
    <x v="0"/>
  </r>
  <r>
    <x v="2"/>
  </r>
  <r>
    <x v="2"/>
  </r>
  <r>
    <x v="0"/>
  </r>
  <r>
    <x v="0"/>
  </r>
  <r>
    <x v="0"/>
  </r>
  <r>
    <x v="0"/>
  </r>
  <r>
    <x v="2"/>
  </r>
  <r>
    <x v="1"/>
  </r>
  <r>
    <x v="1"/>
  </r>
  <r>
    <x v="2"/>
  </r>
  <r>
    <x v="1"/>
  </r>
  <r>
    <x v="1"/>
  </r>
  <r>
    <x v="2"/>
  </r>
  <r>
    <x v="2"/>
  </r>
  <r>
    <x v="2"/>
  </r>
  <r>
    <x v="1"/>
  </r>
  <r>
    <x v="2"/>
  </r>
  <r>
    <x v="0"/>
  </r>
  <r>
    <x v="1"/>
  </r>
  <r>
    <x v="2"/>
  </r>
  <r>
    <x v="0"/>
  </r>
  <r>
    <x v="2"/>
  </r>
  <r>
    <x v="1"/>
  </r>
  <r>
    <x v="0"/>
  </r>
  <r>
    <x v="2"/>
  </r>
  <r>
    <x v="0"/>
  </r>
  <r>
    <x v="1"/>
  </r>
  <r>
    <x v="0"/>
  </r>
  <r>
    <x v="2"/>
  </r>
  <r>
    <x v="0"/>
  </r>
  <r>
    <x v="0"/>
  </r>
  <r>
    <x v="0"/>
  </r>
  <r>
    <x v="2"/>
  </r>
  <r>
    <x v="2"/>
  </r>
  <r>
    <x v="2"/>
  </r>
  <r>
    <x v="1"/>
  </r>
  <r>
    <x v="1"/>
  </r>
  <r>
    <x v="0"/>
  </r>
  <r>
    <x v="1"/>
  </r>
  <r>
    <x v="0"/>
  </r>
  <r>
    <x v="2"/>
  </r>
  <r>
    <x v="2"/>
  </r>
  <r>
    <x v="1"/>
  </r>
  <r>
    <x v="0"/>
  </r>
  <r>
    <x v="2"/>
  </r>
  <r>
    <x v="0"/>
  </r>
  <r>
    <x v="0"/>
  </r>
  <r>
    <x v="0"/>
  </r>
  <r>
    <x v="1"/>
  </r>
  <r>
    <x v="2"/>
  </r>
  <r>
    <x v="1"/>
  </r>
  <r>
    <x v="0"/>
  </r>
  <r>
    <x v="1"/>
  </r>
  <r>
    <x v="2"/>
  </r>
  <r>
    <x v="0"/>
  </r>
  <r>
    <x v="0"/>
  </r>
  <r>
    <x v="2"/>
  </r>
  <r>
    <x v="2"/>
  </r>
  <r>
    <x v="2"/>
  </r>
  <r>
    <x v="2"/>
  </r>
  <r>
    <x v="0"/>
  </r>
  <r>
    <x v="0"/>
  </r>
  <r>
    <x v="1"/>
  </r>
  <r>
    <x v="1"/>
  </r>
  <r>
    <x v="2"/>
  </r>
  <r>
    <x v="2"/>
  </r>
  <r>
    <x v="2"/>
  </r>
  <r>
    <x v="0"/>
  </r>
  <r>
    <x v="2"/>
  </r>
  <r>
    <x v="2"/>
  </r>
  <r>
    <x v="0"/>
  </r>
  <r>
    <x v="2"/>
  </r>
  <r>
    <x v="0"/>
  </r>
  <r>
    <x v="0"/>
  </r>
  <r>
    <x v="1"/>
  </r>
  <r>
    <x v="1"/>
  </r>
  <r>
    <x v="0"/>
  </r>
  <r>
    <x v="1"/>
  </r>
  <r>
    <x v="2"/>
  </r>
  <r>
    <x v="1"/>
  </r>
  <r>
    <x v="2"/>
  </r>
  <r>
    <x v="0"/>
  </r>
  <r>
    <x v="0"/>
  </r>
  <r>
    <x v="0"/>
  </r>
  <r>
    <x v="0"/>
  </r>
  <r>
    <x v="0"/>
  </r>
  <r>
    <x v="0"/>
  </r>
  <r>
    <x v="1"/>
  </r>
  <r>
    <x v="1"/>
  </r>
  <r>
    <x v="2"/>
  </r>
  <r>
    <x v="0"/>
  </r>
  <r>
    <x v="1"/>
  </r>
  <r>
    <x v="0"/>
  </r>
  <r>
    <x v="1"/>
  </r>
  <r>
    <x v="0"/>
  </r>
  <r>
    <x v="2"/>
  </r>
  <r>
    <x v="2"/>
  </r>
  <r>
    <x v="1"/>
  </r>
  <r>
    <x v="0"/>
  </r>
  <r>
    <x v="1"/>
  </r>
  <r>
    <x v="2"/>
  </r>
  <r>
    <x v="0"/>
  </r>
  <r>
    <x v="1"/>
  </r>
  <r>
    <x v="2"/>
  </r>
  <r>
    <x v="2"/>
  </r>
  <r>
    <x v="2"/>
  </r>
  <r>
    <x v="2"/>
  </r>
  <r>
    <x v="2"/>
  </r>
  <r>
    <x v="1"/>
  </r>
  <r>
    <x v="1"/>
  </r>
  <r>
    <x v="2"/>
  </r>
  <r>
    <x v="1"/>
  </r>
  <r>
    <x v="2"/>
  </r>
  <r>
    <x v="0"/>
  </r>
  <r>
    <x v="1"/>
  </r>
  <r>
    <x v="0"/>
  </r>
  <r>
    <x v="0"/>
  </r>
  <r>
    <x v="0"/>
  </r>
  <r>
    <x v="2"/>
  </r>
  <r>
    <x v="0"/>
  </r>
  <r>
    <x v="2"/>
  </r>
  <r>
    <x v="1"/>
  </r>
  <r>
    <x v="0"/>
  </r>
  <r>
    <x v="0"/>
  </r>
  <r>
    <x v="1"/>
  </r>
  <r>
    <x v="2"/>
  </r>
  <r>
    <x v="2"/>
  </r>
  <r>
    <x v="2"/>
  </r>
  <r>
    <x v="2"/>
  </r>
  <r>
    <x v="1"/>
  </r>
  <r>
    <x v="2"/>
  </r>
  <r>
    <x v="2"/>
  </r>
  <r>
    <x v="2"/>
  </r>
  <r>
    <x v="0"/>
  </r>
  <r>
    <x v="2"/>
  </r>
  <r>
    <x v="1"/>
  </r>
  <r>
    <x v="2"/>
  </r>
  <r>
    <x v="0"/>
  </r>
  <r>
    <x v="1"/>
  </r>
  <r>
    <x v="0"/>
  </r>
  <r>
    <x v="0"/>
  </r>
  <r>
    <x v="0"/>
  </r>
  <r>
    <x v="2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2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2"/>
  </r>
  <r>
    <x v="1"/>
  </r>
  <r>
    <x v="1"/>
  </r>
  <r>
    <x v="2"/>
  </r>
  <r>
    <x v="2"/>
  </r>
  <r>
    <x v="1"/>
  </r>
  <r>
    <x v="2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2"/>
  </r>
  <r>
    <x v="0"/>
  </r>
  <r>
    <x v="0"/>
  </r>
  <r>
    <x v="2"/>
  </r>
  <r>
    <x v="0"/>
  </r>
  <r>
    <x v="2"/>
  </r>
  <r>
    <x v="1"/>
  </r>
  <r>
    <x v="1"/>
  </r>
  <r>
    <x v="1"/>
  </r>
  <r>
    <x v="0"/>
  </r>
  <r>
    <x v="1"/>
  </r>
  <r>
    <x v="2"/>
  </r>
  <r>
    <x v="2"/>
  </r>
  <r>
    <x v="1"/>
  </r>
  <r>
    <x v="2"/>
  </r>
  <r>
    <x v="0"/>
  </r>
  <r>
    <x v="1"/>
  </r>
  <r>
    <x v="1"/>
  </r>
  <r>
    <x v="2"/>
  </r>
  <r>
    <x v="1"/>
  </r>
  <r>
    <x v="1"/>
  </r>
  <r>
    <x v="2"/>
  </r>
  <r>
    <x v="1"/>
  </r>
  <r>
    <x v="0"/>
  </r>
  <r>
    <x v="1"/>
  </r>
  <r>
    <x v="1"/>
  </r>
  <r>
    <x v="1"/>
  </r>
  <r>
    <x v="2"/>
  </r>
  <r>
    <x v="1"/>
  </r>
  <r>
    <x v="1"/>
  </r>
  <r>
    <x v="1"/>
  </r>
  <r>
    <x v="0"/>
  </r>
  <r>
    <x v="0"/>
  </r>
  <r>
    <x v="2"/>
  </r>
  <r>
    <x v="1"/>
  </r>
  <r>
    <x v="0"/>
  </r>
  <r>
    <x v="0"/>
  </r>
  <r>
    <x v="1"/>
  </r>
  <r>
    <x v="2"/>
  </r>
  <r>
    <x v="2"/>
  </r>
  <r>
    <x v="0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U00001"/>
    <x v="0"/>
    <n v="32"/>
    <s v="Female"/>
    <x v="0"/>
    <x v="0"/>
    <n v="7.68"/>
    <n v="2"/>
    <n v="8.1"/>
    <n v="4.67"/>
    <n v="30.5"/>
    <s v="Action"/>
    <n v="11"/>
    <n v="4"/>
    <n v="0"/>
  </r>
  <r>
    <s v="U00002"/>
    <x v="1"/>
    <n v="37"/>
    <s v="Female"/>
    <x v="0"/>
    <x v="1"/>
    <n v="21.39"/>
    <n v="4"/>
    <n v="3.9"/>
    <n v="16.28"/>
    <n v="84.9"/>
    <s v="Family"/>
    <n v="9"/>
    <n v="4"/>
    <n v="0"/>
  </r>
  <r>
    <s v="U00003"/>
    <x v="2"/>
    <n v="46"/>
    <s v="Female"/>
    <x v="1"/>
    <x v="2"/>
    <n v="12.61"/>
    <n v="2"/>
    <n v="8.3000000000000007"/>
    <n v="13.56"/>
    <n v="61.1"/>
    <s v="Action"/>
    <n v="4"/>
    <n v="4"/>
    <n v="1"/>
  </r>
  <r>
    <s v="U00004"/>
    <x v="3"/>
    <n v="59"/>
    <s v="Female"/>
    <x v="1"/>
    <x v="2"/>
    <n v="15.55"/>
    <n v="5"/>
    <n v="4.5999999999999996"/>
    <n v="12.41"/>
    <n v="10.7"/>
    <s v="Drama"/>
    <n v="6"/>
    <n v="0"/>
    <n v="0"/>
  </r>
  <r>
    <s v="U00005"/>
    <x v="4"/>
    <n v="46"/>
    <s v="Female"/>
    <x v="0"/>
    <x v="0"/>
    <n v="5.59"/>
    <n v="5"/>
    <n v="6"/>
    <n v="19.739999999999998"/>
    <n v="56.7"/>
    <s v="Drama"/>
    <n v="3"/>
    <n v="3"/>
    <n v="0"/>
  </r>
  <r>
    <s v="U00006"/>
    <x v="0"/>
    <n v="20"/>
    <s v="Male"/>
    <x v="2"/>
    <x v="0"/>
    <n v="6.17"/>
    <n v="3"/>
    <n v="2.6"/>
    <n v="24.33"/>
    <n v="37.9"/>
    <s v="Family"/>
    <n v="3"/>
    <n v="2"/>
    <n v="1"/>
  </r>
  <r>
    <s v="U00007"/>
    <x v="5"/>
    <n v="36"/>
    <s v="Female"/>
    <x v="1"/>
    <x v="1"/>
    <n v="18.5"/>
    <n v="2"/>
    <n v="9.3000000000000007"/>
    <n v="13.51"/>
    <n v="15.2"/>
    <s v="Action"/>
    <n v="9"/>
    <n v="1"/>
    <n v="0"/>
  </r>
  <r>
    <s v="U00008"/>
    <x v="6"/>
    <n v="20"/>
    <s v="Female"/>
    <x v="2"/>
    <x v="3"/>
    <n v="20.34"/>
    <n v="3"/>
    <n v="7.3"/>
    <n v="3.14"/>
    <n v="50.3"/>
    <s v="Action"/>
    <n v="9"/>
    <n v="2"/>
    <n v="0"/>
  </r>
  <r>
    <s v="U00009"/>
    <x v="0"/>
    <n v="31"/>
    <s v="Male"/>
    <x v="2"/>
    <x v="4"/>
    <n v="19.2"/>
    <n v="4"/>
    <n v="8.6999999999999993"/>
    <n v="16.12"/>
    <n v="38"/>
    <s v="Thriller"/>
    <n v="3"/>
    <n v="0"/>
    <n v="1"/>
  </r>
  <r>
    <s v="U00010"/>
    <x v="2"/>
    <n v="57"/>
    <s v="Female"/>
    <x v="2"/>
    <x v="2"/>
    <n v="19.739999999999998"/>
    <n v="3"/>
    <n v="2.9"/>
    <n v="17.39"/>
    <n v="28.4"/>
    <s v="Comedy"/>
    <n v="3"/>
    <n v="1"/>
    <n v="0"/>
  </r>
  <r>
    <s v="U00011"/>
    <x v="2"/>
    <n v="21"/>
    <s v="Female"/>
    <x v="1"/>
    <x v="0"/>
    <n v="7.09"/>
    <n v="2"/>
    <n v="1.6"/>
    <n v="21.22"/>
    <n v="41.4"/>
    <s v="Family"/>
    <n v="6"/>
    <n v="0"/>
    <n v="0"/>
  </r>
  <r>
    <s v="U00012"/>
    <x v="3"/>
    <n v="69"/>
    <s v="Male"/>
    <x v="1"/>
    <x v="4"/>
    <n v="18.87"/>
    <n v="5"/>
    <n v="4"/>
    <n v="7.39"/>
    <n v="26.2"/>
    <s v="Action"/>
    <n v="1"/>
    <n v="2"/>
    <n v="1"/>
  </r>
  <r>
    <s v="U00013"/>
    <x v="4"/>
    <n v="28"/>
    <s v="Male"/>
    <x v="1"/>
    <x v="4"/>
    <n v="8.6300000000000008"/>
    <n v="4"/>
    <n v="5.7"/>
    <n v="14.54"/>
    <n v="37"/>
    <s v="Comedy"/>
    <n v="5"/>
    <n v="1"/>
    <n v="0"/>
  </r>
  <r>
    <s v="U00014"/>
    <x v="1"/>
    <n v="48"/>
    <s v="Female"/>
    <x v="1"/>
    <x v="4"/>
    <n v="6.96"/>
    <n v="2"/>
    <n v="8.1999999999999993"/>
    <n v="12.84"/>
    <n v="20.399999999999999"/>
    <s v="Family"/>
    <n v="9"/>
    <n v="2"/>
    <n v="0"/>
  </r>
  <r>
    <s v="U00015"/>
    <x v="3"/>
    <n v="60"/>
    <s v="Male"/>
    <x v="1"/>
    <x v="3"/>
    <n v="20.14"/>
    <n v="4"/>
    <n v="4.5999999999999996"/>
    <n v="17.62"/>
    <n v="17.600000000000001"/>
    <s v="Action"/>
    <n v="9"/>
    <n v="3"/>
    <n v="0"/>
  </r>
  <r>
    <s v="U00016"/>
    <x v="3"/>
    <n v="49"/>
    <s v="Female"/>
    <x v="2"/>
    <x v="0"/>
    <n v="22.79"/>
    <n v="1"/>
    <n v="3.4"/>
    <n v="4.41"/>
    <n v="91.9"/>
    <s v="Drama"/>
    <n v="8"/>
    <n v="0"/>
    <n v="0"/>
  </r>
  <r>
    <s v="U00017"/>
    <x v="6"/>
    <n v="44"/>
    <s v="Male"/>
    <x v="2"/>
    <x v="2"/>
    <n v="19.329999999999998"/>
    <n v="2"/>
    <n v="4.4000000000000004"/>
    <n v="22.45"/>
    <n v="91.2"/>
    <s v="Action"/>
    <n v="6"/>
    <n v="3"/>
    <n v="0"/>
  </r>
  <r>
    <s v="U00018"/>
    <x v="7"/>
    <n v="47"/>
    <s v="Female"/>
    <x v="2"/>
    <x v="0"/>
    <n v="21.11"/>
    <n v="1"/>
    <n v="7.3"/>
    <n v="14.25"/>
    <n v="84.5"/>
    <s v="Drama"/>
    <n v="9"/>
    <n v="3"/>
    <n v="0"/>
  </r>
  <r>
    <s v="U00019"/>
    <x v="4"/>
    <n v="60"/>
    <s v="Female"/>
    <x v="2"/>
    <x v="1"/>
    <n v="24.82"/>
    <n v="3"/>
    <n v="4"/>
    <n v="22.29"/>
    <n v="30.7"/>
    <s v="Drama"/>
    <n v="3"/>
    <n v="2"/>
    <n v="0"/>
  </r>
  <r>
    <s v="U00020"/>
    <x v="8"/>
    <n v="19"/>
    <s v="Female"/>
    <x v="0"/>
    <x v="2"/>
    <n v="7.7"/>
    <n v="2"/>
    <n v="9.8000000000000007"/>
    <n v="10.49"/>
    <n v="75.3"/>
    <s v="Thriller"/>
    <n v="9"/>
    <n v="2"/>
    <n v="1"/>
  </r>
  <r>
    <s v="U00021"/>
    <x v="3"/>
    <n v="66"/>
    <s v="Male"/>
    <x v="0"/>
    <x v="0"/>
    <n v="24.3"/>
    <n v="1"/>
    <n v="2.6"/>
    <n v="17.38"/>
    <n v="63.1"/>
    <s v="Thriller"/>
    <n v="8"/>
    <n v="4"/>
    <n v="0"/>
  </r>
  <r>
    <s v="U00022"/>
    <x v="9"/>
    <n v="26"/>
    <s v="Female"/>
    <x v="1"/>
    <x v="2"/>
    <n v="17.02"/>
    <n v="5"/>
    <n v="7.8"/>
    <n v="24.05"/>
    <n v="14.6"/>
    <s v="Comedy"/>
    <n v="1"/>
    <n v="4"/>
    <n v="0"/>
  </r>
  <r>
    <s v="U00023"/>
    <x v="7"/>
    <n v="45"/>
    <s v="Male"/>
    <x v="1"/>
    <x v="1"/>
    <n v="21.27"/>
    <n v="3"/>
    <n v="6.3"/>
    <n v="23.75"/>
    <n v="91"/>
    <s v="Family"/>
    <n v="9"/>
    <n v="1"/>
    <n v="0"/>
  </r>
  <r>
    <s v="U00024"/>
    <x v="8"/>
    <n v="48"/>
    <s v="Female"/>
    <x v="2"/>
    <x v="2"/>
    <n v="18"/>
    <n v="2"/>
    <n v="3.1"/>
    <n v="23.77"/>
    <n v="99.8"/>
    <s v="Comedy"/>
    <n v="8"/>
    <n v="2"/>
    <n v="0"/>
  </r>
  <r>
    <s v="U00025"/>
    <x v="9"/>
    <n v="51"/>
    <s v="Female"/>
    <x v="1"/>
    <x v="4"/>
    <n v="16.399999999999999"/>
    <n v="2"/>
    <n v="7.8"/>
    <n v="3.94"/>
    <n v="73.8"/>
    <s v="Thriller"/>
    <n v="8"/>
    <n v="0"/>
    <n v="1"/>
  </r>
  <r>
    <s v="U00026"/>
    <x v="4"/>
    <n v="32"/>
    <s v="Female"/>
    <x v="1"/>
    <x v="3"/>
    <n v="19.07"/>
    <n v="5"/>
    <n v="5"/>
    <n v="11.87"/>
    <n v="30.8"/>
    <s v="Comedy"/>
    <n v="6"/>
    <n v="2"/>
    <n v="0"/>
  </r>
  <r>
    <s v="U00027"/>
    <x v="10"/>
    <n v="65"/>
    <s v="Female"/>
    <x v="1"/>
    <x v="1"/>
    <n v="11.41"/>
    <n v="5"/>
    <n v="7.1"/>
    <n v="4.34"/>
    <n v="59.9"/>
    <s v="Family"/>
    <n v="9"/>
    <n v="2"/>
    <n v="0"/>
  </r>
  <r>
    <s v="U00028"/>
    <x v="9"/>
    <n v="42"/>
    <s v="Female"/>
    <x v="0"/>
    <x v="2"/>
    <n v="23.49"/>
    <n v="1"/>
    <n v="7"/>
    <n v="9.81"/>
    <n v="19.8"/>
    <s v="Family"/>
    <n v="8"/>
    <n v="3"/>
    <n v="0"/>
  </r>
  <r>
    <s v="U00029"/>
    <x v="5"/>
    <n v="53"/>
    <s v="Male"/>
    <x v="1"/>
    <x v="1"/>
    <n v="7.31"/>
    <n v="1"/>
    <n v="2"/>
    <n v="6.84"/>
    <n v="36.9"/>
    <s v="Action"/>
    <n v="2"/>
    <n v="3"/>
    <n v="0"/>
  </r>
  <r>
    <s v="U00030"/>
    <x v="7"/>
    <n v="25"/>
    <s v="Male"/>
    <x v="2"/>
    <x v="4"/>
    <n v="11.36"/>
    <n v="1"/>
    <n v="8.6"/>
    <n v="16.64"/>
    <n v="74.599999999999994"/>
    <s v="Comedy"/>
    <n v="6"/>
    <n v="4"/>
    <n v="0"/>
  </r>
  <r>
    <s v="U00031"/>
    <x v="9"/>
    <n v="26"/>
    <s v="Male"/>
    <x v="0"/>
    <x v="3"/>
    <n v="5.62"/>
    <n v="4"/>
    <n v="7.1"/>
    <n v="20.18"/>
    <n v="37.1"/>
    <s v="Thriller"/>
    <n v="11"/>
    <n v="1"/>
    <n v="0"/>
  </r>
  <r>
    <s v="U00032"/>
    <x v="11"/>
    <n v="54"/>
    <s v="Female"/>
    <x v="1"/>
    <x v="1"/>
    <n v="10.43"/>
    <n v="3"/>
    <n v="8"/>
    <n v="14.29"/>
    <n v="23.2"/>
    <s v="Action"/>
    <n v="8"/>
    <n v="1"/>
    <n v="0"/>
  </r>
  <r>
    <s v="U00033"/>
    <x v="10"/>
    <n v="65"/>
    <s v="Female"/>
    <x v="1"/>
    <x v="4"/>
    <n v="9.36"/>
    <n v="2"/>
    <n v="5"/>
    <n v="20.5"/>
    <n v="10.7"/>
    <s v="Comedy"/>
    <n v="6"/>
    <n v="2"/>
    <n v="1"/>
  </r>
  <r>
    <s v="U00034"/>
    <x v="2"/>
    <n v="62"/>
    <s v="Male"/>
    <x v="0"/>
    <x v="4"/>
    <n v="5.99"/>
    <n v="3"/>
    <n v="2.8"/>
    <n v="3.28"/>
    <n v="61.5"/>
    <s v="Family"/>
    <n v="11"/>
    <n v="0"/>
    <n v="1"/>
  </r>
  <r>
    <s v="U00035"/>
    <x v="2"/>
    <n v="56"/>
    <s v="Female"/>
    <x v="0"/>
    <x v="4"/>
    <n v="14.84"/>
    <n v="5"/>
    <n v="3.9"/>
    <n v="21.05"/>
    <n v="97.2"/>
    <s v="Thriller"/>
    <n v="9"/>
    <n v="3"/>
    <n v="1"/>
  </r>
  <r>
    <s v="U00036"/>
    <x v="5"/>
    <n v="49"/>
    <s v="Female"/>
    <x v="2"/>
    <x v="2"/>
    <n v="14.37"/>
    <n v="3"/>
    <n v="9.1"/>
    <n v="6.92"/>
    <n v="53.6"/>
    <s v="Comedy"/>
    <n v="5"/>
    <n v="0"/>
    <n v="0"/>
  </r>
  <r>
    <s v="U00037"/>
    <x v="9"/>
    <n v="69"/>
    <s v="Female"/>
    <x v="1"/>
    <x v="0"/>
    <n v="6.55"/>
    <n v="3"/>
    <n v="9.4"/>
    <n v="13.14"/>
    <n v="29.1"/>
    <s v="Family"/>
    <n v="8"/>
    <n v="3"/>
    <n v="0"/>
  </r>
  <r>
    <s v="U00038"/>
    <x v="9"/>
    <n v="34"/>
    <s v="Male"/>
    <x v="0"/>
    <x v="1"/>
    <n v="10.24"/>
    <n v="1"/>
    <n v="5.3"/>
    <n v="12.74"/>
    <n v="51.7"/>
    <s v="Family"/>
    <n v="10"/>
    <n v="2"/>
    <n v="0"/>
  </r>
  <r>
    <s v="U00039"/>
    <x v="6"/>
    <n v="52"/>
    <s v="Male"/>
    <x v="0"/>
    <x v="0"/>
    <n v="24.07"/>
    <n v="5"/>
    <n v="3.7"/>
    <n v="22.21"/>
    <n v="64.2"/>
    <s v="Comedy"/>
    <n v="2"/>
    <n v="1"/>
    <n v="0"/>
  </r>
  <r>
    <s v="U00040"/>
    <x v="9"/>
    <n v="54"/>
    <s v="Male"/>
    <x v="1"/>
    <x v="4"/>
    <n v="7.21"/>
    <n v="3"/>
    <n v="7.6"/>
    <n v="24.25"/>
    <n v="82.1"/>
    <s v="Comedy"/>
    <n v="5"/>
    <n v="2"/>
    <n v="0"/>
  </r>
  <r>
    <s v="U00041"/>
    <x v="0"/>
    <n v="36"/>
    <s v="Male"/>
    <x v="1"/>
    <x v="0"/>
    <n v="11.1"/>
    <n v="2"/>
    <n v="7.9"/>
    <n v="8.61"/>
    <n v="50.7"/>
    <s v="Thriller"/>
    <n v="1"/>
    <n v="3"/>
    <n v="0"/>
  </r>
  <r>
    <s v="U00042"/>
    <x v="1"/>
    <n v="61"/>
    <s v="Male"/>
    <x v="1"/>
    <x v="4"/>
    <n v="5.72"/>
    <n v="1"/>
    <n v="8.3000000000000007"/>
    <n v="4.4800000000000004"/>
    <n v="25.6"/>
    <s v="Action"/>
    <n v="5"/>
    <n v="1"/>
    <n v="0"/>
  </r>
  <r>
    <s v="U00043"/>
    <x v="11"/>
    <n v="46"/>
    <s v="Female"/>
    <x v="0"/>
    <x v="4"/>
    <n v="7.98"/>
    <n v="3"/>
    <n v="1.3"/>
    <n v="17.309999999999999"/>
    <n v="26.9"/>
    <s v="Family"/>
    <n v="7"/>
    <n v="0"/>
    <n v="0"/>
  </r>
  <r>
    <s v="U00044"/>
    <x v="6"/>
    <n v="24"/>
    <s v="Female"/>
    <x v="2"/>
    <x v="3"/>
    <n v="18.989999999999998"/>
    <n v="5"/>
    <n v="1.1000000000000001"/>
    <n v="14.06"/>
    <n v="91"/>
    <s v="Action"/>
    <n v="1"/>
    <n v="0"/>
    <n v="1"/>
  </r>
  <r>
    <s v="U00045"/>
    <x v="4"/>
    <n v="45"/>
    <s v="Female"/>
    <x v="1"/>
    <x v="3"/>
    <n v="12.33"/>
    <n v="2"/>
    <n v="4.2"/>
    <n v="15.45"/>
    <n v="31.3"/>
    <s v="Action"/>
    <n v="10"/>
    <n v="4"/>
    <n v="1"/>
  </r>
  <r>
    <s v="U00046"/>
    <x v="6"/>
    <n v="26"/>
    <s v="Female"/>
    <x v="1"/>
    <x v="0"/>
    <n v="14.04"/>
    <n v="5"/>
    <n v="2.4"/>
    <n v="4.0199999999999996"/>
    <n v="75.5"/>
    <s v="Family"/>
    <n v="3"/>
    <n v="0"/>
    <n v="0"/>
  </r>
  <r>
    <s v="U00047"/>
    <x v="0"/>
    <n v="45"/>
    <s v="Male"/>
    <x v="1"/>
    <x v="1"/>
    <n v="8.14"/>
    <n v="5"/>
    <n v="8.1999999999999993"/>
    <n v="20.059999999999999"/>
    <n v="34.200000000000003"/>
    <s v="Comedy"/>
    <n v="6"/>
    <n v="4"/>
    <n v="0"/>
  </r>
  <r>
    <s v="U00048"/>
    <x v="4"/>
    <n v="23"/>
    <s v="Male"/>
    <x v="1"/>
    <x v="0"/>
    <n v="18.64"/>
    <n v="5"/>
    <n v="5.8"/>
    <n v="8.11"/>
    <n v="74.900000000000006"/>
    <s v="Family"/>
    <n v="1"/>
    <n v="1"/>
    <n v="0"/>
  </r>
  <r>
    <s v="U00049"/>
    <x v="11"/>
    <n v="46"/>
    <s v="Female"/>
    <x v="2"/>
    <x v="1"/>
    <n v="20.03"/>
    <n v="4"/>
    <n v="8.4"/>
    <n v="10.37"/>
    <n v="17.100000000000001"/>
    <s v="Action"/>
    <n v="3"/>
    <n v="2"/>
    <n v="0"/>
  </r>
  <r>
    <s v="U00050"/>
    <x v="0"/>
    <n v="34"/>
    <s v="Male"/>
    <x v="2"/>
    <x v="0"/>
    <n v="8.6199999999999992"/>
    <n v="2"/>
    <n v="2.6"/>
    <n v="8.02"/>
    <n v="28.7"/>
    <s v="Thriller"/>
    <n v="8"/>
    <n v="2"/>
    <n v="0"/>
  </r>
  <r>
    <s v="U00051"/>
    <x v="8"/>
    <n v="33"/>
    <s v="Female"/>
    <x v="1"/>
    <x v="2"/>
    <n v="5.9"/>
    <n v="5"/>
    <n v="6.6"/>
    <n v="23.81"/>
    <n v="46.8"/>
    <s v="Family"/>
    <n v="9"/>
    <n v="1"/>
    <n v="1"/>
  </r>
  <r>
    <s v="U00052"/>
    <x v="1"/>
    <n v="40"/>
    <s v="Female"/>
    <x v="2"/>
    <x v="2"/>
    <n v="6.62"/>
    <n v="4"/>
    <n v="6.2"/>
    <n v="6.71"/>
    <n v="56.4"/>
    <s v="Thriller"/>
    <n v="7"/>
    <n v="1"/>
    <n v="0"/>
  </r>
  <r>
    <s v="U00053"/>
    <x v="11"/>
    <n v="48"/>
    <s v="Female"/>
    <x v="2"/>
    <x v="1"/>
    <n v="18.14"/>
    <n v="1"/>
    <n v="4.0999999999999996"/>
    <n v="19.11"/>
    <n v="41.8"/>
    <s v="Comedy"/>
    <n v="4"/>
    <n v="3"/>
    <n v="0"/>
  </r>
  <r>
    <s v="U00054"/>
    <x v="9"/>
    <n v="20"/>
    <s v="Female"/>
    <x v="2"/>
    <x v="3"/>
    <n v="7.71"/>
    <n v="4"/>
    <n v="5.7"/>
    <n v="8.41"/>
    <n v="61.6"/>
    <s v="Comedy"/>
    <n v="7"/>
    <n v="0"/>
    <n v="1"/>
  </r>
  <r>
    <s v="U00055"/>
    <x v="8"/>
    <n v="38"/>
    <s v="Male"/>
    <x v="0"/>
    <x v="1"/>
    <n v="14.88"/>
    <n v="1"/>
    <n v="6.3"/>
    <n v="12.35"/>
    <n v="39.299999999999997"/>
    <s v="Thriller"/>
    <n v="7"/>
    <n v="0"/>
    <n v="0"/>
  </r>
  <r>
    <s v="U00056"/>
    <x v="5"/>
    <n v="43"/>
    <s v="Female"/>
    <x v="1"/>
    <x v="0"/>
    <n v="8.0500000000000007"/>
    <n v="4"/>
    <n v="9"/>
    <n v="24.91"/>
    <n v="71.099999999999994"/>
    <s v="Thriller"/>
    <n v="11"/>
    <n v="0"/>
    <n v="0"/>
  </r>
  <r>
    <s v="U00057"/>
    <x v="11"/>
    <n v="53"/>
    <s v="Male"/>
    <x v="0"/>
    <x v="4"/>
    <n v="8.4"/>
    <n v="5"/>
    <n v="1.5"/>
    <n v="5.21"/>
    <n v="56"/>
    <s v="Family"/>
    <n v="7"/>
    <n v="4"/>
    <n v="0"/>
  </r>
  <r>
    <s v="U00058"/>
    <x v="5"/>
    <n v="59"/>
    <s v="Female"/>
    <x v="2"/>
    <x v="2"/>
    <n v="5.09"/>
    <n v="4"/>
    <n v="8.4"/>
    <n v="22.39"/>
    <n v="73.5"/>
    <s v="Comedy"/>
    <n v="8"/>
    <n v="0"/>
    <n v="0"/>
  </r>
  <r>
    <s v="U00059"/>
    <x v="4"/>
    <n v="54"/>
    <s v="Female"/>
    <x v="0"/>
    <x v="4"/>
    <n v="11.42"/>
    <n v="4"/>
    <n v="9.8000000000000007"/>
    <n v="23.81"/>
    <n v="48.8"/>
    <s v="Thriller"/>
    <n v="11"/>
    <n v="3"/>
    <n v="1"/>
  </r>
  <r>
    <s v="U00060"/>
    <x v="8"/>
    <n v="39"/>
    <s v="Female"/>
    <x v="1"/>
    <x v="2"/>
    <n v="6.8"/>
    <n v="5"/>
    <n v="7.6"/>
    <n v="18.36"/>
    <n v="88.9"/>
    <s v="Drama"/>
    <n v="4"/>
    <n v="2"/>
    <n v="0"/>
  </r>
  <r>
    <s v="U00061"/>
    <x v="1"/>
    <n v="59"/>
    <s v="Female"/>
    <x v="1"/>
    <x v="0"/>
    <n v="12.88"/>
    <n v="1"/>
    <n v="7.6"/>
    <n v="3.22"/>
    <n v="44.4"/>
    <s v="Family"/>
    <n v="4"/>
    <n v="2"/>
    <n v="0"/>
  </r>
  <r>
    <s v="U00062"/>
    <x v="9"/>
    <n v="29"/>
    <s v="Male"/>
    <x v="1"/>
    <x v="2"/>
    <n v="16.96"/>
    <n v="5"/>
    <n v="3"/>
    <n v="21.06"/>
    <n v="37.700000000000003"/>
    <s v="Family"/>
    <n v="9"/>
    <n v="4"/>
    <n v="0"/>
  </r>
  <r>
    <s v="U00063"/>
    <x v="9"/>
    <n v="59"/>
    <s v="Female"/>
    <x v="1"/>
    <x v="1"/>
    <n v="12.35"/>
    <n v="2"/>
    <n v="5.7"/>
    <n v="22.41"/>
    <n v="60.1"/>
    <s v="Drama"/>
    <n v="8"/>
    <n v="3"/>
    <n v="1"/>
  </r>
  <r>
    <s v="U00064"/>
    <x v="0"/>
    <n v="30"/>
    <s v="Male"/>
    <x v="2"/>
    <x v="4"/>
    <n v="19.100000000000001"/>
    <n v="4"/>
    <n v="7.4"/>
    <n v="24.58"/>
    <n v="55.8"/>
    <s v="Comedy"/>
    <n v="11"/>
    <n v="1"/>
    <n v="0"/>
  </r>
  <r>
    <s v="U00065"/>
    <x v="9"/>
    <n v="28"/>
    <s v="Female"/>
    <x v="1"/>
    <x v="4"/>
    <n v="19.829999999999998"/>
    <n v="2"/>
    <n v="6.4"/>
    <n v="21.46"/>
    <n v="56.6"/>
    <s v="Thriller"/>
    <n v="4"/>
    <n v="2"/>
    <n v="0"/>
  </r>
  <r>
    <s v="U00066"/>
    <x v="3"/>
    <n v="33"/>
    <s v="Female"/>
    <x v="2"/>
    <x v="0"/>
    <n v="18.93"/>
    <n v="5"/>
    <n v="4.5"/>
    <n v="12.8"/>
    <n v="81.7"/>
    <s v="Thriller"/>
    <n v="6"/>
    <n v="3"/>
    <n v="1"/>
  </r>
  <r>
    <s v="U00067"/>
    <x v="6"/>
    <n v="25"/>
    <s v="Female"/>
    <x v="0"/>
    <x v="4"/>
    <n v="23.73"/>
    <n v="5"/>
    <n v="9.5"/>
    <n v="18.149999999999999"/>
    <n v="63"/>
    <s v="Comedy"/>
    <n v="9"/>
    <n v="1"/>
    <n v="1"/>
  </r>
  <r>
    <s v="U00068"/>
    <x v="10"/>
    <n v="57"/>
    <s v="Male"/>
    <x v="1"/>
    <x v="0"/>
    <n v="9.75"/>
    <n v="3"/>
    <n v="5.6"/>
    <n v="13.67"/>
    <n v="89.7"/>
    <s v="Drama"/>
    <n v="6"/>
    <n v="4"/>
    <n v="1"/>
  </r>
  <r>
    <s v="U00069"/>
    <x v="1"/>
    <n v="57"/>
    <s v="Female"/>
    <x v="1"/>
    <x v="3"/>
    <n v="8.7899999999999991"/>
    <n v="2"/>
    <n v="9.6999999999999993"/>
    <n v="10.77"/>
    <n v="65.7"/>
    <s v="Drama"/>
    <n v="11"/>
    <n v="0"/>
    <n v="0"/>
  </r>
  <r>
    <s v="U00070"/>
    <x v="8"/>
    <n v="62"/>
    <s v="Female"/>
    <x v="0"/>
    <x v="1"/>
    <n v="17.190000000000001"/>
    <n v="3"/>
    <n v="6.1"/>
    <n v="16.78"/>
    <n v="12"/>
    <s v="Drama"/>
    <n v="5"/>
    <n v="3"/>
    <n v="0"/>
  </r>
  <r>
    <s v="U00071"/>
    <x v="3"/>
    <n v="19"/>
    <s v="Female"/>
    <x v="1"/>
    <x v="2"/>
    <n v="16.899999999999999"/>
    <n v="2"/>
    <n v="8.1"/>
    <n v="19.940000000000001"/>
    <n v="88.3"/>
    <s v="Family"/>
    <n v="7"/>
    <n v="2"/>
    <n v="1"/>
  </r>
  <r>
    <s v="U00072"/>
    <x v="1"/>
    <n v="47"/>
    <s v="Female"/>
    <x v="1"/>
    <x v="2"/>
    <n v="15.2"/>
    <n v="3"/>
    <n v="7.7"/>
    <n v="16.989999999999998"/>
    <n v="85.6"/>
    <s v="Thriller"/>
    <n v="2"/>
    <n v="4"/>
    <n v="0"/>
  </r>
  <r>
    <s v="U00073"/>
    <x v="8"/>
    <n v="47"/>
    <s v="Female"/>
    <x v="1"/>
    <x v="2"/>
    <n v="5.09"/>
    <n v="3"/>
    <n v="6.9"/>
    <n v="21.18"/>
    <n v="14.4"/>
    <s v="Action"/>
    <n v="8"/>
    <n v="3"/>
    <n v="0"/>
  </r>
  <r>
    <s v="U00074"/>
    <x v="7"/>
    <n v="29"/>
    <s v="Male"/>
    <x v="2"/>
    <x v="3"/>
    <n v="16.100000000000001"/>
    <n v="2"/>
    <n v="1.1000000000000001"/>
    <n v="6.88"/>
    <n v="21.3"/>
    <s v="Family"/>
    <n v="11"/>
    <n v="4"/>
    <n v="0"/>
  </r>
  <r>
    <s v="U00075"/>
    <x v="7"/>
    <n v="27"/>
    <s v="Male"/>
    <x v="1"/>
    <x v="1"/>
    <n v="23.66"/>
    <n v="5"/>
    <n v="1.7"/>
    <n v="11.22"/>
    <n v="60.1"/>
    <s v="Family"/>
    <n v="7"/>
    <n v="1"/>
    <n v="0"/>
  </r>
  <r>
    <s v="U00076"/>
    <x v="5"/>
    <n v="61"/>
    <s v="Female"/>
    <x v="0"/>
    <x v="4"/>
    <n v="11.69"/>
    <n v="1"/>
    <n v="6.2"/>
    <n v="9.8800000000000008"/>
    <n v="13.9"/>
    <s v="Thriller"/>
    <n v="6"/>
    <n v="3"/>
    <n v="0"/>
  </r>
  <r>
    <s v="U00077"/>
    <x v="1"/>
    <n v="28"/>
    <s v="Female"/>
    <x v="0"/>
    <x v="4"/>
    <n v="24.35"/>
    <n v="5"/>
    <n v="9.1999999999999993"/>
    <n v="7.27"/>
    <n v="47"/>
    <s v="Comedy"/>
    <n v="3"/>
    <n v="0"/>
    <n v="0"/>
  </r>
  <r>
    <s v="U00078"/>
    <x v="7"/>
    <n v="32"/>
    <s v="Male"/>
    <x v="1"/>
    <x v="1"/>
    <n v="12.14"/>
    <n v="1"/>
    <n v="6.4"/>
    <n v="12.75"/>
    <n v="97.8"/>
    <s v="Thriller"/>
    <n v="9"/>
    <n v="1"/>
    <n v="0"/>
  </r>
  <r>
    <s v="U00079"/>
    <x v="8"/>
    <n v="33"/>
    <s v="Female"/>
    <x v="0"/>
    <x v="1"/>
    <n v="7.8"/>
    <n v="2"/>
    <n v="3.1"/>
    <n v="23.85"/>
    <n v="25.5"/>
    <s v="Comedy"/>
    <n v="2"/>
    <n v="0"/>
    <n v="0"/>
  </r>
  <r>
    <s v="U00080"/>
    <x v="5"/>
    <n v="34"/>
    <s v="Male"/>
    <x v="0"/>
    <x v="2"/>
    <n v="12.97"/>
    <n v="4"/>
    <n v="3.9"/>
    <n v="14.84"/>
    <n v="28.5"/>
    <s v="Thriller"/>
    <n v="4"/>
    <n v="4"/>
    <n v="0"/>
  </r>
  <r>
    <s v="U00081"/>
    <x v="9"/>
    <n v="43"/>
    <s v="Female"/>
    <x v="1"/>
    <x v="4"/>
    <n v="14.89"/>
    <n v="5"/>
    <n v="6.6"/>
    <n v="9.3000000000000007"/>
    <n v="70.900000000000006"/>
    <s v="Family"/>
    <n v="2"/>
    <n v="0"/>
    <n v="0"/>
  </r>
  <r>
    <s v="U00082"/>
    <x v="8"/>
    <n v="19"/>
    <s v="Female"/>
    <x v="1"/>
    <x v="1"/>
    <n v="17.59"/>
    <n v="3"/>
    <n v="6.4"/>
    <n v="10.79"/>
    <n v="14"/>
    <s v="Drama"/>
    <n v="6"/>
    <n v="1"/>
    <n v="0"/>
  </r>
  <r>
    <s v="U00083"/>
    <x v="5"/>
    <n v="67"/>
    <s v="Male"/>
    <x v="1"/>
    <x v="4"/>
    <n v="15.1"/>
    <n v="5"/>
    <n v="9.6"/>
    <n v="16.489999999999998"/>
    <n v="83.9"/>
    <s v="Family"/>
    <n v="7"/>
    <n v="1"/>
    <n v="0"/>
  </r>
  <r>
    <s v="U00084"/>
    <x v="1"/>
    <n v="29"/>
    <s v="Female"/>
    <x v="2"/>
    <x v="1"/>
    <n v="15.73"/>
    <n v="2"/>
    <n v="5.8"/>
    <n v="10.76"/>
    <n v="27.9"/>
    <s v="Family"/>
    <n v="9"/>
    <n v="1"/>
    <n v="0"/>
  </r>
  <r>
    <s v="U00085"/>
    <x v="3"/>
    <n v="68"/>
    <s v="Male"/>
    <x v="1"/>
    <x v="0"/>
    <n v="5.48"/>
    <n v="4"/>
    <n v="4.2"/>
    <n v="14.84"/>
    <n v="57.8"/>
    <s v="Action"/>
    <n v="6"/>
    <n v="4"/>
    <n v="0"/>
  </r>
  <r>
    <s v="U00086"/>
    <x v="0"/>
    <n v="43"/>
    <s v="Male"/>
    <x v="1"/>
    <x v="2"/>
    <n v="10.07"/>
    <n v="4"/>
    <n v="5.7"/>
    <n v="9.0299999999999994"/>
    <n v="32.4"/>
    <s v="Family"/>
    <n v="6"/>
    <n v="2"/>
    <n v="0"/>
  </r>
  <r>
    <s v="U00087"/>
    <x v="9"/>
    <n v="40"/>
    <s v="Male"/>
    <x v="2"/>
    <x v="1"/>
    <n v="11.21"/>
    <n v="5"/>
    <n v="8.1"/>
    <n v="10.61"/>
    <n v="69.3"/>
    <s v="Family"/>
    <n v="5"/>
    <n v="4"/>
    <n v="0"/>
  </r>
  <r>
    <s v="U00088"/>
    <x v="11"/>
    <n v="35"/>
    <s v="Female"/>
    <x v="1"/>
    <x v="3"/>
    <n v="24.74"/>
    <n v="5"/>
    <n v="5.9"/>
    <n v="18.53"/>
    <n v="62.8"/>
    <s v="Family"/>
    <n v="10"/>
    <n v="1"/>
    <n v="0"/>
  </r>
  <r>
    <s v="U00089"/>
    <x v="3"/>
    <n v="49"/>
    <s v="Male"/>
    <x v="1"/>
    <x v="1"/>
    <n v="10.91"/>
    <n v="5"/>
    <n v="3.9"/>
    <n v="15.86"/>
    <n v="95.2"/>
    <s v="Action"/>
    <n v="11"/>
    <n v="4"/>
    <n v="1"/>
  </r>
  <r>
    <s v="U00090"/>
    <x v="4"/>
    <n v="66"/>
    <s v="Male"/>
    <x v="1"/>
    <x v="0"/>
    <n v="22.93"/>
    <n v="2"/>
    <n v="4"/>
    <n v="5.0599999999999996"/>
    <n v="50.1"/>
    <s v="Comedy"/>
    <n v="10"/>
    <n v="3"/>
    <n v="0"/>
  </r>
  <r>
    <s v="U00091"/>
    <x v="8"/>
    <n v="55"/>
    <s v="Female"/>
    <x v="0"/>
    <x v="3"/>
    <n v="11.09"/>
    <n v="1"/>
    <n v="7.8"/>
    <n v="24.41"/>
    <n v="88.7"/>
    <s v="Action"/>
    <n v="4"/>
    <n v="3"/>
    <n v="0"/>
  </r>
  <r>
    <s v="U00092"/>
    <x v="4"/>
    <n v="64"/>
    <s v="Female"/>
    <x v="1"/>
    <x v="3"/>
    <n v="6.92"/>
    <n v="1"/>
    <n v="1.6"/>
    <n v="4.09"/>
    <n v="61.8"/>
    <s v="Drama"/>
    <n v="10"/>
    <n v="2"/>
    <n v="0"/>
  </r>
  <r>
    <s v="U00093"/>
    <x v="3"/>
    <n v="20"/>
    <s v="Female"/>
    <x v="1"/>
    <x v="1"/>
    <n v="9.9499999999999993"/>
    <n v="3"/>
    <n v="3.5"/>
    <n v="4.82"/>
    <n v="92.3"/>
    <s v="Comedy"/>
    <n v="11"/>
    <n v="4"/>
    <n v="0"/>
  </r>
  <r>
    <s v="U00094"/>
    <x v="5"/>
    <n v="55"/>
    <s v="Female"/>
    <x v="2"/>
    <x v="0"/>
    <n v="10.46"/>
    <n v="2"/>
    <n v="2.4"/>
    <n v="18.43"/>
    <n v="36.299999999999997"/>
    <s v="Action"/>
    <n v="4"/>
    <n v="4"/>
    <n v="0"/>
  </r>
  <r>
    <s v="U00095"/>
    <x v="11"/>
    <n v="20"/>
    <s v="Female"/>
    <x v="2"/>
    <x v="3"/>
    <n v="24.56"/>
    <n v="4"/>
    <n v="9.5"/>
    <n v="18.579999999999998"/>
    <n v="59.5"/>
    <s v="Drama"/>
    <n v="4"/>
    <n v="3"/>
    <n v="0"/>
  </r>
  <r>
    <s v="U00096"/>
    <x v="9"/>
    <n v="47"/>
    <s v="Female"/>
    <x v="1"/>
    <x v="2"/>
    <n v="18.489999999999998"/>
    <n v="3"/>
    <n v="1.8"/>
    <n v="3.42"/>
    <n v="45.1"/>
    <s v="Drama"/>
    <n v="5"/>
    <n v="1"/>
    <n v="0"/>
  </r>
  <r>
    <s v="U00097"/>
    <x v="9"/>
    <n v="18"/>
    <s v="Male"/>
    <x v="0"/>
    <x v="2"/>
    <n v="23.63"/>
    <n v="4"/>
    <n v="7.8"/>
    <n v="17.14"/>
    <n v="15.9"/>
    <s v="Thriller"/>
    <n v="1"/>
    <n v="0"/>
    <n v="0"/>
  </r>
  <r>
    <s v="U00098"/>
    <x v="9"/>
    <n v="47"/>
    <s v="Female"/>
    <x v="0"/>
    <x v="4"/>
    <n v="21.7"/>
    <n v="4"/>
    <n v="6.7"/>
    <n v="3.73"/>
    <n v="61.7"/>
    <s v="Thriller"/>
    <n v="2"/>
    <n v="1"/>
    <n v="1"/>
  </r>
  <r>
    <s v="U00099"/>
    <x v="11"/>
    <n v="62"/>
    <s v="Male"/>
    <x v="1"/>
    <x v="4"/>
    <n v="16.57"/>
    <n v="5"/>
    <n v="6.7"/>
    <n v="24.14"/>
    <n v="81.5"/>
    <s v="Family"/>
    <n v="3"/>
    <n v="2"/>
    <n v="0"/>
  </r>
  <r>
    <s v="U00100"/>
    <x v="10"/>
    <n v="49"/>
    <s v="Female"/>
    <x v="1"/>
    <x v="0"/>
    <n v="18.510000000000002"/>
    <n v="4"/>
    <n v="7.9"/>
    <n v="18.32"/>
    <n v="60.1"/>
    <s v="Comedy"/>
    <n v="7"/>
    <n v="0"/>
    <n v="0"/>
  </r>
  <r>
    <s v="U00101"/>
    <x v="11"/>
    <n v="45"/>
    <s v="Male"/>
    <x v="0"/>
    <x v="3"/>
    <n v="17.5"/>
    <n v="4"/>
    <n v="4.5999999999999996"/>
    <n v="7.1"/>
    <n v="35.1"/>
    <s v="Action"/>
    <n v="1"/>
    <n v="1"/>
    <n v="0"/>
  </r>
  <r>
    <s v="U00102"/>
    <x v="0"/>
    <n v="38"/>
    <s v="Male"/>
    <x v="1"/>
    <x v="2"/>
    <n v="18.329999999999998"/>
    <n v="2"/>
    <n v="4.5999999999999996"/>
    <n v="6.48"/>
    <n v="33.700000000000003"/>
    <s v="Family"/>
    <n v="3"/>
    <n v="4"/>
    <n v="0"/>
  </r>
  <r>
    <s v="U00103"/>
    <x v="11"/>
    <n v="63"/>
    <s v="Female"/>
    <x v="0"/>
    <x v="2"/>
    <n v="10.3"/>
    <n v="5"/>
    <n v="3.6"/>
    <n v="15.53"/>
    <n v="31.4"/>
    <s v="Comedy"/>
    <n v="7"/>
    <n v="4"/>
    <n v="0"/>
  </r>
  <r>
    <s v="U00104"/>
    <x v="3"/>
    <n v="30"/>
    <s v="Female"/>
    <x v="2"/>
    <x v="0"/>
    <n v="13.16"/>
    <n v="5"/>
    <n v="6.4"/>
    <n v="16.940000000000001"/>
    <n v="98.2"/>
    <s v="Thriller"/>
    <n v="6"/>
    <n v="3"/>
    <n v="0"/>
  </r>
  <r>
    <s v="U00105"/>
    <x v="10"/>
    <n v="44"/>
    <s v="Male"/>
    <x v="0"/>
    <x v="3"/>
    <n v="16.850000000000001"/>
    <n v="3"/>
    <n v="9.4"/>
    <n v="21.29"/>
    <n v="45.9"/>
    <s v="Action"/>
    <n v="2"/>
    <n v="4"/>
    <n v="0"/>
  </r>
  <r>
    <s v="U00106"/>
    <x v="9"/>
    <n v="53"/>
    <s v="Female"/>
    <x v="2"/>
    <x v="0"/>
    <n v="5.72"/>
    <n v="5"/>
    <n v="9.3000000000000007"/>
    <n v="22.87"/>
    <n v="38.5"/>
    <s v="Drama"/>
    <n v="4"/>
    <n v="4"/>
    <n v="1"/>
  </r>
  <r>
    <s v="U00107"/>
    <x v="3"/>
    <n v="24"/>
    <s v="Female"/>
    <x v="2"/>
    <x v="1"/>
    <n v="14.66"/>
    <n v="1"/>
    <n v="7.3"/>
    <n v="11.64"/>
    <n v="47.7"/>
    <s v="Drama"/>
    <n v="1"/>
    <n v="2"/>
    <n v="0"/>
  </r>
  <r>
    <s v="U00108"/>
    <x v="3"/>
    <n v="39"/>
    <s v="Male"/>
    <x v="1"/>
    <x v="2"/>
    <n v="22.19"/>
    <n v="2"/>
    <n v="9.1999999999999993"/>
    <n v="21.57"/>
    <n v="20.399999999999999"/>
    <s v="Family"/>
    <n v="5"/>
    <n v="0"/>
    <n v="0"/>
  </r>
  <r>
    <s v="U00109"/>
    <x v="2"/>
    <n v="27"/>
    <s v="Male"/>
    <x v="2"/>
    <x v="0"/>
    <n v="14.85"/>
    <n v="3"/>
    <n v="9.6999999999999993"/>
    <n v="14.93"/>
    <n v="27.6"/>
    <s v="Family"/>
    <n v="2"/>
    <n v="1"/>
    <n v="0"/>
  </r>
  <r>
    <s v="U00110"/>
    <x v="6"/>
    <n v="56"/>
    <s v="Male"/>
    <x v="1"/>
    <x v="0"/>
    <n v="16.05"/>
    <n v="1"/>
    <n v="8.1999999999999993"/>
    <n v="13.35"/>
    <n v="55.8"/>
    <s v="Action"/>
    <n v="8"/>
    <n v="1"/>
    <n v="0"/>
  </r>
  <r>
    <s v="U00111"/>
    <x v="10"/>
    <n v="32"/>
    <s v="Female"/>
    <x v="1"/>
    <x v="1"/>
    <n v="9.0399999999999991"/>
    <n v="4"/>
    <n v="4.7"/>
    <n v="18.38"/>
    <n v="81.900000000000006"/>
    <s v="Drama"/>
    <n v="10"/>
    <n v="2"/>
    <n v="1"/>
  </r>
  <r>
    <s v="U00112"/>
    <x v="3"/>
    <n v="32"/>
    <s v="Female"/>
    <x v="1"/>
    <x v="4"/>
    <n v="20.89"/>
    <n v="1"/>
    <n v="5.3"/>
    <n v="5.27"/>
    <n v="88.9"/>
    <s v="Family"/>
    <n v="6"/>
    <n v="0"/>
    <n v="0"/>
  </r>
  <r>
    <s v="U00113"/>
    <x v="6"/>
    <n v="21"/>
    <s v="Female"/>
    <x v="1"/>
    <x v="2"/>
    <n v="12.18"/>
    <n v="3"/>
    <n v="9.4"/>
    <n v="8.84"/>
    <n v="87.9"/>
    <s v="Drama"/>
    <n v="1"/>
    <n v="4"/>
    <n v="0"/>
  </r>
  <r>
    <s v="U00114"/>
    <x v="6"/>
    <n v="49"/>
    <s v="Female"/>
    <x v="1"/>
    <x v="0"/>
    <n v="24.13"/>
    <n v="5"/>
    <n v="7"/>
    <n v="20.97"/>
    <n v="95"/>
    <s v="Thriller"/>
    <n v="2"/>
    <n v="2"/>
    <n v="1"/>
  </r>
  <r>
    <s v="U00115"/>
    <x v="10"/>
    <n v="40"/>
    <s v="Male"/>
    <x v="1"/>
    <x v="2"/>
    <n v="24.87"/>
    <n v="2"/>
    <n v="8.4"/>
    <n v="14.09"/>
    <n v="21.3"/>
    <s v="Family"/>
    <n v="4"/>
    <n v="4"/>
    <n v="0"/>
  </r>
  <r>
    <s v="U00116"/>
    <x v="2"/>
    <n v="23"/>
    <s v="Female"/>
    <x v="1"/>
    <x v="4"/>
    <n v="23.32"/>
    <n v="3"/>
    <n v="2"/>
    <n v="22.98"/>
    <n v="13.7"/>
    <s v="Comedy"/>
    <n v="3"/>
    <n v="1"/>
    <n v="0"/>
  </r>
  <r>
    <s v="U00117"/>
    <x v="4"/>
    <n v="41"/>
    <s v="Male"/>
    <x v="0"/>
    <x v="0"/>
    <n v="6.7"/>
    <n v="1"/>
    <n v="2.7"/>
    <n v="4.95"/>
    <n v="19.5"/>
    <s v="Family"/>
    <n v="9"/>
    <n v="2"/>
    <n v="1"/>
  </r>
  <r>
    <s v="U00118"/>
    <x v="5"/>
    <n v="37"/>
    <s v="Female"/>
    <x v="1"/>
    <x v="1"/>
    <n v="11.66"/>
    <n v="1"/>
    <n v="4.0999999999999996"/>
    <n v="9.9"/>
    <n v="64.099999999999994"/>
    <s v="Thriller"/>
    <n v="1"/>
    <n v="2"/>
    <n v="0"/>
  </r>
  <r>
    <s v="U00119"/>
    <x v="0"/>
    <n v="54"/>
    <s v="Female"/>
    <x v="0"/>
    <x v="2"/>
    <n v="23.9"/>
    <n v="3"/>
    <n v="2.7"/>
    <n v="10.82"/>
    <n v="60.1"/>
    <s v="Action"/>
    <n v="7"/>
    <n v="2"/>
    <n v="0"/>
  </r>
  <r>
    <s v="U00120"/>
    <x v="5"/>
    <n v="37"/>
    <s v="Male"/>
    <x v="0"/>
    <x v="1"/>
    <n v="21.09"/>
    <n v="3"/>
    <n v="9.1999999999999993"/>
    <n v="12.3"/>
    <n v="70.400000000000006"/>
    <s v="Drama"/>
    <n v="9"/>
    <n v="1"/>
    <n v="1"/>
  </r>
  <r>
    <s v="U00121"/>
    <x v="11"/>
    <n v="29"/>
    <s v="Female"/>
    <x v="0"/>
    <x v="4"/>
    <n v="23.22"/>
    <n v="3"/>
    <n v="3"/>
    <n v="24.71"/>
    <n v="43.4"/>
    <s v="Action"/>
    <n v="9"/>
    <n v="1"/>
    <n v="0"/>
  </r>
  <r>
    <s v="U00122"/>
    <x v="9"/>
    <n v="50"/>
    <s v="Female"/>
    <x v="0"/>
    <x v="4"/>
    <n v="16.45"/>
    <n v="5"/>
    <n v="6"/>
    <n v="9.83"/>
    <n v="45.2"/>
    <s v="Family"/>
    <n v="6"/>
    <n v="3"/>
    <n v="1"/>
  </r>
  <r>
    <s v="U00123"/>
    <x v="0"/>
    <n v="45"/>
    <s v="Male"/>
    <x v="0"/>
    <x v="2"/>
    <n v="14.61"/>
    <n v="3"/>
    <n v="1.8"/>
    <n v="14.41"/>
    <n v="59.1"/>
    <s v="Comedy"/>
    <n v="7"/>
    <n v="1"/>
    <n v="0"/>
  </r>
  <r>
    <s v="U00124"/>
    <x v="11"/>
    <n v="25"/>
    <s v="Female"/>
    <x v="2"/>
    <x v="4"/>
    <n v="7.13"/>
    <n v="4"/>
    <n v="2.4"/>
    <n v="14.79"/>
    <n v="17.100000000000001"/>
    <s v="Action"/>
    <n v="8"/>
    <n v="1"/>
    <n v="1"/>
  </r>
  <r>
    <s v="U00125"/>
    <x v="3"/>
    <n v="18"/>
    <s v="Male"/>
    <x v="0"/>
    <x v="3"/>
    <n v="21.79"/>
    <n v="2"/>
    <n v="3.2"/>
    <n v="19.96"/>
    <n v="82"/>
    <s v="Comedy"/>
    <n v="3"/>
    <n v="4"/>
    <n v="0"/>
  </r>
  <r>
    <s v="U00126"/>
    <x v="9"/>
    <n v="54"/>
    <s v="Male"/>
    <x v="1"/>
    <x v="2"/>
    <n v="19.899999999999999"/>
    <n v="2"/>
    <n v="9.8000000000000007"/>
    <n v="14.39"/>
    <n v="93.1"/>
    <s v="Family"/>
    <n v="5"/>
    <n v="1"/>
    <n v="1"/>
  </r>
  <r>
    <s v="U00127"/>
    <x v="8"/>
    <n v="39"/>
    <s v="Male"/>
    <x v="0"/>
    <x v="3"/>
    <n v="6.18"/>
    <n v="4"/>
    <n v="8.1999999999999993"/>
    <n v="16.329999999999998"/>
    <n v="44.9"/>
    <s v="Comedy"/>
    <n v="4"/>
    <n v="0"/>
    <n v="0"/>
  </r>
  <r>
    <s v="U00128"/>
    <x v="10"/>
    <n v="23"/>
    <s v="Male"/>
    <x v="2"/>
    <x v="4"/>
    <n v="9.19"/>
    <n v="1"/>
    <n v="7.1"/>
    <n v="19.57"/>
    <n v="76.599999999999994"/>
    <s v="Comedy"/>
    <n v="9"/>
    <n v="4"/>
    <n v="0"/>
  </r>
  <r>
    <s v="U00129"/>
    <x v="0"/>
    <n v="38"/>
    <s v="Female"/>
    <x v="1"/>
    <x v="2"/>
    <n v="16.149999999999999"/>
    <n v="1"/>
    <n v="9.1999999999999993"/>
    <n v="5.22"/>
    <n v="59.4"/>
    <s v="Thriller"/>
    <n v="9"/>
    <n v="3"/>
    <n v="1"/>
  </r>
  <r>
    <s v="U00130"/>
    <x v="0"/>
    <n v="49"/>
    <s v="Female"/>
    <x v="1"/>
    <x v="3"/>
    <n v="18.690000000000001"/>
    <n v="1"/>
    <n v="9.6"/>
    <n v="24.2"/>
    <n v="31.2"/>
    <s v="Action"/>
    <n v="4"/>
    <n v="0"/>
    <n v="0"/>
  </r>
  <r>
    <s v="U00131"/>
    <x v="3"/>
    <n v="52"/>
    <s v="Female"/>
    <x v="1"/>
    <x v="4"/>
    <n v="7.75"/>
    <n v="1"/>
    <n v="5.0999999999999996"/>
    <n v="21.62"/>
    <n v="16.100000000000001"/>
    <s v="Family"/>
    <n v="2"/>
    <n v="3"/>
    <n v="0"/>
  </r>
  <r>
    <s v="U00132"/>
    <x v="4"/>
    <n v="32"/>
    <s v="Male"/>
    <x v="1"/>
    <x v="0"/>
    <n v="9.9"/>
    <n v="5"/>
    <n v="3.9"/>
    <n v="11.55"/>
    <n v="32.1"/>
    <s v="Thriller"/>
    <n v="1"/>
    <n v="2"/>
    <n v="0"/>
  </r>
  <r>
    <s v="U00133"/>
    <x v="6"/>
    <n v="22"/>
    <s v="Female"/>
    <x v="1"/>
    <x v="0"/>
    <n v="8.86"/>
    <n v="4"/>
    <n v="3.8"/>
    <n v="19.03"/>
    <n v="64.400000000000006"/>
    <s v="Comedy"/>
    <n v="3"/>
    <n v="2"/>
    <n v="0"/>
  </r>
  <r>
    <s v="U00134"/>
    <x v="9"/>
    <n v="63"/>
    <s v="Female"/>
    <x v="0"/>
    <x v="1"/>
    <n v="9.4"/>
    <n v="2"/>
    <n v="1.3"/>
    <n v="19.77"/>
    <n v="13.6"/>
    <s v="Thriller"/>
    <n v="2"/>
    <n v="2"/>
    <n v="0"/>
  </r>
  <r>
    <s v="U00135"/>
    <x v="3"/>
    <n v="67"/>
    <s v="Female"/>
    <x v="2"/>
    <x v="0"/>
    <n v="23.41"/>
    <n v="4"/>
    <n v="3.5"/>
    <n v="21.71"/>
    <n v="85.3"/>
    <s v="Thriller"/>
    <n v="5"/>
    <n v="1"/>
    <n v="1"/>
  </r>
  <r>
    <s v="U00136"/>
    <x v="7"/>
    <n v="65"/>
    <s v="Female"/>
    <x v="1"/>
    <x v="3"/>
    <n v="19.32"/>
    <n v="2"/>
    <n v="4.2"/>
    <n v="7.14"/>
    <n v="97.3"/>
    <s v="Comedy"/>
    <n v="6"/>
    <n v="1"/>
    <n v="0"/>
  </r>
  <r>
    <s v="U00137"/>
    <x v="2"/>
    <n v="23"/>
    <s v="Male"/>
    <x v="1"/>
    <x v="0"/>
    <n v="19.739999999999998"/>
    <n v="1"/>
    <n v="1.3"/>
    <n v="18.48"/>
    <n v="17.5"/>
    <s v="Family"/>
    <n v="9"/>
    <n v="4"/>
    <n v="0"/>
  </r>
  <r>
    <s v="U00138"/>
    <x v="6"/>
    <n v="42"/>
    <s v="Male"/>
    <x v="2"/>
    <x v="2"/>
    <n v="20.88"/>
    <n v="5"/>
    <n v="8.9"/>
    <n v="3.73"/>
    <n v="32.200000000000003"/>
    <s v="Drama"/>
    <n v="4"/>
    <n v="0"/>
    <n v="1"/>
  </r>
  <r>
    <s v="U00139"/>
    <x v="10"/>
    <n v="63"/>
    <s v="Female"/>
    <x v="1"/>
    <x v="2"/>
    <n v="12.13"/>
    <n v="3"/>
    <n v="8.6"/>
    <n v="5.54"/>
    <n v="70.8"/>
    <s v="Thriller"/>
    <n v="4"/>
    <n v="0"/>
    <n v="0"/>
  </r>
  <r>
    <s v="U00140"/>
    <x v="6"/>
    <n v="57"/>
    <s v="Male"/>
    <x v="2"/>
    <x v="2"/>
    <n v="20.34"/>
    <n v="3"/>
    <n v="3.3"/>
    <n v="20.07"/>
    <n v="82.5"/>
    <s v="Action"/>
    <n v="4"/>
    <n v="2"/>
    <n v="0"/>
  </r>
  <r>
    <s v="U00141"/>
    <x v="4"/>
    <n v="46"/>
    <s v="Female"/>
    <x v="1"/>
    <x v="0"/>
    <n v="24.57"/>
    <n v="1"/>
    <n v="8.1999999999999993"/>
    <n v="20.89"/>
    <n v="41.1"/>
    <s v="Comedy"/>
    <n v="1"/>
    <n v="2"/>
    <n v="0"/>
  </r>
  <r>
    <s v="U00142"/>
    <x v="6"/>
    <n v="24"/>
    <s v="Female"/>
    <x v="2"/>
    <x v="0"/>
    <n v="18.97"/>
    <n v="1"/>
    <n v="8.1999999999999993"/>
    <n v="16.03"/>
    <n v="56.4"/>
    <s v="Drama"/>
    <n v="3"/>
    <n v="1"/>
    <n v="0"/>
  </r>
  <r>
    <s v="U00143"/>
    <x v="10"/>
    <n v="57"/>
    <s v="Female"/>
    <x v="0"/>
    <x v="1"/>
    <n v="13.34"/>
    <n v="4"/>
    <n v="4"/>
    <n v="15.8"/>
    <n v="90.3"/>
    <s v="Thriller"/>
    <n v="4"/>
    <n v="3"/>
    <n v="0"/>
  </r>
  <r>
    <s v="U00144"/>
    <x v="4"/>
    <n v="30"/>
    <s v="Male"/>
    <x v="2"/>
    <x v="4"/>
    <n v="19.329999999999998"/>
    <n v="5"/>
    <n v="7.3"/>
    <n v="19.489999999999998"/>
    <n v="44.6"/>
    <s v="Comedy"/>
    <n v="1"/>
    <n v="0"/>
    <n v="0"/>
  </r>
  <r>
    <s v="U00145"/>
    <x v="5"/>
    <n v="55"/>
    <s v="Female"/>
    <x v="2"/>
    <x v="1"/>
    <n v="23.02"/>
    <n v="5"/>
    <n v="3.6"/>
    <n v="22.93"/>
    <n v="17.3"/>
    <s v="Comedy"/>
    <n v="5"/>
    <n v="0"/>
    <n v="0"/>
  </r>
  <r>
    <s v="U00146"/>
    <x v="0"/>
    <n v="35"/>
    <s v="Male"/>
    <x v="0"/>
    <x v="3"/>
    <n v="7.58"/>
    <n v="4"/>
    <n v="1.6"/>
    <n v="12.26"/>
    <n v="99.5"/>
    <s v="Thriller"/>
    <n v="10"/>
    <n v="3"/>
    <n v="0"/>
  </r>
  <r>
    <s v="U00147"/>
    <x v="0"/>
    <n v="19"/>
    <s v="Male"/>
    <x v="0"/>
    <x v="2"/>
    <n v="10.31"/>
    <n v="5"/>
    <n v="5.5"/>
    <n v="5.53"/>
    <n v="26.2"/>
    <s v="Action"/>
    <n v="9"/>
    <n v="0"/>
    <n v="0"/>
  </r>
  <r>
    <s v="U00148"/>
    <x v="2"/>
    <n v="25"/>
    <s v="Female"/>
    <x v="1"/>
    <x v="0"/>
    <n v="23.39"/>
    <n v="5"/>
    <n v="4.9000000000000004"/>
    <n v="21.46"/>
    <n v="14.4"/>
    <s v="Comedy"/>
    <n v="1"/>
    <n v="0"/>
    <n v="0"/>
  </r>
  <r>
    <s v="U00149"/>
    <x v="11"/>
    <n v="28"/>
    <s v="Male"/>
    <x v="2"/>
    <x v="4"/>
    <n v="23.92"/>
    <n v="3"/>
    <n v="2.2000000000000002"/>
    <n v="10.52"/>
    <n v="47"/>
    <s v="Comedy"/>
    <n v="7"/>
    <n v="1"/>
    <n v="1"/>
  </r>
  <r>
    <s v="U00150"/>
    <x v="5"/>
    <n v="50"/>
    <s v="Male"/>
    <x v="0"/>
    <x v="4"/>
    <n v="14.68"/>
    <n v="5"/>
    <n v="5.4"/>
    <n v="5.94"/>
    <n v="20.9"/>
    <s v="Thriller"/>
    <n v="2"/>
    <n v="0"/>
    <n v="0"/>
  </r>
  <r>
    <s v="U00151"/>
    <x v="5"/>
    <n v="55"/>
    <s v="Female"/>
    <x v="1"/>
    <x v="0"/>
    <n v="12.49"/>
    <n v="1"/>
    <n v="9.5"/>
    <n v="16.52"/>
    <n v="98.1"/>
    <s v="Drama"/>
    <n v="10"/>
    <n v="2"/>
    <n v="0"/>
  </r>
  <r>
    <s v="U00152"/>
    <x v="9"/>
    <n v="65"/>
    <s v="Male"/>
    <x v="0"/>
    <x v="1"/>
    <n v="10.66"/>
    <n v="3"/>
    <n v="7.6"/>
    <n v="15.72"/>
    <n v="44.3"/>
    <s v="Comedy"/>
    <n v="11"/>
    <n v="2"/>
    <n v="0"/>
  </r>
  <r>
    <s v="U00153"/>
    <x v="6"/>
    <n v="44"/>
    <s v="Male"/>
    <x v="1"/>
    <x v="4"/>
    <n v="14.98"/>
    <n v="1"/>
    <n v="7.6"/>
    <n v="13.43"/>
    <n v="84.3"/>
    <s v="Comedy"/>
    <n v="9"/>
    <n v="4"/>
    <n v="0"/>
  </r>
  <r>
    <s v="U00154"/>
    <x v="0"/>
    <n v="37"/>
    <s v="Female"/>
    <x v="1"/>
    <x v="1"/>
    <n v="23.69"/>
    <n v="1"/>
    <n v="7.8"/>
    <n v="21.92"/>
    <n v="25.9"/>
    <s v="Thriller"/>
    <n v="4"/>
    <n v="1"/>
    <n v="0"/>
  </r>
  <r>
    <s v="U00155"/>
    <x v="10"/>
    <n v="29"/>
    <s v="Female"/>
    <x v="2"/>
    <x v="0"/>
    <n v="8"/>
    <n v="4"/>
    <n v="7.7"/>
    <n v="8.99"/>
    <n v="22.5"/>
    <s v="Comedy"/>
    <n v="3"/>
    <n v="1"/>
    <n v="0"/>
  </r>
  <r>
    <s v="U00156"/>
    <x v="1"/>
    <n v="60"/>
    <s v="Male"/>
    <x v="1"/>
    <x v="1"/>
    <n v="13.4"/>
    <n v="5"/>
    <n v="1.2"/>
    <n v="3.29"/>
    <n v="68.400000000000006"/>
    <s v="Thriller"/>
    <n v="11"/>
    <n v="2"/>
    <n v="0"/>
  </r>
  <r>
    <s v="U00157"/>
    <x v="1"/>
    <n v="48"/>
    <s v="Female"/>
    <x v="2"/>
    <x v="2"/>
    <n v="23.23"/>
    <n v="5"/>
    <n v="9.3000000000000007"/>
    <n v="10.119999999999999"/>
    <n v="91.8"/>
    <s v="Action"/>
    <n v="7"/>
    <n v="1"/>
    <n v="0"/>
  </r>
  <r>
    <s v="U00158"/>
    <x v="4"/>
    <n v="44"/>
    <s v="Female"/>
    <x v="1"/>
    <x v="0"/>
    <n v="11.98"/>
    <n v="5"/>
    <n v="8.5"/>
    <n v="3.21"/>
    <n v="20.3"/>
    <s v="Thriller"/>
    <n v="6"/>
    <n v="1"/>
    <n v="0"/>
  </r>
  <r>
    <s v="U00159"/>
    <x v="0"/>
    <n v="49"/>
    <s v="Male"/>
    <x v="0"/>
    <x v="0"/>
    <n v="20.36"/>
    <n v="5"/>
    <n v="3.5"/>
    <n v="14.96"/>
    <n v="63"/>
    <s v="Drama"/>
    <n v="11"/>
    <n v="4"/>
    <n v="0"/>
  </r>
  <r>
    <s v="U00160"/>
    <x v="0"/>
    <n v="27"/>
    <s v="Male"/>
    <x v="1"/>
    <x v="4"/>
    <n v="12.79"/>
    <n v="3"/>
    <n v="6"/>
    <n v="11.32"/>
    <n v="17.600000000000001"/>
    <s v="Comedy"/>
    <n v="10"/>
    <n v="3"/>
    <n v="0"/>
  </r>
  <r>
    <s v="U00161"/>
    <x v="2"/>
    <n v="20"/>
    <s v="Female"/>
    <x v="1"/>
    <x v="4"/>
    <n v="21.1"/>
    <n v="2"/>
    <n v="6.5"/>
    <n v="20.91"/>
    <n v="83.1"/>
    <s v="Action"/>
    <n v="8"/>
    <n v="0"/>
    <n v="0"/>
  </r>
  <r>
    <s v="U00162"/>
    <x v="1"/>
    <n v="62"/>
    <s v="Male"/>
    <x v="2"/>
    <x v="4"/>
    <n v="24.62"/>
    <n v="1"/>
    <n v="2.2000000000000002"/>
    <n v="20.55"/>
    <n v="91.8"/>
    <s v="Comedy"/>
    <n v="9"/>
    <n v="4"/>
    <n v="0"/>
  </r>
  <r>
    <s v="U00163"/>
    <x v="0"/>
    <n v="44"/>
    <s v="Female"/>
    <x v="2"/>
    <x v="2"/>
    <n v="12.76"/>
    <n v="2"/>
    <n v="3.3"/>
    <n v="12.56"/>
    <n v="66.599999999999994"/>
    <s v="Comedy"/>
    <n v="7"/>
    <n v="3"/>
    <n v="1"/>
  </r>
  <r>
    <s v="U00164"/>
    <x v="2"/>
    <n v="52"/>
    <s v="Female"/>
    <x v="0"/>
    <x v="2"/>
    <n v="21.9"/>
    <n v="2"/>
    <n v="1.2"/>
    <n v="7.76"/>
    <n v="72"/>
    <s v="Thriller"/>
    <n v="6"/>
    <n v="0"/>
    <n v="0"/>
  </r>
  <r>
    <s v="U00165"/>
    <x v="6"/>
    <n v="48"/>
    <s v="Male"/>
    <x v="0"/>
    <x v="3"/>
    <n v="24.77"/>
    <n v="2"/>
    <n v="8.8000000000000007"/>
    <n v="12.29"/>
    <n v="15"/>
    <s v="Comedy"/>
    <n v="8"/>
    <n v="2"/>
    <n v="0"/>
  </r>
  <r>
    <s v="U00166"/>
    <x v="7"/>
    <n v="32"/>
    <s v="Male"/>
    <x v="0"/>
    <x v="0"/>
    <n v="24.68"/>
    <n v="3"/>
    <n v="1.2"/>
    <n v="17.11"/>
    <n v="16.600000000000001"/>
    <s v="Action"/>
    <n v="9"/>
    <n v="3"/>
    <n v="0"/>
  </r>
  <r>
    <s v="U00167"/>
    <x v="9"/>
    <n v="33"/>
    <s v="Female"/>
    <x v="2"/>
    <x v="4"/>
    <n v="13.68"/>
    <n v="2"/>
    <n v="3.9"/>
    <n v="7.18"/>
    <n v="26.2"/>
    <s v="Family"/>
    <n v="8"/>
    <n v="0"/>
    <n v="0"/>
  </r>
  <r>
    <s v="U00168"/>
    <x v="8"/>
    <n v="30"/>
    <s v="Female"/>
    <x v="2"/>
    <x v="0"/>
    <n v="14.72"/>
    <n v="3"/>
    <n v="1.7"/>
    <n v="20.010000000000002"/>
    <n v="34.6"/>
    <s v="Comedy"/>
    <n v="6"/>
    <n v="4"/>
    <n v="0"/>
  </r>
  <r>
    <s v="U00169"/>
    <x v="5"/>
    <n v="66"/>
    <s v="Female"/>
    <x v="2"/>
    <x v="1"/>
    <n v="11.07"/>
    <n v="4"/>
    <n v="8"/>
    <n v="10.27"/>
    <n v="78.400000000000006"/>
    <s v="Thriller"/>
    <n v="8"/>
    <n v="0"/>
    <n v="0"/>
  </r>
  <r>
    <s v="U00170"/>
    <x v="11"/>
    <n v="52"/>
    <s v="Female"/>
    <x v="1"/>
    <x v="2"/>
    <n v="11.28"/>
    <n v="4"/>
    <n v="9.3000000000000007"/>
    <n v="23.51"/>
    <n v="49.2"/>
    <s v="Drama"/>
    <n v="9"/>
    <n v="1"/>
    <n v="0"/>
  </r>
  <r>
    <s v="U00171"/>
    <x v="4"/>
    <n v="69"/>
    <s v="Male"/>
    <x v="1"/>
    <x v="3"/>
    <n v="14.85"/>
    <n v="4"/>
    <n v="6.1"/>
    <n v="14.26"/>
    <n v="17"/>
    <s v="Comedy"/>
    <n v="6"/>
    <n v="0"/>
    <n v="1"/>
  </r>
  <r>
    <s v="U00172"/>
    <x v="7"/>
    <n v="28"/>
    <s v="Female"/>
    <x v="1"/>
    <x v="1"/>
    <n v="9.01"/>
    <n v="3"/>
    <n v="2.2999999999999998"/>
    <n v="21.64"/>
    <n v="86.7"/>
    <s v="Thriller"/>
    <n v="6"/>
    <n v="2"/>
    <n v="0"/>
  </r>
  <r>
    <s v="U00173"/>
    <x v="9"/>
    <n v="38"/>
    <s v="Male"/>
    <x v="0"/>
    <x v="0"/>
    <n v="19.22"/>
    <n v="3"/>
    <n v="6"/>
    <n v="16.55"/>
    <n v="99.4"/>
    <s v="Comedy"/>
    <n v="2"/>
    <n v="4"/>
    <n v="1"/>
  </r>
  <r>
    <s v="U00174"/>
    <x v="9"/>
    <n v="68"/>
    <s v="Male"/>
    <x v="1"/>
    <x v="2"/>
    <n v="15.73"/>
    <n v="1"/>
    <n v="7.9"/>
    <n v="15.2"/>
    <n v="51"/>
    <s v="Family"/>
    <n v="9"/>
    <n v="3"/>
    <n v="0"/>
  </r>
  <r>
    <s v="U00175"/>
    <x v="9"/>
    <n v="28"/>
    <s v="Female"/>
    <x v="0"/>
    <x v="4"/>
    <n v="22.96"/>
    <n v="2"/>
    <n v="7.5"/>
    <n v="18.010000000000002"/>
    <n v="56.1"/>
    <s v="Family"/>
    <n v="8"/>
    <n v="0"/>
    <n v="1"/>
  </r>
  <r>
    <s v="U00176"/>
    <x v="9"/>
    <n v="47"/>
    <s v="Male"/>
    <x v="0"/>
    <x v="1"/>
    <n v="21.21"/>
    <n v="5"/>
    <n v="7.7"/>
    <n v="20.85"/>
    <n v="17.100000000000001"/>
    <s v="Action"/>
    <n v="5"/>
    <n v="4"/>
    <n v="0"/>
  </r>
  <r>
    <s v="U00177"/>
    <x v="1"/>
    <n v="65"/>
    <s v="Male"/>
    <x v="2"/>
    <x v="2"/>
    <n v="11.45"/>
    <n v="5"/>
    <n v="3.5"/>
    <n v="17.18"/>
    <n v="44.5"/>
    <s v="Family"/>
    <n v="10"/>
    <n v="2"/>
    <n v="0"/>
  </r>
  <r>
    <s v="U00178"/>
    <x v="2"/>
    <n v="52"/>
    <s v="Female"/>
    <x v="2"/>
    <x v="0"/>
    <n v="15.12"/>
    <n v="2"/>
    <n v="1.7"/>
    <n v="20.54"/>
    <n v="43.5"/>
    <s v="Thriller"/>
    <n v="3"/>
    <n v="3"/>
    <n v="0"/>
  </r>
  <r>
    <s v="U00179"/>
    <x v="5"/>
    <n v="39"/>
    <s v="Male"/>
    <x v="1"/>
    <x v="0"/>
    <n v="20.010000000000002"/>
    <n v="5"/>
    <n v="2.2999999999999998"/>
    <n v="7.19"/>
    <n v="96.9"/>
    <s v="Family"/>
    <n v="9"/>
    <n v="0"/>
    <n v="1"/>
  </r>
  <r>
    <s v="U00180"/>
    <x v="0"/>
    <n v="55"/>
    <s v="Male"/>
    <x v="1"/>
    <x v="1"/>
    <n v="8.86"/>
    <n v="5"/>
    <n v="9.6"/>
    <n v="9.11"/>
    <n v="69.400000000000006"/>
    <s v="Thriller"/>
    <n v="11"/>
    <n v="2"/>
    <n v="0"/>
  </r>
  <r>
    <s v="U00181"/>
    <x v="9"/>
    <n v="48"/>
    <s v="Female"/>
    <x v="1"/>
    <x v="1"/>
    <n v="5.63"/>
    <n v="5"/>
    <n v="6.5"/>
    <n v="8.0500000000000007"/>
    <n v="80.400000000000006"/>
    <s v="Comedy"/>
    <n v="10"/>
    <n v="1"/>
    <n v="0"/>
  </r>
  <r>
    <s v="U00182"/>
    <x v="11"/>
    <n v="31"/>
    <s v="Female"/>
    <x v="2"/>
    <x v="1"/>
    <n v="22.05"/>
    <n v="3"/>
    <n v="7.6"/>
    <n v="20.56"/>
    <n v="21.5"/>
    <s v="Action"/>
    <n v="7"/>
    <n v="4"/>
    <n v="1"/>
  </r>
  <r>
    <s v="U00183"/>
    <x v="0"/>
    <n v="41"/>
    <s v="Female"/>
    <x v="2"/>
    <x v="3"/>
    <n v="7.75"/>
    <n v="3"/>
    <n v="9.1"/>
    <n v="4.8899999999999997"/>
    <n v="47.5"/>
    <s v="Action"/>
    <n v="9"/>
    <n v="4"/>
    <n v="0"/>
  </r>
  <r>
    <s v="U00184"/>
    <x v="10"/>
    <n v="67"/>
    <s v="Female"/>
    <x v="2"/>
    <x v="4"/>
    <n v="22.79"/>
    <n v="3"/>
    <n v="8.6999999999999993"/>
    <n v="20.51"/>
    <n v="27.2"/>
    <s v="Family"/>
    <n v="7"/>
    <n v="0"/>
    <n v="0"/>
  </r>
  <r>
    <s v="U00185"/>
    <x v="10"/>
    <n v="66"/>
    <s v="Female"/>
    <x v="2"/>
    <x v="2"/>
    <n v="23.27"/>
    <n v="2"/>
    <n v="3"/>
    <n v="11.56"/>
    <n v="87.4"/>
    <s v="Drama"/>
    <n v="8"/>
    <n v="2"/>
    <n v="0"/>
  </r>
  <r>
    <s v="U00186"/>
    <x v="11"/>
    <n v="49"/>
    <s v="Female"/>
    <x v="0"/>
    <x v="0"/>
    <n v="14.21"/>
    <n v="4"/>
    <n v="1.5"/>
    <n v="4.75"/>
    <n v="23.7"/>
    <s v="Family"/>
    <n v="10"/>
    <n v="3"/>
    <n v="0"/>
  </r>
  <r>
    <s v="U00187"/>
    <x v="2"/>
    <n v="53"/>
    <s v="Female"/>
    <x v="1"/>
    <x v="0"/>
    <n v="21.14"/>
    <n v="5"/>
    <n v="9.3000000000000007"/>
    <n v="12.34"/>
    <n v="49.5"/>
    <s v="Drama"/>
    <n v="5"/>
    <n v="3"/>
    <n v="1"/>
  </r>
  <r>
    <s v="U00188"/>
    <x v="11"/>
    <n v="49"/>
    <s v="Male"/>
    <x v="1"/>
    <x v="4"/>
    <n v="12.26"/>
    <n v="1"/>
    <n v="9.8000000000000007"/>
    <n v="9.61"/>
    <n v="14.8"/>
    <s v="Family"/>
    <n v="10"/>
    <n v="3"/>
    <n v="0"/>
  </r>
  <r>
    <s v="U00189"/>
    <x v="1"/>
    <n v="32"/>
    <s v="Male"/>
    <x v="1"/>
    <x v="1"/>
    <n v="22.17"/>
    <n v="3"/>
    <n v="6.1"/>
    <n v="16.02"/>
    <n v="67.099999999999994"/>
    <s v="Thriller"/>
    <n v="10"/>
    <n v="3"/>
    <n v="0"/>
  </r>
  <r>
    <s v="U00190"/>
    <x v="11"/>
    <n v="60"/>
    <s v="Female"/>
    <x v="2"/>
    <x v="1"/>
    <n v="21.49"/>
    <n v="1"/>
    <n v="9"/>
    <n v="13.4"/>
    <n v="53.4"/>
    <s v="Thriller"/>
    <n v="6"/>
    <n v="0"/>
    <n v="0"/>
  </r>
  <r>
    <s v="U00191"/>
    <x v="6"/>
    <n v="52"/>
    <s v="Male"/>
    <x v="1"/>
    <x v="0"/>
    <n v="6.57"/>
    <n v="5"/>
    <n v="3.1"/>
    <n v="9.5299999999999994"/>
    <n v="54.8"/>
    <s v="Drama"/>
    <n v="8"/>
    <n v="0"/>
    <n v="0"/>
  </r>
  <r>
    <s v="U00192"/>
    <x v="0"/>
    <n v="20"/>
    <s v="Male"/>
    <x v="0"/>
    <x v="4"/>
    <n v="16.649999999999999"/>
    <n v="4"/>
    <n v="2"/>
    <n v="21.97"/>
    <n v="19.100000000000001"/>
    <s v="Action"/>
    <n v="7"/>
    <n v="4"/>
    <n v="0"/>
  </r>
  <r>
    <s v="U00193"/>
    <x v="7"/>
    <n v="33"/>
    <s v="Female"/>
    <x v="1"/>
    <x v="0"/>
    <n v="17.8"/>
    <n v="1"/>
    <n v="5.5"/>
    <n v="11.95"/>
    <n v="56.3"/>
    <s v="Drama"/>
    <n v="1"/>
    <n v="2"/>
    <n v="0"/>
  </r>
  <r>
    <s v="U00194"/>
    <x v="3"/>
    <n v="22"/>
    <s v="Male"/>
    <x v="2"/>
    <x v="1"/>
    <n v="5.0199999999999996"/>
    <n v="5"/>
    <n v="8.3000000000000007"/>
    <n v="13.36"/>
    <n v="60.7"/>
    <s v="Comedy"/>
    <n v="10"/>
    <n v="1"/>
    <n v="1"/>
  </r>
  <r>
    <s v="U00195"/>
    <x v="2"/>
    <n v="38"/>
    <s v="Female"/>
    <x v="0"/>
    <x v="2"/>
    <n v="24.6"/>
    <n v="5"/>
    <n v="6.9"/>
    <n v="21.63"/>
    <n v="96.7"/>
    <s v="Action"/>
    <n v="4"/>
    <n v="0"/>
    <n v="0"/>
  </r>
  <r>
    <s v="U00196"/>
    <x v="11"/>
    <n v="27"/>
    <s v="Male"/>
    <x v="1"/>
    <x v="1"/>
    <n v="13.13"/>
    <n v="3"/>
    <n v="6.7"/>
    <n v="4.96"/>
    <n v="13"/>
    <s v="Drama"/>
    <n v="8"/>
    <n v="3"/>
    <n v="0"/>
  </r>
  <r>
    <s v="U00197"/>
    <x v="4"/>
    <n v="36"/>
    <s v="Female"/>
    <x v="1"/>
    <x v="2"/>
    <n v="15.35"/>
    <n v="4"/>
    <n v="1.2"/>
    <n v="11.58"/>
    <n v="93"/>
    <s v="Comedy"/>
    <n v="11"/>
    <n v="1"/>
    <n v="1"/>
  </r>
  <r>
    <s v="U00198"/>
    <x v="10"/>
    <n v="42"/>
    <s v="Male"/>
    <x v="0"/>
    <x v="3"/>
    <n v="8.9"/>
    <n v="5"/>
    <n v="3.9"/>
    <n v="11.86"/>
    <n v="53.2"/>
    <s v="Comedy"/>
    <n v="9"/>
    <n v="4"/>
    <n v="0"/>
  </r>
  <r>
    <s v="U00199"/>
    <x v="6"/>
    <n v="21"/>
    <s v="Male"/>
    <x v="1"/>
    <x v="4"/>
    <n v="17.22"/>
    <n v="4"/>
    <n v="9.5"/>
    <n v="13.91"/>
    <n v="28.9"/>
    <s v="Family"/>
    <n v="6"/>
    <n v="3"/>
    <n v="0"/>
  </r>
  <r>
    <s v="U00200"/>
    <x v="5"/>
    <n v="46"/>
    <s v="Male"/>
    <x v="2"/>
    <x v="3"/>
    <n v="21.21"/>
    <n v="3"/>
    <n v="2.2000000000000002"/>
    <n v="5.33"/>
    <n v="69.900000000000006"/>
    <s v="Drama"/>
    <n v="11"/>
    <n v="2"/>
    <n v="0"/>
  </r>
  <r>
    <s v="U00201"/>
    <x v="9"/>
    <n v="36"/>
    <s v="Female"/>
    <x v="1"/>
    <x v="1"/>
    <n v="16.72"/>
    <n v="1"/>
    <n v="7.5"/>
    <n v="5.26"/>
    <n v="56.5"/>
    <s v="Thriller"/>
    <n v="4"/>
    <n v="1"/>
    <n v="0"/>
  </r>
  <r>
    <s v="U00202"/>
    <x v="3"/>
    <n v="60"/>
    <s v="Male"/>
    <x v="2"/>
    <x v="4"/>
    <n v="20.76"/>
    <n v="2"/>
    <n v="7.8"/>
    <n v="12.16"/>
    <n v="30.4"/>
    <s v="Family"/>
    <n v="2"/>
    <n v="4"/>
    <n v="1"/>
  </r>
  <r>
    <s v="U00203"/>
    <x v="2"/>
    <n v="19"/>
    <s v="Male"/>
    <x v="0"/>
    <x v="1"/>
    <n v="19.62"/>
    <n v="2"/>
    <n v="7.6"/>
    <n v="3.73"/>
    <n v="66.400000000000006"/>
    <s v="Action"/>
    <n v="9"/>
    <n v="0"/>
    <n v="0"/>
  </r>
  <r>
    <s v="U00204"/>
    <x v="7"/>
    <n v="27"/>
    <s v="Female"/>
    <x v="0"/>
    <x v="4"/>
    <n v="9.75"/>
    <n v="2"/>
    <n v="9.9"/>
    <n v="8.61"/>
    <n v="52.6"/>
    <s v="Thriller"/>
    <n v="1"/>
    <n v="2"/>
    <n v="1"/>
  </r>
  <r>
    <s v="U00205"/>
    <x v="3"/>
    <n v="60"/>
    <s v="Female"/>
    <x v="2"/>
    <x v="4"/>
    <n v="13.72"/>
    <n v="4"/>
    <n v="4.7"/>
    <n v="7.43"/>
    <n v="72"/>
    <s v="Comedy"/>
    <n v="5"/>
    <n v="3"/>
    <n v="1"/>
  </r>
  <r>
    <s v="U00206"/>
    <x v="11"/>
    <n v="42"/>
    <s v="Male"/>
    <x v="1"/>
    <x v="1"/>
    <n v="7.97"/>
    <n v="2"/>
    <n v="7.1"/>
    <n v="13.77"/>
    <n v="72"/>
    <s v="Action"/>
    <n v="8"/>
    <n v="1"/>
    <n v="1"/>
  </r>
  <r>
    <s v="U00207"/>
    <x v="1"/>
    <n v="37"/>
    <s v="Male"/>
    <x v="1"/>
    <x v="1"/>
    <n v="5.84"/>
    <n v="1"/>
    <n v="2.7"/>
    <n v="3.25"/>
    <n v="52.6"/>
    <s v="Family"/>
    <n v="4"/>
    <n v="4"/>
    <n v="0"/>
  </r>
  <r>
    <s v="U00208"/>
    <x v="10"/>
    <n v="65"/>
    <s v="Male"/>
    <x v="2"/>
    <x v="4"/>
    <n v="6.26"/>
    <n v="5"/>
    <n v="4.5999999999999996"/>
    <n v="17.87"/>
    <n v="45.2"/>
    <s v="Comedy"/>
    <n v="1"/>
    <n v="1"/>
    <n v="0"/>
  </r>
  <r>
    <s v="U00209"/>
    <x v="10"/>
    <n v="36"/>
    <s v="Male"/>
    <x v="1"/>
    <x v="4"/>
    <n v="23.85"/>
    <n v="4"/>
    <n v="5.4"/>
    <n v="21.82"/>
    <n v="15.7"/>
    <s v="Comedy"/>
    <n v="4"/>
    <n v="2"/>
    <n v="0"/>
  </r>
  <r>
    <s v="U00210"/>
    <x v="5"/>
    <n v="40"/>
    <s v="Female"/>
    <x v="2"/>
    <x v="1"/>
    <n v="24.69"/>
    <n v="1"/>
    <n v="2.9"/>
    <n v="18.55"/>
    <n v="54.4"/>
    <s v="Comedy"/>
    <n v="5"/>
    <n v="0"/>
    <n v="0"/>
  </r>
  <r>
    <s v="U00211"/>
    <x v="1"/>
    <n v="41"/>
    <s v="Male"/>
    <x v="0"/>
    <x v="1"/>
    <n v="6.9"/>
    <n v="4"/>
    <n v="9.1999999999999993"/>
    <n v="21"/>
    <n v="31.9"/>
    <s v="Thriller"/>
    <n v="5"/>
    <n v="0"/>
    <n v="0"/>
  </r>
  <r>
    <s v="U00212"/>
    <x v="9"/>
    <n v="28"/>
    <s v="Male"/>
    <x v="0"/>
    <x v="0"/>
    <n v="11.7"/>
    <n v="4"/>
    <n v="7.4"/>
    <n v="17.149999999999999"/>
    <n v="14.8"/>
    <s v="Family"/>
    <n v="1"/>
    <n v="2"/>
    <n v="1"/>
  </r>
  <r>
    <s v="U00213"/>
    <x v="0"/>
    <n v="63"/>
    <s v="Female"/>
    <x v="0"/>
    <x v="0"/>
    <n v="7.29"/>
    <n v="4"/>
    <n v="3.6"/>
    <n v="14.16"/>
    <n v="39.700000000000003"/>
    <s v="Family"/>
    <n v="2"/>
    <n v="3"/>
    <n v="0"/>
  </r>
  <r>
    <s v="U00214"/>
    <x v="8"/>
    <n v="51"/>
    <s v="Male"/>
    <x v="2"/>
    <x v="0"/>
    <n v="21.68"/>
    <n v="3"/>
    <n v="2.2000000000000002"/>
    <n v="7.82"/>
    <n v="17.899999999999999"/>
    <s v="Thriller"/>
    <n v="6"/>
    <n v="1"/>
    <n v="0"/>
  </r>
  <r>
    <s v="U00215"/>
    <x v="6"/>
    <n v="45"/>
    <s v="Male"/>
    <x v="0"/>
    <x v="3"/>
    <n v="14.93"/>
    <n v="5"/>
    <n v="3.6"/>
    <n v="9.15"/>
    <n v="62.2"/>
    <s v="Family"/>
    <n v="10"/>
    <n v="3"/>
    <n v="0"/>
  </r>
  <r>
    <s v="U00216"/>
    <x v="10"/>
    <n v="22"/>
    <s v="Male"/>
    <x v="2"/>
    <x v="4"/>
    <n v="17.43"/>
    <n v="2"/>
    <n v="6.6"/>
    <n v="9.99"/>
    <n v="55.3"/>
    <s v="Comedy"/>
    <n v="5"/>
    <n v="4"/>
    <n v="0"/>
  </r>
  <r>
    <s v="U00217"/>
    <x v="4"/>
    <n v="22"/>
    <s v="Female"/>
    <x v="2"/>
    <x v="2"/>
    <n v="15.8"/>
    <n v="3"/>
    <n v="8.4"/>
    <n v="3.84"/>
    <n v="81.3"/>
    <s v="Comedy"/>
    <n v="9"/>
    <n v="3"/>
    <n v="0"/>
  </r>
  <r>
    <s v="U00218"/>
    <x v="10"/>
    <n v="68"/>
    <s v="Female"/>
    <x v="1"/>
    <x v="3"/>
    <n v="19.21"/>
    <n v="5"/>
    <n v="5.5"/>
    <n v="23.09"/>
    <n v="34.1"/>
    <s v="Comedy"/>
    <n v="7"/>
    <n v="2"/>
    <n v="0"/>
  </r>
  <r>
    <s v="U00219"/>
    <x v="3"/>
    <n v="38"/>
    <s v="Male"/>
    <x v="1"/>
    <x v="4"/>
    <n v="11.38"/>
    <n v="2"/>
    <n v="1.9"/>
    <n v="22.81"/>
    <n v="43.4"/>
    <s v="Family"/>
    <n v="5"/>
    <n v="0"/>
    <n v="0"/>
  </r>
  <r>
    <s v="U00220"/>
    <x v="10"/>
    <n v="29"/>
    <s v="Male"/>
    <x v="1"/>
    <x v="2"/>
    <n v="7.75"/>
    <n v="3"/>
    <n v="3.2"/>
    <n v="5.37"/>
    <n v="72"/>
    <s v="Drama"/>
    <n v="9"/>
    <n v="2"/>
    <n v="0"/>
  </r>
  <r>
    <s v="U00221"/>
    <x v="2"/>
    <n v="67"/>
    <s v="Female"/>
    <x v="1"/>
    <x v="0"/>
    <n v="5.35"/>
    <n v="3"/>
    <n v="4.0999999999999996"/>
    <n v="15.25"/>
    <n v="99.4"/>
    <s v="Action"/>
    <n v="1"/>
    <n v="2"/>
    <n v="0"/>
  </r>
  <r>
    <s v="U00222"/>
    <x v="10"/>
    <n v="21"/>
    <s v="Male"/>
    <x v="1"/>
    <x v="2"/>
    <n v="13.91"/>
    <n v="1"/>
    <n v="6.7"/>
    <n v="13.29"/>
    <n v="91.4"/>
    <s v="Drama"/>
    <n v="3"/>
    <n v="1"/>
    <n v="1"/>
  </r>
  <r>
    <s v="U00223"/>
    <x v="8"/>
    <n v="66"/>
    <s v="Male"/>
    <x v="1"/>
    <x v="1"/>
    <n v="23.16"/>
    <n v="3"/>
    <n v="3.2"/>
    <n v="18.04"/>
    <n v="56.9"/>
    <s v="Thriller"/>
    <n v="2"/>
    <n v="2"/>
    <n v="1"/>
  </r>
  <r>
    <s v="U00224"/>
    <x v="8"/>
    <n v="59"/>
    <s v="Female"/>
    <x v="2"/>
    <x v="1"/>
    <n v="11.11"/>
    <n v="4"/>
    <n v="3.1"/>
    <n v="16.27"/>
    <n v="71"/>
    <s v="Drama"/>
    <n v="7"/>
    <n v="4"/>
    <n v="0"/>
  </r>
  <r>
    <s v="U00225"/>
    <x v="9"/>
    <n v="37"/>
    <s v="Female"/>
    <x v="2"/>
    <x v="4"/>
    <n v="8.92"/>
    <n v="3"/>
    <n v="3.6"/>
    <n v="5.74"/>
    <n v="57.9"/>
    <s v="Drama"/>
    <n v="9"/>
    <n v="1"/>
    <n v="0"/>
  </r>
  <r>
    <s v="U00226"/>
    <x v="7"/>
    <n v="55"/>
    <s v="Female"/>
    <x v="2"/>
    <x v="3"/>
    <n v="23.52"/>
    <n v="4"/>
    <n v="6.3"/>
    <n v="17.52"/>
    <n v="49.1"/>
    <s v="Thriller"/>
    <n v="2"/>
    <n v="1"/>
    <n v="0"/>
  </r>
  <r>
    <s v="U00227"/>
    <x v="0"/>
    <n v="42"/>
    <s v="Male"/>
    <x v="2"/>
    <x v="0"/>
    <n v="7.11"/>
    <n v="5"/>
    <n v="5.4"/>
    <n v="16.399999999999999"/>
    <n v="64.2"/>
    <s v="Drama"/>
    <n v="6"/>
    <n v="3"/>
    <n v="0"/>
  </r>
  <r>
    <s v="U00228"/>
    <x v="4"/>
    <n v="31"/>
    <s v="Male"/>
    <x v="1"/>
    <x v="4"/>
    <n v="6.04"/>
    <n v="5"/>
    <n v="8.6"/>
    <n v="14.69"/>
    <n v="44.8"/>
    <s v="Action"/>
    <n v="2"/>
    <n v="2"/>
    <n v="1"/>
  </r>
  <r>
    <s v="U00229"/>
    <x v="10"/>
    <n v="28"/>
    <s v="Male"/>
    <x v="1"/>
    <x v="0"/>
    <n v="22.59"/>
    <n v="4"/>
    <n v="7.3"/>
    <n v="11.85"/>
    <n v="35.200000000000003"/>
    <s v="Family"/>
    <n v="3"/>
    <n v="3"/>
    <n v="1"/>
  </r>
  <r>
    <s v="U00230"/>
    <x v="10"/>
    <n v="49"/>
    <s v="Male"/>
    <x v="2"/>
    <x v="1"/>
    <n v="19.02"/>
    <n v="1"/>
    <n v="7"/>
    <n v="24.01"/>
    <n v="73.5"/>
    <s v="Thriller"/>
    <n v="1"/>
    <n v="3"/>
    <n v="0"/>
  </r>
  <r>
    <s v="U00231"/>
    <x v="6"/>
    <n v="28"/>
    <s v="Female"/>
    <x v="1"/>
    <x v="3"/>
    <n v="13.44"/>
    <n v="1"/>
    <n v="2.4"/>
    <n v="21.69"/>
    <n v="88.5"/>
    <s v="Drama"/>
    <n v="6"/>
    <n v="1"/>
    <n v="1"/>
  </r>
  <r>
    <s v="U00232"/>
    <x v="8"/>
    <n v="35"/>
    <s v="Male"/>
    <x v="2"/>
    <x v="3"/>
    <n v="20.05"/>
    <n v="5"/>
    <n v="1.5"/>
    <n v="15.87"/>
    <n v="35.9"/>
    <s v="Comedy"/>
    <n v="2"/>
    <n v="3"/>
    <n v="0"/>
  </r>
  <r>
    <s v="U00233"/>
    <x v="4"/>
    <n v="44"/>
    <s v="Male"/>
    <x v="1"/>
    <x v="1"/>
    <n v="19.829999999999998"/>
    <n v="3"/>
    <n v="5.6"/>
    <n v="3.14"/>
    <n v="73.599999999999994"/>
    <s v="Comedy"/>
    <n v="3"/>
    <n v="3"/>
    <n v="0"/>
  </r>
  <r>
    <s v="U00234"/>
    <x v="9"/>
    <n v="35"/>
    <s v="Female"/>
    <x v="1"/>
    <x v="2"/>
    <n v="5.8"/>
    <n v="5"/>
    <n v="1.6"/>
    <n v="12.51"/>
    <n v="49.1"/>
    <s v="Thriller"/>
    <n v="6"/>
    <n v="1"/>
    <n v="0"/>
  </r>
  <r>
    <s v="U00235"/>
    <x v="5"/>
    <n v="40"/>
    <s v="Female"/>
    <x v="2"/>
    <x v="3"/>
    <n v="18.52"/>
    <n v="5"/>
    <n v="4.3"/>
    <n v="18.41"/>
    <n v="37.200000000000003"/>
    <s v="Comedy"/>
    <n v="6"/>
    <n v="1"/>
    <n v="0"/>
  </r>
  <r>
    <s v="U00236"/>
    <x v="7"/>
    <n v="28"/>
    <s v="Male"/>
    <x v="2"/>
    <x v="2"/>
    <n v="17.82"/>
    <n v="4"/>
    <n v="1.2"/>
    <n v="5.58"/>
    <n v="65.900000000000006"/>
    <s v="Action"/>
    <n v="4"/>
    <n v="0"/>
    <n v="0"/>
  </r>
  <r>
    <s v="U00237"/>
    <x v="0"/>
    <n v="38"/>
    <s v="Female"/>
    <x v="0"/>
    <x v="0"/>
    <n v="24.28"/>
    <n v="1"/>
    <n v="2.6"/>
    <n v="11.94"/>
    <n v="94.5"/>
    <s v="Drama"/>
    <n v="1"/>
    <n v="2"/>
    <n v="0"/>
  </r>
  <r>
    <s v="U00238"/>
    <x v="1"/>
    <n v="61"/>
    <s v="Female"/>
    <x v="2"/>
    <x v="3"/>
    <n v="24.33"/>
    <n v="4"/>
    <n v="2"/>
    <n v="7.22"/>
    <n v="41.7"/>
    <s v="Action"/>
    <n v="7"/>
    <n v="0"/>
    <n v="0"/>
  </r>
  <r>
    <s v="U00239"/>
    <x v="0"/>
    <n v="22"/>
    <s v="Male"/>
    <x v="1"/>
    <x v="1"/>
    <n v="12.56"/>
    <n v="5"/>
    <n v="8.1999999999999993"/>
    <n v="10.44"/>
    <n v="78.400000000000006"/>
    <s v="Action"/>
    <n v="2"/>
    <n v="1"/>
    <n v="0"/>
  </r>
  <r>
    <s v="U00240"/>
    <x v="2"/>
    <n v="40"/>
    <s v="Male"/>
    <x v="0"/>
    <x v="2"/>
    <n v="16.8"/>
    <n v="2"/>
    <n v="4.0999999999999996"/>
    <n v="3.59"/>
    <n v="38.299999999999997"/>
    <s v="Family"/>
    <n v="6"/>
    <n v="4"/>
    <n v="0"/>
  </r>
  <r>
    <s v="U00241"/>
    <x v="3"/>
    <n v="58"/>
    <s v="Male"/>
    <x v="2"/>
    <x v="0"/>
    <n v="7.83"/>
    <n v="3"/>
    <n v="1.7"/>
    <n v="5.79"/>
    <n v="82.3"/>
    <s v="Drama"/>
    <n v="7"/>
    <n v="3"/>
    <n v="0"/>
  </r>
  <r>
    <s v="U00242"/>
    <x v="2"/>
    <n v="42"/>
    <s v="Male"/>
    <x v="1"/>
    <x v="0"/>
    <n v="6.33"/>
    <n v="5"/>
    <n v="3.4"/>
    <n v="13"/>
    <n v="78.400000000000006"/>
    <s v="Thriller"/>
    <n v="2"/>
    <n v="3"/>
    <n v="0"/>
  </r>
  <r>
    <s v="U00243"/>
    <x v="10"/>
    <n v="58"/>
    <s v="Female"/>
    <x v="1"/>
    <x v="3"/>
    <n v="13.66"/>
    <n v="4"/>
    <n v="7.1"/>
    <n v="22.76"/>
    <n v="78.900000000000006"/>
    <s v="Comedy"/>
    <n v="6"/>
    <n v="1"/>
    <n v="0"/>
  </r>
  <r>
    <s v="U00244"/>
    <x v="7"/>
    <n v="27"/>
    <s v="Female"/>
    <x v="1"/>
    <x v="3"/>
    <n v="18.8"/>
    <n v="2"/>
    <n v="7.7"/>
    <n v="13.79"/>
    <n v="99.8"/>
    <s v="Family"/>
    <n v="1"/>
    <n v="3"/>
    <n v="0"/>
  </r>
  <r>
    <s v="U00245"/>
    <x v="3"/>
    <n v="39"/>
    <s v="Male"/>
    <x v="1"/>
    <x v="4"/>
    <n v="16.36"/>
    <n v="2"/>
    <n v="2.1"/>
    <n v="12.97"/>
    <n v="22.6"/>
    <s v="Action"/>
    <n v="6"/>
    <n v="0"/>
    <n v="1"/>
  </r>
  <r>
    <s v="U00246"/>
    <x v="4"/>
    <n v="36"/>
    <s v="Male"/>
    <x v="1"/>
    <x v="4"/>
    <n v="13.59"/>
    <n v="5"/>
    <n v="8"/>
    <n v="20.329999999999998"/>
    <n v="45"/>
    <s v="Comedy"/>
    <n v="8"/>
    <n v="3"/>
    <n v="0"/>
  </r>
  <r>
    <s v="U00247"/>
    <x v="1"/>
    <n v="18"/>
    <s v="Female"/>
    <x v="1"/>
    <x v="3"/>
    <n v="21.36"/>
    <n v="1"/>
    <n v="4.3"/>
    <n v="8.89"/>
    <n v="66.8"/>
    <s v="Drama"/>
    <n v="8"/>
    <n v="4"/>
    <n v="0"/>
  </r>
  <r>
    <s v="U00248"/>
    <x v="8"/>
    <n v="24"/>
    <s v="Male"/>
    <x v="0"/>
    <x v="4"/>
    <n v="20.89"/>
    <n v="2"/>
    <n v="7.1"/>
    <n v="5.09"/>
    <n v="63.1"/>
    <s v="Action"/>
    <n v="7"/>
    <n v="2"/>
    <n v="0"/>
  </r>
  <r>
    <s v="U00249"/>
    <x v="7"/>
    <n v="21"/>
    <s v="Male"/>
    <x v="2"/>
    <x v="1"/>
    <n v="19.64"/>
    <n v="3"/>
    <n v="7"/>
    <n v="7.61"/>
    <n v="80.3"/>
    <s v="Action"/>
    <n v="4"/>
    <n v="0"/>
    <n v="0"/>
  </r>
  <r>
    <s v="U00250"/>
    <x v="7"/>
    <n v="18"/>
    <s v="Male"/>
    <x v="1"/>
    <x v="1"/>
    <n v="6.54"/>
    <n v="4"/>
    <n v="8.1"/>
    <n v="20.41"/>
    <n v="14.2"/>
    <s v="Drama"/>
    <n v="4"/>
    <n v="2"/>
    <n v="0"/>
  </r>
  <r>
    <s v="U00251"/>
    <x v="2"/>
    <n v="32"/>
    <s v="Male"/>
    <x v="2"/>
    <x v="4"/>
    <n v="20.93"/>
    <n v="4"/>
    <n v="7.3"/>
    <n v="17.899999999999999"/>
    <n v="73.5"/>
    <s v="Thriller"/>
    <n v="5"/>
    <n v="2"/>
    <n v="1"/>
  </r>
  <r>
    <s v="U00252"/>
    <x v="10"/>
    <n v="57"/>
    <s v="Female"/>
    <x v="1"/>
    <x v="3"/>
    <n v="23.39"/>
    <n v="4"/>
    <n v="1.3"/>
    <n v="5.01"/>
    <n v="76.400000000000006"/>
    <s v="Family"/>
    <n v="8"/>
    <n v="4"/>
    <n v="0"/>
  </r>
  <r>
    <s v="U00253"/>
    <x v="11"/>
    <n v="29"/>
    <s v="Male"/>
    <x v="1"/>
    <x v="1"/>
    <n v="6.19"/>
    <n v="5"/>
    <n v="5.7"/>
    <n v="17.68"/>
    <n v="15.5"/>
    <s v="Drama"/>
    <n v="4"/>
    <n v="4"/>
    <n v="1"/>
  </r>
  <r>
    <s v="U00254"/>
    <x v="9"/>
    <n v="39"/>
    <s v="Female"/>
    <x v="1"/>
    <x v="0"/>
    <n v="13.03"/>
    <n v="4"/>
    <n v="2.5"/>
    <n v="23.49"/>
    <n v="58.5"/>
    <s v="Comedy"/>
    <n v="9"/>
    <n v="4"/>
    <n v="1"/>
  </r>
  <r>
    <s v="U00255"/>
    <x v="2"/>
    <n v="39"/>
    <s v="Male"/>
    <x v="1"/>
    <x v="3"/>
    <n v="24.77"/>
    <n v="4"/>
    <n v="9.6999999999999993"/>
    <n v="3.99"/>
    <n v="32"/>
    <s v="Comedy"/>
    <n v="3"/>
    <n v="4"/>
    <n v="0"/>
  </r>
  <r>
    <s v="U00256"/>
    <x v="7"/>
    <n v="67"/>
    <s v="Male"/>
    <x v="1"/>
    <x v="2"/>
    <n v="16.98"/>
    <n v="3"/>
    <n v="3.3"/>
    <n v="16.559999999999999"/>
    <n v="82.1"/>
    <s v="Action"/>
    <n v="9"/>
    <n v="0"/>
    <n v="0"/>
  </r>
  <r>
    <s v="U00257"/>
    <x v="6"/>
    <n v="64"/>
    <s v="Female"/>
    <x v="1"/>
    <x v="2"/>
    <n v="15.27"/>
    <n v="1"/>
    <n v="4.8"/>
    <n v="11.34"/>
    <n v="14.5"/>
    <s v="Family"/>
    <n v="2"/>
    <n v="4"/>
    <n v="0"/>
  </r>
  <r>
    <s v="U00258"/>
    <x v="1"/>
    <n v="34"/>
    <s v="Male"/>
    <x v="1"/>
    <x v="3"/>
    <n v="8.5500000000000007"/>
    <n v="5"/>
    <n v="2.8"/>
    <n v="14.02"/>
    <n v="23.2"/>
    <s v="Thriller"/>
    <n v="6"/>
    <n v="0"/>
    <n v="1"/>
  </r>
  <r>
    <s v="U00259"/>
    <x v="9"/>
    <n v="46"/>
    <s v="Female"/>
    <x v="0"/>
    <x v="4"/>
    <n v="16.309999999999999"/>
    <n v="5"/>
    <n v="2.2000000000000002"/>
    <n v="14.62"/>
    <n v="19.399999999999999"/>
    <s v="Thriller"/>
    <n v="5"/>
    <n v="3"/>
    <n v="1"/>
  </r>
  <r>
    <s v="U00260"/>
    <x v="2"/>
    <n v="63"/>
    <s v="Male"/>
    <x v="1"/>
    <x v="1"/>
    <n v="13.78"/>
    <n v="4"/>
    <n v="6.4"/>
    <n v="19.96"/>
    <n v="15.9"/>
    <s v="Comedy"/>
    <n v="5"/>
    <n v="2"/>
    <n v="1"/>
  </r>
  <r>
    <s v="U00261"/>
    <x v="1"/>
    <n v="31"/>
    <s v="Male"/>
    <x v="0"/>
    <x v="1"/>
    <n v="7.55"/>
    <n v="3"/>
    <n v="5.4"/>
    <n v="15.25"/>
    <n v="64"/>
    <s v="Thriller"/>
    <n v="11"/>
    <n v="3"/>
    <n v="0"/>
  </r>
  <r>
    <s v="U00262"/>
    <x v="6"/>
    <n v="67"/>
    <s v="Male"/>
    <x v="0"/>
    <x v="3"/>
    <n v="14.29"/>
    <n v="2"/>
    <n v="4.4000000000000004"/>
    <n v="16.05"/>
    <n v="88.2"/>
    <s v="Comedy"/>
    <n v="6"/>
    <n v="3"/>
    <n v="0"/>
  </r>
  <r>
    <s v="U00263"/>
    <x v="5"/>
    <n v="37"/>
    <s v="Male"/>
    <x v="2"/>
    <x v="0"/>
    <n v="8.2899999999999991"/>
    <n v="4"/>
    <n v="1.8"/>
    <n v="10.32"/>
    <n v="56"/>
    <s v="Family"/>
    <n v="10"/>
    <n v="1"/>
    <n v="0"/>
  </r>
  <r>
    <s v="U00264"/>
    <x v="6"/>
    <n v="67"/>
    <s v="Male"/>
    <x v="1"/>
    <x v="4"/>
    <n v="19.61"/>
    <n v="4"/>
    <n v="7.6"/>
    <n v="5.77"/>
    <n v="29"/>
    <s v="Action"/>
    <n v="7"/>
    <n v="3"/>
    <n v="0"/>
  </r>
  <r>
    <s v="U00265"/>
    <x v="6"/>
    <n v="65"/>
    <s v="Female"/>
    <x v="1"/>
    <x v="0"/>
    <n v="24.47"/>
    <n v="5"/>
    <n v="1.1000000000000001"/>
    <n v="18.02"/>
    <n v="40.9"/>
    <s v="Comedy"/>
    <n v="4"/>
    <n v="3"/>
    <n v="0"/>
  </r>
  <r>
    <s v="U00266"/>
    <x v="1"/>
    <n v="50"/>
    <s v="Female"/>
    <x v="1"/>
    <x v="3"/>
    <n v="14.39"/>
    <n v="5"/>
    <n v="5.0999999999999996"/>
    <n v="3.01"/>
    <n v="42.4"/>
    <s v="Family"/>
    <n v="4"/>
    <n v="1"/>
    <n v="0"/>
  </r>
  <r>
    <s v="U00267"/>
    <x v="0"/>
    <n v="60"/>
    <s v="Male"/>
    <x v="2"/>
    <x v="3"/>
    <n v="17.649999999999999"/>
    <n v="4"/>
    <n v="6.7"/>
    <n v="10.23"/>
    <n v="50.6"/>
    <s v="Comedy"/>
    <n v="9"/>
    <n v="3"/>
    <n v="0"/>
  </r>
  <r>
    <s v="U00268"/>
    <x v="1"/>
    <n v="32"/>
    <s v="Male"/>
    <x v="1"/>
    <x v="0"/>
    <n v="13.62"/>
    <n v="5"/>
    <n v="4.9000000000000004"/>
    <n v="7.8"/>
    <n v="47.8"/>
    <s v="Drama"/>
    <n v="4"/>
    <n v="1"/>
    <n v="0"/>
  </r>
  <r>
    <s v="U00269"/>
    <x v="11"/>
    <n v="29"/>
    <s v="Female"/>
    <x v="2"/>
    <x v="2"/>
    <n v="7.77"/>
    <n v="3"/>
    <n v="2.1"/>
    <n v="11.55"/>
    <n v="70.400000000000006"/>
    <s v="Comedy"/>
    <n v="8"/>
    <n v="0"/>
    <n v="0"/>
  </r>
  <r>
    <s v="U00270"/>
    <x v="10"/>
    <n v="57"/>
    <s v="Female"/>
    <x v="1"/>
    <x v="3"/>
    <n v="24.41"/>
    <n v="2"/>
    <n v="8"/>
    <n v="9.85"/>
    <n v="40.6"/>
    <s v="Family"/>
    <n v="10"/>
    <n v="2"/>
    <n v="0"/>
  </r>
  <r>
    <s v="U00271"/>
    <x v="3"/>
    <n v="37"/>
    <s v="Male"/>
    <x v="2"/>
    <x v="4"/>
    <n v="7.59"/>
    <n v="2"/>
    <n v="3.9"/>
    <n v="18.489999999999998"/>
    <n v="69.7"/>
    <s v="Thriller"/>
    <n v="1"/>
    <n v="4"/>
    <n v="0"/>
  </r>
  <r>
    <s v="U00272"/>
    <x v="0"/>
    <n v="47"/>
    <s v="Male"/>
    <x v="2"/>
    <x v="0"/>
    <n v="7.23"/>
    <n v="2"/>
    <n v="2.2000000000000002"/>
    <n v="8.7200000000000006"/>
    <n v="59.2"/>
    <s v="Comedy"/>
    <n v="4"/>
    <n v="3"/>
    <n v="1"/>
  </r>
  <r>
    <s v="U00273"/>
    <x v="8"/>
    <n v="55"/>
    <s v="Female"/>
    <x v="2"/>
    <x v="2"/>
    <n v="14.18"/>
    <n v="4"/>
    <n v="6"/>
    <n v="15.34"/>
    <n v="14.4"/>
    <s v="Action"/>
    <n v="2"/>
    <n v="0"/>
    <n v="1"/>
  </r>
  <r>
    <s v="U00274"/>
    <x v="3"/>
    <n v="20"/>
    <s v="Male"/>
    <x v="0"/>
    <x v="0"/>
    <n v="18.18"/>
    <n v="4"/>
    <n v="1.2"/>
    <n v="13.03"/>
    <n v="92.8"/>
    <s v="Family"/>
    <n v="11"/>
    <n v="2"/>
    <n v="0"/>
  </r>
  <r>
    <s v="U00275"/>
    <x v="10"/>
    <n v="45"/>
    <s v="Female"/>
    <x v="0"/>
    <x v="2"/>
    <n v="12.1"/>
    <n v="4"/>
    <n v="3.9"/>
    <n v="20.62"/>
    <n v="26"/>
    <s v="Thriller"/>
    <n v="10"/>
    <n v="0"/>
    <n v="1"/>
  </r>
  <r>
    <s v="U00276"/>
    <x v="2"/>
    <n v="43"/>
    <s v="Male"/>
    <x v="0"/>
    <x v="2"/>
    <n v="8.85"/>
    <n v="3"/>
    <n v="7.8"/>
    <n v="12.42"/>
    <n v="50.6"/>
    <s v="Family"/>
    <n v="5"/>
    <n v="1"/>
    <n v="0"/>
  </r>
  <r>
    <s v="U00277"/>
    <x v="9"/>
    <n v="47"/>
    <s v="Female"/>
    <x v="0"/>
    <x v="4"/>
    <n v="21.38"/>
    <n v="2"/>
    <n v="9.1999999999999993"/>
    <n v="22.01"/>
    <n v="95.3"/>
    <s v="Comedy"/>
    <n v="2"/>
    <n v="0"/>
    <n v="1"/>
  </r>
  <r>
    <s v="U00278"/>
    <x v="11"/>
    <n v="30"/>
    <s v="Female"/>
    <x v="2"/>
    <x v="3"/>
    <n v="12.26"/>
    <n v="5"/>
    <n v="6.3"/>
    <n v="3"/>
    <n v="32.299999999999997"/>
    <s v="Drama"/>
    <n v="7"/>
    <n v="3"/>
    <n v="0"/>
  </r>
  <r>
    <s v="U00279"/>
    <x v="11"/>
    <n v="30"/>
    <s v="Male"/>
    <x v="0"/>
    <x v="2"/>
    <n v="8.89"/>
    <n v="5"/>
    <n v="3"/>
    <n v="16.309999999999999"/>
    <n v="12"/>
    <s v="Drama"/>
    <n v="10"/>
    <n v="3"/>
    <n v="1"/>
  </r>
  <r>
    <s v="U00280"/>
    <x v="8"/>
    <n v="19"/>
    <s v="Female"/>
    <x v="0"/>
    <x v="3"/>
    <n v="12.3"/>
    <n v="1"/>
    <n v="3"/>
    <n v="3.22"/>
    <n v="54.1"/>
    <s v="Action"/>
    <n v="7"/>
    <n v="4"/>
    <n v="0"/>
  </r>
  <r>
    <s v="U00281"/>
    <x v="0"/>
    <n v="54"/>
    <s v="Male"/>
    <x v="0"/>
    <x v="4"/>
    <n v="9.2899999999999991"/>
    <n v="1"/>
    <n v="6.4"/>
    <n v="18.71"/>
    <n v="30.2"/>
    <s v="Action"/>
    <n v="9"/>
    <n v="4"/>
    <n v="1"/>
  </r>
  <r>
    <s v="U00282"/>
    <x v="5"/>
    <n v="66"/>
    <s v="Male"/>
    <x v="0"/>
    <x v="3"/>
    <n v="15.39"/>
    <n v="5"/>
    <n v="4.7"/>
    <n v="8.17"/>
    <n v="62.4"/>
    <s v="Thriller"/>
    <n v="4"/>
    <n v="3"/>
    <n v="0"/>
  </r>
  <r>
    <s v="U00283"/>
    <x v="6"/>
    <n v="55"/>
    <s v="Male"/>
    <x v="0"/>
    <x v="1"/>
    <n v="18.37"/>
    <n v="2"/>
    <n v="2.6"/>
    <n v="11.36"/>
    <n v="83.5"/>
    <s v="Drama"/>
    <n v="5"/>
    <n v="0"/>
    <n v="0"/>
  </r>
  <r>
    <s v="U00284"/>
    <x v="0"/>
    <n v="19"/>
    <s v="Male"/>
    <x v="2"/>
    <x v="2"/>
    <n v="20.99"/>
    <n v="4"/>
    <n v="8.1"/>
    <n v="11.37"/>
    <n v="56"/>
    <s v="Comedy"/>
    <n v="3"/>
    <n v="3"/>
    <n v="0"/>
  </r>
  <r>
    <s v="U00285"/>
    <x v="9"/>
    <n v="53"/>
    <s v="Female"/>
    <x v="1"/>
    <x v="4"/>
    <n v="9.5500000000000007"/>
    <n v="5"/>
    <n v="2.8"/>
    <n v="21.62"/>
    <n v="68.099999999999994"/>
    <s v="Family"/>
    <n v="7"/>
    <n v="0"/>
    <n v="0"/>
  </r>
  <r>
    <s v="U00286"/>
    <x v="5"/>
    <n v="43"/>
    <s v="Male"/>
    <x v="0"/>
    <x v="0"/>
    <n v="8.34"/>
    <n v="5"/>
    <n v="3.9"/>
    <n v="5.25"/>
    <n v="70"/>
    <s v="Family"/>
    <n v="5"/>
    <n v="3"/>
    <n v="0"/>
  </r>
  <r>
    <s v="U00287"/>
    <x v="11"/>
    <n v="28"/>
    <s v="Male"/>
    <x v="1"/>
    <x v="4"/>
    <n v="5.39"/>
    <n v="1"/>
    <n v="1.6"/>
    <n v="17.670000000000002"/>
    <n v="83.8"/>
    <s v="Drama"/>
    <n v="9"/>
    <n v="2"/>
    <n v="0"/>
  </r>
  <r>
    <s v="U00288"/>
    <x v="1"/>
    <n v="25"/>
    <s v="Male"/>
    <x v="1"/>
    <x v="2"/>
    <n v="9.56"/>
    <n v="2"/>
    <n v="7.3"/>
    <n v="24.59"/>
    <n v="71.900000000000006"/>
    <s v="Drama"/>
    <n v="7"/>
    <n v="0"/>
    <n v="0"/>
  </r>
  <r>
    <s v="U00289"/>
    <x v="9"/>
    <n v="61"/>
    <s v="Male"/>
    <x v="0"/>
    <x v="4"/>
    <n v="5.48"/>
    <n v="5"/>
    <n v="3.5"/>
    <n v="3.49"/>
    <n v="97.9"/>
    <s v="Family"/>
    <n v="4"/>
    <n v="1"/>
    <n v="1"/>
  </r>
  <r>
    <s v="U00290"/>
    <x v="10"/>
    <n v="57"/>
    <s v="Female"/>
    <x v="1"/>
    <x v="0"/>
    <n v="11.91"/>
    <n v="4"/>
    <n v="3.1"/>
    <n v="24.25"/>
    <n v="51.1"/>
    <s v="Thriller"/>
    <n v="7"/>
    <n v="1"/>
    <n v="1"/>
  </r>
  <r>
    <s v="U00291"/>
    <x v="8"/>
    <n v="60"/>
    <s v="Male"/>
    <x v="2"/>
    <x v="1"/>
    <n v="7.91"/>
    <n v="4"/>
    <n v="3.7"/>
    <n v="3.4"/>
    <n v="14.5"/>
    <s v="Family"/>
    <n v="1"/>
    <n v="4"/>
    <n v="0"/>
  </r>
  <r>
    <s v="U00292"/>
    <x v="10"/>
    <n v="39"/>
    <s v="Female"/>
    <x v="2"/>
    <x v="2"/>
    <n v="16.600000000000001"/>
    <n v="3"/>
    <n v="8.9"/>
    <n v="21.51"/>
    <n v="45.5"/>
    <s v="Action"/>
    <n v="2"/>
    <n v="2"/>
    <n v="0"/>
  </r>
  <r>
    <s v="U00293"/>
    <x v="9"/>
    <n v="37"/>
    <s v="Female"/>
    <x v="2"/>
    <x v="2"/>
    <n v="12.67"/>
    <n v="4"/>
    <n v="5.7"/>
    <n v="24.15"/>
    <n v="85.6"/>
    <s v="Comedy"/>
    <n v="3"/>
    <n v="1"/>
    <n v="0"/>
  </r>
  <r>
    <s v="U00294"/>
    <x v="4"/>
    <n v="25"/>
    <s v="Female"/>
    <x v="0"/>
    <x v="4"/>
    <n v="6.87"/>
    <n v="5"/>
    <n v="2.4"/>
    <n v="24.85"/>
    <n v="22"/>
    <s v="Drama"/>
    <n v="5"/>
    <n v="3"/>
    <n v="0"/>
  </r>
  <r>
    <s v="U00295"/>
    <x v="4"/>
    <n v="46"/>
    <s v="Male"/>
    <x v="2"/>
    <x v="3"/>
    <n v="13"/>
    <n v="5"/>
    <n v="8"/>
    <n v="13.1"/>
    <n v="76.2"/>
    <s v="Drama"/>
    <n v="5"/>
    <n v="1"/>
    <n v="1"/>
  </r>
  <r>
    <s v="U00296"/>
    <x v="2"/>
    <n v="57"/>
    <s v="Male"/>
    <x v="2"/>
    <x v="3"/>
    <n v="9.19"/>
    <n v="4"/>
    <n v="2.9"/>
    <n v="22.07"/>
    <n v="58.2"/>
    <s v="Thriller"/>
    <n v="7"/>
    <n v="3"/>
    <n v="0"/>
  </r>
  <r>
    <s v="U00297"/>
    <x v="0"/>
    <n v="43"/>
    <s v="Male"/>
    <x v="2"/>
    <x v="0"/>
    <n v="18.600000000000001"/>
    <n v="1"/>
    <n v="4.7"/>
    <n v="5.69"/>
    <n v="91.1"/>
    <s v="Action"/>
    <n v="9"/>
    <n v="2"/>
    <n v="0"/>
  </r>
  <r>
    <s v="U00298"/>
    <x v="11"/>
    <n v="47"/>
    <s v="Male"/>
    <x v="0"/>
    <x v="1"/>
    <n v="12.29"/>
    <n v="2"/>
    <n v="6.1"/>
    <n v="12.36"/>
    <n v="75.8"/>
    <s v="Family"/>
    <n v="10"/>
    <n v="4"/>
    <n v="0"/>
  </r>
  <r>
    <s v="U00299"/>
    <x v="11"/>
    <n v="34"/>
    <s v="Female"/>
    <x v="2"/>
    <x v="1"/>
    <n v="7.94"/>
    <n v="5"/>
    <n v="6.3"/>
    <n v="9.7799999999999994"/>
    <n v="69.400000000000006"/>
    <s v="Action"/>
    <n v="9"/>
    <n v="1"/>
    <n v="0"/>
  </r>
  <r>
    <s v="U00300"/>
    <x v="6"/>
    <n v="37"/>
    <s v="Female"/>
    <x v="2"/>
    <x v="4"/>
    <n v="11.99"/>
    <n v="4"/>
    <n v="1.6"/>
    <n v="11.69"/>
    <n v="89.8"/>
    <s v="Action"/>
    <n v="6"/>
    <n v="4"/>
    <n v="1"/>
  </r>
  <r>
    <s v="U00301"/>
    <x v="6"/>
    <n v="69"/>
    <s v="Male"/>
    <x v="2"/>
    <x v="4"/>
    <n v="9.49"/>
    <n v="4"/>
    <n v="8.5"/>
    <n v="18.440000000000001"/>
    <n v="91.7"/>
    <s v="Thriller"/>
    <n v="7"/>
    <n v="2"/>
    <n v="0"/>
  </r>
  <r>
    <s v="U00302"/>
    <x v="6"/>
    <n v="33"/>
    <s v="Male"/>
    <x v="0"/>
    <x v="3"/>
    <n v="20.92"/>
    <n v="5"/>
    <n v="5.3"/>
    <n v="4.92"/>
    <n v="44.6"/>
    <s v="Thriller"/>
    <n v="8"/>
    <n v="0"/>
    <n v="1"/>
  </r>
  <r>
    <s v="U00303"/>
    <x v="1"/>
    <n v="63"/>
    <s v="Male"/>
    <x v="2"/>
    <x v="1"/>
    <n v="24.67"/>
    <n v="3"/>
    <n v="9.9"/>
    <n v="24.96"/>
    <n v="93.5"/>
    <s v="Family"/>
    <n v="4"/>
    <n v="2"/>
    <n v="0"/>
  </r>
  <r>
    <s v="U00304"/>
    <x v="3"/>
    <n v="60"/>
    <s v="Male"/>
    <x v="2"/>
    <x v="1"/>
    <n v="5.51"/>
    <n v="2"/>
    <n v="7.5"/>
    <n v="16.97"/>
    <n v="14.9"/>
    <s v="Family"/>
    <n v="7"/>
    <n v="2"/>
    <n v="0"/>
  </r>
  <r>
    <s v="U00305"/>
    <x v="7"/>
    <n v="24"/>
    <s v="Male"/>
    <x v="1"/>
    <x v="1"/>
    <n v="18.8"/>
    <n v="5"/>
    <n v="9.9"/>
    <n v="22.22"/>
    <n v="78.599999999999994"/>
    <s v="Comedy"/>
    <n v="6"/>
    <n v="2"/>
    <n v="1"/>
  </r>
  <r>
    <s v="U00306"/>
    <x v="3"/>
    <n v="33"/>
    <s v="Male"/>
    <x v="1"/>
    <x v="0"/>
    <n v="10.28"/>
    <n v="4"/>
    <n v="5.0999999999999996"/>
    <n v="21.25"/>
    <n v="40.299999999999997"/>
    <s v="Action"/>
    <n v="8"/>
    <n v="0"/>
    <n v="0"/>
  </r>
  <r>
    <s v="U00307"/>
    <x v="10"/>
    <n v="62"/>
    <s v="Male"/>
    <x v="2"/>
    <x v="0"/>
    <n v="6.33"/>
    <n v="3"/>
    <n v="2.2999999999999998"/>
    <n v="19.850000000000001"/>
    <n v="53.9"/>
    <s v="Family"/>
    <n v="1"/>
    <n v="0"/>
    <n v="0"/>
  </r>
  <r>
    <s v="U00308"/>
    <x v="3"/>
    <n v="64"/>
    <s v="Female"/>
    <x v="1"/>
    <x v="4"/>
    <n v="5.29"/>
    <n v="5"/>
    <n v="7.5"/>
    <n v="3.86"/>
    <n v="85.2"/>
    <s v="Thriller"/>
    <n v="5"/>
    <n v="2"/>
    <n v="0"/>
  </r>
  <r>
    <s v="U00309"/>
    <x v="1"/>
    <n v="65"/>
    <s v="Female"/>
    <x v="1"/>
    <x v="3"/>
    <n v="22.62"/>
    <n v="2"/>
    <n v="8"/>
    <n v="14.36"/>
    <n v="67.3"/>
    <s v="Comedy"/>
    <n v="3"/>
    <n v="0"/>
    <n v="0"/>
  </r>
  <r>
    <s v="U00310"/>
    <x v="2"/>
    <n v="44"/>
    <s v="Female"/>
    <x v="1"/>
    <x v="2"/>
    <n v="12.07"/>
    <n v="3"/>
    <n v="8.6999999999999993"/>
    <n v="10.220000000000001"/>
    <n v="51.2"/>
    <s v="Comedy"/>
    <n v="9"/>
    <n v="3"/>
    <n v="0"/>
  </r>
  <r>
    <s v="U00311"/>
    <x v="10"/>
    <n v="40"/>
    <s v="Female"/>
    <x v="2"/>
    <x v="3"/>
    <n v="24.89"/>
    <n v="4"/>
    <n v="3.7"/>
    <n v="5.48"/>
    <n v="24.8"/>
    <s v="Thriller"/>
    <n v="9"/>
    <n v="2"/>
    <n v="1"/>
  </r>
  <r>
    <s v="U00312"/>
    <x v="3"/>
    <n v="41"/>
    <s v="Male"/>
    <x v="0"/>
    <x v="0"/>
    <n v="13.85"/>
    <n v="1"/>
    <n v="5.6"/>
    <n v="10.55"/>
    <n v="94.5"/>
    <s v="Family"/>
    <n v="3"/>
    <n v="1"/>
    <n v="0"/>
  </r>
  <r>
    <s v="U00313"/>
    <x v="1"/>
    <n v="26"/>
    <s v="Male"/>
    <x v="1"/>
    <x v="0"/>
    <n v="8.75"/>
    <n v="2"/>
    <n v="8.6999999999999993"/>
    <n v="17.190000000000001"/>
    <n v="39.9"/>
    <s v="Thriller"/>
    <n v="10"/>
    <n v="3"/>
    <n v="0"/>
  </r>
  <r>
    <s v="U00314"/>
    <x v="7"/>
    <n v="52"/>
    <s v="Male"/>
    <x v="1"/>
    <x v="4"/>
    <n v="20.54"/>
    <n v="3"/>
    <n v="8.8000000000000007"/>
    <n v="8.07"/>
    <n v="19.100000000000001"/>
    <s v="Family"/>
    <n v="2"/>
    <n v="2"/>
    <n v="0"/>
  </r>
  <r>
    <s v="U00315"/>
    <x v="3"/>
    <n v="68"/>
    <s v="Male"/>
    <x v="2"/>
    <x v="2"/>
    <n v="23.53"/>
    <n v="5"/>
    <n v="1.2"/>
    <n v="12.78"/>
    <n v="60.8"/>
    <s v="Thriller"/>
    <n v="5"/>
    <n v="1"/>
    <n v="0"/>
  </r>
  <r>
    <s v="U00316"/>
    <x v="1"/>
    <n v="37"/>
    <s v="Male"/>
    <x v="1"/>
    <x v="1"/>
    <n v="21.31"/>
    <n v="5"/>
    <n v="7"/>
    <n v="11.9"/>
    <n v="46.6"/>
    <s v="Thriller"/>
    <n v="4"/>
    <n v="1"/>
    <n v="0"/>
  </r>
  <r>
    <s v="U00317"/>
    <x v="6"/>
    <n v="54"/>
    <s v="Female"/>
    <x v="2"/>
    <x v="2"/>
    <n v="19.899999999999999"/>
    <n v="3"/>
    <n v="6.4"/>
    <n v="4.1500000000000004"/>
    <n v="63.1"/>
    <s v="Drama"/>
    <n v="7"/>
    <n v="4"/>
    <n v="0"/>
  </r>
  <r>
    <s v="U00318"/>
    <x v="11"/>
    <n v="59"/>
    <s v="Male"/>
    <x v="2"/>
    <x v="2"/>
    <n v="11.69"/>
    <n v="5"/>
    <n v="1.8"/>
    <n v="16.82"/>
    <n v="31"/>
    <s v="Family"/>
    <n v="8"/>
    <n v="4"/>
    <n v="0"/>
  </r>
  <r>
    <s v="U00319"/>
    <x v="6"/>
    <n v="34"/>
    <s v="Female"/>
    <x v="0"/>
    <x v="2"/>
    <n v="6.29"/>
    <n v="3"/>
    <n v="9.4"/>
    <n v="16.61"/>
    <n v="44.1"/>
    <s v="Action"/>
    <n v="4"/>
    <n v="1"/>
    <n v="0"/>
  </r>
  <r>
    <s v="U00320"/>
    <x v="11"/>
    <n v="64"/>
    <s v="Male"/>
    <x v="1"/>
    <x v="4"/>
    <n v="9.0299999999999994"/>
    <n v="2"/>
    <n v="5"/>
    <n v="24.26"/>
    <n v="97.5"/>
    <s v="Drama"/>
    <n v="3"/>
    <n v="2"/>
    <n v="0"/>
  </r>
  <r>
    <s v="U00321"/>
    <x v="8"/>
    <n v="48"/>
    <s v="Female"/>
    <x v="0"/>
    <x v="0"/>
    <n v="13.94"/>
    <n v="5"/>
    <n v="7.1"/>
    <n v="9.56"/>
    <n v="94.3"/>
    <s v="Drama"/>
    <n v="9"/>
    <n v="2"/>
    <n v="0"/>
  </r>
  <r>
    <s v="U00322"/>
    <x v="8"/>
    <n v="25"/>
    <s v="Male"/>
    <x v="1"/>
    <x v="1"/>
    <n v="24.12"/>
    <n v="2"/>
    <n v="8.9"/>
    <n v="12.22"/>
    <n v="87.8"/>
    <s v="Drama"/>
    <n v="8"/>
    <n v="2"/>
    <n v="0"/>
  </r>
  <r>
    <s v="U00323"/>
    <x v="8"/>
    <n v="32"/>
    <s v="Female"/>
    <x v="1"/>
    <x v="2"/>
    <n v="19.46"/>
    <n v="4"/>
    <n v="2.2000000000000002"/>
    <n v="11.88"/>
    <n v="80.099999999999994"/>
    <s v="Drama"/>
    <n v="11"/>
    <n v="2"/>
    <n v="0"/>
  </r>
  <r>
    <s v="U00324"/>
    <x v="7"/>
    <n v="48"/>
    <s v="Male"/>
    <x v="2"/>
    <x v="1"/>
    <n v="21.57"/>
    <n v="4"/>
    <n v="8.6999999999999993"/>
    <n v="23.23"/>
    <n v="24.1"/>
    <s v="Action"/>
    <n v="11"/>
    <n v="1"/>
    <n v="0"/>
  </r>
  <r>
    <s v="U00325"/>
    <x v="6"/>
    <n v="47"/>
    <s v="Male"/>
    <x v="2"/>
    <x v="2"/>
    <n v="10.55"/>
    <n v="4"/>
    <n v="7.5"/>
    <n v="11.99"/>
    <n v="52"/>
    <s v="Drama"/>
    <n v="7"/>
    <n v="0"/>
    <n v="0"/>
  </r>
  <r>
    <s v="U00326"/>
    <x v="11"/>
    <n v="63"/>
    <s v="Male"/>
    <x v="0"/>
    <x v="0"/>
    <n v="18.68"/>
    <n v="4"/>
    <n v="8.6"/>
    <n v="12.74"/>
    <n v="75.5"/>
    <s v="Action"/>
    <n v="11"/>
    <n v="0"/>
    <n v="0"/>
  </r>
  <r>
    <s v="U00327"/>
    <x v="1"/>
    <n v="37"/>
    <s v="Male"/>
    <x v="0"/>
    <x v="1"/>
    <n v="22.25"/>
    <n v="5"/>
    <n v="5.5"/>
    <n v="8.5500000000000007"/>
    <n v="33.6"/>
    <s v="Action"/>
    <n v="8"/>
    <n v="2"/>
    <n v="1"/>
  </r>
  <r>
    <s v="U00328"/>
    <x v="10"/>
    <n v="56"/>
    <s v="Female"/>
    <x v="1"/>
    <x v="3"/>
    <n v="14.59"/>
    <n v="3"/>
    <n v="1.3"/>
    <n v="3.03"/>
    <n v="13"/>
    <s v="Drama"/>
    <n v="8"/>
    <n v="4"/>
    <n v="0"/>
  </r>
  <r>
    <s v="U00329"/>
    <x v="1"/>
    <n v="29"/>
    <s v="Male"/>
    <x v="1"/>
    <x v="0"/>
    <n v="13.6"/>
    <n v="5"/>
    <n v="7"/>
    <n v="5.43"/>
    <n v="47.6"/>
    <s v="Comedy"/>
    <n v="10"/>
    <n v="1"/>
    <n v="0"/>
  </r>
  <r>
    <s v="U00330"/>
    <x v="10"/>
    <n v="66"/>
    <s v="Female"/>
    <x v="0"/>
    <x v="1"/>
    <n v="19.39"/>
    <n v="5"/>
    <n v="4.4000000000000004"/>
    <n v="18.489999999999998"/>
    <n v="48.3"/>
    <s v="Action"/>
    <n v="8"/>
    <n v="0"/>
    <n v="0"/>
  </r>
  <r>
    <s v="U00331"/>
    <x v="4"/>
    <n v="34"/>
    <s v="Male"/>
    <x v="2"/>
    <x v="2"/>
    <n v="16.2"/>
    <n v="2"/>
    <n v="4.5999999999999996"/>
    <n v="18.010000000000002"/>
    <n v="15.9"/>
    <s v="Drama"/>
    <n v="11"/>
    <n v="1"/>
    <n v="0"/>
  </r>
  <r>
    <s v="U00332"/>
    <x v="1"/>
    <n v="59"/>
    <s v="Female"/>
    <x v="2"/>
    <x v="2"/>
    <n v="24.86"/>
    <n v="3"/>
    <n v="5"/>
    <n v="10.1"/>
    <n v="38.9"/>
    <s v="Thriller"/>
    <n v="1"/>
    <n v="4"/>
    <n v="0"/>
  </r>
  <r>
    <s v="U00333"/>
    <x v="3"/>
    <n v="47"/>
    <s v="Male"/>
    <x v="1"/>
    <x v="0"/>
    <n v="13.5"/>
    <n v="1"/>
    <n v="5.4"/>
    <n v="13.41"/>
    <n v="92.6"/>
    <s v="Thriller"/>
    <n v="4"/>
    <n v="1"/>
    <n v="0"/>
  </r>
  <r>
    <s v="U00334"/>
    <x v="3"/>
    <n v="46"/>
    <s v="Male"/>
    <x v="2"/>
    <x v="0"/>
    <n v="8.52"/>
    <n v="1"/>
    <n v="7"/>
    <n v="9.5399999999999991"/>
    <n v="32.5"/>
    <s v="Family"/>
    <n v="10"/>
    <n v="4"/>
    <n v="0"/>
  </r>
  <r>
    <s v="U00335"/>
    <x v="0"/>
    <n v="36"/>
    <s v="Female"/>
    <x v="1"/>
    <x v="2"/>
    <n v="14.44"/>
    <n v="3"/>
    <n v="7.5"/>
    <n v="19.079999999999998"/>
    <n v="61.2"/>
    <s v="Action"/>
    <n v="7"/>
    <n v="4"/>
    <n v="1"/>
  </r>
  <r>
    <s v="U00336"/>
    <x v="6"/>
    <n v="63"/>
    <s v="Male"/>
    <x v="2"/>
    <x v="1"/>
    <n v="9.6999999999999993"/>
    <n v="1"/>
    <n v="8"/>
    <n v="21.53"/>
    <n v="53.9"/>
    <s v="Action"/>
    <n v="6"/>
    <n v="3"/>
    <n v="0"/>
  </r>
  <r>
    <s v="U00337"/>
    <x v="10"/>
    <n v="28"/>
    <s v="Male"/>
    <x v="1"/>
    <x v="3"/>
    <n v="16.23"/>
    <n v="3"/>
    <n v="7"/>
    <n v="22.78"/>
    <n v="87.6"/>
    <s v="Thriller"/>
    <n v="3"/>
    <n v="4"/>
    <n v="0"/>
  </r>
  <r>
    <s v="U00338"/>
    <x v="10"/>
    <n v="51"/>
    <s v="Female"/>
    <x v="0"/>
    <x v="4"/>
    <n v="7.52"/>
    <n v="2"/>
    <n v="8.1999999999999993"/>
    <n v="6.83"/>
    <n v="68.8"/>
    <s v="Action"/>
    <n v="3"/>
    <n v="3"/>
    <n v="0"/>
  </r>
  <r>
    <s v="U00339"/>
    <x v="9"/>
    <n v="67"/>
    <s v="Male"/>
    <x v="2"/>
    <x v="0"/>
    <n v="24"/>
    <n v="2"/>
    <n v="2.1"/>
    <n v="18.29"/>
    <n v="24.3"/>
    <s v="Action"/>
    <n v="4"/>
    <n v="4"/>
    <n v="0"/>
  </r>
  <r>
    <s v="U00340"/>
    <x v="2"/>
    <n v="24"/>
    <s v="Female"/>
    <x v="1"/>
    <x v="2"/>
    <n v="22.2"/>
    <n v="5"/>
    <n v="8.5"/>
    <n v="24.19"/>
    <n v="22.9"/>
    <s v="Thriller"/>
    <n v="10"/>
    <n v="4"/>
    <n v="0"/>
  </r>
  <r>
    <s v="U00341"/>
    <x v="6"/>
    <n v="61"/>
    <s v="Male"/>
    <x v="2"/>
    <x v="1"/>
    <n v="8.11"/>
    <n v="1"/>
    <n v="4.5"/>
    <n v="17.309999999999999"/>
    <n v="60.2"/>
    <s v="Drama"/>
    <n v="6"/>
    <n v="1"/>
    <n v="0"/>
  </r>
  <r>
    <s v="U00342"/>
    <x v="7"/>
    <n v="51"/>
    <s v="Female"/>
    <x v="1"/>
    <x v="0"/>
    <n v="8.4499999999999993"/>
    <n v="3"/>
    <n v="5.8"/>
    <n v="10.72"/>
    <n v="14.2"/>
    <s v="Thriller"/>
    <n v="1"/>
    <n v="3"/>
    <n v="0"/>
  </r>
  <r>
    <s v="U00343"/>
    <x v="0"/>
    <n v="37"/>
    <s v="Female"/>
    <x v="0"/>
    <x v="1"/>
    <n v="15.25"/>
    <n v="2"/>
    <n v="4.9000000000000004"/>
    <n v="16.989999999999998"/>
    <n v="45.4"/>
    <s v="Comedy"/>
    <n v="10"/>
    <n v="0"/>
    <n v="0"/>
  </r>
  <r>
    <s v="U00344"/>
    <x v="7"/>
    <n v="67"/>
    <s v="Female"/>
    <x v="0"/>
    <x v="0"/>
    <n v="20.46"/>
    <n v="5"/>
    <n v="5.3"/>
    <n v="18.149999999999999"/>
    <n v="45.9"/>
    <s v="Thriller"/>
    <n v="4"/>
    <n v="0"/>
    <n v="0"/>
  </r>
  <r>
    <s v="U00345"/>
    <x v="7"/>
    <n v="55"/>
    <s v="Female"/>
    <x v="1"/>
    <x v="2"/>
    <n v="9.3800000000000008"/>
    <n v="1"/>
    <n v="3.6"/>
    <n v="11.74"/>
    <n v="27.7"/>
    <s v="Thriller"/>
    <n v="9"/>
    <n v="1"/>
    <n v="0"/>
  </r>
  <r>
    <s v="U00346"/>
    <x v="7"/>
    <n v="41"/>
    <s v="Male"/>
    <x v="1"/>
    <x v="1"/>
    <n v="6.22"/>
    <n v="1"/>
    <n v="2.5"/>
    <n v="5.29"/>
    <n v="37.1"/>
    <s v="Drama"/>
    <n v="7"/>
    <n v="0"/>
    <n v="1"/>
  </r>
  <r>
    <s v="U00347"/>
    <x v="6"/>
    <n v="27"/>
    <s v="Male"/>
    <x v="1"/>
    <x v="2"/>
    <n v="15.91"/>
    <n v="1"/>
    <n v="1.9"/>
    <n v="16.350000000000001"/>
    <n v="39.700000000000003"/>
    <s v="Thriller"/>
    <n v="11"/>
    <n v="0"/>
    <n v="1"/>
  </r>
  <r>
    <s v="U00348"/>
    <x v="7"/>
    <n v="49"/>
    <s v="Female"/>
    <x v="1"/>
    <x v="1"/>
    <n v="18.829999999999998"/>
    <n v="2"/>
    <n v="5.0999999999999996"/>
    <n v="20.65"/>
    <n v="11.1"/>
    <s v="Thriller"/>
    <n v="6"/>
    <n v="4"/>
    <n v="0"/>
  </r>
  <r>
    <s v="U00349"/>
    <x v="3"/>
    <n v="69"/>
    <s v="Male"/>
    <x v="1"/>
    <x v="0"/>
    <n v="9.89"/>
    <n v="2"/>
    <n v="2.1"/>
    <n v="24.95"/>
    <n v="82.5"/>
    <s v="Drama"/>
    <n v="11"/>
    <n v="2"/>
    <n v="1"/>
  </r>
  <r>
    <s v="U00350"/>
    <x v="2"/>
    <n v="32"/>
    <s v="Male"/>
    <x v="2"/>
    <x v="4"/>
    <n v="19.8"/>
    <n v="1"/>
    <n v="3.2"/>
    <n v="7.91"/>
    <n v="96.2"/>
    <s v="Thriller"/>
    <n v="5"/>
    <n v="2"/>
    <n v="0"/>
  </r>
  <r>
    <s v="U00351"/>
    <x v="2"/>
    <n v="54"/>
    <s v="Male"/>
    <x v="1"/>
    <x v="4"/>
    <n v="24.01"/>
    <n v="2"/>
    <n v="2.2000000000000002"/>
    <n v="18.41"/>
    <n v="36"/>
    <s v="Drama"/>
    <n v="2"/>
    <n v="0"/>
    <n v="1"/>
  </r>
  <r>
    <s v="U00352"/>
    <x v="8"/>
    <n v="37"/>
    <s v="Female"/>
    <x v="2"/>
    <x v="3"/>
    <n v="7.74"/>
    <n v="1"/>
    <n v="2"/>
    <n v="3.62"/>
    <n v="20.100000000000001"/>
    <s v="Comedy"/>
    <n v="2"/>
    <n v="1"/>
    <n v="0"/>
  </r>
  <r>
    <s v="U00353"/>
    <x v="4"/>
    <n v="20"/>
    <s v="Male"/>
    <x v="1"/>
    <x v="3"/>
    <n v="15.22"/>
    <n v="4"/>
    <n v="8.9"/>
    <n v="24.34"/>
    <n v="95.8"/>
    <s v="Drama"/>
    <n v="6"/>
    <n v="1"/>
    <n v="1"/>
  </r>
  <r>
    <s v="U00354"/>
    <x v="10"/>
    <n v="54"/>
    <s v="Male"/>
    <x v="1"/>
    <x v="2"/>
    <n v="6.14"/>
    <n v="2"/>
    <n v="7.1"/>
    <n v="3.28"/>
    <n v="76.599999999999994"/>
    <s v="Action"/>
    <n v="9"/>
    <n v="3"/>
    <n v="0"/>
  </r>
  <r>
    <s v="U00355"/>
    <x v="9"/>
    <n v="57"/>
    <s v="Female"/>
    <x v="0"/>
    <x v="1"/>
    <n v="9.1300000000000008"/>
    <n v="3"/>
    <n v="9.3000000000000007"/>
    <n v="10.89"/>
    <n v="90.2"/>
    <s v="Action"/>
    <n v="9"/>
    <n v="1"/>
    <n v="0"/>
  </r>
  <r>
    <s v="U00356"/>
    <x v="10"/>
    <n v="25"/>
    <s v="Male"/>
    <x v="1"/>
    <x v="3"/>
    <n v="6.8"/>
    <n v="2"/>
    <n v="6.8"/>
    <n v="4.68"/>
    <n v="42.5"/>
    <s v="Drama"/>
    <n v="1"/>
    <n v="1"/>
    <n v="0"/>
  </r>
  <r>
    <s v="U00357"/>
    <x v="4"/>
    <n v="57"/>
    <s v="Female"/>
    <x v="0"/>
    <x v="0"/>
    <n v="13.08"/>
    <n v="1"/>
    <n v="8.6"/>
    <n v="16.66"/>
    <n v="53.6"/>
    <s v="Thriller"/>
    <n v="7"/>
    <n v="4"/>
    <n v="1"/>
  </r>
  <r>
    <s v="U00358"/>
    <x v="9"/>
    <n v="61"/>
    <s v="Female"/>
    <x v="1"/>
    <x v="4"/>
    <n v="21.42"/>
    <n v="3"/>
    <n v="6"/>
    <n v="10.47"/>
    <n v="93.7"/>
    <s v="Family"/>
    <n v="7"/>
    <n v="4"/>
    <n v="1"/>
  </r>
  <r>
    <s v="U00359"/>
    <x v="6"/>
    <n v="40"/>
    <s v="Female"/>
    <x v="0"/>
    <x v="1"/>
    <n v="16.54"/>
    <n v="5"/>
    <n v="5.2"/>
    <n v="19.12"/>
    <n v="51.4"/>
    <s v="Family"/>
    <n v="10"/>
    <n v="0"/>
    <n v="0"/>
  </r>
  <r>
    <s v="U00360"/>
    <x v="1"/>
    <n v="57"/>
    <s v="Male"/>
    <x v="1"/>
    <x v="4"/>
    <n v="9.4499999999999993"/>
    <n v="3"/>
    <n v="5.8"/>
    <n v="13.7"/>
    <n v="70.5"/>
    <s v="Comedy"/>
    <n v="2"/>
    <n v="1"/>
    <n v="0"/>
  </r>
  <r>
    <s v="U00361"/>
    <x v="6"/>
    <n v="28"/>
    <s v="Male"/>
    <x v="2"/>
    <x v="1"/>
    <n v="5.8"/>
    <n v="3"/>
    <n v="3.9"/>
    <n v="12.23"/>
    <n v="73.400000000000006"/>
    <s v="Comedy"/>
    <n v="10"/>
    <n v="2"/>
    <n v="0"/>
  </r>
  <r>
    <s v="U00362"/>
    <x v="10"/>
    <n v="63"/>
    <s v="Female"/>
    <x v="1"/>
    <x v="3"/>
    <n v="16.07"/>
    <n v="2"/>
    <n v="6.9"/>
    <n v="10.67"/>
    <n v="85.3"/>
    <s v="Family"/>
    <n v="4"/>
    <n v="1"/>
    <n v="0"/>
  </r>
  <r>
    <s v="U00363"/>
    <x v="10"/>
    <n v="25"/>
    <s v="Female"/>
    <x v="0"/>
    <x v="3"/>
    <n v="7.66"/>
    <n v="3"/>
    <n v="9.1"/>
    <n v="4.8899999999999997"/>
    <n v="97.8"/>
    <s v="Family"/>
    <n v="8"/>
    <n v="1"/>
    <n v="1"/>
  </r>
  <r>
    <s v="U00364"/>
    <x v="9"/>
    <n v="46"/>
    <s v="Female"/>
    <x v="0"/>
    <x v="2"/>
    <n v="11.85"/>
    <n v="3"/>
    <n v="8"/>
    <n v="7.51"/>
    <n v="40.1"/>
    <s v="Drama"/>
    <n v="6"/>
    <n v="0"/>
    <n v="0"/>
  </r>
  <r>
    <s v="U00365"/>
    <x v="9"/>
    <n v="47"/>
    <s v="Female"/>
    <x v="2"/>
    <x v="1"/>
    <n v="15.2"/>
    <n v="1"/>
    <n v="5.2"/>
    <n v="17.059999999999999"/>
    <n v="32.299999999999997"/>
    <s v="Family"/>
    <n v="11"/>
    <n v="2"/>
    <n v="0"/>
  </r>
  <r>
    <s v="U00366"/>
    <x v="4"/>
    <n v="27"/>
    <s v="Female"/>
    <x v="0"/>
    <x v="0"/>
    <n v="23.07"/>
    <n v="2"/>
    <n v="9.6"/>
    <n v="13.93"/>
    <n v="17"/>
    <s v="Action"/>
    <n v="7"/>
    <n v="0"/>
    <n v="0"/>
  </r>
  <r>
    <s v="U00367"/>
    <x v="7"/>
    <n v="56"/>
    <s v="Female"/>
    <x v="1"/>
    <x v="3"/>
    <n v="6.64"/>
    <n v="1"/>
    <n v="9.9"/>
    <n v="4.54"/>
    <n v="87.1"/>
    <s v="Comedy"/>
    <n v="10"/>
    <n v="1"/>
    <n v="0"/>
  </r>
  <r>
    <s v="U00368"/>
    <x v="6"/>
    <n v="45"/>
    <s v="Male"/>
    <x v="1"/>
    <x v="2"/>
    <n v="18.37"/>
    <n v="2"/>
    <n v="5.4"/>
    <n v="14.97"/>
    <n v="36.299999999999997"/>
    <s v="Comedy"/>
    <n v="11"/>
    <n v="2"/>
    <n v="0"/>
  </r>
  <r>
    <s v="U00369"/>
    <x v="9"/>
    <n v="66"/>
    <s v="Female"/>
    <x v="1"/>
    <x v="3"/>
    <n v="5.28"/>
    <n v="5"/>
    <n v="8.8000000000000007"/>
    <n v="4.1900000000000004"/>
    <n v="14.5"/>
    <s v="Action"/>
    <n v="11"/>
    <n v="1"/>
    <n v="0"/>
  </r>
  <r>
    <s v="U00370"/>
    <x v="11"/>
    <n v="53"/>
    <s v="Female"/>
    <x v="1"/>
    <x v="4"/>
    <n v="17.600000000000001"/>
    <n v="3"/>
    <n v="1"/>
    <n v="14.26"/>
    <n v="87.9"/>
    <s v="Comedy"/>
    <n v="6"/>
    <n v="0"/>
    <n v="0"/>
  </r>
  <r>
    <s v="U00371"/>
    <x v="4"/>
    <n v="30"/>
    <s v="Female"/>
    <x v="2"/>
    <x v="3"/>
    <n v="16.03"/>
    <n v="2"/>
    <n v="1.6"/>
    <n v="24.23"/>
    <n v="55.9"/>
    <s v="Family"/>
    <n v="9"/>
    <n v="0"/>
    <n v="0"/>
  </r>
  <r>
    <s v="U00372"/>
    <x v="3"/>
    <n v="49"/>
    <s v="Male"/>
    <x v="0"/>
    <x v="1"/>
    <n v="21.24"/>
    <n v="3"/>
    <n v="1.2"/>
    <n v="9.76"/>
    <n v="85.4"/>
    <s v="Comedy"/>
    <n v="11"/>
    <n v="4"/>
    <n v="0"/>
  </r>
  <r>
    <s v="U00373"/>
    <x v="10"/>
    <n v="53"/>
    <s v="Male"/>
    <x v="0"/>
    <x v="2"/>
    <n v="15.63"/>
    <n v="3"/>
    <n v="8"/>
    <n v="18.920000000000002"/>
    <n v="59.9"/>
    <s v="Action"/>
    <n v="10"/>
    <n v="2"/>
    <n v="0"/>
  </r>
  <r>
    <s v="U00374"/>
    <x v="4"/>
    <n v="54"/>
    <s v="Male"/>
    <x v="0"/>
    <x v="1"/>
    <n v="12.05"/>
    <n v="4"/>
    <n v="1.7"/>
    <n v="19.399999999999999"/>
    <n v="38.200000000000003"/>
    <s v="Comedy"/>
    <n v="10"/>
    <n v="4"/>
    <n v="1"/>
  </r>
  <r>
    <s v="U00375"/>
    <x v="6"/>
    <n v="43"/>
    <s v="Male"/>
    <x v="0"/>
    <x v="0"/>
    <n v="9.86"/>
    <n v="1"/>
    <n v="1.2"/>
    <n v="11.91"/>
    <n v="21.7"/>
    <s v="Family"/>
    <n v="9"/>
    <n v="2"/>
    <n v="0"/>
  </r>
  <r>
    <s v="U00376"/>
    <x v="9"/>
    <n v="39"/>
    <s v="Female"/>
    <x v="0"/>
    <x v="0"/>
    <n v="6.7"/>
    <n v="2"/>
    <n v="2.2999999999999998"/>
    <n v="16.05"/>
    <n v="49.3"/>
    <s v="Drama"/>
    <n v="6"/>
    <n v="3"/>
    <n v="1"/>
  </r>
  <r>
    <s v="U00377"/>
    <x v="10"/>
    <n v="21"/>
    <s v="Male"/>
    <x v="1"/>
    <x v="3"/>
    <n v="15.69"/>
    <n v="5"/>
    <n v="3.8"/>
    <n v="13.39"/>
    <n v="12.4"/>
    <s v="Family"/>
    <n v="6"/>
    <n v="2"/>
    <n v="0"/>
  </r>
  <r>
    <s v="U00378"/>
    <x v="1"/>
    <n v="48"/>
    <s v="Female"/>
    <x v="1"/>
    <x v="2"/>
    <n v="22.77"/>
    <n v="4"/>
    <n v="5.2"/>
    <n v="9.23"/>
    <n v="64.2"/>
    <s v="Comedy"/>
    <n v="9"/>
    <n v="1"/>
    <n v="0"/>
  </r>
  <r>
    <s v="U00379"/>
    <x v="4"/>
    <n v="35"/>
    <s v="Female"/>
    <x v="1"/>
    <x v="2"/>
    <n v="15.29"/>
    <n v="1"/>
    <n v="1.6"/>
    <n v="19.600000000000001"/>
    <n v="48.5"/>
    <s v="Thriller"/>
    <n v="10"/>
    <n v="2"/>
    <n v="0"/>
  </r>
  <r>
    <s v="U00380"/>
    <x v="0"/>
    <n v="55"/>
    <s v="Female"/>
    <x v="1"/>
    <x v="2"/>
    <n v="19.78"/>
    <n v="5"/>
    <n v="5.5"/>
    <n v="18.46"/>
    <n v="22.7"/>
    <s v="Comedy"/>
    <n v="9"/>
    <n v="4"/>
    <n v="0"/>
  </r>
  <r>
    <s v="U00381"/>
    <x v="10"/>
    <n v="41"/>
    <s v="Female"/>
    <x v="2"/>
    <x v="2"/>
    <n v="10.97"/>
    <n v="5"/>
    <n v="3.2"/>
    <n v="22.81"/>
    <n v="57.7"/>
    <s v="Comedy"/>
    <n v="3"/>
    <n v="0"/>
    <n v="1"/>
  </r>
  <r>
    <s v="U00382"/>
    <x v="6"/>
    <n v="40"/>
    <s v="Female"/>
    <x v="1"/>
    <x v="3"/>
    <n v="13.96"/>
    <n v="3"/>
    <n v="3.5"/>
    <n v="16.600000000000001"/>
    <n v="82.1"/>
    <s v="Action"/>
    <n v="7"/>
    <n v="0"/>
    <n v="1"/>
  </r>
  <r>
    <s v="U00383"/>
    <x v="8"/>
    <n v="39"/>
    <s v="Female"/>
    <x v="0"/>
    <x v="1"/>
    <n v="11.49"/>
    <n v="1"/>
    <n v="8.4"/>
    <n v="11.55"/>
    <n v="97.7"/>
    <s v="Thriller"/>
    <n v="3"/>
    <n v="2"/>
    <n v="0"/>
  </r>
  <r>
    <s v="U00384"/>
    <x v="11"/>
    <n v="19"/>
    <s v="Male"/>
    <x v="1"/>
    <x v="3"/>
    <n v="7.19"/>
    <n v="4"/>
    <n v="9.9"/>
    <n v="18.71"/>
    <n v="57.5"/>
    <s v="Action"/>
    <n v="4"/>
    <n v="3"/>
    <n v="1"/>
  </r>
  <r>
    <s v="U00385"/>
    <x v="5"/>
    <n v="48"/>
    <s v="Male"/>
    <x v="0"/>
    <x v="1"/>
    <n v="13.34"/>
    <n v="2"/>
    <n v="5.2"/>
    <n v="16.62"/>
    <n v="21.7"/>
    <s v="Action"/>
    <n v="9"/>
    <n v="0"/>
    <n v="0"/>
  </r>
  <r>
    <s v="U00386"/>
    <x v="7"/>
    <n v="28"/>
    <s v="Male"/>
    <x v="0"/>
    <x v="4"/>
    <n v="20.29"/>
    <n v="2"/>
    <n v="3.9"/>
    <n v="16.57"/>
    <n v="83"/>
    <s v="Family"/>
    <n v="10"/>
    <n v="0"/>
    <n v="0"/>
  </r>
  <r>
    <s v="U00387"/>
    <x v="5"/>
    <n v="45"/>
    <s v="Male"/>
    <x v="1"/>
    <x v="4"/>
    <n v="12.9"/>
    <n v="4"/>
    <n v="9.4"/>
    <n v="21.7"/>
    <n v="72.599999999999994"/>
    <s v="Drama"/>
    <n v="8"/>
    <n v="0"/>
    <n v="0"/>
  </r>
  <r>
    <s v="U00388"/>
    <x v="6"/>
    <n v="63"/>
    <s v="Male"/>
    <x v="2"/>
    <x v="1"/>
    <n v="18"/>
    <n v="3"/>
    <n v="5.5"/>
    <n v="23.03"/>
    <n v="95.9"/>
    <s v="Comedy"/>
    <n v="6"/>
    <n v="3"/>
    <n v="0"/>
  </r>
  <r>
    <s v="U00389"/>
    <x v="3"/>
    <n v="49"/>
    <s v="Female"/>
    <x v="2"/>
    <x v="3"/>
    <n v="20.170000000000002"/>
    <n v="3"/>
    <n v="7.6"/>
    <n v="6.97"/>
    <n v="58.2"/>
    <s v="Thriller"/>
    <n v="6"/>
    <n v="4"/>
    <n v="0"/>
  </r>
  <r>
    <s v="U00390"/>
    <x v="3"/>
    <n v="22"/>
    <s v="Male"/>
    <x v="0"/>
    <x v="0"/>
    <n v="11.45"/>
    <n v="5"/>
    <n v="4.7"/>
    <n v="9.91"/>
    <n v="42.1"/>
    <s v="Comedy"/>
    <n v="8"/>
    <n v="2"/>
    <n v="0"/>
  </r>
  <r>
    <s v="U00391"/>
    <x v="8"/>
    <n v="55"/>
    <s v="Male"/>
    <x v="2"/>
    <x v="3"/>
    <n v="20.95"/>
    <n v="1"/>
    <n v="2.8"/>
    <n v="17.309999999999999"/>
    <n v="96.7"/>
    <s v="Action"/>
    <n v="2"/>
    <n v="3"/>
    <n v="1"/>
  </r>
  <r>
    <s v="U00392"/>
    <x v="7"/>
    <n v="27"/>
    <s v="Male"/>
    <x v="2"/>
    <x v="0"/>
    <n v="11.78"/>
    <n v="5"/>
    <n v="6.9"/>
    <n v="15.26"/>
    <n v="58.5"/>
    <s v="Drama"/>
    <n v="5"/>
    <n v="2"/>
    <n v="1"/>
  </r>
  <r>
    <s v="U00393"/>
    <x v="0"/>
    <n v="57"/>
    <s v="Female"/>
    <x v="1"/>
    <x v="3"/>
    <n v="10.119999999999999"/>
    <n v="2"/>
    <n v="7"/>
    <n v="17.350000000000001"/>
    <n v="11.4"/>
    <s v="Action"/>
    <n v="7"/>
    <n v="1"/>
    <n v="1"/>
  </r>
  <r>
    <s v="U00394"/>
    <x v="8"/>
    <n v="63"/>
    <s v="Female"/>
    <x v="2"/>
    <x v="2"/>
    <n v="9.4499999999999993"/>
    <n v="4"/>
    <n v="5.0999999999999996"/>
    <n v="12.53"/>
    <n v="52.6"/>
    <s v="Comedy"/>
    <n v="3"/>
    <n v="2"/>
    <n v="0"/>
  </r>
  <r>
    <s v="U00395"/>
    <x v="2"/>
    <n v="41"/>
    <s v="Female"/>
    <x v="1"/>
    <x v="2"/>
    <n v="9"/>
    <n v="1"/>
    <n v="3.4"/>
    <n v="12.07"/>
    <n v="10.199999999999999"/>
    <s v="Family"/>
    <n v="8"/>
    <n v="0"/>
    <n v="0"/>
  </r>
  <r>
    <s v="U00396"/>
    <x v="5"/>
    <n v="52"/>
    <s v="Male"/>
    <x v="0"/>
    <x v="4"/>
    <n v="19.739999999999998"/>
    <n v="4"/>
    <n v="8.5"/>
    <n v="5.59"/>
    <n v="76.400000000000006"/>
    <s v="Comedy"/>
    <n v="3"/>
    <n v="3"/>
    <n v="1"/>
  </r>
  <r>
    <s v="U00397"/>
    <x v="8"/>
    <n v="61"/>
    <s v="Male"/>
    <x v="1"/>
    <x v="4"/>
    <n v="22.75"/>
    <n v="1"/>
    <n v="3.5"/>
    <n v="16.72"/>
    <n v="60.9"/>
    <s v="Action"/>
    <n v="4"/>
    <n v="3"/>
    <n v="0"/>
  </r>
  <r>
    <s v="U00398"/>
    <x v="5"/>
    <n v="65"/>
    <s v="Male"/>
    <x v="1"/>
    <x v="1"/>
    <n v="9.61"/>
    <n v="2"/>
    <n v="6.9"/>
    <n v="6.87"/>
    <n v="19.899999999999999"/>
    <s v="Thriller"/>
    <n v="10"/>
    <n v="4"/>
    <n v="1"/>
  </r>
  <r>
    <s v="U00399"/>
    <x v="10"/>
    <n v="40"/>
    <s v="Male"/>
    <x v="1"/>
    <x v="0"/>
    <n v="6.7"/>
    <n v="2"/>
    <n v="4.5"/>
    <n v="17.760000000000002"/>
    <n v="83.2"/>
    <s v="Thriller"/>
    <n v="10"/>
    <n v="1"/>
    <n v="0"/>
  </r>
  <r>
    <s v="U00400"/>
    <x v="3"/>
    <n v="34"/>
    <s v="Male"/>
    <x v="1"/>
    <x v="2"/>
    <n v="11.28"/>
    <n v="1"/>
    <n v="5.3"/>
    <n v="24.28"/>
    <n v="58.3"/>
    <s v="Thriller"/>
    <n v="6"/>
    <n v="4"/>
    <n v="0"/>
  </r>
  <r>
    <s v="U00401"/>
    <x v="10"/>
    <n v="18"/>
    <s v="Female"/>
    <x v="2"/>
    <x v="3"/>
    <n v="18.16"/>
    <n v="3"/>
    <n v="2.9"/>
    <n v="8.64"/>
    <n v="20.3"/>
    <s v="Thriller"/>
    <n v="6"/>
    <n v="4"/>
    <n v="0"/>
  </r>
  <r>
    <s v="U00402"/>
    <x v="11"/>
    <n v="48"/>
    <s v="Male"/>
    <x v="2"/>
    <x v="1"/>
    <n v="12.37"/>
    <n v="1"/>
    <n v="6.8"/>
    <n v="6.13"/>
    <n v="24.4"/>
    <s v="Thriller"/>
    <n v="2"/>
    <n v="1"/>
    <n v="1"/>
  </r>
  <r>
    <s v="U00403"/>
    <x v="2"/>
    <n v="48"/>
    <s v="Female"/>
    <x v="2"/>
    <x v="3"/>
    <n v="15.98"/>
    <n v="2"/>
    <n v="3"/>
    <n v="3.53"/>
    <n v="84"/>
    <s v="Drama"/>
    <n v="2"/>
    <n v="0"/>
    <n v="0"/>
  </r>
  <r>
    <s v="U00404"/>
    <x v="7"/>
    <n v="59"/>
    <s v="Male"/>
    <x v="2"/>
    <x v="2"/>
    <n v="19.89"/>
    <n v="4"/>
    <n v="5.4"/>
    <n v="11.33"/>
    <n v="42"/>
    <s v="Drama"/>
    <n v="3"/>
    <n v="3"/>
    <n v="1"/>
  </r>
  <r>
    <s v="U00405"/>
    <x v="0"/>
    <n v="59"/>
    <s v="Female"/>
    <x v="2"/>
    <x v="2"/>
    <n v="13.17"/>
    <n v="5"/>
    <n v="4"/>
    <n v="7.72"/>
    <n v="83.9"/>
    <s v="Family"/>
    <n v="3"/>
    <n v="2"/>
    <n v="0"/>
  </r>
  <r>
    <s v="U00406"/>
    <x v="5"/>
    <n v="51"/>
    <s v="Female"/>
    <x v="0"/>
    <x v="2"/>
    <n v="24.99"/>
    <n v="4"/>
    <n v="9.6999999999999993"/>
    <n v="13.82"/>
    <n v="16.3"/>
    <s v="Thriller"/>
    <n v="4"/>
    <n v="1"/>
    <n v="0"/>
  </r>
  <r>
    <s v="U00407"/>
    <x v="0"/>
    <n v="26"/>
    <s v="Female"/>
    <x v="0"/>
    <x v="2"/>
    <n v="10.96"/>
    <n v="2"/>
    <n v="9.8000000000000007"/>
    <n v="14.53"/>
    <n v="31.9"/>
    <s v="Action"/>
    <n v="4"/>
    <n v="4"/>
    <n v="0"/>
  </r>
  <r>
    <s v="U00408"/>
    <x v="5"/>
    <n v="39"/>
    <s v="Female"/>
    <x v="1"/>
    <x v="3"/>
    <n v="24.56"/>
    <n v="4"/>
    <n v="7.8"/>
    <n v="10.69"/>
    <n v="78.8"/>
    <s v="Action"/>
    <n v="4"/>
    <n v="2"/>
    <n v="0"/>
  </r>
  <r>
    <s v="U00409"/>
    <x v="6"/>
    <n v="30"/>
    <s v="Male"/>
    <x v="2"/>
    <x v="1"/>
    <n v="9.06"/>
    <n v="3"/>
    <n v="9.9"/>
    <n v="19.5"/>
    <n v="67.8"/>
    <s v="Comedy"/>
    <n v="10"/>
    <n v="1"/>
    <n v="0"/>
  </r>
  <r>
    <s v="U00410"/>
    <x v="8"/>
    <n v="42"/>
    <s v="Male"/>
    <x v="1"/>
    <x v="2"/>
    <n v="7.22"/>
    <n v="3"/>
    <n v="2"/>
    <n v="22.91"/>
    <n v="37.6"/>
    <s v="Thriller"/>
    <n v="10"/>
    <n v="1"/>
    <n v="1"/>
  </r>
  <r>
    <s v="U00411"/>
    <x v="11"/>
    <n v="65"/>
    <s v="Male"/>
    <x v="2"/>
    <x v="4"/>
    <n v="20.02"/>
    <n v="1"/>
    <n v="9.9"/>
    <n v="7.65"/>
    <n v="94.2"/>
    <s v="Action"/>
    <n v="11"/>
    <n v="0"/>
    <n v="0"/>
  </r>
  <r>
    <s v="U00412"/>
    <x v="3"/>
    <n v="35"/>
    <s v="Female"/>
    <x v="0"/>
    <x v="1"/>
    <n v="19.05"/>
    <n v="4"/>
    <n v="1.9"/>
    <n v="21.4"/>
    <n v="29"/>
    <s v="Family"/>
    <n v="3"/>
    <n v="0"/>
    <n v="0"/>
  </r>
  <r>
    <s v="U00413"/>
    <x v="9"/>
    <n v="68"/>
    <s v="Male"/>
    <x v="0"/>
    <x v="4"/>
    <n v="21.22"/>
    <n v="4"/>
    <n v="4.7"/>
    <n v="5.89"/>
    <n v="86.5"/>
    <s v="Action"/>
    <n v="1"/>
    <n v="3"/>
    <n v="1"/>
  </r>
  <r>
    <s v="U00414"/>
    <x v="5"/>
    <n v="29"/>
    <s v="Male"/>
    <x v="2"/>
    <x v="3"/>
    <n v="11.87"/>
    <n v="2"/>
    <n v="3.2"/>
    <n v="8.0299999999999994"/>
    <n v="72.599999999999994"/>
    <s v="Family"/>
    <n v="9"/>
    <n v="3"/>
    <n v="0"/>
  </r>
  <r>
    <s v="U00415"/>
    <x v="0"/>
    <n v="57"/>
    <s v="Male"/>
    <x v="0"/>
    <x v="2"/>
    <n v="23.62"/>
    <n v="1"/>
    <n v="9.6"/>
    <n v="15.35"/>
    <n v="20.9"/>
    <s v="Thriller"/>
    <n v="2"/>
    <n v="2"/>
    <n v="0"/>
  </r>
  <r>
    <s v="U00416"/>
    <x v="11"/>
    <n v="34"/>
    <s v="Male"/>
    <x v="1"/>
    <x v="1"/>
    <n v="7.39"/>
    <n v="1"/>
    <n v="6.7"/>
    <n v="9.74"/>
    <n v="60"/>
    <s v="Comedy"/>
    <n v="3"/>
    <n v="3"/>
    <n v="0"/>
  </r>
  <r>
    <s v="U00417"/>
    <x v="1"/>
    <n v="32"/>
    <s v="Female"/>
    <x v="0"/>
    <x v="2"/>
    <n v="5.61"/>
    <n v="4"/>
    <n v="6.4"/>
    <n v="3.92"/>
    <n v="93.7"/>
    <s v="Comedy"/>
    <n v="2"/>
    <n v="1"/>
    <n v="0"/>
  </r>
  <r>
    <s v="U00418"/>
    <x v="1"/>
    <n v="59"/>
    <s v="Female"/>
    <x v="1"/>
    <x v="2"/>
    <n v="11.01"/>
    <n v="5"/>
    <n v="10"/>
    <n v="9.49"/>
    <n v="65.7"/>
    <s v="Drama"/>
    <n v="6"/>
    <n v="1"/>
    <n v="0"/>
  </r>
  <r>
    <s v="U00419"/>
    <x v="10"/>
    <n v="32"/>
    <s v="Male"/>
    <x v="2"/>
    <x v="1"/>
    <n v="20.95"/>
    <n v="4"/>
    <n v="6.5"/>
    <n v="22.91"/>
    <n v="57.6"/>
    <s v="Thriller"/>
    <n v="6"/>
    <n v="1"/>
    <n v="0"/>
  </r>
  <r>
    <s v="U00420"/>
    <x v="3"/>
    <n v="32"/>
    <s v="Male"/>
    <x v="1"/>
    <x v="2"/>
    <n v="18.46"/>
    <n v="4"/>
    <n v="6.8"/>
    <n v="6.83"/>
    <n v="43"/>
    <s v="Action"/>
    <n v="1"/>
    <n v="1"/>
    <n v="0"/>
  </r>
  <r>
    <s v="U00421"/>
    <x v="9"/>
    <n v="56"/>
    <s v="Male"/>
    <x v="1"/>
    <x v="2"/>
    <n v="13.72"/>
    <n v="4"/>
    <n v="1.4"/>
    <n v="19.8"/>
    <n v="81"/>
    <s v="Comedy"/>
    <n v="4"/>
    <n v="0"/>
    <n v="1"/>
  </r>
  <r>
    <s v="U00422"/>
    <x v="6"/>
    <n v="30"/>
    <s v="Female"/>
    <x v="0"/>
    <x v="0"/>
    <n v="10.130000000000001"/>
    <n v="3"/>
    <n v="8.6999999999999993"/>
    <n v="18.89"/>
    <n v="92.2"/>
    <s v="Family"/>
    <n v="10"/>
    <n v="1"/>
    <n v="1"/>
  </r>
  <r>
    <s v="U00423"/>
    <x v="0"/>
    <n v="34"/>
    <s v="Female"/>
    <x v="2"/>
    <x v="0"/>
    <n v="6.19"/>
    <n v="1"/>
    <n v="9.6999999999999993"/>
    <n v="5.34"/>
    <n v="77.8"/>
    <s v="Family"/>
    <n v="5"/>
    <n v="1"/>
    <n v="0"/>
  </r>
  <r>
    <s v="U00424"/>
    <x v="9"/>
    <n v="49"/>
    <s v="Female"/>
    <x v="1"/>
    <x v="1"/>
    <n v="11.75"/>
    <n v="3"/>
    <n v="9.6"/>
    <n v="10.25"/>
    <n v="75.3"/>
    <s v="Action"/>
    <n v="6"/>
    <n v="1"/>
    <n v="0"/>
  </r>
  <r>
    <s v="U00425"/>
    <x v="8"/>
    <n v="26"/>
    <s v="Male"/>
    <x v="1"/>
    <x v="1"/>
    <n v="14.2"/>
    <n v="5"/>
    <n v="3"/>
    <n v="7.17"/>
    <n v="27.3"/>
    <s v="Action"/>
    <n v="5"/>
    <n v="4"/>
    <n v="0"/>
  </r>
  <r>
    <s v="U00426"/>
    <x v="8"/>
    <n v="57"/>
    <s v="Female"/>
    <x v="2"/>
    <x v="2"/>
    <n v="18.739999999999998"/>
    <n v="2"/>
    <n v="3"/>
    <n v="3.51"/>
    <n v="85.1"/>
    <s v="Thriller"/>
    <n v="3"/>
    <n v="2"/>
    <n v="0"/>
  </r>
  <r>
    <s v="U00427"/>
    <x v="0"/>
    <n v="37"/>
    <s v="Female"/>
    <x v="0"/>
    <x v="4"/>
    <n v="17.920000000000002"/>
    <n v="5"/>
    <n v="4.3"/>
    <n v="6.81"/>
    <n v="13.7"/>
    <s v="Action"/>
    <n v="3"/>
    <n v="2"/>
    <n v="1"/>
  </r>
  <r>
    <s v="U00428"/>
    <x v="7"/>
    <n v="43"/>
    <s v="Female"/>
    <x v="2"/>
    <x v="1"/>
    <n v="23.95"/>
    <n v="1"/>
    <n v="3.8"/>
    <n v="7.43"/>
    <n v="78.2"/>
    <s v="Action"/>
    <n v="3"/>
    <n v="1"/>
    <n v="0"/>
  </r>
  <r>
    <s v="U00429"/>
    <x v="6"/>
    <n v="44"/>
    <s v="Female"/>
    <x v="1"/>
    <x v="2"/>
    <n v="7.01"/>
    <n v="2"/>
    <n v="3.8"/>
    <n v="6.65"/>
    <n v="29"/>
    <s v="Action"/>
    <n v="6"/>
    <n v="1"/>
    <n v="1"/>
  </r>
  <r>
    <s v="U00430"/>
    <x v="11"/>
    <n v="38"/>
    <s v="Female"/>
    <x v="1"/>
    <x v="4"/>
    <n v="11.73"/>
    <n v="5"/>
    <n v="6.4"/>
    <n v="5"/>
    <n v="53.9"/>
    <s v="Comedy"/>
    <n v="4"/>
    <n v="2"/>
    <n v="0"/>
  </r>
  <r>
    <s v="U00431"/>
    <x v="5"/>
    <n v="35"/>
    <s v="Male"/>
    <x v="0"/>
    <x v="0"/>
    <n v="14.63"/>
    <n v="1"/>
    <n v="8.3000000000000007"/>
    <n v="14.58"/>
    <n v="72.599999999999994"/>
    <s v="Thriller"/>
    <n v="4"/>
    <n v="3"/>
    <n v="0"/>
  </r>
  <r>
    <s v="U00432"/>
    <x v="7"/>
    <n v="30"/>
    <s v="Male"/>
    <x v="2"/>
    <x v="1"/>
    <n v="18.41"/>
    <n v="5"/>
    <n v="9.4"/>
    <n v="10.1"/>
    <n v="78.3"/>
    <s v="Action"/>
    <n v="3"/>
    <n v="4"/>
    <n v="0"/>
  </r>
  <r>
    <s v="U00433"/>
    <x v="5"/>
    <n v="33"/>
    <s v="Male"/>
    <x v="2"/>
    <x v="2"/>
    <n v="14.91"/>
    <n v="2"/>
    <n v="1.6"/>
    <n v="22.98"/>
    <n v="89.9"/>
    <s v="Action"/>
    <n v="4"/>
    <n v="4"/>
    <n v="0"/>
  </r>
  <r>
    <s v="U00434"/>
    <x v="5"/>
    <n v="26"/>
    <s v="Male"/>
    <x v="0"/>
    <x v="0"/>
    <n v="23.26"/>
    <n v="2"/>
    <n v="3.5"/>
    <n v="7.12"/>
    <n v="35.4"/>
    <s v="Family"/>
    <n v="8"/>
    <n v="3"/>
    <n v="0"/>
  </r>
  <r>
    <s v="U00435"/>
    <x v="7"/>
    <n v="29"/>
    <s v="Female"/>
    <x v="1"/>
    <x v="3"/>
    <n v="17.170000000000002"/>
    <n v="5"/>
    <n v="3.3"/>
    <n v="16.260000000000002"/>
    <n v="30.2"/>
    <s v="Comedy"/>
    <n v="3"/>
    <n v="1"/>
    <n v="1"/>
  </r>
  <r>
    <s v="U00436"/>
    <x v="10"/>
    <n v="61"/>
    <s v="Male"/>
    <x v="2"/>
    <x v="0"/>
    <n v="5.79"/>
    <n v="3"/>
    <n v="4.2"/>
    <n v="22.81"/>
    <n v="99.7"/>
    <s v="Action"/>
    <n v="10"/>
    <n v="2"/>
    <n v="0"/>
  </r>
  <r>
    <s v="U00437"/>
    <x v="1"/>
    <n v="55"/>
    <s v="Male"/>
    <x v="1"/>
    <x v="2"/>
    <n v="7.27"/>
    <n v="5"/>
    <n v="4.8"/>
    <n v="4.04"/>
    <n v="28.7"/>
    <s v="Comedy"/>
    <n v="3"/>
    <n v="4"/>
    <n v="0"/>
  </r>
  <r>
    <s v="U00438"/>
    <x v="5"/>
    <n v="36"/>
    <s v="Male"/>
    <x v="2"/>
    <x v="4"/>
    <n v="20.07"/>
    <n v="5"/>
    <n v="4.5"/>
    <n v="14.36"/>
    <n v="69.900000000000006"/>
    <s v="Thriller"/>
    <n v="6"/>
    <n v="3"/>
    <n v="0"/>
  </r>
  <r>
    <s v="U00439"/>
    <x v="7"/>
    <n v="24"/>
    <s v="Female"/>
    <x v="1"/>
    <x v="3"/>
    <n v="19.32"/>
    <n v="5"/>
    <n v="9.6"/>
    <n v="12.91"/>
    <n v="95.7"/>
    <s v="Thriller"/>
    <n v="1"/>
    <n v="3"/>
    <n v="0"/>
  </r>
  <r>
    <s v="U00440"/>
    <x v="7"/>
    <n v="52"/>
    <s v="Male"/>
    <x v="2"/>
    <x v="3"/>
    <n v="8.07"/>
    <n v="3"/>
    <n v="4.9000000000000004"/>
    <n v="23.43"/>
    <n v="90.7"/>
    <s v="Drama"/>
    <n v="10"/>
    <n v="0"/>
    <n v="0"/>
  </r>
  <r>
    <s v="U00441"/>
    <x v="2"/>
    <n v="65"/>
    <s v="Female"/>
    <x v="1"/>
    <x v="3"/>
    <n v="6.18"/>
    <n v="4"/>
    <n v="6"/>
    <n v="17.600000000000001"/>
    <n v="49.9"/>
    <s v="Family"/>
    <n v="6"/>
    <n v="3"/>
    <n v="0"/>
  </r>
  <r>
    <s v="U00442"/>
    <x v="9"/>
    <n v="35"/>
    <s v="Female"/>
    <x v="0"/>
    <x v="1"/>
    <n v="16.57"/>
    <n v="2"/>
    <n v="7.7"/>
    <n v="10.68"/>
    <n v="67.400000000000006"/>
    <s v="Drama"/>
    <n v="11"/>
    <n v="0"/>
    <n v="0"/>
  </r>
  <r>
    <s v="U00443"/>
    <x v="4"/>
    <n v="33"/>
    <s v="Female"/>
    <x v="1"/>
    <x v="2"/>
    <n v="17.71"/>
    <n v="1"/>
    <n v="7.5"/>
    <n v="18.649999999999999"/>
    <n v="57.6"/>
    <s v="Comedy"/>
    <n v="9"/>
    <n v="0"/>
    <n v="0"/>
  </r>
  <r>
    <s v="U00444"/>
    <x v="10"/>
    <n v="56"/>
    <s v="Male"/>
    <x v="2"/>
    <x v="3"/>
    <n v="7.71"/>
    <n v="2"/>
    <n v="6.2"/>
    <n v="15.82"/>
    <n v="41.2"/>
    <s v="Family"/>
    <n v="3"/>
    <n v="4"/>
    <n v="0"/>
  </r>
  <r>
    <s v="U00445"/>
    <x v="3"/>
    <n v="21"/>
    <s v="Female"/>
    <x v="1"/>
    <x v="0"/>
    <n v="14.47"/>
    <n v="2"/>
    <n v="8.6999999999999993"/>
    <n v="10.64"/>
    <n v="23"/>
    <s v="Action"/>
    <n v="2"/>
    <n v="1"/>
    <n v="1"/>
  </r>
  <r>
    <s v="U00446"/>
    <x v="4"/>
    <n v="42"/>
    <s v="Male"/>
    <x v="1"/>
    <x v="4"/>
    <n v="11.12"/>
    <n v="4"/>
    <n v="6.6"/>
    <n v="20.28"/>
    <n v="82.3"/>
    <s v="Family"/>
    <n v="3"/>
    <n v="1"/>
    <n v="0"/>
  </r>
  <r>
    <s v="U00447"/>
    <x v="9"/>
    <n v="49"/>
    <s v="Male"/>
    <x v="1"/>
    <x v="2"/>
    <n v="23.63"/>
    <n v="2"/>
    <n v="8.9"/>
    <n v="17.7"/>
    <n v="18.100000000000001"/>
    <s v="Family"/>
    <n v="3"/>
    <n v="3"/>
    <n v="0"/>
  </r>
  <r>
    <s v="U00448"/>
    <x v="9"/>
    <n v="57"/>
    <s v="Male"/>
    <x v="1"/>
    <x v="0"/>
    <n v="9.3800000000000008"/>
    <n v="2"/>
    <n v="3.7"/>
    <n v="3.12"/>
    <n v="64.900000000000006"/>
    <s v="Thriller"/>
    <n v="2"/>
    <n v="2"/>
    <n v="0"/>
  </r>
  <r>
    <s v="U00449"/>
    <x v="9"/>
    <n v="30"/>
    <s v="Female"/>
    <x v="2"/>
    <x v="1"/>
    <n v="19.670000000000002"/>
    <n v="3"/>
    <n v="2.2000000000000002"/>
    <n v="22.03"/>
    <n v="63.5"/>
    <s v="Drama"/>
    <n v="11"/>
    <n v="2"/>
    <n v="0"/>
  </r>
  <r>
    <s v="U00450"/>
    <x v="4"/>
    <n v="62"/>
    <s v="Female"/>
    <x v="2"/>
    <x v="3"/>
    <n v="15.36"/>
    <n v="3"/>
    <n v="8.4"/>
    <n v="11.74"/>
    <n v="40.1"/>
    <s v="Thriller"/>
    <n v="4"/>
    <n v="0"/>
    <n v="0"/>
  </r>
  <r>
    <s v="U00451"/>
    <x v="0"/>
    <n v="34"/>
    <s v="Male"/>
    <x v="0"/>
    <x v="0"/>
    <n v="5.23"/>
    <n v="3"/>
    <n v="4.4000000000000004"/>
    <n v="17.2"/>
    <n v="22.2"/>
    <s v="Thriller"/>
    <n v="8"/>
    <n v="3"/>
    <n v="0"/>
  </r>
  <r>
    <s v="U00452"/>
    <x v="1"/>
    <n v="66"/>
    <s v="Female"/>
    <x v="2"/>
    <x v="2"/>
    <n v="15.34"/>
    <n v="3"/>
    <n v="6.9"/>
    <n v="11.73"/>
    <n v="82"/>
    <s v="Drama"/>
    <n v="7"/>
    <n v="3"/>
    <n v="0"/>
  </r>
  <r>
    <s v="U00453"/>
    <x v="7"/>
    <n v="54"/>
    <s v="Female"/>
    <x v="2"/>
    <x v="0"/>
    <n v="6.99"/>
    <n v="3"/>
    <n v="7.6"/>
    <n v="22.39"/>
    <n v="51.6"/>
    <s v="Thriller"/>
    <n v="10"/>
    <n v="1"/>
    <n v="1"/>
  </r>
  <r>
    <s v="U00454"/>
    <x v="1"/>
    <n v="23"/>
    <s v="Female"/>
    <x v="2"/>
    <x v="1"/>
    <n v="18.18"/>
    <n v="1"/>
    <n v="3.9"/>
    <n v="17.32"/>
    <n v="75.3"/>
    <s v="Family"/>
    <n v="9"/>
    <n v="2"/>
    <n v="0"/>
  </r>
  <r>
    <s v="U00455"/>
    <x v="6"/>
    <n v="36"/>
    <s v="Male"/>
    <x v="1"/>
    <x v="4"/>
    <n v="16.309999999999999"/>
    <n v="4"/>
    <n v="5.5"/>
    <n v="15.75"/>
    <n v="11.5"/>
    <s v="Comedy"/>
    <n v="8"/>
    <n v="4"/>
    <n v="0"/>
  </r>
  <r>
    <s v="U00456"/>
    <x v="0"/>
    <n v="30"/>
    <s v="Female"/>
    <x v="2"/>
    <x v="3"/>
    <n v="5.21"/>
    <n v="5"/>
    <n v="9.1"/>
    <n v="24.57"/>
    <n v="16.7"/>
    <s v="Action"/>
    <n v="7"/>
    <n v="3"/>
    <n v="1"/>
  </r>
  <r>
    <s v="U00457"/>
    <x v="3"/>
    <n v="43"/>
    <s v="Female"/>
    <x v="0"/>
    <x v="2"/>
    <n v="9.09"/>
    <n v="3"/>
    <n v="8.9"/>
    <n v="9.17"/>
    <n v="25.8"/>
    <s v="Action"/>
    <n v="6"/>
    <n v="3"/>
    <n v="0"/>
  </r>
  <r>
    <s v="U00458"/>
    <x v="1"/>
    <n v="31"/>
    <s v="Male"/>
    <x v="1"/>
    <x v="3"/>
    <n v="20.52"/>
    <n v="4"/>
    <n v="7.7"/>
    <n v="4.4400000000000004"/>
    <n v="20.2"/>
    <s v="Thriller"/>
    <n v="3"/>
    <n v="1"/>
    <n v="0"/>
  </r>
  <r>
    <s v="U00459"/>
    <x v="8"/>
    <n v="48"/>
    <s v="Female"/>
    <x v="2"/>
    <x v="3"/>
    <n v="10.52"/>
    <n v="5"/>
    <n v="7.9"/>
    <n v="14.35"/>
    <n v="27.3"/>
    <s v="Drama"/>
    <n v="10"/>
    <n v="4"/>
    <n v="1"/>
  </r>
  <r>
    <s v="U00460"/>
    <x v="9"/>
    <n v="21"/>
    <s v="Male"/>
    <x v="0"/>
    <x v="3"/>
    <n v="14.99"/>
    <n v="2"/>
    <n v="9.1"/>
    <n v="12.33"/>
    <n v="71.8"/>
    <s v="Family"/>
    <n v="4"/>
    <n v="4"/>
    <n v="0"/>
  </r>
  <r>
    <s v="U00461"/>
    <x v="5"/>
    <n v="56"/>
    <s v="Female"/>
    <x v="0"/>
    <x v="0"/>
    <n v="11.24"/>
    <n v="2"/>
    <n v="7.6"/>
    <n v="12.99"/>
    <n v="14.2"/>
    <s v="Thriller"/>
    <n v="8"/>
    <n v="4"/>
    <n v="1"/>
  </r>
  <r>
    <s v="U00462"/>
    <x v="6"/>
    <n v="25"/>
    <s v="Female"/>
    <x v="2"/>
    <x v="0"/>
    <n v="23.43"/>
    <n v="4"/>
    <n v="4.0999999999999996"/>
    <n v="16.64"/>
    <n v="13.4"/>
    <s v="Family"/>
    <n v="2"/>
    <n v="4"/>
    <n v="1"/>
  </r>
  <r>
    <s v="U00463"/>
    <x v="10"/>
    <n v="42"/>
    <s v="Female"/>
    <x v="2"/>
    <x v="4"/>
    <n v="15.73"/>
    <n v="1"/>
    <n v="2.1"/>
    <n v="16.53"/>
    <n v="12.8"/>
    <s v="Family"/>
    <n v="6"/>
    <n v="2"/>
    <n v="0"/>
  </r>
  <r>
    <s v="U00464"/>
    <x v="3"/>
    <n v="30"/>
    <s v="Female"/>
    <x v="0"/>
    <x v="1"/>
    <n v="18.920000000000002"/>
    <n v="1"/>
    <n v="4.8"/>
    <n v="11.63"/>
    <n v="72.8"/>
    <s v="Action"/>
    <n v="1"/>
    <n v="0"/>
    <n v="0"/>
  </r>
  <r>
    <s v="U00465"/>
    <x v="6"/>
    <n v="49"/>
    <s v="Female"/>
    <x v="2"/>
    <x v="2"/>
    <n v="6.67"/>
    <n v="4"/>
    <n v="1.8"/>
    <n v="21.98"/>
    <n v="58.3"/>
    <s v="Comedy"/>
    <n v="7"/>
    <n v="4"/>
    <n v="1"/>
  </r>
  <r>
    <s v="U00466"/>
    <x v="9"/>
    <n v="55"/>
    <s v="Female"/>
    <x v="1"/>
    <x v="0"/>
    <n v="5.81"/>
    <n v="1"/>
    <n v="2"/>
    <n v="17.329999999999998"/>
    <n v="43.3"/>
    <s v="Comedy"/>
    <n v="4"/>
    <n v="0"/>
    <n v="0"/>
  </r>
  <r>
    <s v="U00467"/>
    <x v="5"/>
    <n v="55"/>
    <s v="Male"/>
    <x v="1"/>
    <x v="3"/>
    <n v="10.18"/>
    <n v="1"/>
    <n v="9.6"/>
    <n v="22.58"/>
    <n v="70.8"/>
    <s v="Drama"/>
    <n v="1"/>
    <n v="0"/>
    <n v="0"/>
  </r>
  <r>
    <s v="U00468"/>
    <x v="0"/>
    <n v="45"/>
    <s v="Female"/>
    <x v="2"/>
    <x v="1"/>
    <n v="11.18"/>
    <n v="2"/>
    <n v="7.1"/>
    <n v="23.09"/>
    <n v="59.8"/>
    <s v="Comedy"/>
    <n v="5"/>
    <n v="1"/>
    <n v="0"/>
  </r>
  <r>
    <s v="U00469"/>
    <x v="5"/>
    <n v="47"/>
    <s v="Female"/>
    <x v="1"/>
    <x v="2"/>
    <n v="18.75"/>
    <n v="1"/>
    <n v="8.6999999999999993"/>
    <n v="6.68"/>
    <n v="10.7"/>
    <s v="Thriller"/>
    <n v="5"/>
    <n v="4"/>
    <n v="1"/>
  </r>
  <r>
    <s v="U00470"/>
    <x v="4"/>
    <n v="20"/>
    <s v="Female"/>
    <x v="0"/>
    <x v="2"/>
    <n v="16.38"/>
    <n v="1"/>
    <n v="6.8"/>
    <n v="17.97"/>
    <n v="85.5"/>
    <s v="Action"/>
    <n v="6"/>
    <n v="2"/>
    <n v="0"/>
  </r>
  <r>
    <s v="U00471"/>
    <x v="5"/>
    <n v="45"/>
    <s v="Male"/>
    <x v="0"/>
    <x v="2"/>
    <n v="12.49"/>
    <n v="4"/>
    <n v="4.8"/>
    <n v="9.99"/>
    <n v="41.5"/>
    <s v="Action"/>
    <n v="8"/>
    <n v="1"/>
    <n v="1"/>
  </r>
  <r>
    <s v="U00472"/>
    <x v="4"/>
    <n v="20"/>
    <s v="Male"/>
    <x v="1"/>
    <x v="2"/>
    <n v="18.079999999999998"/>
    <n v="1"/>
    <n v="1.2"/>
    <n v="21.4"/>
    <n v="46"/>
    <s v="Family"/>
    <n v="4"/>
    <n v="1"/>
    <n v="0"/>
  </r>
  <r>
    <s v="U00473"/>
    <x v="0"/>
    <n v="62"/>
    <s v="Male"/>
    <x v="1"/>
    <x v="4"/>
    <n v="8.27"/>
    <n v="3"/>
    <n v="9.6"/>
    <n v="19.12"/>
    <n v="80.400000000000006"/>
    <s v="Thriller"/>
    <n v="7"/>
    <n v="0"/>
    <n v="1"/>
  </r>
  <r>
    <s v="U00474"/>
    <x v="11"/>
    <n v="51"/>
    <s v="Female"/>
    <x v="2"/>
    <x v="2"/>
    <n v="6.27"/>
    <n v="3"/>
    <n v="1.6"/>
    <n v="7.37"/>
    <n v="26.8"/>
    <s v="Thriller"/>
    <n v="11"/>
    <n v="3"/>
    <n v="1"/>
  </r>
  <r>
    <s v="U00475"/>
    <x v="9"/>
    <n v="33"/>
    <s v="Female"/>
    <x v="2"/>
    <x v="1"/>
    <n v="22.09"/>
    <n v="4"/>
    <n v="6.5"/>
    <n v="23.65"/>
    <n v="10.9"/>
    <s v="Family"/>
    <n v="4"/>
    <n v="2"/>
    <n v="0"/>
  </r>
  <r>
    <s v="U00476"/>
    <x v="4"/>
    <n v="39"/>
    <s v="Male"/>
    <x v="1"/>
    <x v="0"/>
    <n v="16.28"/>
    <n v="3"/>
    <n v="1.9"/>
    <n v="18.04"/>
    <n v="91.8"/>
    <s v="Family"/>
    <n v="2"/>
    <n v="4"/>
    <n v="1"/>
  </r>
  <r>
    <s v="U00477"/>
    <x v="10"/>
    <n v="49"/>
    <s v="Male"/>
    <x v="2"/>
    <x v="1"/>
    <n v="17.98"/>
    <n v="2"/>
    <n v="3.6"/>
    <n v="23.87"/>
    <n v="55.5"/>
    <s v="Action"/>
    <n v="8"/>
    <n v="4"/>
    <n v="0"/>
  </r>
  <r>
    <s v="U00478"/>
    <x v="5"/>
    <n v="55"/>
    <s v="Male"/>
    <x v="0"/>
    <x v="3"/>
    <n v="11.14"/>
    <n v="4"/>
    <n v="2.7"/>
    <n v="7.44"/>
    <n v="41.5"/>
    <s v="Thriller"/>
    <n v="5"/>
    <n v="2"/>
    <n v="1"/>
  </r>
  <r>
    <s v="U00479"/>
    <x v="5"/>
    <n v="25"/>
    <s v="Female"/>
    <x v="0"/>
    <x v="4"/>
    <n v="12.44"/>
    <n v="1"/>
    <n v="6"/>
    <n v="22.13"/>
    <n v="83.7"/>
    <s v="Comedy"/>
    <n v="10"/>
    <n v="4"/>
    <n v="1"/>
  </r>
  <r>
    <s v="U00480"/>
    <x v="10"/>
    <n v="25"/>
    <s v="Male"/>
    <x v="2"/>
    <x v="4"/>
    <n v="6.65"/>
    <n v="3"/>
    <n v="9"/>
    <n v="17.7"/>
    <n v="12.4"/>
    <s v="Comedy"/>
    <n v="4"/>
    <n v="3"/>
    <n v="0"/>
  </r>
  <r>
    <s v="U00481"/>
    <x v="8"/>
    <n v="23"/>
    <s v="Female"/>
    <x v="0"/>
    <x v="3"/>
    <n v="22.14"/>
    <n v="2"/>
    <n v="6.7"/>
    <n v="15.15"/>
    <n v="28.2"/>
    <s v="Action"/>
    <n v="2"/>
    <n v="3"/>
    <n v="0"/>
  </r>
  <r>
    <s v="U00482"/>
    <x v="7"/>
    <n v="31"/>
    <s v="Female"/>
    <x v="0"/>
    <x v="1"/>
    <n v="16.850000000000001"/>
    <n v="4"/>
    <n v="7"/>
    <n v="21.05"/>
    <n v="24"/>
    <s v="Comedy"/>
    <n v="7"/>
    <n v="4"/>
    <n v="0"/>
  </r>
  <r>
    <s v="U00483"/>
    <x v="11"/>
    <n v="49"/>
    <s v="Female"/>
    <x v="1"/>
    <x v="1"/>
    <n v="6.67"/>
    <n v="4"/>
    <n v="9.1999999999999993"/>
    <n v="16.920000000000002"/>
    <n v="76.400000000000006"/>
    <s v="Comedy"/>
    <n v="5"/>
    <n v="1"/>
    <n v="0"/>
  </r>
  <r>
    <s v="U00484"/>
    <x v="3"/>
    <n v="52"/>
    <s v="Male"/>
    <x v="1"/>
    <x v="3"/>
    <n v="21.09"/>
    <n v="1"/>
    <n v="7.7"/>
    <n v="17.73"/>
    <n v="38.1"/>
    <s v="Thriller"/>
    <n v="9"/>
    <n v="4"/>
    <n v="0"/>
  </r>
  <r>
    <s v="U00485"/>
    <x v="4"/>
    <n v="27"/>
    <s v="Female"/>
    <x v="2"/>
    <x v="2"/>
    <n v="13.88"/>
    <n v="5"/>
    <n v="8.8000000000000007"/>
    <n v="8.58"/>
    <n v="79.599999999999994"/>
    <s v="Thriller"/>
    <n v="7"/>
    <n v="4"/>
    <n v="0"/>
  </r>
  <r>
    <s v="U00486"/>
    <x v="10"/>
    <n v="20"/>
    <s v="Male"/>
    <x v="0"/>
    <x v="2"/>
    <n v="20.3"/>
    <n v="3"/>
    <n v="4.7"/>
    <n v="20.98"/>
    <n v="13.7"/>
    <s v="Drama"/>
    <n v="9"/>
    <n v="2"/>
    <n v="0"/>
  </r>
  <r>
    <s v="U00487"/>
    <x v="0"/>
    <n v="29"/>
    <s v="Male"/>
    <x v="0"/>
    <x v="0"/>
    <n v="5.25"/>
    <n v="2"/>
    <n v="8.8000000000000007"/>
    <n v="17.309999999999999"/>
    <n v="64.7"/>
    <s v="Thriller"/>
    <n v="10"/>
    <n v="3"/>
    <n v="0"/>
  </r>
  <r>
    <s v="U00488"/>
    <x v="4"/>
    <n v="66"/>
    <s v="Male"/>
    <x v="1"/>
    <x v="1"/>
    <n v="5.57"/>
    <n v="4"/>
    <n v="6.8"/>
    <n v="21.58"/>
    <n v="38.6"/>
    <s v="Drama"/>
    <n v="10"/>
    <n v="1"/>
    <n v="1"/>
  </r>
  <r>
    <s v="U00489"/>
    <x v="7"/>
    <n v="48"/>
    <s v="Male"/>
    <x v="1"/>
    <x v="1"/>
    <n v="8.42"/>
    <n v="3"/>
    <n v="2.2000000000000002"/>
    <n v="10.73"/>
    <n v="26.8"/>
    <s v="Thriller"/>
    <n v="5"/>
    <n v="2"/>
    <n v="0"/>
  </r>
  <r>
    <s v="U00490"/>
    <x v="0"/>
    <n v="46"/>
    <s v="Female"/>
    <x v="1"/>
    <x v="3"/>
    <n v="9.2200000000000006"/>
    <n v="2"/>
    <n v="1.3"/>
    <n v="10.3"/>
    <n v="83.5"/>
    <s v="Family"/>
    <n v="11"/>
    <n v="2"/>
    <n v="0"/>
  </r>
  <r>
    <s v="U00491"/>
    <x v="6"/>
    <n v="22"/>
    <s v="Female"/>
    <x v="1"/>
    <x v="3"/>
    <n v="20.28"/>
    <n v="2"/>
    <n v="3.2"/>
    <n v="3.53"/>
    <n v="47.1"/>
    <s v="Thriller"/>
    <n v="6"/>
    <n v="1"/>
    <n v="0"/>
  </r>
  <r>
    <s v="U00492"/>
    <x v="9"/>
    <n v="69"/>
    <s v="Female"/>
    <x v="2"/>
    <x v="2"/>
    <n v="19.13"/>
    <n v="4"/>
    <n v="4.4000000000000004"/>
    <n v="19.91"/>
    <n v="61.4"/>
    <s v="Drama"/>
    <n v="8"/>
    <n v="1"/>
    <n v="0"/>
  </r>
  <r>
    <s v="U00493"/>
    <x v="5"/>
    <n v="42"/>
    <s v="Female"/>
    <x v="2"/>
    <x v="1"/>
    <n v="17.32"/>
    <n v="3"/>
    <n v="8.5"/>
    <n v="10.27"/>
    <n v="13"/>
    <s v="Comedy"/>
    <n v="10"/>
    <n v="2"/>
    <n v="1"/>
  </r>
  <r>
    <s v="U00494"/>
    <x v="6"/>
    <n v="58"/>
    <s v="Male"/>
    <x v="0"/>
    <x v="1"/>
    <n v="22.7"/>
    <n v="2"/>
    <n v="7.7"/>
    <n v="10.199999999999999"/>
    <n v="81.2"/>
    <s v="Thriller"/>
    <n v="6"/>
    <n v="4"/>
    <n v="0"/>
  </r>
  <r>
    <s v="U00495"/>
    <x v="4"/>
    <n v="48"/>
    <s v="Male"/>
    <x v="1"/>
    <x v="4"/>
    <n v="9.94"/>
    <n v="4"/>
    <n v="9.6"/>
    <n v="18.149999999999999"/>
    <n v="35.799999999999997"/>
    <s v="Comedy"/>
    <n v="11"/>
    <n v="1"/>
    <n v="0"/>
  </r>
  <r>
    <s v="U00496"/>
    <x v="7"/>
    <n v="38"/>
    <s v="Male"/>
    <x v="1"/>
    <x v="0"/>
    <n v="23.09"/>
    <n v="3"/>
    <n v="6"/>
    <n v="8.56"/>
    <n v="72.400000000000006"/>
    <s v="Comedy"/>
    <n v="4"/>
    <n v="0"/>
    <n v="0"/>
  </r>
  <r>
    <s v="U00497"/>
    <x v="11"/>
    <n v="37"/>
    <s v="Male"/>
    <x v="2"/>
    <x v="0"/>
    <n v="23.19"/>
    <n v="3"/>
    <n v="7.7"/>
    <n v="23"/>
    <n v="78.400000000000006"/>
    <s v="Thriller"/>
    <n v="2"/>
    <n v="1"/>
    <n v="0"/>
  </r>
  <r>
    <s v="U00498"/>
    <x v="9"/>
    <n v="56"/>
    <s v="Female"/>
    <x v="2"/>
    <x v="2"/>
    <n v="13.69"/>
    <n v="4"/>
    <n v="3.5"/>
    <n v="14.84"/>
    <n v="20.5"/>
    <s v="Thriller"/>
    <n v="6"/>
    <n v="2"/>
    <n v="0"/>
  </r>
  <r>
    <s v="U00499"/>
    <x v="4"/>
    <n v="39"/>
    <s v="Male"/>
    <x v="0"/>
    <x v="1"/>
    <n v="6.89"/>
    <n v="3"/>
    <n v="7.1"/>
    <n v="24.33"/>
    <n v="36.6"/>
    <s v="Family"/>
    <n v="9"/>
    <n v="0"/>
    <n v="0"/>
  </r>
  <r>
    <s v="U00500"/>
    <x v="10"/>
    <n v="21"/>
    <s v="Female"/>
    <x v="2"/>
    <x v="4"/>
    <n v="19.53"/>
    <n v="5"/>
    <n v="7.4"/>
    <n v="4.6900000000000004"/>
    <n v="75.099999999999994"/>
    <s v="Drama"/>
    <n v="8"/>
    <n v="2"/>
    <n v="0"/>
  </r>
  <r>
    <s v="U00501"/>
    <x v="1"/>
    <n v="30"/>
    <s v="Male"/>
    <x v="1"/>
    <x v="1"/>
    <n v="11.74"/>
    <n v="2"/>
    <n v="8.6"/>
    <n v="10.41"/>
    <n v="30.9"/>
    <s v="Thriller"/>
    <n v="3"/>
    <n v="3"/>
    <n v="0"/>
  </r>
  <r>
    <s v="U00502"/>
    <x v="4"/>
    <n v="62"/>
    <s v="Male"/>
    <x v="0"/>
    <x v="3"/>
    <n v="20.9"/>
    <n v="2"/>
    <n v="5.8"/>
    <n v="11.39"/>
    <n v="86.3"/>
    <s v="Comedy"/>
    <n v="5"/>
    <n v="3"/>
    <n v="1"/>
  </r>
  <r>
    <s v="U00503"/>
    <x v="9"/>
    <n v="59"/>
    <s v="Male"/>
    <x v="0"/>
    <x v="2"/>
    <n v="8.27"/>
    <n v="3"/>
    <n v="6.8"/>
    <n v="19.07"/>
    <n v="38.1"/>
    <s v="Comedy"/>
    <n v="6"/>
    <n v="4"/>
    <n v="0"/>
  </r>
  <r>
    <s v="U00504"/>
    <x v="5"/>
    <n v="67"/>
    <s v="Male"/>
    <x v="1"/>
    <x v="0"/>
    <n v="15.79"/>
    <n v="4"/>
    <n v="2.8"/>
    <n v="7.69"/>
    <n v="46.2"/>
    <s v="Thriller"/>
    <n v="7"/>
    <n v="1"/>
    <n v="0"/>
  </r>
  <r>
    <s v="U00505"/>
    <x v="5"/>
    <n v="66"/>
    <s v="Female"/>
    <x v="1"/>
    <x v="1"/>
    <n v="15.16"/>
    <n v="1"/>
    <n v="7.6"/>
    <n v="11.26"/>
    <n v="19"/>
    <s v="Drama"/>
    <n v="2"/>
    <n v="2"/>
    <n v="0"/>
  </r>
  <r>
    <s v="U00506"/>
    <x v="4"/>
    <n v="37"/>
    <s v="Female"/>
    <x v="0"/>
    <x v="2"/>
    <n v="7.01"/>
    <n v="3"/>
    <n v="8.5"/>
    <n v="23.03"/>
    <n v="23.3"/>
    <s v="Comedy"/>
    <n v="6"/>
    <n v="0"/>
    <n v="1"/>
  </r>
  <r>
    <s v="U00507"/>
    <x v="0"/>
    <n v="69"/>
    <s v="Female"/>
    <x v="1"/>
    <x v="0"/>
    <n v="12.27"/>
    <n v="1"/>
    <n v="6.3"/>
    <n v="5.52"/>
    <n v="34.799999999999997"/>
    <s v="Family"/>
    <n v="2"/>
    <n v="1"/>
    <n v="1"/>
  </r>
  <r>
    <s v="U00508"/>
    <x v="1"/>
    <n v="30"/>
    <s v="Female"/>
    <x v="0"/>
    <x v="1"/>
    <n v="6.7"/>
    <n v="3"/>
    <n v="2"/>
    <n v="19.399999999999999"/>
    <n v="14.4"/>
    <s v="Comedy"/>
    <n v="8"/>
    <n v="4"/>
    <n v="0"/>
  </r>
  <r>
    <s v="U00509"/>
    <x v="10"/>
    <n v="34"/>
    <s v="Male"/>
    <x v="1"/>
    <x v="4"/>
    <n v="14.29"/>
    <n v="1"/>
    <n v="3.8"/>
    <n v="18.45"/>
    <n v="27.4"/>
    <s v="Drama"/>
    <n v="7"/>
    <n v="2"/>
    <n v="1"/>
  </r>
  <r>
    <s v="U00510"/>
    <x v="4"/>
    <n v="53"/>
    <s v="Male"/>
    <x v="1"/>
    <x v="2"/>
    <n v="21.86"/>
    <n v="3"/>
    <n v="5.3"/>
    <n v="5.87"/>
    <n v="46.8"/>
    <s v="Action"/>
    <n v="2"/>
    <n v="2"/>
    <n v="1"/>
  </r>
  <r>
    <s v="U00511"/>
    <x v="0"/>
    <n v="50"/>
    <s v="Female"/>
    <x v="0"/>
    <x v="1"/>
    <n v="10.4"/>
    <n v="4"/>
    <n v="7.1"/>
    <n v="18.149999999999999"/>
    <n v="44.2"/>
    <s v="Family"/>
    <n v="4"/>
    <n v="3"/>
    <n v="0"/>
  </r>
  <r>
    <s v="U00512"/>
    <x v="5"/>
    <n v="18"/>
    <s v="Female"/>
    <x v="1"/>
    <x v="0"/>
    <n v="20.3"/>
    <n v="1"/>
    <n v="3.9"/>
    <n v="15.54"/>
    <n v="27.9"/>
    <s v="Family"/>
    <n v="7"/>
    <n v="4"/>
    <n v="0"/>
  </r>
  <r>
    <s v="U00513"/>
    <x v="5"/>
    <n v="32"/>
    <s v="Male"/>
    <x v="0"/>
    <x v="0"/>
    <n v="8.67"/>
    <n v="5"/>
    <n v="8.6"/>
    <n v="9.33"/>
    <n v="17.2"/>
    <s v="Action"/>
    <n v="9"/>
    <n v="2"/>
    <n v="0"/>
  </r>
  <r>
    <s v="U00514"/>
    <x v="7"/>
    <n v="30"/>
    <s v="Male"/>
    <x v="1"/>
    <x v="4"/>
    <n v="18.47"/>
    <n v="4"/>
    <n v="4.3"/>
    <n v="9.85"/>
    <n v="38.6"/>
    <s v="Family"/>
    <n v="3"/>
    <n v="3"/>
    <n v="0"/>
  </r>
  <r>
    <s v="U00515"/>
    <x v="4"/>
    <n v="34"/>
    <s v="Female"/>
    <x v="0"/>
    <x v="2"/>
    <n v="23.31"/>
    <n v="3"/>
    <n v="1.4"/>
    <n v="21.33"/>
    <n v="77.099999999999994"/>
    <s v="Family"/>
    <n v="10"/>
    <n v="3"/>
    <n v="0"/>
  </r>
  <r>
    <s v="U00516"/>
    <x v="1"/>
    <n v="41"/>
    <s v="Female"/>
    <x v="1"/>
    <x v="2"/>
    <n v="11.48"/>
    <n v="1"/>
    <n v="8.1"/>
    <n v="8.08"/>
    <n v="55.9"/>
    <s v="Family"/>
    <n v="10"/>
    <n v="0"/>
    <n v="0"/>
  </r>
  <r>
    <s v="U00517"/>
    <x v="8"/>
    <n v="25"/>
    <s v="Female"/>
    <x v="0"/>
    <x v="1"/>
    <n v="23.01"/>
    <n v="2"/>
    <n v="6.8"/>
    <n v="14.28"/>
    <n v="95.2"/>
    <s v="Comedy"/>
    <n v="8"/>
    <n v="4"/>
    <n v="1"/>
  </r>
  <r>
    <s v="U00518"/>
    <x v="1"/>
    <n v="67"/>
    <s v="Male"/>
    <x v="1"/>
    <x v="0"/>
    <n v="15.11"/>
    <n v="4"/>
    <n v="8.1999999999999993"/>
    <n v="17.989999999999998"/>
    <n v="22.6"/>
    <s v="Comedy"/>
    <n v="9"/>
    <n v="4"/>
    <n v="1"/>
  </r>
  <r>
    <s v="U00519"/>
    <x v="5"/>
    <n v="44"/>
    <s v="Female"/>
    <x v="2"/>
    <x v="0"/>
    <n v="11.34"/>
    <n v="1"/>
    <n v="4.0999999999999996"/>
    <n v="5.86"/>
    <n v="28.7"/>
    <s v="Thriller"/>
    <n v="8"/>
    <n v="2"/>
    <n v="0"/>
  </r>
  <r>
    <s v="U00520"/>
    <x v="5"/>
    <n v="62"/>
    <s v="Female"/>
    <x v="0"/>
    <x v="4"/>
    <n v="22.93"/>
    <n v="4"/>
    <n v="1.2"/>
    <n v="23.51"/>
    <n v="35.200000000000003"/>
    <s v="Thriller"/>
    <n v="4"/>
    <n v="0"/>
    <n v="0"/>
  </r>
  <r>
    <s v="U00521"/>
    <x v="6"/>
    <n v="40"/>
    <s v="Female"/>
    <x v="1"/>
    <x v="4"/>
    <n v="5.64"/>
    <n v="1"/>
    <n v="1.7"/>
    <n v="8.73"/>
    <n v="11.2"/>
    <s v="Comedy"/>
    <n v="4"/>
    <n v="1"/>
    <n v="0"/>
  </r>
  <r>
    <s v="U00522"/>
    <x v="5"/>
    <n v="63"/>
    <s v="Female"/>
    <x v="0"/>
    <x v="2"/>
    <n v="5.56"/>
    <n v="2"/>
    <n v="2"/>
    <n v="10.01"/>
    <n v="94.9"/>
    <s v="Family"/>
    <n v="11"/>
    <n v="2"/>
    <n v="0"/>
  </r>
  <r>
    <s v="U00523"/>
    <x v="10"/>
    <n v="25"/>
    <s v="Female"/>
    <x v="1"/>
    <x v="0"/>
    <n v="17"/>
    <n v="5"/>
    <n v="8.1999999999999993"/>
    <n v="17.649999999999999"/>
    <n v="50.1"/>
    <s v="Drama"/>
    <n v="7"/>
    <n v="3"/>
    <n v="1"/>
  </r>
  <r>
    <s v="U00524"/>
    <x v="3"/>
    <n v="25"/>
    <s v="Male"/>
    <x v="0"/>
    <x v="1"/>
    <n v="20.94"/>
    <n v="2"/>
    <n v="3.7"/>
    <n v="4.72"/>
    <n v="53.3"/>
    <s v="Action"/>
    <n v="4"/>
    <n v="1"/>
    <n v="0"/>
  </r>
  <r>
    <s v="U00525"/>
    <x v="4"/>
    <n v="43"/>
    <s v="Female"/>
    <x v="1"/>
    <x v="3"/>
    <n v="20.03"/>
    <n v="3"/>
    <n v="10"/>
    <n v="16.809999999999999"/>
    <n v="24.2"/>
    <s v="Thriller"/>
    <n v="11"/>
    <n v="1"/>
    <n v="0"/>
  </r>
  <r>
    <s v="U00526"/>
    <x v="1"/>
    <n v="64"/>
    <s v="Male"/>
    <x v="1"/>
    <x v="1"/>
    <n v="6.59"/>
    <n v="4"/>
    <n v="7.8"/>
    <n v="23.15"/>
    <n v="88.5"/>
    <s v="Family"/>
    <n v="10"/>
    <n v="2"/>
    <n v="0"/>
  </r>
  <r>
    <s v="U00527"/>
    <x v="3"/>
    <n v="30"/>
    <s v="Female"/>
    <x v="2"/>
    <x v="4"/>
    <n v="24.01"/>
    <n v="5"/>
    <n v="6.4"/>
    <n v="8.48"/>
    <n v="72.3"/>
    <s v="Thriller"/>
    <n v="10"/>
    <n v="0"/>
    <n v="0"/>
  </r>
  <r>
    <s v="U00528"/>
    <x v="0"/>
    <n v="56"/>
    <s v="Female"/>
    <x v="1"/>
    <x v="1"/>
    <n v="19.059999999999999"/>
    <n v="4"/>
    <n v="9.9"/>
    <n v="10.96"/>
    <n v="48.8"/>
    <s v="Drama"/>
    <n v="7"/>
    <n v="4"/>
    <n v="0"/>
  </r>
  <r>
    <s v="U00529"/>
    <x v="8"/>
    <n v="54"/>
    <s v="Female"/>
    <x v="1"/>
    <x v="0"/>
    <n v="23.98"/>
    <n v="1"/>
    <n v="3.8"/>
    <n v="8.11"/>
    <n v="89"/>
    <s v="Family"/>
    <n v="9"/>
    <n v="0"/>
    <n v="0"/>
  </r>
  <r>
    <s v="U00530"/>
    <x v="10"/>
    <n v="66"/>
    <s v="Male"/>
    <x v="1"/>
    <x v="2"/>
    <n v="11.58"/>
    <n v="3"/>
    <n v="2.5"/>
    <n v="21.01"/>
    <n v="91.5"/>
    <s v="Comedy"/>
    <n v="9"/>
    <n v="2"/>
    <n v="0"/>
  </r>
  <r>
    <s v="U00531"/>
    <x v="9"/>
    <n v="45"/>
    <s v="Male"/>
    <x v="2"/>
    <x v="3"/>
    <n v="18.88"/>
    <n v="3"/>
    <n v="7.6"/>
    <n v="6.69"/>
    <n v="14.5"/>
    <s v="Drama"/>
    <n v="9"/>
    <n v="4"/>
    <n v="1"/>
  </r>
  <r>
    <s v="U00532"/>
    <x v="2"/>
    <n v="42"/>
    <s v="Male"/>
    <x v="2"/>
    <x v="2"/>
    <n v="22.2"/>
    <n v="4"/>
    <n v="3.5"/>
    <n v="10.63"/>
    <n v="20.7"/>
    <s v="Thriller"/>
    <n v="10"/>
    <n v="1"/>
    <n v="0"/>
  </r>
  <r>
    <s v="U00533"/>
    <x v="1"/>
    <n v="33"/>
    <s v="Female"/>
    <x v="0"/>
    <x v="3"/>
    <n v="12.61"/>
    <n v="3"/>
    <n v="9.6"/>
    <n v="16.22"/>
    <n v="12.5"/>
    <s v="Family"/>
    <n v="10"/>
    <n v="3"/>
    <n v="1"/>
  </r>
  <r>
    <s v="U00534"/>
    <x v="3"/>
    <n v="19"/>
    <s v="Female"/>
    <x v="2"/>
    <x v="3"/>
    <n v="24.3"/>
    <n v="4"/>
    <n v="9.9"/>
    <n v="11.9"/>
    <n v="62.4"/>
    <s v="Family"/>
    <n v="6"/>
    <n v="0"/>
    <n v="0"/>
  </r>
  <r>
    <s v="U00535"/>
    <x v="9"/>
    <n v="35"/>
    <s v="Male"/>
    <x v="1"/>
    <x v="0"/>
    <n v="10.3"/>
    <n v="1"/>
    <n v="9.3000000000000007"/>
    <n v="4.4400000000000004"/>
    <n v="29.6"/>
    <s v="Action"/>
    <n v="1"/>
    <n v="4"/>
    <n v="1"/>
  </r>
  <r>
    <s v="U00536"/>
    <x v="8"/>
    <n v="34"/>
    <s v="Male"/>
    <x v="2"/>
    <x v="0"/>
    <n v="11.31"/>
    <n v="1"/>
    <n v="9.5"/>
    <n v="23.85"/>
    <n v="86"/>
    <s v="Action"/>
    <n v="8"/>
    <n v="0"/>
    <n v="0"/>
  </r>
  <r>
    <s v="U00537"/>
    <x v="6"/>
    <n v="47"/>
    <s v="Female"/>
    <x v="2"/>
    <x v="4"/>
    <n v="23.41"/>
    <n v="4"/>
    <n v="6.5"/>
    <n v="10.43"/>
    <n v="51.9"/>
    <s v="Action"/>
    <n v="6"/>
    <n v="4"/>
    <n v="0"/>
  </r>
  <r>
    <s v="U00538"/>
    <x v="9"/>
    <n v="56"/>
    <s v="Male"/>
    <x v="0"/>
    <x v="4"/>
    <n v="24.39"/>
    <n v="2"/>
    <n v="7.2"/>
    <n v="12.8"/>
    <n v="85.4"/>
    <s v="Comedy"/>
    <n v="7"/>
    <n v="3"/>
    <n v="0"/>
  </r>
  <r>
    <s v="U00539"/>
    <x v="10"/>
    <n v="30"/>
    <s v="Female"/>
    <x v="2"/>
    <x v="3"/>
    <n v="10.7"/>
    <n v="2"/>
    <n v="1.8"/>
    <n v="6.69"/>
    <n v="60"/>
    <s v="Family"/>
    <n v="2"/>
    <n v="2"/>
    <n v="0"/>
  </r>
  <r>
    <s v="U00540"/>
    <x v="10"/>
    <n v="49"/>
    <s v="Male"/>
    <x v="0"/>
    <x v="4"/>
    <n v="7.73"/>
    <n v="1"/>
    <n v="7.9"/>
    <n v="22.04"/>
    <n v="81.7"/>
    <s v="Family"/>
    <n v="3"/>
    <n v="2"/>
    <n v="1"/>
  </r>
  <r>
    <s v="U00541"/>
    <x v="6"/>
    <n v="67"/>
    <s v="Male"/>
    <x v="0"/>
    <x v="0"/>
    <n v="20.18"/>
    <n v="5"/>
    <n v="2.8"/>
    <n v="9.41"/>
    <n v="43.5"/>
    <s v="Thriller"/>
    <n v="6"/>
    <n v="4"/>
    <n v="0"/>
  </r>
  <r>
    <s v="U00542"/>
    <x v="2"/>
    <n v="46"/>
    <s v="Male"/>
    <x v="0"/>
    <x v="4"/>
    <n v="23.59"/>
    <n v="2"/>
    <n v="8.6"/>
    <n v="3.44"/>
    <n v="95.1"/>
    <s v="Comedy"/>
    <n v="3"/>
    <n v="4"/>
    <n v="0"/>
  </r>
  <r>
    <s v="U00543"/>
    <x v="4"/>
    <n v="63"/>
    <s v="Female"/>
    <x v="2"/>
    <x v="3"/>
    <n v="17.010000000000002"/>
    <n v="4"/>
    <n v="9.6999999999999993"/>
    <n v="9.9600000000000009"/>
    <n v="70"/>
    <s v="Action"/>
    <n v="5"/>
    <n v="2"/>
    <n v="1"/>
  </r>
  <r>
    <s v="U00544"/>
    <x v="9"/>
    <n v="47"/>
    <s v="Female"/>
    <x v="0"/>
    <x v="2"/>
    <n v="17.690000000000001"/>
    <n v="1"/>
    <n v="2.9"/>
    <n v="24.65"/>
    <n v="63.6"/>
    <s v="Family"/>
    <n v="4"/>
    <n v="1"/>
    <n v="0"/>
  </r>
  <r>
    <s v="U00545"/>
    <x v="6"/>
    <n v="35"/>
    <s v="Male"/>
    <x v="0"/>
    <x v="1"/>
    <n v="20.260000000000002"/>
    <n v="3"/>
    <n v="1.7"/>
    <n v="6.23"/>
    <n v="41.7"/>
    <s v="Action"/>
    <n v="5"/>
    <n v="1"/>
    <n v="1"/>
  </r>
  <r>
    <s v="U00546"/>
    <x v="10"/>
    <n v="30"/>
    <s v="Female"/>
    <x v="2"/>
    <x v="4"/>
    <n v="8.06"/>
    <n v="3"/>
    <n v="5.4"/>
    <n v="3.69"/>
    <n v="94.3"/>
    <s v="Drama"/>
    <n v="8"/>
    <n v="1"/>
    <n v="0"/>
  </r>
  <r>
    <s v="U00547"/>
    <x v="10"/>
    <n v="60"/>
    <s v="Female"/>
    <x v="0"/>
    <x v="0"/>
    <n v="24.47"/>
    <n v="2"/>
    <n v="8.1"/>
    <n v="15.72"/>
    <n v="40.4"/>
    <s v="Comedy"/>
    <n v="4"/>
    <n v="3"/>
    <n v="1"/>
  </r>
  <r>
    <s v="U00548"/>
    <x v="3"/>
    <n v="38"/>
    <s v="Female"/>
    <x v="0"/>
    <x v="2"/>
    <n v="12.29"/>
    <n v="5"/>
    <n v="7.9"/>
    <n v="11.18"/>
    <n v="85.2"/>
    <s v="Action"/>
    <n v="9"/>
    <n v="4"/>
    <n v="0"/>
  </r>
  <r>
    <s v="U00549"/>
    <x v="5"/>
    <n v="47"/>
    <s v="Female"/>
    <x v="0"/>
    <x v="0"/>
    <n v="17.559999999999999"/>
    <n v="2"/>
    <n v="7.3"/>
    <n v="20.49"/>
    <n v="46.4"/>
    <s v="Comedy"/>
    <n v="3"/>
    <n v="0"/>
    <n v="0"/>
  </r>
  <r>
    <s v="U00550"/>
    <x v="2"/>
    <n v="38"/>
    <s v="Male"/>
    <x v="1"/>
    <x v="4"/>
    <n v="14.37"/>
    <n v="5"/>
    <n v="8.4"/>
    <n v="19.100000000000001"/>
    <n v="79"/>
    <s v="Family"/>
    <n v="7"/>
    <n v="0"/>
    <n v="0"/>
  </r>
  <r>
    <s v="U00551"/>
    <x v="9"/>
    <n v="65"/>
    <s v="Female"/>
    <x v="1"/>
    <x v="3"/>
    <n v="14.36"/>
    <n v="2"/>
    <n v="2.6"/>
    <n v="7.08"/>
    <n v="92.1"/>
    <s v="Drama"/>
    <n v="7"/>
    <n v="4"/>
    <n v="1"/>
  </r>
  <r>
    <s v="U00552"/>
    <x v="9"/>
    <n v="34"/>
    <s v="Female"/>
    <x v="0"/>
    <x v="1"/>
    <n v="19.05"/>
    <n v="3"/>
    <n v="6.9"/>
    <n v="15.42"/>
    <n v="51.9"/>
    <s v="Thriller"/>
    <n v="1"/>
    <n v="2"/>
    <n v="0"/>
  </r>
  <r>
    <s v="U00553"/>
    <x v="8"/>
    <n v="57"/>
    <s v="Male"/>
    <x v="2"/>
    <x v="1"/>
    <n v="24.89"/>
    <n v="5"/>
    <n v="6.5"/>
    <n v="3.71"/>
    <n v="57.4"/>
    <s v="Drama"/>
    <n v="3"/>
    <n v="4"/>
    <n v="0"/>
  </r>
  <r>
    <s v="U00554"/>
    <x v="6"/>
    <n v="36"/>
    <s v="Female"/>
    <x v="2"/>
    <x v="2"/>
    <n v="18.18"/>
    <n v="3"/>
    <n v="2.4"/>
    <n v="12.67"/>
    <n v="39.700000000000003"/>
    <s v="Comedy"/>
    <n v="10"/>
    <n v="1"/>
    <n v="0"/>
  </r>
  <r>
    <s v="U00555"/>
    <x v="8"/>
    <n v="69"/>
    <s v="Female"/>
    <x v="1"/>
    <x v="1"/>
    <n v="20.88"/>
    <n v="4"/>
    <n v="4.7"/>
    <n v="18.71"/>
    <n v="14.9"/>
    <s v="Drama"/>
    <n v="1"/>
    <n v="1"/>
    <n v="0"/>
  </r>
  <r>
    <s v="U00556"/>
    <x v="6"/>
    <n v="32"/>
    <s v="Female"/>
    <x v="1"/>
    <x v="3"/>
    <n v="5.55"/>
    <n v="4"/>
    <n v="8.6999999999999993"/>
    <n v="12.13"/>
    <n v="68.7"/>
    <s v="Family"/>
    <n v="8"/>
    <n v="0"/>
    <n v="0"/>
  </r>
  <r>
    <s v="U00557"/>
    <x v="0"/>
    <n v="26"/>
    <s v="Male"/>
    <x v="1"/>
    <x v="0"/>
    <n v="21.21"/>
    <n v="1"/>
    <n v="9.6999999999999993"/>
    <n v="5.59"/>
    <n v="20.8"/>
    <s v="Comedy"/>
    <n v="10"/>
    <n v="4"/>
    <n v="1"/>
  </r>
  <r>
    <s v="U00558"/>
    <x v="10"/>
    <n v="69"/>
    <s v="Male"/>
    <x v="1"/>
    <x v="3"/>
    <n v="11"/>
    <n v="3"/>
    <n v="7"/>
    <n v="4.3499999999999996"/>
    <n v="41.9"/>
    <s v="Comedy"/>
    <n v="5"/>
    <n v="0"/>
    <n v="0"/>
  </r>
  <r>
    <s v="U00559"/>
    <x v="5"/>
    <n v="27"/>
    <s v="Female"/>
    <x v="0"/>
    <x v="2"/>
    <n v="7.53"/>
    <n v="3"/>
    <n v="9.3000000000000007"/>
    <n v="21.78"/>
    <n v="41.5"/>
    <s v="Family"/>
    <n v="4"/>
    <n v="2"/>
    <n v="0"/>
  </r>
  <r>
    <s v="U00560"/>
    <x v="3"/>
    <n v="61"/>
    <s v="Female"/>
    <x v="0"/>
    <x v="2"/>
    <n v="7.27"/>
    <n v="1"/>
    <n v="2.2000000000000002"/>
    <n v="22.61"/>
    <n v="23.6"/>
    <s v="Action"/>
    <n v="3"/>
    <n v="3"/>
    <n v="1"/>
  </r>
  <r>
    <s v="U00561"/>
    <x v="5"/>
    <n v="48"/>
    <s v="Male"/>
    <x v="2"/>
    <x v="1"/>
    <n v="18.600000000000001"/>
    <n v="4"/>
    <n v="9.8000000000000007"/>
    <n v="10.55"/>
    <n v="70"/>
    <s v="Thriller"/>
    <n v="7"/>
    <n v="3"/>
    <n v="0"/>
  </r>
  <r>
    <s v="U00562"/>
    <x v="5"/>
    <n v="40"/>
    <s v="Male"/>
    <x v="0"/>
    <x v="3"/>
    <n v="24.95"/>
    <n v="4"/>
    <n v="1.3"/>
    <n v="6.61"/>
    <n v="25.7"/>
    <s v="Drama"/>
    <n v="8"/>
    <n v="2"/>
    <n v="0"/>
  </r>
  <r>
    <s v="U00563"/>
    <x v="5"/>
    <n v="69"/>
    <s v="Male"/>
    <x v="1"/>
    <x v="0"/>
    <n v="18.32"/>
    <n v="5"/>
    <n v="5.7"/>
    <n v="24.53"/>
    <n v="80.099999999999994"/>
    <s v="Thriller"/>
    <n v="8"/>
    <n v="1"/>
    <n v="0"/>
  </r>
  <r>
    <s v="U00564"/>
    <x v="8"/>
    <n v="47"/>
    <s v="Female"/>
    <x v="2"/>
    <x v="3"/>
    <n v="10.25"/>
    <n v="5"/>
    <n v="3.6"/>
    <n v="15.01"/>
    <n v="32.4"/>
    <s v="Thriller"/>
    <n v="1"/>
    <n v="1"/>
    <n v="1"/>
  </r>
  <r>
    <s v="U00565"/>
    <x v="6"/>
    <n v="50"/>
    <s v="Female"/>
    <x v="1"/>
    <x v="0"/>
    <n v="9.07"/>
    <n v="4"/>
    <n v="8.3000000000000007"/>
    <n v="13.49"/>
    <n v="35.9"/>
    <s v="Family"/>
    <n v="7"/>
    <n v="1"/>
    <n v="0"/>
  </r>
  <r>
    <s v="U00566"/>
    <x v="11"/>
    <n v="69"/>
    <s v="Male"/>
    <x v="1"/>
    <x v="0"/>
    <n v="15.52"/>
    <n v="2"/>
    <n v="3"/>
    <n v="19.32"/>
    <n v="40.9"/>
    <s v="Action"/>
    <n v="5"/>
    <n v="0"/>
    <n v="0"/>
  </r>
  <r>
    <s v="U00567"/>
    <x v="0"/>
    <n v="26"/>
    <s v="Female"/>
    <x v="1"/>
    <x v="3"/>
    <n v="6.3"/>
    <n v="3"/>
    <n v="1.1000000000000001"/>
    <n v="6.72"/>
    <n v="23.7"/>
    <s v="Thriller"/>
    <n v="2"/>
    <n v="0"/>
    <n v="0"/>
  </r>
  <r>
    <s v="U00568"/>
    <x v="1"/>
    <n v="64"/>
    <s v="Female"/>
    <x v="0"/>
    <x v="4"/>
    <n v="12.99"/>
    <n v="5"/>
    <n v="4.7"/>
    <n v="15.76"/>
    <n v="49.1"/>
    <s v="Comedy"/>
    <n v="8"/>
    <n v="3"/>
    <n v="0"/>
  </r>
  <r>
    <s v="U00569"/>
    <x v="5"/>
    <n v="18"/>
    <s v="Female"/>
    <x v="2"/>
    <x v="3"/>
    <n v="18.32"/>
    <n v="2"/>
    <n v="1.6"/>
    <n v="22.58"/>
    <n v="17.2"/>
    <s v="Action"/>
    <n v="2"/>
    <n v="1"/>
    <n v="1"/>
  </r>
  <r>
    <s v="U00570"/>
    <x v="4"/>
    <n v="61"/>
    <s v="Female"/>
    <x v="1"/>
    <x v="0"/>
    <n v="24.35"/>
    <n v="5"/>
    <n v="3.6"/>
    <n v="3.51"/>
    <n v="48.4"/>
    <s v="Family"/>
    <n v="6"/>
    <n v="1"/>
    <n v="0"/>
  </r>
  <r>
    <s v="U00571"/>
    <x v="8"/>
    <n v="52"/>
    <s v="Female"/>
    <x v="2"/>
    <x v="2"/>
    <n v="13.51"/>
    <n v="1"/>
    <n v="6.8"/>
    <n v="17.8"/>
    <n v="40.6"/>
    <s v="Thriller"/>
    <n v="5"/>
    <n v="2"/>
    <n v="0"/>
  </r>
  <r>
    <s v="U00572"/>
    <x v="2"/>
    <n v="28"/>
    <s v="Female"/>
    <x v="2"/>
    <x v="2"/>
    <n v="9"/>
    <n v="3"/>
    <n v="3.7"/>
    <n v="15.13"/>
    <n v="40.4"/>
    <s v="Family"/>
    <n v="6"/>
    <n v="3"/>
    <n v="1"/>
  </r>
  <r>
    <s v="U00573"/>
    <x v="3"/>
    <n v="51"/>
    <s v="Female"/>
    <x v="2"/>
    <x v="1"/>
    <n v="21.35"/>
    <n v="5"/>
    <n v="3.2"/>
    <n v="23.92"/>
    <n v="69.5"/>
    <s v="Drama"/>
    <n v="11"/>
    <n v="0"/>
    <n v="0"/>
  </r>
  <r>
    <s v="U00574"/>
    <x v="1"/>
    <n v="33"/>
    <s v="Male"/>
    <x v="2"/>
    <x v="2"/>
    <n v="19.88"/>
    <n v="4"/>
    <n v="2.4"/>
    <n v="8.69"/>
    <n v="79.2"/>
    <s v="Family"/>
    <n v="10"/>
    <n v="3"/>
    <n v="0"/>
  </r>
  <r>
    <s v="U00575"/>
    <x v="11"/>
    <n v="26"/>
    <s v="Male"/>
    <x v="1"/>
    <x v="4"/>
    <n v="22.19"/>
    <n v="1"/>
    <n v="2.2000000000000002"/>
    <n v="21.9"/>
    <n v="42"/>
    <s v="Comedy"/>
    <n v="8"/>
    <n v="1"/>
    <n v="0"/>
  </r>
  <r>
    <s v="U00576"/>
    <x v="4"/>
    <n v="49"/>
    <s v="Male"/>
    <x v="1"/>
    <x v="0"/>
    <n v="9.2899999999999991"/>
    <n v="1"/>
    <n v="5.7"/>
    <n v="9.8000000000000007"/>
    <n v="33.6"/>
    <s v="Family"/>
    <n v="9"/>
    <n v="1"/>
    <n v="1"/>
  </r>
  <r>
    <s v="U00577"/>
    <x v="11"/>
    <n v="32"/>
    <s v="Male"/>
    <x v="1"/>
    <x v="3"/>
    <n v="13.1"/>
    <n v="4"/>
    <n v="7.1"/>
    <n v="12.46"/>
    <n v="54.5"/>
    <s v="Action"/>
    <n v="3"/>
    <n v="0"/>
    <n v="0"/>
  </r>
  <r>
    <s v="U00578"/>
    <x v="1"/>
    <n v="29"/>
    <s v="Male"/>
    <x v="1"/>
    <x v="3"/>
    <n v="24.63"/>
    <n v="1"/>
    <n v="5.0999999999999996"/>
    <n v="7.69"/>
    <n v="80.900000000000006"/>
    <s v="Drama"/>
    <n v="3"/>
    <n v="0"/>
    <n v="0"/>
  </r>
  <r>
    <s v="U00579"/>
    <x v="5"/>
    <n v="50"/>
    <s v="Male"/>
    <x v="2"/>
    <x v="4"/>
    <n v="8.16"/>
    <n v="3"/>
    <n v="2.1"/>
    <n v="22"/>
    <n v="68"/>
    <s v="Comedy"/>
    <n v="7"/>
    <n v="3"/>
    <n v="0"/>
  </r>
  <r>
    <s v="U00580"/>
    <x v="4"/>
    <n v="62"/>
    <s v="Male"/>
    <x v="0"/>
    <x v="2"/>
    <n v="18.43"/>
    <n v="5"/>
    <n v="6.8"/>
    <n v="7.3"/>
    <n v="13.4"/>
    <s v="Drama"/>
    <n v="3"/>
    <n v="4"/>
    <n v="1"/>
  </r>
  <r>
    <s v="U00581"/>
    <x v="11"/>
    <n v="31"/>
    <s v="Male"/>
    <x v="2"/>
    <x v="0"/>
    <n v="9.74"/>
    <n v="1"/>
    <n v="6"/>
    <n v="21.9"/>
    <n v="53.2"/>
    <s v="Comedy"/>
    <n v="11"/>
    <n v="1"/>
    <n v="1"/>
  </r>
  <r>
    <s v="U00582"/>
    <x v="3"/>
    <n v="25"/>
    <s v="Male"/>
    <x v="2"/>
    <x v="2"/>
    <n v="15"/>
    <n v="3"/>
    <n v="4.4000000000000004"/>
    <n v="13.02"/>
    <n v="99.2"/>
    <s v="Drama"/>
    <n v="10"/>
    <n v="1"/>
    <n v="0"/>
  </r>
  <r>
    <s v="U00583"/>
    <x v="6"/>
    <n v="25"/>
    <s v="Female"/>
    <x v="2"/>
    <x v="1"/>
    <n v="21.01"/>
    <n v="4"/>
    <n v="4"/>
    <n v="21.37"/>
    <n v="41.8"/>
    <s v="Thriller"/>
    <n v="5"/>
    <n v="4"/>
    <n v="0"/>
  </r>
  <r>
    <s v="U00584"/>
    <x v="10"/>
    <n v="44"/>
    <s v="Female"/>
    <x v="2"/>
    <x v="2"/>
    <n v="14.77"/>
    <n v="5"/>
    <n v="2.6"/>
    <n v="8.82"/>
    <n v="49.7"/>
    <s v="Family"/>
    <n v="10"/>
    <n v="3"/>
    <n v="1"/>
  </r>
  <r>
    <s v="U00585"/>
    <x v="6"/>
    <n v="29"/>
    <s v="Male"/>
    <x v="0"/>
    <x v="1"/>
    <n v="21.11"/>
    <n v="4"/>
    <n v="2.2999999999999998"/>
    <n v="5.92"/>
    <n v="35.9"/>
    <s v="Action"/>
    <n v="4"/>
    <n v="2"/>
    <n v="1"/>
  </r>
  <r>
    <s v="U00586"/>
    <x v="1"/>
    <n v="18"/>
    <s v="Female"/>
    <x v="0"/>
    <x v="3"/>
    <n v="13.53"/>
    <n v="5"/>
    <n v="4"/>
    <n v="15.21"/>
    <n v="54.8"/>
    <s v="Action"/>
    <n v="11"/>
    <n v="2"/>
    <n v="1"/>
  </r>
  <r>
    <s v="U00587"/>
    <x v="8"/>
    <n v="60"/>
    <s v="Female"/>
    <x v="0"/>
    <x v="0"/>
    <n v="24.99"/>
    <n v="1"/>
    <n v="1.4"/>
    <n v="14.21"/>
    <n v="24.5"/>
    <s v="Thriller"/>
    <n v="9"/>
    <n v="1"/>
    <n v="1"/>
  </r>
  <r>
    <s v="U00588"/>
    <x v="10"/>
    <n v="57"/>
    <s v="Male"/>
    <x v="0"/>
    <x v="1"/>
    <n v="13.72"/>
    <n v="1"/>
    <n v="4.9000000000000004"/>
    <n v="10.85"/>
    <n v="32.200000000000003"/>
    <s v="Drama"/>
    <n v="11"/>
    <n v="2"/>
    <n v="0"/>
  </r>
  <r>
    <s v="U00589"/>
    <x v="0"/>
    <n v="59"/>
    <s v="Male"/>
    <x v="1"/>
    <x v="2"/>
    <n v="7.99"/>
    <n v="5"/>
    <n v="6.4"/>
    <n v="17.579999999999998"/>
    <n v="74.099999999999994"/>
    <s v="Family"/>
    <n v="8"/>
    <n v="3"/>
    <n v="0"/>
  </r>
  <r>
    <s v="U00590"/>
    <x v="3"/>
    <n v="68"/>
    <s v="Male"/>
    <x v="2"/>
    <x v="2"/>
    <n v="13.04"/>
    <n v="3"/>
    <n v="9.5"/>
    <n v="5.09"/>
    <n v="22.4"/>
    <s v="Thriller"/>
    <n v="9"/>
    <n v="2"/>
    <n v="1"/>
  </r>
  <r>
    <s v="U00591"/>
    <x v="0"/>
    <n v="28"/>
    <s v="Female"/>
    <x v="2"/>
    <x v="3"/>
    <n v="19.850000000000001"/>
    <n v="3"/>
    <n v="6.6"/>
    <n v="16.68"/>
    <n v="93.4"/>
    <s v="Drama"/>
    <n v="6"/>
    <n v="0"/>
    <n v="1"/>
  </r>
  <r>
    <s v="U00592"/>
    <x v="4"/>
    <n v="56"/>
    <s v="Female"/>
    <x v="1"/>
    <x v="4"/>
    <n v="21.96"/>
    <n v="3"/>
    <n v="6.6"/>
    <n v="7.66"/>
    <n v="37.700000000000003"/>
    <s v="Family"/>
    <n v="2"/>
    <n v="3"/>
    <n v="1"/>
  </r>
  <r>
    <s v="U00593"/>
    <x v="9"/>
    <n v="60"/>
    <s v="Male"/>
    <x v="0"/>
    <x v="4"/>
    <n v="14.2"/>
    <n v="2"/>
    <n v="4.4000000000000004"/>
    <n v="5.84"/>
    <n v="61.8"/>
    <s v="Drama"/>
    <n v="8"/>
    <n v="4"/>
    <n v="0"/>
  </r>
  <r>
    <s v="U00594"/>
    <x v="10"/>
    <n v="48"/>
    <s v="Female"/>
    <x v="0"/>
    <x v="2"/>
    <n v="16.89"/>
    <n v="3"/>
    <n v="2.2000000000000002"/>
    <n v="23.01"/>
    <n v="39"/>
    <s v="Action"/>
    <n v="1"/>
    <n v="1"/>
    <n v="0"/>
  </r>
  <r>
    <s v="U00595"/>
    <x v="0"/>
    <n v="34"/>
    <s v="Female"/>
    <x v="0"/>
    <x v="4"/>
    <n v="21.9"/>
    <n v="1"/>
    <n v="5"/>
    <n v="13.12"/>
    <n v="53"/>
    <s v="Family"/>
    <n v="11"/>
    <n v="3"/>
    <n v="0"/>
  </r>
  <r>
    <s v="U00596"/>
    <x v="0"/>
    <n v="50"/>
    <s v="Female"/>
    <x v="1"/>
    <x v="0"/>
    <n v="21.27"/>
    <n v="2"/>
    <n v="6.4"/>
    <n v="19.8"/>
    <n v="91.3"/>
    <s v="Action"/>
    <n v="5"/>
    <n v="2"/>
    <n v="1"/>
  </r>
  <r>
    <s v="U00597"/>
    <x v="11"/>
    <n v="49"/>
    <s v="Male"/>
    <x v="1"/>
    <x v="4"/>
    <n v="18.149999999999999"/>
    <n v="3"/>
    <n v="7.5"/>
    <n v="4.96"/>
    <n v="16.2"/>
    <s v="Action"/>
    <n v="2"/>
    <n v="3"/>
    <n v="0"/>
  </r>
  <r>
    <s v="U00598"/>
    <x v="6"/>
    <n v="46"/>
    <s v="Female"/>
    <x v="0"/>
    <x v="0"/>
    <n v="21.3"/>
    <n v="1"/>
    <n v="8.4"/>
    <n v="4.26"/>
    <n v="87.1"/>
    <s v="Family"/>
    <n v="7"/>
    <n v="4"/>
    <n v="1"/>
  </r>
  <r>
    <s v="U00599"/>
    <x v="11"/>
    <n v="38"/>
    <s v="Female"/>
    <x v="1"/>
    <x v="2"/>
    <n v="16.52"/>
    <n v="2"/>
    <n v="3.3"/>
    <n v="13.89"/>
    <n v="60.2"/>
    <s v="Thriller"/>
    <n v="5"/>
    <n v="3"/>
    <n v="0"/>
  </r>
  <r>
    <s v="U00600"/>
    <x v="10"/>
    <n v="38"/>
    <s v="Female"/>
    <x v="0"/>
    <x v="2"/>
    <n v="5.09"/>
    <n v="1"/>
    <n v="3.2"/>
    <n v="9.94"/>
    <n v="69.900000000000006"/>
    <s v="Drama"/>
    <n v="10"/>
    <n v="4"/>
    <n v="0"/>
  </r>
  <r>
    <s v="U00601"/>
    <x v="10"/>
    <n v="57"/>
    <s v="Female"/>
    <x v="1"/>
    <x v="2"/>
    <n v="5.83"/>
    <n v="5"/>
    <n v="6.1"/>
    <n v="3.11"/>
    <n v="15"/>
    <s v="Family"/>
    <n v="3"/>
    <n v="4"/>
    <n v="0"/>
  </r>
  <r>
    <s v="U00602"/>
    <x v="1"/>
    <n v="40"/>
    <s v="Female"/>
    <x v="1"/>
    <x v="3"/>
    <n v="24.6"/>
    <n v="1"/>
    <n v="6.1"/>
    <n v="7.03"/>
    <n v="78.5"/>
    <s v="Action"/>
    <n v="7"/>
    <n v="3"/>
    <n v="0"/>
  </r>
  <r>
    <s v="U00603"/>
    <x v="11"/>
    <n v="23"/>
    <s v="Female"/>
    <x v="1"/>
    <x v="4"/>
    <n v="7.9"/>
    <n v="2"/>
    <n v="3"/>
    <n v="7.81"/>
    <n v="21.5"/>
    <s v="Drama"/>
    <n v="3"/>
    <n v="1"/>
    <n v="0"/>
  </r>
  <r>
    <s v="U00604"/>
    <x v="7"/>
    <n v="39"/>
    <s v="Female"/>
    <x v="1"/>
    <x v="1"/>
    <n v="13.09"/>
    <n v="3"/>
    <n v="6.3"/>
    <n v="9.35"/>
    <n v="96.8"/>
    <s v="Family"/>
    <n v="6"/>
    <n v="1"/>
    <n v="1"/>
  </r>
  <r>
    <s v="U00605"/>
    <x v="2"/>
    <n v="67"/>
    <s v="Male"/>
    <x v="2"/>
    <x v="1"/>
    <n v="23.68"/>
    <n v="2"/>
    <n v="4.0999999999999996"/>
    <n v="22.31"/>
    <n v="81.900000000000006"/>
    <s v="Thriller"/>
    <n v="4"/>
    <n v="2"/>
    <n v="0"/>
  </r>
  <r>
    <s v="U00606"/>
    <x v="6"/>
    <n v="55"/>
    <s v="Male"/>
    <x v="0"/>
    <x v="2"/>
    <n v="8.9"/>
    <n v="3"/>
    <n v="6.8"/>
    <n v="12.25"/>
    <n v="54.4"/>
    <s v="Family"/>
    <n v="10"/>
    <n v="3"/>
    <n v="0"/>
  </r>
  <r>
    <s v="U00607"/>
    <x v="10"/>
    <n v="54"/>
    <s v="Female"/>
    <x v="1"/>
    <x v="4"/>
    <n v="21.88"/>
    <n v="3"/>
    <n v="3.6"/>
    <n v="17.95"/>
    <n v="93.2"/>
    <s v="Family"/>
    <n v="2"/>
    <n v="3"/>
    <n v="0"/>
  </r>
  <r>
    <s v="U00608"/>
    <x v="1"/>
    <n v="62"/>
    <s v="Male"/>
    <x v="2"/>
    <x v="0"/>
    <n v="21.37"/>
    <n v="4"/>
    <n v="6.3"/>
    <n v="3.4"/>
    <n v="25.2"/>
    <s v="Comedy"/>
    <n v="9"/>
    <n v="0"/>
    <n v="1"/>
  </r>
  <r>
    <s v="U00609"/>
    <x v="9"/>
    <n v="68"/>
    <s v="Female"/>
    <x v="1"/>
    <x v="1"/>
    <n v="24.73"/>
    <n v="5"/>
    <n v="7.9"/>
    <n v="20.91"/>
    <n v="99.2"/>
    <s v="Drama"/>
    <n v="6"/>
    <n v="1"/>
    <n v="0"/>
  </r>
  <r>
    <s v="U00610"/>
    <x v="11"/>
    <n v="25"/>
    <s v="Female"/>
    <x v="2"/>
    <x v="2"/>
    <n v="10.63"/>
    <n v="4"/>
    <n v="9.8000000000000007"/>
    <n v="8.2899999999999991"/>
    <n v="74.5"/>
    <s v="Family"/>
    <n v="5"/>
    <n v="4"/>
    <n v="0"/>
  </r>
  <r>
    <s v="U00611"/>
    <x v="6"/>
    <n v="58"/>
    <s v="Female"/>
    <x v="1"/>
    <x v="1"/>
    <n v="11.31"/>
    <n v="2"/>
    <n v="9.1999999999999993"/>
    <n v="9.8000000000000007"/>
    <n v="18.899999999999999"/>
    <s v="Action"/>
    <n v="5"/>
    <n v="0"/>
    <n v="1"/>
  </r>
  <r>
    <s v="U00612"/>
    <x v="9"/>
    <n v="66"/>
    <s v="Male"/>
    <x v="1"/>
    <x v="1"/>
    <n v="23.06"/>
    <n v="4"/>
    <n v="5.5"/>
    <n v="4"/>
    <n v="58.3"/>
    <s v="Action"/>
    <n v="8"/>
    <n v="3"/>
    <n v="0"/>
  </r>
  <r>
    <s v="U00613"/>
    <x v="11"/>
    <n v="52"/>
    <s v="Female"/>
    <x v="0"/>
    <x v="1"/>
    <n v="9.68"/>
    <n v="3"/>
    <n v="5.4"/>
    <n v="12.01"/>
    <n v="74"/>
    <s v="Comedy"/>
    <n v="5"/>
    <n v="0"/>
    <n v="0"/>
  </r>
  <r>
    <s v="U00614"/>
    <x v="0"/>
    <n v="68"/>
    <s v="Female"/>
    <x v="1"/>
    <x v="2"/>
    <n v="15.96"/>
    <n v="2"/>
    <n v="4.9000000000000004"/>
    <n v="21.76"/>
    <n v="65.2"/>
    <s v="Action"/>
    <n v="8"/>
    <n v="1"/>
    <n v="1"/>
  </r>
  <r>
    <s v="U00615"/>
    <x v="9"/>
    <n v="28"/>
    <s v="Male"/>
    <x v="0"/>
    <x v="2"/>
    <n v="19.149999999999999"/>
    <n v="4"/>
    <n v="1.2"/>
    <n v="11.33"/>
    <n v="48.2"/>
    <s v="Family"/>
    <n v="8"/>
    <n v="3"/>
    <n v="0"/>
  </r>
  <r>
    <s v="U00616"/>
    <x v="1"/>
    <n v="41"/>
    <s v="Male"/>
    <x v="0"/>
    <x v="3"/>
    <n v="10.44"/>
    <n v="1"/>
    <n v="2.5"/>
    <n v="22.99"/>
    <n v="32.299999999999997"/>
    <s v="Drama"/>
    <n v="1"/>
    <n v="1"/>
    <n v="0"/>
  </r>
  <r>
    <s v="U00617"/>
    <x v="6"/>
    <n v="66"/>
    <s v="Female"/>
    <x v="1"/>
    <x v="3"/>
    <n v="23.77"/>
    <n v="5"/>
    <n v="1.5"/>
    <n v="22.08"/>
    <n v="31.4"/>
    <s v="Comedy"/>
    <n v="4"/>
    <n v="0"/>
    <n v="0"/>
  </r>
  <r>
    <s v="U00618"/>
    <x v="5"/>
    <n v="38"/>
    <s v="Male"/>
    <x v="1"/>
    <x v="3"/>
    <n v="18.309999999999999"/>
    <n v="1"/>
    <n v="7.3"/>
    <n v="4.3600000000000003"/>
    <n v="93.4"/>
    <s v="Comedy"/>
    <n v="9"/>
    <n v="2"/>
    <n v="1"/>
  </r>
  <r>
    <s v="U00619"/>
    <x v="4"/>
    <n v="68"/>
    <s v="Male"/>
    <x v="0"/>
    <x v="1"/>
    <n v="5.94"/>
    <n v="2"/>
    <n v="4.7"/>
    <n v="9.7200000000000006"/>
    <n v="31.1"/>
    <s v="Thriller"/>
    <n v="2"/>
    <n v="4"/>
    <n v="0"/>
  </r>
  <r>
    <s v="U00620"/>
    <x v="4"/>
    <n v="19"/>
    <s v="Female"/>
    <x v="1"/>
    <x v="4"/>
    <n v="7.71"/>
    <n v="4"/>
    <n v="1.6"/>
    <n v="23.03"/>
    <n v="96.6"/>
    <s v="Thriller"/>
    <n v="11"/>
    <n v="4"/>
    <n v="0"/>
  </r>
  <r>
    <s v="U00621"/>
    <x v="6"/>
    <n v="57"/>
    <s v="Female"/>
    <x v="1"/>
    <x v="2"/>
    <n v="8.82"/>
    <n v="3"/>
    <n v="7.2"/>
    <n v="3.66"/>
    <n v="28.9"/>
    <s v="Drama"/>
    <n v="4"/>
    <n v="2"/>
    <n v="0"/>
  </r>
  <r>
    <s v="U00622"/>
    <x v="9"/>
    <n v="36"/>
    <s v="Female"/>
    <x v="0"/>
    <x v="3"/>
    <n v="9.9"/>
    <n v="4"/>
    <n v="6.8"/>
    <n v="19.850000000000001"/>
    <n v="44.6"/>
    <s v="Drama"/>
    <n v="4"/>
    <n v="2"/>
    <n v="0"/>
  </r>
  <r>
    <s v="U00623"/>
    <x v="11"/>
    <n v="56"/>
    <s v="Male"/>
    <x v="1"/>
    <x v="4"/>
    <n v="19.61"/>
    <n v="2"/>
    <n v="7.5"/>
    <n v="22.94"/>
    <n v="11.1"/>
    <s v="Comedy"/>
    <n v="1"/>
    <n v="2"/>
    <n v="0"/>
  </r>
  <r>
    <s v="U00624"/>
    <x v="1"/>
    <n v="45"/>
    <s v="Male"/>
    <x v="2"/>
    <x v="3"/>
    <n v="6.78"/>
    <n v="2"/>
    <n v="6.4"/>
    <n v="19.95"/>
    <n v="91.3"/>
    <s v="Family"/>
    <n v="10"/>
    <n v="1"/>
    <n v="0"/>
  </r>
  <r>
    <s v="U00625"/>
    <x v="2"/>
    <n v="34"/>
    <s v="Male"/>
    <x v="1"/>
    <x v="3"/>
    <n v="12.01"/>
    <n v="2"/>
    <n v="2.5"/>
    <n v="19.36"/>
    <n v="19.399999999999999"/>
    <s v="Family"/>
    <n v="10"/>
    <n v="3"/>
    <n v="0"/>
  </r>
  <r>
    <s v="U00626"/>
    <x v="4"/>
    <n v="23"/>
    <s v="Female"/>
    <x v="1"/>
    <x v="4"/>
    <n v="23.23"/>
    <n v="2"/>
    <n v="1.6"/>
    <n v="21.55"/>
    <n v="42.2"/>
    <s v="Thriller"/>
    <n v="7"/>
    <n v="2"/>
    <n v="1"/>
  </r>
  <r>
    <s v="U00627"/>
    <x v="1"/>
    <n v="36"/>
    <s v="Male"/>
    <x v="1"/>
    <x v="3"/>
    <n v="16.13"/>
    <n v="4"/>
    <n v="8.4"/>
    <n v="17.649999999999999"/>
    <n v="85.8"/>
    <s v="Drama"/>
    <n v="1"/>
    <n v="1"/>
    <n v="0"/>
  </r>
  <r>
    <s v="U00628"/>
    <x v="4"/>
    <n v="55"/>
    <s v="Male"/>
    <x v="1"/>
    <x v="1"/>
    <n v="10.31"/>
    <n v="1"/>
    <n v="2.9"/>
    <n v="12.31"/>
    <n v="81.3"/>
    <s v="Drama"/>
    <n v="5"/>
    <n v="0"/>
    <n v="0"/>
  </r>
  <r>
    <s v="U00629"/>
    <x v="0"/>
    <n v="45"/>
    <s v="Female"/>
    <x v="2"/>
    <x v="1"/>
    <n v="24.14"/>
    <n v="3"/>
    <n v="5.9"/>
    <n v="4.38"/>
    <n v="85.7"/>
    <s v="Family"/>
    <n v="8"/>
    <n v="0"/>
    <n v="0"/>
  </r>
  <r>
    <s v="U00630"/>
    <x v="11"/>
    <n v="19"/>
    <s v="Female"/>
    <x v="1"/>
    <x v="1"/>
    <n v="9.89"/>
    <n v="3"/>
    <n v="5.4"/>
    <n v="20.34"/>
    <n v="92.3"/>
    <s v="Thriller"/>
    <n v="4"/>
    <n v="2"/>
    <n v="1"/>
  </r>
  <r>
    <s v="U00631"/>
    <x v="0"/>
    <n v="55"/>
    <s v="Female"/>
    <x v="0"/>
    <x v="0"/>
    <n v="23.1"/>
    <n v="5"/>
    <n v="9.3000000000000007"/>
    <n v="22.92"/>
    <n v="92"/>
    <s v="Family"/>
    <n v="5"/>
    <n v="0"/>
    <n v="1"/>
  </r>
  <r>
    <s v="U00632"/>
    <x v="4"/>
    <n v="54"/>
    <s v="Male"/>
    <x v="1"/>
    <x v="3"/>
    <n v="19.52"/>
    <n v="2"/>
    <n v="6"/>
    <n v="14.25"/>
    <n v="79.3"/>
    <s v="Family"/>
    <n v="11"/>
    <n v="2"/>
    <n v="1"/>
  </r>
  <r>
    <s v="U00633"/>
    <x v="5"/>
    <n v="68"/>
    <s v="Female"/>
    <x v="2"/>
    <x v="0"/>
    <n v="19.809999999999999"/>
    <n v="2"/>
    <n v="6.2"/>
    <n v="14.72"/>
    <n v="62.4"/>
    <s v="Comedy"/>
    <n v="10"/>
    <n v="0"/>
    <n v="0"/>
  </r>
  <r>
    <s v="U00634"/>
    <x v="5"/>
    <n v="69"/>
    <s v="Male"/>
    <x v="0"/>
    <x v="2"/>
    <n v="20.3"/>
    <n v="2"/>
    <n v="3.9"/>
    <n v="11.87"/>
    <n v="60.5"/>
    <s v="Drama"/>
    <n v="3"/>
    <n v="0"/>
    <n v="1"/>
  </r>
  <r>
    <s v="U00635"/>
    <x v="0"/>
    <n v="21"/>
    <s v="Male"/>
    <x v="2"/>
    <x v="4"/>
    <n v="15.13"/>
    <n v="1"/>
    <n v="9.6"/>
    <n v="21.85"/>
    <n v="11.2"/>
    <s v="Comedy"/>
    <n v="5"/>
    <n v="3"/>
    <n v="0"/>
  </r>
  <r>
    <s v="U00636"/>
    <x v="5"/>
    <n v="39"/>
    <s v="Female"/>
    <x v="2"/>
    <x v="2"/>
    <n v="21.29"/>
    <n v="2"/>
    <n v="6.5"/>
    <n v="3.33"/>
    <n v="75"/>
    <s v="Comedy"/>
    <n v="3"/>
    <n v="3"/>
    <n v="0"/>
  </r>
  <r>
    <s v="U00637"/>
    <x v="4"/>
    <n v="43"/>
    <s v="Female"/>
    <x v="0"/>
    <x v="0"/>
    <n v="21.72"/>
    <n v="5"/>
    <n v="1"/>
    <n v="16.739999999999998"/>
    <n v="30.4"/>
    <s v="Family"/>
    <n v="4"/>
    <n v="0"/>
    <n v="0"/>
  </r>
  <r>
    <s v="U00638"/>
    <x v="6"/>
    <n v="66"/>
    <s v="Female"/>
    <x v="2"/>
    <x v="1"/>
    <n v="12.21"/>
    <n v="5"/>
    <n v="6"/>
    <n v="22.96"/>
    <n v="84.6"/>
    <s v="Thriller"/>
    <n v="11"/>
    <n v="3"/>
    <n v="0"/>
  </r>
  <r>
    <s v="U00639"/>
    <x v="0"/>
    <n v="60"/>
    <s v="Female"/>
    <x v="1"/>
    <x v="3"/>
    <n v="13.01"/>
    <n v="1"/>
    <n v="4.3"/>
    <n v="5.27"/>
    <n v="59.8"/>
    <s v="Family"/>
    <n v="3"/>
    <n v="2"/>
    <n v="0"/>
  </r>
  <r>
    <s v="U00640"/>
    <x v="2"/>
    <n v="53"/>
    <s v="Female"/>
    <x v="2"/>
    <x v="3"/>
    <n v="22.78"/>
    <n v="2"/>
    <n v="1.3"/>
    <n v="24.1"/>
    <n v="98.9"/>
    <s v="Thriller"/>
    <n v="5"/>
    <n v="4"/>
    <n v="1"/>
  </r>
  <r>
    <s v="U00641"/>
    <x v="2"/>
    <n v="30"/>
    <s v="Male"/>
    <x v="1"/>
    <x v="1"/>
    <n v="15.49"/>
    <n v="4"/>
    <n v="4.9000000000000004"/>
    <n v="24.29"/>
    <n v="28.9"/>
    <s v="Drama"/>
    <n v="2"/>
    <n v="2"/>
    <n v="1"/>
  </r>
  <r>
    <s v="U00642"/>
    <x v="8"/>
    <n v="69"/>
    <s v="Male"/>
    <x v="1"/>
    <x v="3"/>
    <n v="22.34"/>
    <n v="4"/>
    <n v="8"/>
    <n v="23.46"/>
    <n v="75.099999999999994"/>
    <s v="Action"/>
    <n v="9"/>
    <n v="3"/>
    <n v="0"/>
  </r>
  <r>
    <s v="U00643"/>
    <x v="9"/>
    <n v="49"/>
    <s v="Male"/>
    <x v="1"/>
    <x v="4"/>
    <n v="17.54"/>
    <n v="3"/>
    <n v="5.5"/>
    <n v="13.18"/>
    <n v="59.3"/>
    <s v="Drama"/>
    <n v="3"/>
    <n v="1"/>
    <n v="1"/>
  </r>
  <r>
    <s v="U00644"/>
    <x v="11"/>
    <n v="34"/>
    <s v="Female"/>
    <x v="2"/>
    <x v="4"/>
    <n v="16.87"/>
    <n v="1"/>
    <n v="6.8"/>
    <n v="11.43"/>
    <n v="93.9"/>
    <s v="Family"/>
    <n v="10"/>
    <n v="0"/>
    <n v="0"/>
  </r>
  <r>
    <s v="U00645"/>
    <x v="5"/>
    <n v="58"/>
    <s v="Male"/>
    <x v="0"/>
    <x v="4"/>
    <n v="5.62"/>
    <n v="4"/>
    <n v="6.8"/>
    <n v="18.53"/>
    <n v="33.9"/>
    <s v="Thriller"/>
    <n v="1"/>
    <n v="3"/>
    <n v="0"/>
  </r>
  <r>
    <s v="U00646"/>
    <x v="5"/>
    <n v="53"/>
    <s v="Female"/>
    <x v="1"/>
    <x v="2"/>
    <n v="10.56"/>
    <n v="3"/>
    <n v="7"/>
    <n v="10.01"/>
    <n v="15.3"/>
    <s v="Action"/>
    <n v="5"/>
    <n v="3"/>
    <n v="1"/>
  </r>
  <r>
    <s v="U00647"/>
    <x v="9"/>
    <n v="63"/>
    <s v="Female"/>
    <x v="0"/>
    <x v="1"/>
    <n v="15.04"/>
    <n v="5"/>
    <n v="4.5"/>
    <n v="4.5"/>
    <n v="58.9"/>
    <s v="Thriller"/>
    <n v="4"/>
    <n v="3"/>
    <n v="0"/>
  </r>
  <r>
    <s v="U00648"/>
    <x v="10"/>
    <n v="36"/>
    <s v="Male"/>
    <x v="1"/>
    <x v="4"/>
    <n v="16.75"/>
    <n v="3"/>
    <n v="4.3"/>
    <n v="22.83"/>
    <n v="56.9"/>
    <s v="Thriller"/>
    <n v="2"/>
    <n v="2"/>
    <n v="0"/>
  </r>
  <r>
    <s v="U00649"/>
    <x v="7"/>
    <n v="52"/>
    <s v="Male"/>
    <x v="1"/>
    <x v="0"/>
    <n v="17.61"/>
    <n v="2"/>
    <n v="1"/>
    <n v="16.97"/>
    <n v="38.1"/>
    <s v="Action"/>
    <n v="8"/>
    <n v="0"/>
    <n v="0"/>
  </r>
  <r>
    <s v="U00650"/>
    <x v="0"/>
    <n v="63"/>
    <s v="Female"/>
    <x v="1"/>
    <x v="4"/>
    <n v="19.32"/>
    <n v="2"/>
    <n v="2.4"/>
    <n v="7.56"/>
    <n v="98.8"/>
    <s v="Action"/>
    <n v="9"/>
    <n v="4"/>
    <n v="0"/>
  </r>
  <r>
    <s v="U00651"/>
    <x v="3"/>
    <n v="57"/>
    <s v="Male"/>
    <x v="1"/>
    <x v="2"/>
    <n v="18.12"/>
    <n v="5"/>
    <n v="9.6"/>
    <n v="3.4"/>
    <n v="16.3"/>
    <s v="Drama"/>
    <n v="6"/>
    <n v="3"/>
    <n v="0"/>
  </r>
  <r>
    <s v="U00652"/>
    <x v="5"/>
    <n v="45"/>
    <s v="Female"/>
    <x v="0"/>
    <x v="0"/>
    <n v="21.97"/>
    <n v="1"/>
    <n v="8.6"/>
    <n v="18.920000000000002"/>
    <n v="61.3"/>
    <s v="Comedy"/>
    <n v="8"/>
    <n v="1"/>
    <n v="0"/>
  </r>
  <r>
    <s v="U00653"/>
    <x v="11"/>
    <n v="18"/>
    <s v="Male"/>
    <x v="0"/>
    <x v="1"/>
    <n v="10.91"/>
    <n v="2"/>
    <n v="3.5"/>
    <n v="21.76"/>
    <n v="33.4"/>
    <s v="Action"/>
    <n v="2"/>
    <n v="0"/>
    <n v="0"/>
  </r>
  <r>
    <s v="U00654"/>
    <x v="8"/>
    <n v="59"/>
    <s v="Male"/>
    <x v="0"/>
    <x v="1"/>
    <n v="17.829999999999998"/>
    <n v="2"/>
    <n v="4.5999999999999996"/>
    <n v="11.92"/>
    <n v="10.199999999999999"/>
    <s v="Comedy"/>
    <n v="11"/>
    <n v="4"/>
    <n v="0"/>
  </r>
  <r>
    <s v="U00655"/>
    <x v="2"/>
    <n v="35"/>
    <s v="Male"/>
    <x v="1"/>
    <x v="4"/>
    <n v="6.02"/>
    <n v="3"/>
    <n v="9.5"/>
    <n v="4.78"/>
    <n v="98.9"/>
    <s v="Comedy"/>
    <n v="6"/>
    <n v="1"/>
    <n v="0"/>
  </r>
  <r>
    <s v="U00656"/>
    <x v="5"/>
    <n v="65"/>
    <s v="Male"/>
    <x v="2"/>
    <x v="0"/>
    <n v="14.6"/>
    <n v="3"/>
    <n v="3.3"/>
    <n v="17.27"/>
    <n v="53.3"/>
    <s v="Comedy"/>
    <n v="1"/>
    <n v="4"/>
    <n v="0"/>
  </r>
  <r>
    <s v="U00657"/>
    <x v="8"/>
    <n v="57"/>
    <s v="Male"/>
    <x v="0"/>
    <x v="0"/>
    <n v="10.36"/>
    <n v="3"/>
    <n v="5.8"/>
    <n v="9.5299999999999994"/>
    <n v="87.1"/>
    <s v="Comedy"/>
    <n v="10"/>
    <n v="4"/>
    <n v="0"/>
  </r>
  <r>
    <s v="U00658"/>
    <x v="4"/>
    <n v="50"/>
    <s v="Female"/>
    <x v="2"/>
    <x v="4"/>
    <n v="12.62"/>
    <n v="4"/>
    <n v="1.2"/>
    <n v="6.17"/>
    <n v="85.6"/>
    <s v="Action"/>
    <n v="3"/>
    <n v="0"/>
    <n v="0"/>
  </r>
  <r>
    <s v="U00659"/>
    <x v="4"/>
    <n v="29"/>
    <s v="Male"/>
    <x v="2"/>
    <x v="4"/>
    <n v="12.09"/>
    <n v="5"/>
    <n v="6.6"/>
    <n v="14.23"/>
    <n v="83.1"/>
    <s v="Thriller"/>
    <n v="7"/>
    <n v="2"/>
    <n v="0"/>
  </r>
  <r>
    <s v="U00660"/>
    <x v="7"/>
    <n v="25"/>
    <s v="Male"/>
    <x v="1"/>
    <x v="3"/>
    <n v="6.21"/>
    <n v="1"/>
    <n v="9.4"/>
    <n v="13.6"/>
    <n v="51.3"/>
    <s v="Action"/>
    <n v="1"/>
    <n v="1"/>
    <n v="0"/>
  </r>
  <r>
    <s v="U00661"/>
    <x v="6"/>
    <n v="41"/>
    <s v="Male"/>
    <x v="1"/>
    <x v="3"/>
    <n v="14.33"/>
    <n v="3"/>
    <n v="9"/>
    <n v="14.37"/>
    <n v="90.6"/>
    <s v="Action"/>
    <n v="6"/>
    <n v="3"/>
    <n v="0"/>
  </r>
  <r>
    <s v="U00662"/>
    <x v="3"/>
    <n v="33"/>
    <s v="Female"/>
    <x v="2"/>
    <x v="4"/>
    <n v="24.89"/>
    <n v="1"/>
    <n v="5.5"/>
    <n v="21.13"/>
    <n v="43.1"/>
    <s v="Family"/>
    <n v="7"/>
    <n v="4"/>
    <n v="0"/>
  </r>
  <r>
    <s v="U00663"/>
    <x v="10"/>
    <n v="67"/>
    <s v="Female"/>
    <x v="0"/>
    <x v="2"/>
    <n v="10.98"/>
    <n v="3"/>
    <n v="6.8"/>
    <n v="13.66"/>
    <n v="46.8"/>
    <s v="Family"/>
    <n v="3"/>
    <n v="1"/>
    <n v="0"/>
  </r>
  <r>
    <s v="U00664"/>
    <x v="7"/>
    <n v="21"/>
    <s v="Female"/>
    <x v="1"/>
    <x v="3"/>
    <n v="19.72"/>
    <n v="2"/>
    <n v="6.1"/>
    <n v="22.81"/>
    <n v="33"/>
    <s v="Drama"/>
    <n v="11"/>
    <n v="0"/>
    <n v="0"/>
  </r>
  <r>
    <s v="U00665"/>
    <x v="1"/>
    <n v="55"/>
    <s v="Female"/>
    <x v="1"/>
    <x v="4"/>
    <n v="15.96"/>
    <n v="1"/>
    <n v="1.6"/>
    <n v="21.52"/>
    <n v="50.3"/>
    <s v="Comedy"/>
    <n v="8"/>
    <n v="1"/>
    <n v="0"/>
  </r>
  <r>
    <s v="U00666"/>
    <x v="10"/>
    <n v="61"/>
    <s v="Female"/>
    <x v="1"/>
    <x v="0"/>
    <n v="11.5"/>
    <n v="4"/>
    <n v="2.4"/>
    <n v="17.32"/>
    <n v="98.8"/>
    <s v="Comedy"/>
    <n v="8"/>
    <n v="3"/>
    <n v="0"/>
  </r>
  <r>
    <s v="U00667"/>
    <x v="0"/>
    <n v="44"/>
    <s v="Male"/>
    <x v="2"/>
    <x v="3"/>
    <n v="6.79"/>
    <n v="3"/>
    <n v="9.6999999999999993"/>
    <n v="4.25"/>
    <n v="61.6"/>
    <s v="Family"/>
    <n v="5"/>
    <n v="3"/>
    <n v="0"/>
  </r>
  <r>
    <s v="U00668"/>
    <x v="11"/>
    <n v="26"/>
    <s v="Male"/>
    <x v="0"/>
    <x v="2"/>
    <n v="9.32"/>
    <n v="5"/>
    <n v="3.3"/>
    <n v="22.03"/>
    <n v="84.8"/>
    <s v="Thriller"/>
    <n v="11"/>
    <n v="0"/>
    <n v="0"/>
  </r>
  <r>
    <s v="U00669"/>
    <x v="1"/>
    <n v="64"/>
    <s v="Male"/>
    <x v="1"/>
    <x v="1"/>
    <n v="20.64"/>
    <n v="2"/>
    <n v="4.5"/>
    <n v="22.92"/>
    <n v="33.700000000000003"/>
    <s v="Drama"/>
    <n v="2"/>
    <n v="1"/>
    <n v="0"/>
  </r>
  <r>
    <s v="U00670"/>
    <x v="1"/>
    <n v="33"/>
    <s v="Female"/>
    <x v="1"/>
    <x v="0"/>
    <n v="10.58"/>
    <n v="3"/>
    <n v="5.6"/>
    <n v="11.25"/>
    <n v="96"/>
    <s v="Thriller"/>
    <n v="2"/>
    <n v="2"/>
    <n v="1"/>
  </r>
  <r>
    <s v="U00671"/>
    <x v="7"/>
    <n v="29"/>
    <s v="Female"/>
    <x v="1"/>
    <x v="2"/>
    <n v="7.89"/>
    <n v="1"/>
    <n v="9.8000000000000007"/>
    <n v="14.58"/>
    <n v="11.2"/>
    <s v="Family"/>
    <n v="5"/>
    <n v="2"/>
    <n v="0"/>
  </r>
  <r>
    <s v="U00672"/>
    <x v="9"/>
    <n v="48"/>
    <s v="Male"/>
    <x v="1"/>
    <x v="2"/>
    <n v="11.63"/>
    <n v="3"/>
    <n v="7.2"/>
    <n v="9.18"/>
    <n v="93.7"/>
    <s v="Thriller"/>
    <n v="4"/>
    <n v="4"/>
    <n v="0"/>
  </r>
  <r>
    <s v="U00673"/>
    <x v="6"/>
    <n v="41"/>
    <s v="Female"/>
    <x v="1"/>
    <x v="2"/>
    <n v="16.68"/>
    <n v="2"/>
    <n v="6.7"/>
    <n v="3.32"/>
    <n v="90.8"/>
    <s v="Comedy"/>
    <n v="4"/>
    <n v="4"/>
    <n v="0"/>
  </r>
  <r>
    <s v="U00674"/>
    <x v="9"/>
    <n v="31"/>
    <s v="Female"/>
    <x v="2"/>
    <x v="0"/>
    <n v="19.07"/>
    <n v="5"/>
    <n v="5.7"/>
    <n v="13.55"/>
    <n v="16.100000000000001"/>
    <s v="Family"/>
    <n v="5"/>
    <n v="1"/>
    <n v="0"/>
  </r>
  <r>
    <s v="U00675"/>
    <x v="7"/>
    <n v="62"/>
    <s v="Female"/>
    <x v="1"/>
    <x v="2"/>
    <n v="12.75"/>
    <n v="5"/>
    <n v="7.3"/>
    <n v="5.85"/>
    <n v="64.400000000000006"/>
    <s v="Thriller"/>
    <n v="1"/>
    <n v="4"/>
    <n v="0"/>
  </r>
  <r>
    <s v="U00676"/>
    <x v="0"/>
    <n v="42"/>
    <s v="Male"/>
    <x v="2"/>
    <x v="1"/>
    <n v="14.96"/>
    <n v="5"/>
    <n v="7"/>
    <n v="7.03"/>
    <n v="80.7"/>
    <s v="Drama"/>
    <n v="7"/>
    <n v="3"/>
    <n v="0"/>
  </r>
  <r>
    <s v="U00677"/>
    <x v="2"/>
    <n v="51"/>
    <s v="Male"/>
    <x v="1"/>
    <x v="3"/>
    <n v="14.1"/>
    <n v="2"/>
    <n v="9.1"/>
    <n v="13.58"/>
    <n v="46.3"/>
    <s v="Drama"/>
    <n v="3"/>
    <n v="0"/>
    <n v="0"/>
  </r>
  <r>
    <s v="U00678"/>
    <x v="5"/>
    <n v="20"/>
    <s v="Female"/>
    <x v="0"/>
    <x v="0"/>
    <n v="5.18"/>
    <n v="3"/>
    <n v="5.9"/>
    <n v="22.07"/>
    <n v="18.3"/>
    <s v="Action"/>
    <n v="10"/>
    <n v="4"/>
    <n v="0"/>
  </r>
  <r>
    <s v="U00679"/>
    <x v="5"/>
    <n v="41"/>
    <s v="Female"/>
    <x v="0"/>
    <x v="2"/>
    <n v="12.91"/>
    <n v="2"/>
    <n v="4.8"/>
    <n v="21.58"/>
    <n v="84.6"/>
    <s v="Family"/>
    <n v="10"/>
    <n v="2"/>
    <n v="0"/>
  </r>
  <r>
    <s v="U00680"/>
    <x v="6"/>
    <n v="59"/>
    <s v="Female"/>
    <x v="0"/>
    <x v="4"/>
    <n v="16.75"/>
    <n v="2"/>
    <n v="8.3000000000000007"/>
    <n v="24.23"/>
    <n v="52"/>
    <s v="Family"/>
    <n v="8"/>
    <n v="3"/>
    <n v="1"/>
  </r>
  <r>
    <s v="U00681"/>
    <x v="0"/>
    <n v="26"/>
    <s v="Female"/>
    <x v="1"/>
    <x v="3"/>
    <n v="16.399999999999999"/>
    <n v="3"/>
    <n v="8.1999999999999993"/>
    <n v="13.62"/>
    <n v="33.700000000000003"/>
    <s v="Family"/>
    <n v="9"/>
    <n v="2"/>
    <n v="0"/>
  </r>
  <r>
    <s v="U00682"/>
    <x v="6"/>
    <n v="43"/>
    <s v="Male"/>
    <x v="1"/>
    <x v="0"/>
    <n v="20"/>
    <n v="4"/>
    <n v="2.5"/>
    <n v="15.14"/>
    <n v="16.399999999999999"/>
    <s v="Comedy"/>
    <n v="8"/>
    <n v="4"/>
    <n v="0"/>
  </r>
  <r>
    <s v="U00683"/>
    <x v="8"/>
    <n v="37"/>
    <s v="Female"/>
    <x v="2"/>
    <x v="4"/>
    <n v="18.41"/>
    <n v="5"/>
    <n v="3.1"/>
    <n v="21.09"/>
    <n v="67.599999999999994"/>
    <s v="Comedy"/>
    <n v="11"/>
    <n v="4"/>
    <n v="1"/>
  </r>
  <r>
    <s v="U00684"/>
    <x v="9"/>
    <n v="57"/>
    <s v="Male"/>
    <x v="2"/>
    <x v="4"/>
    <n v="10.54"/>
    <n v="1"/>
    <n v="9.6"/>
    <n v="18.39"/>
    <n v="13.8"/>
    <s v="Family"/>
    <n v="2"/>
    <n v="3"/>
    <n v="0"/>
  </r>
  <r>
    <s v="U00685"/>
    <x v="5"/>
    <n v="27"/>
    <s v="Male"/>
    <x v="0"/>
    <x v="2"/>
    <n v="10.11"/>
    <n v="1"/>
    <n v="5"/>
    <n v="7.02"/>
    <n v="81.2"/>
    <s v="Thriller"/>
    <n v="7"/>
    <n v="2"/>
    <n v="0"/>
  </r>
  <r>
    <s v="U00686"/>
    <x v="1"/>
    <n v="36"/>
    <s v="Male"/>
    <x v="0"/>
    <x v="0"/>
    <n v="14.28"/>
    <n v="3"/>
    <n v="5.7"/>
    <n v="11.76"/>
    <n v="79.400000000000006"/>
    <s v="Comedy"/>
    <n v="4"/>
    <n v="0"/>
    <n v="0"/>
  </r>
  <r>
    <s v="U00687"/>
    <x v="9"/>
    <n v="20"/>
    <s v="Female"/>
    <x v="0"/>
    <x v="2"/>
    <n v="19.66"/>
    <n v="1"/>
    <n v="3.8"/>
    <n v="23.44"/>
    <n v="39.1"/>
    <s v="Family"/>
    <n v="5"/>
    <n v="0"/>
    <n v="0"/>
  </r>
  <r>
    <s v="U00688"/>
    <x v="3"/>
    <n v="41"/>
    <s v="Male"/>
    <x v="1"/>
    <x v="1"/>
    <n v="6.88"/>
    <n v="4"/>
    <n v="5.3"/>
    <n v="6.21"/>
    <n v="52.5"/>
    <s v="Comedy"/>
    <n v="11"/>
    <n v="3"/>
    <n v="0"/>
  </r>
  <r>
    <s v="U00689"/>
    <x v="11"/>
    <n v="22"/>
    <s v="Male"/>
    <x v="0"/>
    <x v="4"/>
    <n v="23.97"/>
    <n v="2"/>
    <n v="7.7"/>
    <n v="7.61"/>
    <n v="70.2"/>
    <s v="Action"/>
    <n v="10"/>
    <n v="4"/>
    <n v="1"/>
  </r>
  <r>
    <s v="U00690"/>
    <x v="0"/>
    <n v="20"/>
    <s v="Female"/>
    <x v="0"/>
    <x v="1"/>
    <n v="15.86"/>
    <n v="5"/>
    <n v="5.3"/>
    <n v="11.81"/>
    <n v="96.3"/>
    <s v="Drama"/>
    <n v="5"/>
    <n v="3"/>
    <n v="1"/>
  </r>
  <r>
    <s v="U00691"/>
    <x v="10"/>
    <n v="44"/>
    <s v="Female"/>
    <x v="2"/>
    <x v="2"/>
    <n v="11.13"/>
    <n v="1"/>
    <n v="3.8"/>
    <n v="23.68"/>
    <n v="56.8"/>
    <s v="Action"/>
    <n v="11"/>
    <n v="2"/>
    <n v="0"/>
  </r>
  <r>
    <s v="U00692"/>
    <x v="6"/>
    <n v="33"/>
    <s v="Female"/>
    <x v="2"/>
    <x v="3"/>
    <n v="18.87"/>
    <n v="1"/>
    <n v="1.9"/>
    <n v="5.5"/>
    <n v="99.7"/>
    <s v="Family"/>
    <n v="9"/>
    <n v="0"/>
    <n v="0"/>
  </r>
  <r>
    <s v="U00693"/>
    <x v="9"/>
    <n v="66"/>
    <s v="Male"/>
    <x v="0"/>
    <x v="4"/>
    <n v="5.89"/>
    <n v="3"/>
    <n v="9.4"/>
    <n v="17.8"/>
    <n v="39.299999999999997"/>
    <s v="Drama"/>
    <n v="2"/>
    <n v="4"/>
    <n v="0"/>
  </r>
  <r>
    <s v="U00694"/>
    <x v="11"/>
    <n v="32"/>
    <s v="Female"/>
    <x v="1"/>
    <x v="3"/>
    <n v="14.69"/>
    <n v="3"/>
    <n v="8.8000000000000007"/>
    <n v="5.91"/>
    <n v="57.4"/>
    <s v="Thriller"/>
    <n v="2"/>
    <n v="2"/>
    <n v="0"/>
  </r>
  <r>
    <s v="U00695"/>
    <x v="9"/>
    <n v="52"/>
    <s v="Male"/>
    <x v="1"/>
    <x v="0"/>
    <n v="14.72"/>
    <n v="2"/>
    <n v="8.1"/>
    <n v="14.54"/>
    <n v="20.399999999999999"/>
    <s v="Family"/>
    <n v="3"/>
    <n v="0"/>
    <n v="1"/>
  </r>
  <r>
    <s v="U00696"/>
    <x v="10"/>
    <n v="29"/>
    <s v="Male"/>
    <x v="2"/>
    <x v="4"/>
    <n v="8.24"/>
    <n v="5"/>
    <n v="7.2"/>
    <n v="14.8"/>
    <n v="60.1"/>
    <s v="Thriller"/>
    <n v="5"/>
    <n v="0"/>
    <n v="0"/>
  </r>
  <r>
    <s v="U00697"/>
    <x v="11"/>
    <n v="58"/>
    <s v="Female"/>
    <x v="1"/>
    <x v="1"/>
    <n v="21.75"/>
    <n v="1"/>
    <n v="5.6"/>
    <n v="3.94"/>
    <n v="58.3"/>
    <s v="Thriller"/>
    <n v="4"/>
    <n v="1"/>
    <n v="0"/>
  </r>
  <r>
    <s v="U00698"/>
    <x v="3"/>
    <n v="61"/>
    <s v="Male"/>
    <x v="0"/>
    <x v="3"/>
    <n v="20.94"/>
    <n v="2"/>
    <n v="9.1"/>
    <n v="23.99"/>
    <n v="86.4"/>
    <s v="Comedy"/>
    <n v="10"/>
    <n v="4"/>
    <n v="0"/>
  </r>
  <r>
    <s v="U00699"/>
    <x v="10"/>
    <n v="43"/>
    <s v="Male"/>
    <x v="2"/>
    <x v="0"/>
    <n v="8.0500000000000007"/>
    <n v="5"/>
    <n v="8.1"/>
    <n v="20.75"/>
    <n v="99.7"/>
    <s v="Comedy"/>
    <n v="10"/>
    <n v="3"/>
    <n v="1"/>
  </r>
  <r>
    <s v="U00700"/>
    <x v="7"/>
    <n v="64"/>
    <s v="Male"/>
    <x v="1"/>
    <x v="4"/>
    <n v="12.28"/>
    <n v="2"/>
    <n v="8.3000000000000007"/>
    <n v="9.66"/>
    <n v="98.8"/>
    <s v="Drama"/>
    <n v="9"/>
    <n v="1"/>
    <n v="0"/>
  </r>
  <r>
    <s v="U00701"/>
    <x v="4"/>
    <n v="51"/>
    <s v="Male"/>
    <x v="0"/>
    <x v="0"/>
    <n v="7.01"/>
    <n v="1"/>
    <n v="3.8"/>
    <n v="5.87"/>
    <n v="31.3"/>
    <s v="Drama"/>
    <n v="3"/>
    <n v="0"/>
    <n v="1"/>
  </r>
  <r>
    <s v="U00702"/>
    <x v="7"/>
    <n v="40"/>
    <s v="Female"/>
    <x v="1"/>
    <x v="1"/>
    <n v="21.97"/>
    <n v="3"/>
    <n v="4.8"/>
    <n v="10.6"/>
    <n v="40.5"/>
    <s v="Comedy"/>
    <n v="1"/>
    <n v="4"/>
    <n v="0"/>
  </r>
  <r>
    <s v="U00703"/>
    <x v="5"/>
    <n v="48"/>
    <s v="Male"/>
    <x v="1"/>
    <x v="4"/>
    <n v="11.47"/>
    <n v="3"/>
    <n v="7.4"/>
    <n v="22.67"/>
    <n v="34.700000000000003"/>
    <s v="Drama"/>
    <n v="5"/>
    <n v="4"/>
    <n v="0"/>
  </r>
  <r>
    <s v="U00704"/>
    <x v="9"/>
    <n v="67"/>
    <s v="Female"/>
    <x v="1"/>
    <x v="0"/>
    <n v="13.79"/>
    <n v="3"/>
    <n v="4.3"/>
    <n v="5.92"/>
    <n v="28"/>
    <s v="Action"/>
    <n v="8"/>
    <n v="1"/>
    <n v="0"/>
  </r>
  <r>
    <s v="U00705"/>
    <x v="4"/>
    <n v="37"/>
    <s v="Male"/>
    <x v="0"/>
    <x v="2"/>
    <n v="11.48"/>
    <n v="4"/>
    <n v="5.4"/>
    <n v="10.68"/>
    <n v="23.5"/>
    <s v="Family"/>
    <n v="1"/>
    <n v="2"/>
    <n v="0"/>
  </r>
  <r>
    <s v="U00706"/>
    <x v="7"/>
    <n v="29"/>
    <s v="Male"/>
    <x v="1"/>
    <x v="4"/>
    <n v="11.2"/>
    <n v="2"/>
    <n v="6.8"/>
    <n v="13.87"/>
    <n v="56.1"/>
    <s v="Action"/>
    <n v="1"/>
    <n v="2"/>
    <n v="0"/>
  </r>
  <r>
    <s v="U00707"/>
    <x v="4"/>
    <n v="40"/>
    <s v="Female"/>
    <x v="0"/>
    <x v="4"/>
    <n v="19.95"/>
    <n v="1"/>
    <n v="4.9000000000000004"/>
    <n v="3.72"/>
    <n v="88.5"/>
    <s v="Family"/>
    <n v="6"/>
    <n v="3"/>
    <n v="0"/>
  </r>
  <r>
    <s v="U00708"/>
    <x v="2"/>
    <n v="21"/>
    <s v="Male"/>
    <x v="2"/>
    <x v="4"/>
    <n v="19.95"/>
    <n v="2"/>
    <n v="8.1"/>
    <n v="8.9"/>
    <n v="63.1"/>
    <s v="Comedy"/>
    <n v="7"/>
    <n v="4"/>
    <n v="0"/>
  </r>
  <r>
    <s v="U00709"/>
    <x v="9"/>
    <n v="40"/>
    <s v="Male"/>
    <x v="0"/>
    <x v="4"/>
    <n v="15.36"/>
    <n v="3"/>
    <n v="2"/>
    <n v="16.100000000000001"/>
    <n v="88.5"/>
    <s v="Action"/>
    <n v="8"/>
    <n v="1"/>
    <n v="0"/>
  </r>
  <r>
    <s v="U00710"/>
    <x v="4"/>
    <n v="65"/>
    <s v="Male"/>
    <x v="0"/>
    <x v="2"/>
    <n v="18.149999999999999"/>
    <n v="2"/>
    <n v="7.5"/>
    <n v="10.130000000000001"/>
    <n v="96.4"/>
    <s v="Thriller"/>
    <n v="8"/>
    <n v="0"/>
    <n v="0"/>
  </r>
  <r>
    <s v="U00711"/>
    <x v="1"/>
    <n v="65"/>
    <s v="Male"/>
    <x v="1"/>
    <x v="1"/>
    <n v="15.23"/>
    <n v="5"/>
    <n v="2.2999999999999998"/>
    <n v="22.15"/>
    <n v="44.5"/>
    <s v="Action"/>
    <n v="3"/>
    <n v="2"/>
    <n v="1"/>
  </r>
  <r>
    <s v="U00712"/>
    <x v="6"/>
    <n v="18"/>
    <s v="Male"/>
    <x v="2"/>
    <x v="2"/>
    <n v="5.57"/>
    <n v="2"/>
    <n v="9.4"/>
    <n v="23.61"/>
    <n v="85.2"/>
    <s v="Drama"/>
    <n v="4"/>
    <n v="1"/>
    <n v="1"/>
  </r>
  <r>
    <s v="U00713"/>
    <x v="6"/>
    <n v="42"/>
    <s v="Male"/>
    <x v="2"/>
    <x v="2"/>
    <n v="6.32"/>
    <n v="4"/>
    <n v="3.8"/>
    <n v="12.71"/>
    <n v="14.7"/>
    <s v="Action"/>
    <n v="9"/>
    <n v="3"/>
    <n v="1"/>
  </r>
  <r>
    <s v="U00714"/>
    <x v="1"/>
    <n v="19"/>
    <s v="Female"/>
    <x v="1"/>
    <x v="0"/>
    <n v="12.67"/>
    <n v="4"/>
    <n v="8.1999999999999993"/>
    <n v="14.7"/>
    <n v="53.3"/>
    <s v="Comedy"/>
    <n v="11"/>
    <n v="3"/>
    <n v="0"/>
  </r>
  <r>
    <s v="U00715"/>
    <x v="11"/>
    <n v="47"/>
    <s v="Female"/>
    <x v="0"/>
    <x v="3"/>
    <n v="19.989999999999998"/>
    <n v="3"/>
    <n v="5.7"/>
    <n v="16.88"/>
    <n v="43.1"/>
    <s v="Comedy"/>
    <n v="5"/>
    <n v="4"/>
    <n v="0"/>
  </r>
  <r>
    <s v="U00716"/>
    <x v="8"/>
    <n v="20"/>
    <s v="Female"/>
    <x v="2"/>
    <x v="3"/>
    <n v="23.26"/>
    <n v="1"/>
    <n v="1.8"/>
    <n v="17.62"/>
    <n v="28.4"/>
    <s v="Drama"/>
    <n v="11"/>
    <n v="3"/>
    <n v="0"/>
  </r>
  <r>
    <s v="U00717"/>
    <x v="11"/>
    <n v="38"/>
    <s v="Male"/>
    <x v="1"/>
    <x v="0"/>
    <n v="5.59"/>
    <n v="5"/>
    <n v="6.2"/>
    <n v="4.3899999999999997"/>
    <n v="49.5"/>
    <s v="Family"/>
    <n v="9"/>
    <n v="3"/>
    <n v="0"/>
  </r>
  <r>
    <s v="U00718"/>
    <x v="10"/>
    <n v="42"/>
    <s v="Male"/>
    <x v="0"/>
    <x v="2"/>
    <n v="12.36"/>
    <n v="1"/>
    <n v="9.1999999999999993"/>
    <n v="4.18"/>
    <n v="49.9"/>
    <s v="Drama"/>
    <n v="5"/>
    <n v="2"/>
    <n v="0"/>
  </r>
  <r>
    <s v="U00719"/>
    <x v="10"/>
    <n v="37"/>
    <s v="Male"/>
    <x v="2"/>
    <x v="0"/>
    <n v="9.48"/>
    <n v="1"/>
    <n v="2.4"/>
    <n v="22.04"/>
    <n v="82.8"/>
    <s v="Family"/>
    <n v="5"/>
    <n v="2"/>
    <n v="0"/>
  </r>
  <r>
    <s v="U00720"/>
    <x v="4"/>
    <n v="66"/>
    <s v="Female"/>
    <x v="0"/>
    <x v="4"/>
    <n v="21.3"/>
    <n v="5"/>
    <n v="3.9"/>
    <n v="7.84"/>
    <n v="88.2"/>
    <s v="Comedy"/>
    <n v="9"/>
    <n v="3"/>
    <n v="0"/>
  </r>
  <r>
    <s v="U00721"/>
    <x v="7"/>
    <n v="69"/>
    <s v="Male"/>
    <x v="2"/>
    <x v="0"/>
    <n v="21.92"/>
    <n v="4"/>
    <n v="5"/>
    <n v="15.85"/>
    <n v="69.099999999999994"/>
    <s v="Comedy"/>
    <n v="6"/>
    <n v="4"/>
    <n v="1"/>
  </r>
  <r>
    <s v="U00722"/>
    <x v="7"/>
    <n v="39"/>
    <s v="Female"/>
    <x v="2"/>
    <x v="0"/>
    <n v="9.1300000000000008"/>
    <n v="3"/>
    <n v="3.5"/>
    <n v="16.739999999999998"/>
    <n v="67"/>
    <s v="Family"/>
    <n v="3"/>
    <n v="2"/>
    <n v="0"/>
  </r>
  <r>
    <s v="U00723"/>
    <x v="6"/>
    <n v="38"/>
    <s v="Male"/>
    <x v="1"/>
    <x v="4"/>
    <n v="19.22"/>
    <n v="2"/>
    <n v="9.5"/>
    <n v="6.62"/>
    <n v="19.899999999999999"/>
    <s v="Action"/>
    <n v="5"/>
    <n v="2"/>
    <n v="1"/>
  </r>
  <r>
    <s v="U00724"/>
    <x v="0"/>
    <n v="50"/>
    <s v="Male"/>
    <x v="2"/>
    <x v="3"/>
    <n v="19.64"/>
    <n v="4"/>
    <n v="4.4000000000000004"/>
    <n v="19.760000000000002"/>
    <n v="61.8"/>
    <s v="Action"/>
    <n v="1"/>
    <n v="3"/>
    <n v="0"/>
  </r>
  <r>
    <s v="U00725"/>
    <x v="11"/>
    <n v="69"/>
    <s v="Male"/>
    <x v="2"/>
    <x v="4"/>
    <n v="8.5399999999999991"/>
    <n v="3"/>
    <n v="6.9"/>
    <n v="22.05"/>
    <n v="34.700000000000003"/>
    <s v="Drama"/>
    <n v="9"/>
    <n v="4"/>
    <n v="0"/>
  </r>
  <r>
    <s v="U00726"/>
    <x v="2"/>
    <n v="55"/>
    <s v="Female"/>
    <x v="0"/>
    <x v="1"/>
    <n v="13.67"/>
    <n v="4"/>
    <n v="3"/>
    <n v="9.2799999999999994"/>
    <n v="36.5"/>
    <s v="Comedy"/>
    <n v="10"/>
    <n v="3"/>
    <n v="1"/>
  </r>
  <r>
    <s v="U00727"/>
    <x v="9"/>
    <n v="32"/>
    <s v="Male"/>
    <x v="1"/>
    <x v="0"/>
    <n v="17.41"/>
    <n v="5"/>
    <n v="3"/>
    <n v="22.31"/>
    <n v="18.5"/>
    <s v="Action"/>
    <n v="10"/>
    <n v="0"/>
    <n v="1"/>
  </r>
  <r>
    <s v="U00728"/>
    <x v="5"/>
    <n v="63"/>
    <s v="Female"/>
    <x v="0"/>
    <x v="0"/>
    <n v="5.52"/>
    <n v="1"/>
    <n v="2.6"/>
    <n v="4.78"/>
    <n v="67.2"/>
    <s v="Comedy"/>
    <n v="11"/>
    <n v="0"/>
    <n v="1"/>
  </r>
  <r>
    <s v="U00729"/>
    <x v="3"/>
    <n v="69"/>
    <s v="Male"/>
    <x v="1"/>
    <x v="3"/>
    <n v="13.09"/>
    <n v="5"/>
    <n v="4.9000000000000004"/>
    <n v="20.61"/>
    <n v="62.5"/>
    <s v="Drama"/>
    <n v="7"/>
    <n v="4"/>
    <n v="1"/>
  </r>
  <r>
    <s v="U00730"/>
    <x v="7"/>
    <n v="32"/>
    <s v="Male"/>
    <x v="2"/>
    <x v="2"/>
    <n v="8.1"/>
    <n v="2"/>
    <n v="5.8"/>
    <n v="17.079999999999998"/>
    <n v="29.8"/>
    <s v="Thriller"/>
    <n v="1"/>
    <n v="0"/>
    <n v="1"/>
  </r>
  <r>
    <s v="U00731"/>
    <x v="9"/>
    <n v="63"/>
    <s v="Female"/>
    <x v="1"/>
    <x v="4"/>
    <n v="15.84"/>
    <n v="5"/>
    <n v="1.1000000000000001"/>
    <n v="15.83"/>
    <n v="33.700000000000003"/>
    <s v="Comedy"/>
    <n v="11"/>
    <n v="4"/>
    <n v="0"/>
  </r>
  <r>
    <s v="U00732"/>
    <x v="3"/>
    <n v="42"/>
    <s v="Male"/>
    <x v="1"/>
    <x v="2"/>
    <n v="21.86"/>
    <n v="1"/>
    <n v="8.5"/>
    <n v="8.06"/>
    <n v="79.599999999999994"/>
    <s v="Thriller"/>
    <n v="11"/>
    <n v="0"/>
    <n v="0"/>
  </r>
  <r>
    <s v="U00733"/>
    <x v="9"/>
    <n v="38"/>
    <s v="Male"/>
    <x v="1"/>
    <x v="1"/>
    <n v="15.5"/>
    <n v="4"/>
    <n v="5.6"/>
    <n v="10.96"/>
    <n v="81.400000000000006"/>
    <s v="Comedy"/>
    <n v="4"/>
    <n v="1"/>
    <n v="0"/>
  </r>
  <r>
    <s v="U00734"/>
    <x v="4"/>
    <n v="41"/>
    <s v="Male"/>
    <x v="2"/>
    <x v="4"/>
    <n v="5.72"/>
    <n v="3"/>
    <n v="2.4"/>
    <n v="23.03"/>
    <n v="54.4"/>
    <s v="Family"/>
    <n v="2"/>
    <n v="2"/>
    <n v="0"/>
  </r>
  <r>
    <s v="U00735"/>
    <x v="3"/>
    <n v="22"/>
    <s v="Male"/>
    <x v="0"/>
    <x v="1"/>
    <n v="5.59"/>
    <n v="2"/>
    <n v="1.6"/>
    <n v="13.25"/>
    <n v="23.4"/>
    <s v="Thriller"/>
    <n v="3"/>
    <n v="3"/>
    <n v="0"/>
  </r>
  <r>
    <s v="U00736"/>
    <x v="5"/>
    <n v="23"/>
    <s v="Female"/>
    <x v="1"/>
    <x v="1"/>
    <n v="17.11"/>
    <n v="4"/>
    <n v="1.6"/>
    <n v="16.079999999999998"/>
    <n v="15"/>
    <s v="Family"/>
    <n v="4"/>
    <n v="4"/>
    <n v="0"/>
  </r>
  <r>
    <s v="U00737"/>
    <x v="9"/>
    <n v="66"/>
    <s v="Female"/>
    <x v="0"/>
    <x v="1"/>
    <n v="11.56"/>
    <n v="3"/>
    <n v="3.3"/>
    <n v="23.59"/>
    <n v="34.4"/>
    <s v="Family"/>
    <n v="2"/>
    <n v="0"/>
    <n v="0"/>
  </r>
  <r>
    <s v="U00738"/>
    <x v="1"/>
    <n v="60"/>
    <s v="Male"/>
    <x v="1"/>
    <x v="4"/>
    <n v="16.45"/>
    <n v="1"/>
    <n v="5.5"/>
    <n v="13.26"/>
    <n v="75.8"/>
    <s v="Drama"/>
    <n v="10"/>
    <n v="1"/>
    <n v="0"/>
  </r>
  <r>
    <s v="U00739"/>
    <x v="5"/>
    <n v="65"/>
    <s v="Male"/>
    <x v="0"/>
    <x v="4"/>
    <n v="8.27"/>
    <n v="5"/>
    <n v="8.6999999999999993"/>
    <n v="11.54"/>
    <n v="64.099999999999994"/>
    <s v="Drama"/>
    <n v="1"/>
    <n v="0"/>
    <n v="1"/>
  </r>
  <r>
    <s v="U00740"/>
    <x v="3"/>
    <n v="61"/>
    <s v="Female"/>
    <x v="1"/>
    <x v="3"/>
    <n v="20.54"/>
    <n v="4"/>
    <n v="9.1"/>
    <n v="22.65"/>
    <n v="74.599999999999994"/>
    <s v="Action"/>
    <n v="11"/>
    <n v="1"/>
    <n v="0"/>
  </r>
  <r>
    <s v="U00741"/>
    <x v="5"/>
    <n v="64"/>
    <s v="Male"/>
    <x v="0"/>
    <x v="0"/>
    <n v="22.21"/>
    <n v="3"/>
    <n v="8.5"/>
    <n v="23.04"/>
    <n v="52.5"/>
    <s v="Thriller"/>
    <n v="4"/>
    <n v="3"/>
    <n v="1"/>
  </r>
  <r>
    <s v="U00742"/>
    <x v="9"/>
    <n v="40"/>
    <s v="Female"/>
    <x v="0"/>
    <x v="2"/>
    <n v="22.78"/>
    <n v="3"/>
    <n v="4"/>
    <n v="10.8"/>
    <n v="77.900000000000006"/>
    <s v="Action"/>
    <n v="9"/>
    <n v="2"/>
    <n v="1"/>
  </r>
  <r>
    <s v="U00743"/>
    <x v="8"/>
    <n v="21"/>
    <s v="Male"/>
    <x v="2"/>
    <x v="2"/>
    <n v="11.08"/>
    <n v="5"/>
    <n v="3.8"/>
    <n v="16.02"/>
    <n v="53.3"/>
    <s v="Thriller"/>
    <n v="11"/>
    <n v="2"/>
    <n v="0"/>
  </r>
  <r>
    <s v="U00744"/>
    <x v="9"/>
    <n v="44"/>
    <s v="Female"/>
    <x v="0"/>
    <x v="1"/>
    <n v="18.21"/>
    <n v="4"/>
    <n v="9.9"/>
    <n v="24.2"/>
    <n v="17.600000000000001"/>
    <s v="Drama"/>
    <n v="11"/>
    <n v="1"/>
    <n v="0"/>
  </r>
  <r>
    <s v="U00745"/>
    <x v="9"/>
    <n v="35"/>
    <s v="Female"/>
    <x v="1"/>
    <x v="4"/>
    <n v="10.58"/>
    <n v="4"/>
    <n v="7.1"/>
    <n v="4.22"/>
    <n v="17.2"/>
    <s v="Drama"/>
    <n v="9"/>
    <n v="0"/>
    <n v="0"/>
  </r>
  <r>
    <s v="U00746"/>
    <x v="4"/>
    <n v="38"/>
    <s v="Female"/>
    <x v="0"/>
    <x v="4"/>
    <n v="20.260000000000002"/>
    <n v="1"/>
    <n v="3.7"/>
    <n v="3.88"/>
    <n v="84.8"/>
    <s v="Drama"/>
    <n v="9"/>
    <n v="2"/>
    <n v="0"/>
  </r>
  <r>
    <s v="U00747"/>
    <x v="11"/>
    <n v="45"/>
    <s v="Female"/>
    <x v="1"/>
    <x v="1"/>
    <n v="7.41"/>
    <n v="4"/>
    <n v="4"/>
    <n v="14.36"/>
    <n v="66.7"/>
    <s v="Thriller"/>
    <n v="3"/>
    <n v="0"/>
    <n v="0"/>
  </r>
  <r>
    <s v="U00748"/>
    <x v="1"/>
    <n v="52"/>
    <s v="Male"/>
    <x v="1"/>
    <x v="0"/>
    <n v="20.260000000000002"/>
    <n v="5"/>
    <n v="4.9000000000000004"/>
    <n v="9.41"/>
    <n v="35.1"/>
    <s v="Drama"/>
    <n v="1"/>
    <n v="4"/>
    <n v="0"/>
  </r>
  <r>
    <s v="U00749"/>
    <x v="2"/>
    <n v="39"/>
    <s v="Male"/>
    <x v="1"/>
    <x v="2"/>
    <n v="13.79"/>
    <n v="4"/>
    <n v="6.6"/>
    <n v="15.8"/>
    <n v="78.099999999999994"/>
    <s v="Action"/>
    <n v="1"/>
    <n v="0"/>
    <n v="1"/>
  </r>
  <r>
    <s v="U00750"/>
    <x v="7"/>
    <n v="57"/>
    <s v="Female"/>
    <x v="0"/>
    <x v="3"/>
    <n v="22.11"/>
    <n v="1"/>
    <n v="9.1"/>
    <n v="18.93"/>
    <n v="22.2"/>
    <s v="Family"/>
    <n v="3"/>
    <n v="4"/>
    <n v="0"/>
  </r>
  <r>
    <s v="U00751"/>
    <x v="10"/>
    <n v="40"/>
    <s v="Female"/>
    <x v="1"/>
    <x v="0"/>
    <n v="19.78"/>
    <n v="3"/>
    <n v="2.8"/>
    <n v="4.5199999999999996"/>
    <n v="68.099999999999994"/>
    <s v="Thriller"/>
    <n v="10"/>
    <n v="4"/>
    <n v="0"/>
  </r>
  <r>
    <s v="U00752"/>
    <x v="11"/>
    <n v="20"/>
    <s v="Female"/>
    <x v="1"/>
    <x v="4"/>
    <n v="12.53"/>
    <n v="4"/>
    <n v="1.8"/>
    <n v="22.41"/>
    <n v="99.1"/>
    <s v="Family"/>
    <n v="8"/>
    <n v="2"/>
    <n v="1"/>
  </r>
  <r>
    <s v="U00753"/>
    <x v="10"/>
    <n v="57"/>
    <s v="Female"/>
    <x v="2"/>
    <x v="1"/>
    <n v="23.07"/>
    <n v="5"/>
    <n v="4.7"/>
    <n v="9.09"/>
    <n v="23.5"/>
    <s v="Action"/>
    <n v="4"/>
    <n v="4"/>
    <n v="0"/>
  </r>
  <r>
    <s v="U00754"/>
    <x v="4"/>
    <n v="67"/>
    <s v="Male"/>
    <x v="1"/>
    <x v="2"/>
    <n v="10.67"/>
    <n v="4"/>
    <n v="3.2"/>
    <n v="11.39"/>
    <n v="22.8"/>
    <s v="Comedy"/>
    <n v="11"/>
    <n v="0"/>
    <n v="0"/>
  </r>
  <r>
    <s v="U00755"/>
    <x v="1"/>
    <n v="27"/>
    <s v="Female"/>
    <x v="1"/>
    <x v="1"/>
    <n v="24.34"/>
    <n v="2"/>
    <n v="6.2"/>
    <n v="10.41"/>
    <n v="52.1"/>
    <s v="Drama"/>
    <n v="8"/>
    <n v="3"/>
    <n v="0"/>
  </r>
  <r>
    <s v="U00756"/>
    <x v="9"/>
    <n v="42"/>
    <s v="Female"/>
    <x v="0"/>
    <x v="4"/>
    <n v="20.34"/>
    <n v="1"/>
    <n v="7.3"/>
    <n v="21.48"/>
    <n v="67.8"/>
    <s v="Action"/>
    <n v="7"/>
    <n v="0"/>
    <n v="0"/>
  </r>
  <r>
    <s v="U00757"/>
    <x v="6"/>
    <n v="69"/>
    <s v="Female"/>
    <x v="0"/>
    <x v="1"/>
    <n v="24.81"/>
    <n v="3"/>
    <n v="3.8"/>
    <n v="6.75"/>
    <n v="12.4"/>
    <s v="Comedy"/>
    <n v="8"/>
    <n v="1"/>
    <n v="1"/>
  </r>
  <r>
    <s v="U00758"/>
    <x v="7"/>
    <n v="66"/>
    <s v="Female"/>
    <x v="0"/>
    <x v="2"/>
    <n v="6.08"/>
    <n v="2"/>
    <n v="7.2"/>
    <n v="3.63"/>
    <n v="55"/>
    <s v="Thriller"/>
    <n v="2"/>
    <n v="1"/>
    <n v="0"/>
  </r>
  <r>
    <s v="U00759"/>
    <x v="8"/>
    <n v="25"/>
    <s v="Female"/>
    <x v="0"/>
    <x v="1"/>
    <n v="10.48"/>
    <n v="5"/>
    <n v="4.0999999999999996"/>
    <n v="24.38"/>
    <n v="17.5"/>
    <s v="Action"/>
    <n v="8"/>
    <n v="0"/>
    <n v="0"/>
  </r>
  <r>
    <s v="U00760"/>
    <x v="6"/>
    <n v="28"/>
    <s v="Female"/>
    <x v="0"/>
    <x v="2"/>
    <n v="19.829999999999998"/>
    <n v="4"/>
    <n v="6.7"/>
    <n v="24.57"/>
    <n v="31.7"/>
    <s v="Thriller"/>
    <n v="9"/>
    <n v="1"/>
    <n v="0"/>
  </r>
  <r>
    <s v="U00761"/>
    <x v="4"/>
    <n v="22"/>
    <s v="Female"/>
    <x v="1"/>
    <x v="1"/>
    <n v="23.44"/>
    <n v="1"/>
    <n v="6.7"/>
    <n v="8.67"/>
    <n v="74.099999999999994"/>
    <s v="Family"/>
    <n v="10"/>
    <n v="3"/>
    <n v="0"/>
  </r>
  <r>
    <s v="U00762"/>
    <x v="11"/>
    <n v="62"/>
    <s v="Male"/>
    <x v="1"/>
    <x v="1"/>
    <n v="5.58"/>
    <n v="4"/>
    <n v="3.5"/>
    <n v="3.21"/>
    <n v="76.5"/>
    <s v="Family"/>
    <n v="11"/>
    <n v="1"/>
    <n v="0"/>
  </r>
  <r>
    <s v="U00763"/>
    <x v="8"/>
    <n v="54"/>
    <s v="Female"/>
    <x v="2"/>
    <x v="2"/>
    <n v="5"/>
    <n v="4"/>
    <n v="6.7"/>
    <n v="17.21"/>
    <n v="75.7"/>
    <s v="Thriller"/>
    <n v="6"/>
    <n v="2"/>
    <n v="1"/>
  </r>
  <r>
    <s v="U00764"/>
    <x v="5"/>
    <n v="62"/>
    <s v="Female"/>
    <x v="0"/>
    <x v="1"/>
    <n v="10.119999999999999"/>
    <n v="4"/>
    <n v="4.4000000000000004"/>
    <n v="17.27"/>
    <n v="15.9"/>
    <s v="Family"/>
    <n v="3"/>
    <n v="3"/>
    <n v="0"/>
  </r>
  <r>
    <s v="U00765"/>
    <x v="3"/>
    <n v="55"/>
    <s v="Female"/>
    <x v="1"/>
    <x v="0"/>
    <n v="22.06"/>
    <n v="4"/>
    <n v="4"/>
    <n v="23.69"/>
    <n v="80.8"/>
    <s v="Family"/>
    <n v="7"/>
    <n v="2"/>
    <n v="1"/>
  </r>
  <r>
    <s v="U00766"/>
    <x v="8"/>
    <n v="46"/>
    <s v="Male"/>
    <x v="2"/>
    <x v="3"/>
    <n v="20.34"/>
    <n v="1"/>
    <n v="3.6"/>
    <n v="9.57"/>
    <n v="48.9"/>
    <s v="Drama"/>
    <n v="9"/>
    <n v="2"/>
    <n v="1"/>
  </r>
  <r>
    <s v="U00767"/>
    <x v="2"/>
    <n v="22"/>
    <s v="Male"/>
    <x v="1"/>
    <x v="0"/>
    <n v="11.81"/>
    <n v="2"/>
    <n v="4.0999999999999996"/>
    <n v="7.17"/>
    <n v="52.8"/>
    <s v="Thriller"/>
    <n v="8"/>
    <n v="3"/>
    <n v="0"/>
  </r>
  <r>
    <s v="U00768"/>
    <x v="4"/>
    <n v="26"/>
    <s v="Male"/>
    <x v="0"/>
    <x v="3"/>
    <n v="5.04"/>
    <n v="5"/>
    <n v="8.1"/>
    <n v="16.559999999999999"/>
    <n v="47.8"/>
    <s v="Thriller"/>
    <n v="8"/>
    <n v="2"/>
    <n v="0"/>
  </r>
  <r>
    <s v="U00769"/>
    <x v="0"/>
    <n v="65"/>
    <s v="Female"/>
    <x v="0"/>
    <x v="0"/>
    <n v="16.09"/>
    <n v="2"/>
    <n v="3.2"/>
    <n v="15.4"/>
    <n v="87.1"/>
    <s v="Comedy"/>
    <n v="11"/>
    <n v="1"/>
    <n v="1"/>
  </r>
  <r>
    <s v="U00770"/>
    <x v="3"/>
    <n v="19"/>
    <s v="Female"/>
    <x v="0"/>
    <x v="3"/>
    <n v="9.76"/>
    <n v="1"/>
    <n v="7.1"/>
    <n v="18.79"/>
    <n v="71.2"/>
    <s v="Drama"/>
    <n v="7"/>
    <n v="0"/>
    <n v="1"/>
  </r>
  <r>
    <s v="U00771"/>
    <x v="10"/>
    <n v="18"/>
    <s v="Female"/>
    <x v="1"/>
    <x v="1"/>
    <n v="19.91"/>
    <n v="5"/>
    <n v="9.1"/>
    <n v="22.47"/>
    <n v="55"/>
    <s v="Action"/>
    <n v="5"/>
    <n v="3"/>
    <n v="0"/>
  </r>
  <r>
    <s v="U00772"/>
    <x v="7"/>
    <n v="57"/>
    <s v="Male"/>
    <x v="2"/>
    <x v="2"/>
    <n v="13.93"/>
    <n v="3"/>
    <n v="4.2"/>
    <n v="15.31"/>
    <n v="85.1"/>
    <s v="Drama"/>
    <n v="2"/>
    <n v="0"/>
    <n v="0"/>
  </r>
  <r>
    <s v="U00773"/>
    <x v="10"/>
    <n v="68"/>
    <s v="Female"/>
    <x v="0"/>
    <x v="2"/>
    <n v="18.57"/>
    <n v="2"/>
    <n v="1.3"/>
    <n v="6.3"/>
    <n v="82.5"/>
    <s v="Action"/>
    <n v="5"/>
    <n v="3"/>
    <n v="0"/>
  </r>
  <r>
    <s v="U00774"/>
    <x v="8"/>
    <n v="47"/>
    <s v="Male"/>
    <x v="0"/>
    <x v="4"/>
    <n v="22.05"/>
    <n v="1"/>
    <n v="1.2"/>
    <n v="16.16"/>
    <n v="10.5"/>
    <s v="Thriller"/>
    <n v="5"/>
    <n v="3"/>
    <n v="0"/>
  </r>
  <r>
    <s v="U00775"/>
    <x v="10"/>
    <n v="28"/>
    <s v="Male"/>
    <x v="2"/>
    <x v="3"/>
    <n v="15.72"/>
    <n v="1"/>
    <n v="2.2999999999999998"/>
    <n v="11.23"/>
    <n v="53.1"/>
    <s v="Drama"/>
    <n v="2"/>
    <n v="2"/>
    <n v="0"/>
  </r>
  <r>
    <s v="U00776"/>
    <x v="2"/>
    <n v="45"/>
    <s v="Male"/>
    <x v="2"/>
    <x v="4"/>
    <n v="11.72"/>
    <n v="1"/>
    <n v="2"/>
    <n v="12.96"/>
    <n v="13.8"/>
    <s v="Comedy"/>
    <n v="11"/>
    <n v="0"/>
    <n v="0"/>
  </r>
  <r>
    <s v="U00777"/>
    <x v="4"/>
    <n v="61"/>
    <s v="Male"/>
    <x v="1"/>
    <x v="4"/>
    <n v="20.39"/>
    <n v="5"/>
    <n v="7.7"/>
    <n v="24.11"/>
    <n v="37.6"/>
    <s v="Family"/>
    <n v="10"/>
    <n v="1"/>
    <n v="0"/>
  </r>
  <r>
    <s v="U00778"/>
    <x v="5"/>
    <n v="29"/>
    <s v="Male"/>
    <x v="1"/>
    <x v="3"/>
    <n v="10.3"/>
    <n v="4"/>
    <n v="3.7"/>
    <n v="15.21"/>
    <n v="82.3"/>
    <s v="Action"/>
    <n v="1"/>
    <n v="0"/>
    <n v="0"/>
  </r>
  <r>
    <s v="U00779"/>
    <x v="11"/>
    <n v="56"/>
    <s v="Female"/>
    <x v="1"/>
    <x v="2"/>
    <n v="22.83"/>
    <n v="3"/>
    <n v="6.9"/>
    <n v="6.29"/>
    <n v="95"/>
    <s v="Family"/>
    <n v="5"/>
    <n v="3"/>
    <n v="1"/>
  </r>
  <r>
    <s v="U00780"/>
    <x v="7"/>
    <n v="43"/>
    <s v="Female"/>
    <x v="0"/>
    <x v="3"/>
    <n v="6.43"/>
    <n v="5"/>
    <n v="1.4"/>
    <n v="12.75"/>
    <n v="31.8"/>
    <s v="Thriller"/>
    <n v="6"/>
    <n v="1"/>
    <n v="0"/>
  </r>
  <r>
    <s v="U00781"/>
    <x v="2"/>
    <n v="30"/>
    <s v="Male"/>
    <x v="1"/>
    <x v="1"/>
    <n v="21.71"/>
    <n v="5"/>
    <n v="3.7"/>
    <n v="8.0299999999999994"/>
    <n v="11.9"/>
    <s v="Thriller"/>
    <n v="7"/>
    <n v="2"/>
    <n v="0"/>
  </r>
  <r>
    <s v="U00782"/>
    <x v="2"/>
    <n v="25"/>
    <s v="Female"/>
    <x v="1"/>
    <x v="4"/>
    <n v="6.83"/>
    <n v="2"/>
    <n v="3.1"/>
    <n v="5.98"/>
    <n v="46.2"/>
    <s v="Thriller"/>
    <n v="11"/>
    <n v="1"/>
    <n v="0"/>
  </r>
  <r>
    <s v="U00783"/>
    <x v="10"/>
    <n v="45"/>
    <s v="Female"/>
    <x v="2"/>
    <x v="4"/>
    <n v="6.12"/>
    <n v="3"/>
    <n v="3.5"/>
    <n v="18.670000000000002"/>
    <n v="40.200000000000003"/>
    <s v="Family"/>
    <n v="2"/>
    <n v="1"/>
    <n v="1"/>
  </r>
  <r>
    <s v="U00784"/>
    <x v="10"/>
    <n v="47"/>
    <s v="Male"/>
    <x v="0"/>
    <x v="3"/>
    <n v="12.27"/>
    <n v="1"/>
    <n v="2.7"/>
    <n v="16.829999999999998"/>
    <n v="70.900000000000006"/>
    <s v="Thriller"/>
    <n v="6"/>
    <n v="0"/>
    <n v="0"/>
  </r>
  <r>
    <s v="U00785"/>
    <x v="8"/>
    <n v="26"/>
    <s v="Male"/>
    <x v="1"/>
    <x v="4"/>
    <n v="24.13"/>
    <n v="5"/>
    <n v="6.6"/>
    <n v="13.95"/>
    <n v="54.6"/>
    <s v="Thriller"/>
    <n v="8"/>
    <n v="3"/>
    <n v="0"/>
  </r>
  <r>
    <s v="U00786"/>
    <x v="11"/>
    <n v="56"/>
    <s v="Female"/>
    <x v="1"/>
    <x v="2"/>
    <n v="24.67"/>
    <n v="3"/>
    <n v="7"/>
    <n v="12.31"/>
    <n v="45.9"/>
    <s v="Family"/>
    <n v="6"/>
    <n v="3"/>
    <n v="1"/>
  </r>
  <r>
    <s v="U00787"/>
    <x v="6"/>
    <n v="48"/>
    <s v="Female"/>
    <x v="1"/>
    <x v="4"/>
    <n v="9.0399999999999991"/>
    <n v="2"/>
    <n v="2.2999999999999998"/>
    <n v="10.09"/>
    <n v="30.7"/>
    <s v="Thriller"/>
    <n v="3"/>
    <n v="3"/>
    <n v="1"/>
  </r>
  <r>
    <s v="U00788"/>
    <x v="10"/>
    <n v="38"/>
    <s v="Female"/>
    <x v="0"/>
    <x v="3"/>
    <n v="7.97"/>
    <n v="4"/>
    <n v="7.7"/>
    <n v="4.9400000000000004"/>
    <n v="84.6"/>
    <s v="Action"/>
    <n v="3"/>
    <n v="4"/>
    <n v="0"/>
  </r>
  <r>
    <s v="U00789"/>
    <x v="4"/>
    <n v="64"/>
    <s v="Female"/>
    <x v="1"/>
    <x v="2"/>
    <n v="12.06"/>
    <n v="3"/>
    <n v="3.3"/>
    <n v="9.58"/>
    <n v="32.4"/>
    <s v="Drama"/>
    <n v="11"/>
    <n v="2"/>
    <n v="0"/>
  </r>
  <r>
    <s v="U00790"/>
    <x v="0"/>
    <n v="51"/>
    <s v="Male"/>
    <x v="2"/>
    <x v="2"/>
    <n v="11.74"/>
    <n v="1"/>
    <n v="3.5"/>
    <n v="21.44"/>
    <n v="14.9"/>
    <s v="Action"/>
    <n v="7"/>
    <n v="0"/>
    <n v="0"/>
  </r>
  <r>
    <s v="U00791"/>
    <x v="7"/>
    <n v="48"/>
    <s v="Female"/>
    <x v="1"/>
    <x v="4"/>
    <n v="20.190000000000001"/>
    <n v="5"/>
    <n v="8.5"/>
    <n v="20.239999999999998"/>
    <n v="60.8"/>
    <s v="Thriller"/>
    <n v="2"/>
    <n v="3"/>
    <n v="0"/>
  </r>
  <r>
    <s v="U00792"/>
    <x v="9"/>
    <n v="69"/>
    <s v="Male"/>
    <x v="1"/>
    <x v="3"/>
    <n v="13.88"/>
    <n v="4"/>
    <n v="9.1"/>
    <n v="24.39"/>
    <n v="38.6"/>
    <s v="Thriller"/>
    <n v="3"/>
    <n v="1"/>
    <n v="0"/>
  </r>
  <r>
    <s v="U00793"/>
    <x v="10"/>
    <n v="42"/>
    <s v="Male"/>
    <x v="0"/>
    <x v="4"/>
    <n v="20.6"/>
    <n v="2"/>
    <n v="8.4"/>
    <n v="17.43"/>
    <n v="74.099999999999994"/>
    <s v="Thriller"/>
    <n v="7"/>
    <n v="4"/>
    <n v="0"/>
  </r>
  <r>
    <s v="U00794"/>
    <x v="4"/>
    <n v="29"/>
    <s v="Female"/>
    <x v="0"/>
    <x v="1"/>
    <n v="19.97"/>
    <n v="1"/>
    <n v="2.2999999999999998"/>
    <n v="15.18"/>
    <n v="17.3"/>
    <s v="Thriller"/>
    <n v="9"/>
    <n v="2"/>
    <n v="0"/>
  </r>
  <r>
    <s v="U00795"/>
    <x v="4"/>
    <n v="18"/>
    <s v="Female"/>
    <x v="1"/>
    <x v="1"/>
    <n v="16.57"/>
    <n v="4"/>
    <n v="10"/>
    <n v="9.51"/>
    <n v="97"/>
    <s v="Family"/>
    <n v="1"/>
    <n v="3"/>
    <n v="0"/>
  </r>
  <r>
    <s v="U00796"/>
    <x v="7"/>
    <n v="39"/>
    <s v="Female"/>
    <x v="2"/>
    <x v="2"/>
    <n v="21.67"/>
    <n v="2"/>
    <n v="7"/>
    <n v="4.6900000000000004"/>
    <n v="26.8"/>
    <s v="Drama"/>
    <n v="5"/>
    <n v="4"/>
    <n v="1"/>
  </r>
  <r>
    <s v="U00797"/>
    <x v="6"/>
    <n v="57"/>
    <s v="Male"/>
    <x v="2"/>
    <x v="4"/>
    <n v="8.91"/>
    <n v="1"/>
    <n v="5.6"/>
    <n v="16.600000000000001"/>
    <n v="42.1"/>
    <s v="Family"/>
    <n v="2"/>
    <n v="2"/>
    <n v="0"/>
  </r>
  <r>
    <s v="U00798"/>
    <x v="4"/>
    <n v="54"/>
    <s v="Male"/>
    <x v="1"/>
    <x v="1"/>
    <n v="8.24"/>
    <n v="5"/>
    <n v="9.6"/>
    <n v="13.74"/>
    <n v="53.3"/>
    <s v="Family"/>
    <n v="5"/>
    <n v="1"/>
    <n v="0"/>
  </r>
  <r>
    <s v="U00799"/>
    <x v="0"/>
    <n v="64"/>
    <s v="Male"/>
    <x v="1"/>
    <x v="0"/>
    <n v="20.010000000000002"/>
    <n v="2"/>
    <n v="8.4"/>
    <n v="19.7"/>
    <n v="90.1"/>
    <s v="Thriller"/>
    <n v="6"/>
    <n v="4"/>
    <n v="1"/>
  </r>
  <r>
    <s v="U00800"/>
    <x v="4"/>
    <n v="18"/>
    <s v="Male"/>
    <x v="2"/>
    <x v="1"/>
    <n v="9.9"/>
    <n v="4"/>
    <n v="7.2"/>
    <n v="12.06"/>
    <n v="75"/>
    <s v="Action"/>
    <n v="8"/>
    <n v="0"/>
    <n v="1"/>
  </r>
  <r>
    <s v="U00801"/>
    <x v="4"/>
    <n v="18"/>
    <s v="Female"/>
    <x v="1"/>
    <x v="4"/>
    <n v="5.0599999999999996"/>
    <n v="1"/>
    <n v="8.5"/>
    <n v="24.68"/>
    <n v="23"/>
    <s v="Action"/>
    <n v="7"/>
    <n v="2"/>
    <n v="0"/>
  </r>
  <r>
    <s v="U00802"/>
    <x v="4"/>
    <n v="59"/>
    <s v="Male"/>
    <x v="1"/>
    <x v="4"/>
    <n v="23.24"/>
    <n v="3"/>
    <n v="4.5"/>
    <n v="11.75"/>
    <n v="49.5"/>
    <s v="Comedy"/>
    <n v="5"/>
    <n v="4"/>
    <n v="0"/>
  </r>
  <r>
    <s v="U00803"/>
    <x v="5"/>
    <n v="59"/>
    <s v="Male"/>
    <x v="0"/>
    <x v="1"/>
    <n v="17.46"/>
    <n v="1"/>
    <n v="7.2"/>
    <n v="10.33"/>
    <n v="58.9"/>
    <s v="Drama"/>
    <n v="11"/>
    <n v="4"/>
    <n v="0"/>
  </r>
  <r>
    <s v="U00804"/>
    <x v="5"/>
    <n v="38"/>
    <s v="Female"/>
    <x v="2"/>
    <x v="4"/>
    <n v="13.9"/>
    <n v="4"/>
    <n v="2.7"/>
    <n v="22.16"/>
    <n v="73.2"/>
    <s v="Comedy"/>
    <n v="5"/>
    <n v="2"/>
    <n v="0"/>
  </r>
  <r>
    <s v="U00805"/>
    <x v="6"/>
    <n v="32"/>
    <s v="Male"/>
    <x v="1"/>
    <x v="4"/>
    <n v="19.510000000000002"/>
    <n v="4"/>
    <n v="9.9"/>
    <n v="11.7"/>
    <n v="61.5"/>
    <s v="Family"/>
    <n v="2"/>
    <n v="4"/>
    <n v="0"/>
  </r>
  <r>
    <s v="U00806"/>
    <x v="10"/>
    <n v="34"/>
    <s v="Male"/>
    <x v="2"/>
    <x v="0"/>
    <n v="11.67"/>
    <n v="3"/>
    <n v="6.3"/>
    <n v="22.16"/>
    <n v="51.2"/>
    <s v="Comedy"/>
    <n v="6"/>
    <n v="4"/>
    <n v="0"/>
  </r>
  <r>
    <s v="U00807"/>
    <x v="4"/>
    <n v="39"/>
    <s v="Female"/>
    <x v="2"/>
    <x v="2"/>
    <n v="24.07"/>
    <n v="4"/>
    <n v="8.3000000000000007"/>
    <n v="3.6"/>
    <n v="78.900000000000006"/>
    <s v="Comedy"/>
    <n v="3"/>
    <n v="2"/>
    <n v="0"/>
  </r>
  <r>
    <s v="U00808"/>
    <x v="11"/>
    <n v="55"/>
    <s v="Male"/>
    <x v="0"/>
    <x v="4"/>
    <n v="6.37"/>
    <n v="1"/>
    <n v="4.7"/>
    <n v="18.239999999999998"/>
    <n v="44"/>
    <s v="Comedy"/>
    <n v="6"/>
    <n v="1"/>
    <n v="0"/>
  </r>
  <r>
    <s v="U00809"/>
    <x v="10"/>
    <n v="52"/>
    <s v="Male"/>
    <x v="2"/>
    <x v="3"/>
    <n v="17.82"/>
    <n v="2"/>
    <n v="7.8"/>
    <n v="4.58"/>
    <n v="98.8"/>
    <s v="Drama"/>
    <n v="3"/>
    <n v="0"/>
    <n v="0"/>
  </r>
  <r>
    <s v="U00810"/>
    <x v="6"/>
    <n v="62"/>
    <s v="Male"/>
    <x v="2"/>
    <x v="2"/>
    <n v="20.55"/>
    <n v="1"/>
    <n v="4.5"/>
    <n v="6.26"/>
    <n v="95.3"/>
    <s v="Action"/>
    <n v="2"/>
    <n v="2"/>
    <n v="0"/>
  </r>
  <r>
    <s v="U00811"/>
    <x v="1"/>
    <n v="33"/>
    <s v="Male"/>
    <x v="1"/>
    <x v="2"/>
    <n v="14.38"/>
    <n v="4"/>
    <n v="6.3"/>
    <n v="18.399999999999999"/>
    <n v="73.7"/>
    <s v="Action"/>
    <n v="8"/>
    <n v="3"/>
    <n v="0"/>
  </r>
  <r>
    <s v="U00812"/>
    <x v="10"/>
    <n v="25"/>
    <s v="Female"/>
    <x v="0"/>
    <x v="3"/>
    <n v="20.100000000000001"/>
    <n v="3"/>
    <n v="8"/>
    <n v="9.3699999999999992"/>
    <n v="89.4"/>
    <s v="Comedy"/>
    <n v="4"/>
    <n v="4"/>
    <n v="0"/>
  </r>
  <r>
    <s v="U00813"/>
    <x v="10"/>
    <n v="64"/>
    <s v="Male"/>
    <x v="0"/>
    <x v="1"/>
    <n v="23.54"/>
    <n v="3"/>
    <n v="2"/>
    <n v="7.63"/>
    <n v="45.4"/>
    <s v="Drama"/>
    <n v="5"/>
    <n v="0"/>
    <n v="0"/>
  </r>
  <r>
    <s v="U00814"/>
    <x v="3"/>
    <n v="34"/>
    <s v="Female"/>
    <x v="1"/>
    <x v="0"/>
    <n v="19.88"/>
    <n v="5"/>
    <n v="4.2"/>
    <n v="20.63"/>
    <n v="62.3"/>
    <s v="Action"/>
    <n v="9"/>
    <n v="0"/>
    <n v="0"/>
  </r>
  <r>
    <s v="U00815"/>
    <x v="8"/>
    <n v="34"/>
    <s v="Male"/>
    <x v="1"/>
    <x v="4"/>
    <n v="11.19"/>
    <n v="3"/>
    <n v="5.9"/>
    <n v="23.82"/>
    <n v="34.5"/>
    <s v="Thriller"/>
    <n v="4"/>
    <n v="2"/>
    <n v="0"/>
  </r>
  <r>
    <s v="U00816"/>
    <x v="9"/>
    <n v="43"/>
    <s v="Female"/>
    <x v="1"/>
    <x v="1"/>
    <n v="16.239999999999998"/>
    <n v="3"/>
    <n v="4"/>
    <n v="8.11"/>
    <n v="89.7"/>
    <s v="Action"/>
    <n v="1"/>
    <n v="3"/>
    <n v="0"/>
  </r>
  <r>
    <s v="U00817"/>
    <x v="3"/>
    <n v="30"/>
    <s v="Female"/>
    <x v="0"/>
    <x v="3"/>
    <n v="23.23"/>
    <n v="4"/>
    <n v="3.8"/>
    <n v="9.98"/>
    <n v="52.4"/>
    <s v="Action"/>
    <n v="11"/>
    <n v="3"/>
    <n v="0"/>
  </r>
  <r>
    <s v="U00818"/>
    <x v="0"/>
    <n v="34"/>
    <s v="Female"/>
    <x v="2"/>
    <x v="0"/>
    <n v="13.98"/>
    <n v="2"/>
    <n v="3.5"/>
    <n v="18.71"/>
    <n v="58.3"/>
    <s v="Drama"/>
    <n v="6"/>
    <n v="1"/>
    <n v="0"/>
  </r>
  <r>
    <s v="U00819"/>
    <x v="5"/>
    <n v="55"/>
    <s v="Male"/>
    <x v="0"/>
    <x v="0"/>
    <n v="18.63"/>
    <n v="2"/>
    <n v="3.1"/>
    <n v="20.94"/>
    <n v="87.8"/>
    <s v="Drama"/>
    <n v="11"/>
    <n v="3"/>
    <n v="0"/>
  </r>
  <r>
    <s v="U00820"/>
    <x v="5"/>
    <n v="34"/>
    <s v="Male"/>
    <x v="0"/>
    <x v="0"/>
    <n v="14.31"/>
    <n v="4"/>
    <n v="8.6"/>
    <n v="24.98"/>
    <n v="81.8"/>
    <s v="Action"/>
    <n v="11"/>
    <n v="2"/>
    <n v="0"/>
  </r>
  <r>
    <s v="U00821"/>
    <x v="8"/>
    <n v="65"/>
    <s v="Male"/>
    <x v="1"/>
    <x v="3"/>
    <n v="7.43"/>
    <n v="3"/>
    <n v="9.3000000000000007"/>
    <n v="9.01"/>
    <n v="39"/>
    <s v="Thriller"/>
    <n v="5"/>
    <n v="0"/>
    <n v="0"/>
  </r>
  <r>
    <s v="U00822"/>
    <x v="7"/>
    <n v="31"/>
    <s v="Female"/>
    <x v="1"/>
    <x v="1"/>
    <n v="6.17"/>
    <n v="1"/>
    <n v="7.3"/>
    <n v="15.25"/>
    <n v="17.899999999999999"/>
    <s v="Thriller"/>
    <n v="10"/>
    <n v="0"/>
    <n v="0"/>
  </r>
  <r>
    <s v="U00823"/>
    <x v="7"/>
    <n v="62"/>
    <s v="Male"/>
    <x v="0"/>
    <x v="4"/>
    <n v="24.05"/>
    <n v="2"/>
    <n v="1.3"/>
    <n v="5.95"/>
    <n v="24.6"/>
    <s v="Comedy"/>
    <n v="3"/>
    <n v="3"/>
    <n v="0"/>
  </r>
  <r>
    <s v="U00824"/>
    <x v="6"/>
    <n v="23"/>
    <s v="Male"/>
    <x v="0"/>
    <x v="0"/>
    <n v="17.25"/>
    <n v="4"/>
    <n v="8.1"/>
    <n v="10.28"/>
    <n v="40.5"/>
    <s v="Comedy"/>
    <n v="11"/>
    <n v="4"/>
    <n v="1"/>
  </r>
  <r>
    <s v="U00825"/>
    <x v="2"/>
    <n v="52"/>
    <s v="Male"/>
    <x v="0"/>
    <x v="0"/>
    <n v="7.08"/>
    <n v="1"/>
    <n v="5.8"/>
    <n v="3.99"/>
    <n v="37.5"/>
    <s v="Action"/>
    <n v="11"/>
    <n v="1"/>
    <n v="1"/>
  </r>
  <r>
    <s v="U00826"/>
    <x v="8"/>
    <n v="63"/>
    <s v="Male"/>
    <x v="2"/>
    <x v="1"/>
    <n v="22.15"/>
    <n v="3"/>
    <n v="7.8"/>
    <n v="7.64"/>
    <n v="13.4"/>
    <s v="Action"/>
    <n v="5"/>
    <n v="3"/>
    <n v="0"/>
  </r>
  <r>
    <s v="U00827"/>
    <x v="9"/>
    <n v="31"/>
    <s v="Female"/>
    <x v="2"/>
    <x v="0"/>
    <n v="15.45"/>
    <n v="4"/>
    <n v="4.9000000000000004"/>
    <n v="14.14"/>
    <n v="48.9"/>
    <s v="Action"/>
    <n v="8"/>
    <n v="2"/>
    <n v="0"/>
  </r>
  <r>
    <s v="U00828"/>
    <x v="10"/>
    <n v="64"/>
    <s v="Female"/>
    <x v="1"/>
    <x v="0"/>
    <n v="20.440000000000001"/>
    <n v="2"/>
    <n v="1.4"/>
    <n v="6.6"/>
    <n v="19.5"/>
    <s v="Thriller"/>
    <n v="1"/>
    <n v="1"/>
    <n v="1"/>
  </r>
  <r>
    <s v="U00829"/>
    <x v="7"/>
    <n v="25"/>
    <s v="Male"/>
    <x v="2"/>
    <x v="3"/>
    <n v="7.54"/>
    <n v="1"/>
    <n v="7.1"/>
    <n v="22.57"/>
    <n v="29.9"/>
    <s v="Family"/>
    <n v="4"/>
    <n v="3"/>
    <n v="0"/>
  </r>
  <r>
    <s v="U00830"/>
    <x v="9"/>
    <n v="32"/>
    <s v="Male"/>
    <x v="2"/>
    <x v="2"/>
    <n v="23.14"/>
    <n v="1"/>
    <n v="5"/>
    <n v="18.63"/>
    <n v="80.900000000000006"/>
    <s v="Comedy"/>
    <n v="3"/>
    <n v="1"/>
    <n v="1"/>
  </r>
  <r>
    <s v="U00831"/>
    <x v="4"/>
    <n v="44"/>
    <s v="Male"/>
    <x v="0"/>
    <x v="1"/>
    <n v="16.809999999999999"/>
    <n v="2"/>
    <n v="8.9"/>
    <n v="3.61"/>
    <n v="54.5"/>
    <s v="Comedy"/>
    <n v="4"/>
    <n v="4"/>
    <n v="1"/>
  </r>
  <r>
    <s v="U00832"/>
    <x v="2"/>
    <n v="30"/>
    <s v="Female"/>
    <x v="2"/>
    <x v="1"/>
    <n v="19.77"/>
    <n v="1"/>
    <n v="7.6"/>
    <n v="22.29"/>
    <n v="43.6"/>
    <s v="Family"/>
    <n v="2"/>
    <n v="2"/>
    <n v="1"/>
  </r>
  <r>
    <s v="U00833"/>
    <x v="11"/>
    <n v="66"/>
    <s v="Male"/>
    <x v="2"/>
    <x v="1"/>
    <n v="5.63"/>
    <n v="2"/>
    <n v="4.2"/>
    <n v="24.5"/>
    <n v="26.7"/>
    <s v="Action"/>
    <n v="2"/>
    <n v="3"/>
    <n v="0"/>
  </r>
  <r>
    <s v="U00834"/>
    <x v="10"/>
    <n v="48"/>
    <s v="Female"/>
    <x v="0"/>
    <x v="3"/>
    <n v="11.31"/>
    <n v="4"/>
    <n v="7.5"/>
    <n v="14.04"/>
    <n v="88"/>
    <s v="Comedy"/>
    <n v="2"/>
    <n v="0"/>
    <n v="0"/>
  </r>
  <r>
    <s v="U00835"/>
    <x v="0"/>
    <n v="52"/>
    <s v="Female"/>
    <x v="0"/>
    <x v="3"/>
    <n v="10.35"/>
    <n v="5"/>
    <n v="5.5"/>
    <n v="9.92"/>
    <n v="91.3"/>
    <s v="Thriller"/>
    <n v="3"/>
    <n v="2"/>
    <n v="0"/>
  </r>
  <r>
    <s v="U00836"/>
    <x v="4"/>
    <n v="23"/>
    <s v="Male"/>
    <x v="0"/>
    <x v="4"/>
    <n v="23.99"/>
    <n v="3"/>
    <n v="2.8"/>
    <n v="8.8000000000000007"/>
    <n v="56.7"/>
    <s v="Family"/>
    <n v="9"/>
    <n v="4"/>
    <n v="0"/>
  </r>
  <r>
    <s v="U00837"/>
    <x v="4"/>
    <n v="22"/>
    <s v="Male"/>
    <x v="0"/>
    <x v="3"/>
    <n v="8.7100000000000009"/>
    <n v="4"/>
    <n v="4.8"/>
    <n v="4.92"/>
    <n v="92.9"/>
    <s v="Thriller"/>
    <n v="5"/>
    <n v="4"/>
    <n v="0"/>
  </r>
  <r>
    <s v="U00838"/>
    <x v="8"/>
    <n v="39"/>
    <s v="Male"/>
    <x v="2"/>
    <x v="1"/>
    <n v="19.14"/>
    <n v="3"/>
    <n v="3"/>
    <n v="13.82"/>
    <n v="51.8"/>
    <s v="Action"/>
    <n v="4"/>
    <n v="0"/>
    <n v="0"/>
  </r>
  <r>
    <s v="U00839"/>
    <x v="2"/>
    <n v="66"/>
    <s v="Female"/>
    <x v="1"/>
    <x v="4"/>
    <n v="5.86"/>
    <n v="3"/>
    <n v="1"/>
    <n v="4.0999999999999996"/>
    <n v="19.7"/>
    <s v="Comedy"/>
    <n v="4"/>
    <n v="2"/>
    <n v="0"/>
  </r>
  <r>
    <s v="U00840"/>
    <x v="6"/>
    <n v="40"/>
    <s v="Female"/>
    <x v="2"/>
    <x v="2"/>
    <n v="8.9499999999999993"/>
    <n v="2"/>
    <n v="3.2"/>
    <n v="14.08"/>
    <n v="11.5"/>
    <s v="Thriller"/>
    <n v="3"/>
    <n v="3"/>
    <n v="0"/>
  </r>
  <r>
    <s v="U00841"/>
    <x v="0"/>
    <n v="42"/>
    <s v="Male"/>
    <x v="2"/>
    <x v="0"/>
    <n v="11.77"/>
    <n v="5"/>
    <n v="2.9"/>
    <n v="8.56"/>
    <n v="21.6"/>
    <s v="Family"/>
    <n v="9"/>
    <n v="0"/>
    <n v="0"/>
  </r>
  <r>
    <s v="U00842"/>
    <x v="7"/>
    <n v="51"/>
    <s v="Female"/>
    <x v="1"/>
    <x v="0"/>
    <n v="20.89"/>
    <n v="3"/>
    <n v="1"/>
    <n v="13.48"/>
    <n v="66"/>
    <s v="Action"/>
    <n v="11"/>
    <n v="3"/>
    <n v="0"/>
  </r>
  <r>
    <s v="U00843"/>
    <x v="9"/>
    <n v="43"/>
    <s v="Male"/>
    <x v="1"/>
    <x v="4"/>
    <n v="20.8"/>
    <n v="3"/>
    <n v="8.1"/>
    <n v="12.2"/>
    <n v="38.9"/>
    <s v="Comedy"/>
    <n v="10"/>
    <n v="1"/>
    <n v="0"/>
  </r>
  <r>
    <s v="U00844"/>
    <x v="8"/>
    <n v="64"/>
    <s v="Male"/>
    <x v="0"/>
    <x v="2"/>
    <n v="24.05"/>
    <n v="4"/>
    <n v="1.7"/>
    <n v="9.7100000000000009"/>
    <n v="68.3"/>
    <s v="Comedy"/>
    <n v="1"/>
    <n v="3"/>
    <n v="0"/>
  </r>
  <r>
    <s v="U00845"/>
    <x v="7"/>
    <n v="22"/>
    <s v="Female"/>
    <x v="1"/>
    <x v="0"/>
    <n v="23.34"/>
    <n v="5"/>
    <n v="5"/>
    <n v="12.87"/>
    <n v="55.7"/>
    <s v="Action"/>
    <n v="6"/>
    <n v="1"/>
    <n v="0"/>
  </r>
  <r>
    <s v="U00846"/>
    <x v="8"/>
    <n v="43"/>
    <s v="Female"/>
    <x v="1"/>
    <x v="4"/>
    <n v="6.63"/>
    <n v="5"/>
    <n v="4.8"/>
    <n v="13.43"/>
    <n v="40"/>
    <s v="Action"/>
    <n v="4"/>
    <n v="3"/>
    <n v="1"/>
  </r>
  <r>
    <s v="U00847"/>
    <x v="8"/>
    <n v="37"/>
    <s v="Female"/>
    <x v="0"/>
    <x v="3"/>
    <n v="21.6"/>
    <n v="3"/>
    <n v="2.6"/>
    <n v="21.34"/>
    <n v="29.7"/>
    <s v="Action"/>
    <n v="8"/>
    <n v="1"/>
    <n v="0"/>
  </r>
  <r>
    <s v="U00848"/>
    <x v="8"/>
    <n v="23"/>
    <s v="Female"/>
    <x v="0"/>
    <x v="1"/>
    <n v="14.02"/>
    <n v="5"/>
    <n v="9.6999999999999993"/>
    <n v="17.649999999999999"/>
    <n v="17.3"/>
    <s v="Thriller"/>
    <n v="7"/>
    <n v="2"/>
    <n v="1"/>
  </r>
  <r>
    <s v="U00849"/>
    <x v="2"/>
    <n v="23"/>
    <s v="Male"/>
    <x v="2"/>
    <x v="2"/>
    <n v="22.32"/>
    <n v="4"/>
    <n v="6.4"/>
    <n v="12.53"/>
    <n v="80.400000000000006"/>
    <s v="Drama"/>
    <n v="3"/>
    <n v="4"/>
    <n v="1"/>
  </r>
  <r>
    <s v="U00850"/>
    <x v="6"/>
    <n v="67"/>
    <s v="Male"/>
    <x v="1"/>
    <x v="0"/>
    <n v="6.79"/>
    <n v="2"/>
    <n v="8.3000000000000007"/>
    <n v="22.92"/>
    <n v="83.7"/>
    <s v="Comedy"/>
    <n v="5"/>
    <n v="2"/>
    <n v="0"/>
  </r>
  <r>
    <s v="U00851"/>
    <x v="8"/>
    <n v="35"/>
    <s v="Male"/>
    <x v="0"/>
    <x v="1"/>
    <n v="21.46"/>
    <n v="3"/>
    <n v="5.5"/>
    <n v="19.63"/>
    <n v="58.7"/>
    <s v="Thriller"/>
    <n v="11"/>
    <n v="0"/>
    <n v="0"/>
  </r>
  <r>
    <s v="U00852"/>
    <x v="1"/>
    <n v="21"/>
    <s v="Female"/>
    <x v="1"/>
    <x v="4"/>
    <n v="8.19"/>
    <n v="1"/>
    <n v="7.5"/>
    <n v="4.67"/>
    <n v="24.1"/>
    <s v="Family"/>
    <n v="11"/>
    <n v="2"/>
    <n v="0"/>
  </r>
  <r>
    <s v="U00853"/>
    <x v="11"/>
    <n v="34"/>
    <s v="Male"/>
    <x v="2"/>
    <x v="0"/>
    <n v="11.68"/>
    <n v="3"/>
    <n v="9.6999999999999993"/>
    <n v="6.38"/>
    <n v="33.700000000000003"/>
    <s v="Comedy"/>
    <n v="4"/>
    <n v="2"/>
    <n v="1"/>
  </r>
  <r>
    <s v="U00854"/>
    <x v="7"/>
    <n v="31"/>
    <s v="Female"/>
    <x v="1"/>
    <x v="1"/>
    <n v="5.58"/>
    <n v="3"/>
    <n v="4.0999999999999996"/>
    <n v="4.8"/>
    <n v="96"/>
    <s v="Drama"/>
    <n v="4"/>
    <n v="4"/>
    <n v="0"/>
  </r>
  <r>
    <s v="U00855"/>
    <x v="10"/>
    <n v="31"/>
    <s v="Female"/>
    <x v="0"/>
    <x v="3"/>
    <n v="7.47"/>
    <n v="2"/>
    <n v="5.5"/>
    <n v="10.01"/>
    <n v="30.3"/>
    <s v="Family"/>
    <n v="10"/>
    <n v="2"/>
    <n v="0"/>
  </r>
  <r>
    <s v="U00856"/>
    <x v="3"/>
    <n v="30"/>
    <s v="Female"/>
    <x v="2"/>
    <x v="2"/>
    <n v="13.91"/>
    <n v="1"/>
    <n v="5.6"/>
    <n v="12.58"/>
    <n v="15.1"/>
    <s v="Comedy"/>
    <n v="8"/>
    <n v="0"/>
    <n v="0"/>
  </r>
  <r>
    <s v="U00857"/>
    <x v="9"/>
    <n v="24"/>
    <s v="Male"/>
    <x v="1"/>
    <x v="4"/>
    <n v="21.37"/>
    <n v="1"/>
    <n v="9.9"/>
    <n v="14.09"/>
    <n v="59.5"/>
    <s v="Drama"/>
    <n v="9"/>
    <n v="2"/>
    <n v="1"/>
  </r>
  <r>
    <s v="U00858"/>
    <x v="0"/>
    <n v="61"/>
    <s v="Female"/>
    <x v="0"/>
    <x v="0"/>
    <n v="20.47"/>
    <n v="1"/>
    <n v="3.1"/>
    <n v="21.73"/>
    <n v="33.6"/>
    <s v="Action"/>
    <n v="11"/>
    <n v="2"/>
    <n v="1"/>
  </r>
  <r>
    <s v="U00859"/>
    <x v="5"/>
    <n v="32"/>
    <s v="Female"/>
    <x v="1"/>
    <x v="3"/>
    <n v="9.7100000000000009"/>
    <n v="2"/>
    <n v="7.1"/>
    <n v="3.4"/>
    <n v="96.2"/>
    <s v="Drama"/>
    <n v="4"/>
    <n v="2"/>
    <n v="0"/>
  </r>
  <r>
    <s v="U00860"/>
    <x v="6"/>
    <n v="36"/>
    <s v="Female"/>
    <x v="2"/>
    <x v="2"/>
    <n v="8.0299999999999994"/>
    <n v="5"/>
    <n v="2.2000000000000002"/>
    <n v="12.42"/>
    <n v="61.7"/>
    <s v="Comedy"/>
    <n v="2"/>
    <n v="2"/>
    <n v="0"/>
  </r>
  <r>
    <s v="U00861"/>
    <x v="10"/>
    <n v="60"/>
    <s v="Female"/>
    <x v="0"/>
    <x v="2"/>
    <n v="12.79"/>
    <n v="1"/>
    <n v="9.3000000000000007"/>
    <n v="12.04"/>
    <n v="96.9"/>
    <s v="Drama"/>
    <n v="1"/>
    <n v="4"/>
    <n v="0"/>
  </r>
  <r>
    <s v="U00862"/>
    <x v="4"/>
    <n v="64"/>
    <s v="Female"/>
    <x v="0"/>
    <x v="3"/>
    <n v="22.67"/>
    <n v="5"/>
    <n v="6.3"/>
    <n v="23.84"/>
    <n v="80.7"/>
    <s v="Comedy"/>
    <n v="10"/>
    <n v="4"/>
    <n v="0"/>
  </r>
  <r>
    <s v="U00863"/>
    <x v="1"/>
    <n v="61"/>
    <s v="Female"/>
    <x v="0"/>
    <x v="0"/>
    <n v="6.83"/>
    <n v="4"/>
    <n v="8.6999999999999993"/>
    <n v="8.3000000000000007"/>
    <n v="75.099999999999994"/>
    <s v="Comedy"/>
    <n v="4"/>
    <n v="0"/>
    <n v="1"/>
  </r>
  <r>
    <s v="U00864"/>
    <x v="5"/>
    <n v="52"/>
    <s v="Female"/>
    <x v="2"/>
    <x v="2"/>
    <n v="15.86"/>
    <n v="2"/>
    <n v="9.1"/>
    <n v="5.69"/>
    <n v="84.7"/>
    <s v="Drama"/>
    <n v="8"/>
    <n v="0"/>
    <n v="0"/>
  </r>
  <r>
    <s v="U00865"/>
    <x v="3"/>
    <n v="34"/>
    <s v="Female"/>
    <x v="0"/>
    <x v="4"/>
    <n v="6.78"/>
    <n v="5"/>
    <n v="6"/>
    <n v="6.13"/>
    <n v="64.400000000000006"/>
    <s v="Drama"/>
    <n v="5"/>
    <n v="0"/>
    <n v="0"/>
  </r>
  <r>
    <s v="U00866"/>
    <x v="10"/>
    <n v="52"/>
    <s v="Female"/>
    <x v="1"/>
    <x v="1"/>
    <n v="14.4"/>
    <n v="1"/>
    <n v="7.1"/>
    <n v="14.44"/>
    <n v="11"/>
    <s v="Family"/>
    <n v="2"/>
    <n v="2"/>
    <n v="1"/>
  </r>
  <r>
    <s v="U00867"/>
    <x v="5"/>
    <n v="36"/>
    <s v="Female"/>
    <x v="2"/>
    <x v="4"/>
    <n v="7.54"/>
    <n v="1"/>
    <n v="7.3"/>
    <n v="11.6"/>
    <n v="45.3"/>
    <s v="Family"/>
    <n v="11"/>
    <n v="3"/>
    <n v="0"/>
  </r>
  <r>
    <s v="U00868"/>
    <x v="10"/>
    <n v="37"/>
    <s v="Female"/>
    <x v="0"/>
    <x v="2"/>
    <n v="6.61"/>
    <n v="5"/>
    <n v="5.0999999999999996"/>
    <n v="19.59"/>
    <n v="29.7"/>
    <s v="Thriller"/>
    <n v="4"/>
    <n v="2"/>
    <n v="1"/>
  </r>
  <r>
    <s v="U00869"/>
    <x v="9"/>
    <n v="53"/>
    <s v="Female"/>
    <x v="2"/>
    <x v="1"/>
    <n v="8.82"/>
    <n v="5"/>
    <n v="4.9000000000000004"/>
    <n v="10.11"/>
    <n v="49.1"/>
    <s v="Comedy"/>
    <n v="4"/>
    <n v="3"/>
    <n v="0"/>
  </r>
  <r>
    <s v="U00870"/>
    <x v="1"/>
    <n v="52"/>
    <s v="Male"/>
    <x v="2"/>
    <x v="3"/>
    <n v="10.11"/>
    <n v="4"/>
    <n v="2.7"/>
    <n v="5.82"/>
    <n v="52.3"/>
    <s v="Family"/>
    <n v="10"/>
    <n v="0"/>
    <n v="0"/>
  </r>
  <r>
    <s v="U00871"/>
    <x v="3"/>
    <n v="49"/>
    <s v="Male"/>
    <x v="2"/>
    <x v="1"/>
    <n v="10.53"/>
    <n v="2"/>
    <n v="4.5"/>
    <n v="11.51"/>
    <n v="21.5"/>
    <s v="Thriller"/>
    <n v="5"/>
    <n v="2"/>
    <n v="0"/>
  </r>
  <r>
    <s v="U00872"/>
    <x v="4"/>
    <n v="65"/>
    <s v="Female"/>
    <x v="0"/>
    <x v="1"/>
    <n v="17.91"/>
    <n v="3"/>
    <n v="9.9"/>
    <n v="22.43"/>
    <n v="12.1"/>
    <s v="Comedy"/>
    <n v="2"/>
    <n v="0"/>
    <n v="1"/>
  </r>
  <r>
    <s v="U00873"/>
    <x v="8"/>
    <n v="61"/>
    <s v="Female"/>
    <x v="1"/>
    <x v="1"/>
    <n v="6.1"/>
    <n v="4"/>
    <n v="3.4"/>
    <n v="11.92"/>
    <n v="22.4"/>
    <s v="Thriller"/>
    <n v="7"/>
    <n v="4"/>
    <n v="0"/>
  </r>
  <r>
    <s v="U00874"/>
    <x v="7"/>
    <n v="57"/>
    <s v="Female"/>
    <x v="2"/>
    <x v="2"/>
    <n v="6.62"/>
    <n v="4"/>
    <n v="7.9"/>
    <n v="21.34"/>
    <n v="87.2"/>
    <s v="Family"/>
    <n v="5"/>
    <n v="0"/>
    <n v="0"/>
  </r>
  <r>
    <s v="U00875"/>
    <x v="4"/>
    <n v="41"/>
    <s v="Male"/>
    <x v="2"/>
    <x v="0"/>
    <n v="8.77"/>
    <n v="4"/>
    <n v="1.5"/>
    <n v="11.17"/>
    <n v="78"/>
    <s v="Thriller"/>
    <n v="4"/>
    <n v="2"/>
    <n v="1"/>
  </r>
  <r>
    <s v="U00876"/>
    <x v="8"/>
    <n v="34"/>
    <s v="Male"/>
    <x v="0"/>
    <x v="2"/>
    <n v="22.44"/>
    <n v="1"/>
    <n v="5.2"/>
    <n v="9.19"/>
    <n v="81.900000000000006"/>
    <s v="Drama"/>
    <n v="8"/>
    <n v="4"/>
    <n v="1"/>
  </r>
  <r>
    <s v="U00877"/>
    <x v="2"/>
    <n v="24"/>
    <s v="Male"/>
    <x v="2"/>
    <x v="0"/>
    <n v="17.57"/>
    <n v="5"/>
    <n v="1.5"/>
    <n v="20.05"/>
    <n v="34.9"/>
    <s v="Thriller"/>
    <n v="2"/>
    <n v="4"/>
    <n v="1"/>
  </r>
  <r>
    <s v="U00878"/>
    <x v="2"/>
    <n v="60"/>
    <s v="Female"/>
    <x v="1"/>
    <x v="3"/>
    <n v="19.61"/>
    <n v="2"/>
    <n v="5.3"/>
    <n v="7.6"/>
    <n v="31.2"/>
    <s v="Action"/>
    <n v="1"/>
    <n v="3"/>
    <n v="0"/>
  </r>
  <r>
    <s v="U00879"/>
    <x v="2"/>
    <n v="67"/>
    <s v="Female"/>
    <x v="0"/>
    <x v="3"/>
    <n v="12.41"/>
    <n v="1"/>
    <n v="1.2"/>
    <n v="8.1"/>
    <n v="13.4"/>
    <s v="Action"/>
    <n v="6"/>
    <n v="1"/>
    <n v="0"/>
  </r>
  <r>
    <s v="U00880"/>
    <x v="6"/>
    <n v="18"/>
    <s v="Female"/>
    <x v="1"/>
    <x v="3"/>
    <n v="9.26"/>
    <n v="4"/>
    <n v="6.5"/>
    <n v="4.0999999999999996"/>
    <n v="52.5"/>
    <s v="Thriller"/>
    <n v="10"/>
    <n v="4"/>
    <n v="1"/>
  </r>
  <r>
    <s v="U00881"/>
    <x v="11"/>
    <n v="52"/>
    <s v="Female"/>
    <x v="2"/>
    <x v="3"/>
    <n v="5.76"/>
    <n v="2"/>
    <n v="6.3"/>
    <n v="7.13"/>
    <n v="44.4"/>
    <s v="Action"/>
    <n v="10"/>
    <n v="1"/>
    <n v="0"/>
  </r>
  <r>
    <s v="U00882"/>
    <x v="0"/>
    <n v="49"/>
    <s v="Male"/>
    <x v="1"/>
    <x v="3"/>
    <n v="14.77"/>
    <n v="1"/>
    <n v="8.1999999999999993"/>
    <n v="11.33"/>
    <n v="85.2"/>
    <s v="Thriller"/>
    <n v="8"/>
    <n v="0"/>
    <n v="0"/>
  </r>
  <r>
    <s v="U00883"/>
    <x v="0"/>
    <n v="53"/>
    <s v="Female"/>
    <x v="1"/>
    <x v="4"/>
    <n v="16.489999999999998"/>
    <n v="3"/>
    <n v="6.2"/>
    <n v="11.79"/>
    <n v="71.400000000000006"/>
    <s v="Thriller"/>
    <n v="7"/>
    <n v="0"/>
    <n v="0"/>
  </r>
  <r>
    <s v="U00884"/>
    <x v="2"/>
    <n v="30"/>
    <s v="Male"/>
    <x v="2"/>
    <x v="2"/>
    <n v="22.94"/>
    <n v="4"/>
    <n v="9.3000000000000007"/>
    <n v="12.25"/>
    <n v="23"/>
    <s v="Thriller"/>
    <n v="9"/>
    <n v="4"/>
    <n v="0"/>
  </r>
  <r>
    <s v="U00885"/>
    <x v="7"/>
    <n v="23"/>
    <s v="Male"/>
    <x v="1"/>
    <x v="0"/>
    <n v="22.64"/>
    <n v="1"/>
    <n v="8"/>
    <n v="13.55"/>
    <n v="98.8"/>
    <s v="Action"/>
    <n v="1"/>
    <n v="3"/>
    <n v="0"/>
  </r>
  <r>
    <s v="U00886"/>
    <x v="3"/>
    <n v="31"/>
    <s v="Female"/>
    <x v="1"/>
    <x v="3"/>
    <n v="13.49"/>
    <n v="1"/>
    <n v="2.2000000000000002"/>
    <n v="15.58"/>
    <n v="79.400000000000006"/>
    <s v="Comedy"/>
    <n v="3"/>
    <n v="0"/>
    <n v="0"/>
  </r>
  <r>
    <s v="U00887"/>
    <x v="1"/>
    <n v="54"/>
    <s v="Male"/>
    <x v="1"/>
    <x v="4"/>
    <n v="13.47"/>
    <n v="4"/>
    <n v="3.4"/>
    <n v="7.17"/>
    <n v="74.8"/>
    <s v="Thriller"/>
    <n v="9"/>
    <n v="1"/>
    <n v="0"/>
  </r>
  <r>
    <s v="U00888"/>
    <x v="3"/>
    <n v="65"/>
    <s v="Male"/>
    <x v="1"/>
    <x v="4"/>
    <n v="8.2200000000000006"/>
    <n v="3"/>
    <n v="1.2"/>
    <n v="16.510000000000002"/>
    <n v="29.5"/>
    <s v="Thriller"/>
    <n v="5"/>
    <n v="4"/>
    <n v="0"/>
  </r>
  <r>
    <s v="U00889"/>
    <x v="1"/>
    <n v="32"/>
    <s v="Male"/>
    <x v="1"/>
    <x v="4"/>
    <n v="10.15"/>
    <n v="5"/>
    <n v="4.5"/>
    <n v="10.4"/>
    <n v="91.5"/>
    <s v="Drama"/>
    <n v="6"/>
    <n v="4"/>
    <n v="1"/>
  </r>
  <r>
    <s v="U00890"/>
    <x v="3"/>
    <n v="64"/>
    <s v="Male"/>
    <x v="2"/>
    <x v="2"/>
    <n v="23.51"/>
    <n v="3"/>
    <n v="5.6"/>
    <n v="19.149999999999999"/>
    <n v="52.7"/>
    <s v="Drama"/>
    <n v="11"/>
    <n v="3"/>
    <n v="0"/>
  </r>
  <r>
    <s v="U00891"/>
    <x v="11"/>
    <n v="21"/>
    <s v="Female"/>
    <x v="1"/>
    <x v="3"/>
    <n v="7.82"/>
    <n v="4"/>
    <n v="9.5"/>
    <n v="15.26"/>
    <n v="36.799999999999997"/>
    <s v="Family"/>
    <n v="7"/>
    <n v="4"/>
    <n v="0"/>
  </r>
  <r>
    <s v="U00892"/>
    <x v="6"/>
    <n v="57"/>
    <s v="Female"/>
    <x v="2"/>
    <x v="4"/>
    <n v="24.37"/>
    <n v="5"/>
    <n v="5.7"/>
    <n v="15.19"/>
    <n v="68.900000000000006"/>
    <s v="Action"/>
    <n v="3"/>
    <n v="2"/>
    <n v="1"/>
  </r>
  <r>
    <s v="U00893"/>
    <x v="6"/>
    <n v="33"/>
    <s v="Male"/>
    <x v="0"/>
    <x v="4"/>
    <n v="15.09"/>
    <n v="1"/>
    <n v="8"/>
    <n v="18.079999999999998"/>
    <n v="29.1"/>
    <s v="Comedy"/>
    <n v="7"/>
    <n v="1"/>
    <n v="0"/>
  </r>
  <r>
    <s v="U00894"/>
    <x v="2"/>
    <n v="45"/>
    <s v="Female"/>
    <x v="0"/>
    <x v="3"/>
    <n v="14.13"/>
    <n v="3"/>
    <n v="3.4"/>
    <n v="10.33"/>
    <n v="91.7"/>
    <s v="Thriller"/>
    <n v="3"/>
    <n v="2"/>
    <n v="0"/>
  </r>
  <r>
    <s v="U00895"/>
    <x v="8"/>
    <n v="33"/>
    <s v="Male"/>
    <x v="1"/>
    <x v="2"/>
    <n v="8.49"/>
    <n v="3"/>
    <n v="2.4"/>
    <n v="12.44"/>
    <n v="86.9"/>
    <s v="Thriller"/>
    <n v="6"/>
    <n v="2"/>
    <n v="1"/>
  </r>
  <r>
    <s v="U00896"/>
    <x v="5"/>
    <n v="21"/>
    <s v="Female"/>
    <x v="0"/>
    <x v="4"/>
    <n v="18.23"/>
    <n v="5"/>
    <n v="8.3000000000000007"/>
    <n v="15.82"/>
    <n v="51.8"/>
    <s v="Action"/>
    <n v="8"/>
    <n v="1"/>
    <n v="0"/>
  </r>
  <r>
    <s v="U00897"/>
    <x v="6"/>
    <n v="62"/>
    <s v="Female"/>
    <x v="0"/>
    <x v="0"/>
    <n v="14.2"/>
    <n v="1"/>
    <n v="3.2"/>
    <n v="12.27"/>
    <n v="27.2"/>
    <s v="Family"/>
    <n v="7"/>
    <n v="4"/>
    <n v="0"/>
  </r>
  <r>
    <s v="U00898"/>
    <x v="6"/>
    <n v="43"/>
    <s v="Female"/>
    <x v="1"/>
    <x v="1"/>
    <n v="12.41"/>
    <n v="3"/>
    <n v="8.8000000000000007"/>
    <n v="12.77"/>
    <n v="54.7"/>
    <s v="Family"/>
    <n v="5"/>
    <n v="4"/>
    <n v="1"/>
  </r>
  <r>
    <s v="U00899"/>
    <x v="4"/>
    <n v="45"/>
    <s v="Female"/>
    <x v="0"/>
    <x v="1"/>
    <n v="10.29"/>
    <n v="5"/>
    <n v="2.5"/>
    <n v="8.99"/>
    <n v="23.4"/>
    <s v="Drama"/>
    <n v="6"/>
    <n v="2"/>
    <n v="0"/>
  </r>
  <r>
    <s v="U00900"/>
    <x v="4"/>
    <n v="49"/>
    <s v="Female"/>
    <x v="0"/>
    <x v="1"/>
    <n v="6.33"/>
    <n v="3"/>
    <n v="8.6999999999999993"/>
    <n v="9.32"/>
    <n v="34.299999999999997"/>
    <s v="Action"/>
    <n v="4"/>
    <n v="1"/>
    <n v="0"/>
  </r>
  <r>
    <s v="U00901"/>
    <x v="8"/>
    <n v="62"/>
    <s v="Male"/>
    <x v="1"/>
    <x v="2"/>
    <n v="15.39"/>
    <n v="1"/>
    <n v="8"/>
    <n v="18.38"/>
    <n v="53.4"/>
    <s v="Family"/>
    <n v="2"/>
    <n v="0"/>
    <n v="1"/>
  </r>
  <r>
    <s v="U00902"/>
    <x v="9"/>
    <n v="19"/>
    <s v="Female"/>
    <x v="1"/>
    <x v="4"/>
    <n v="11.26"/>
    <n v="1"/>
    <n v="6.5"/>
    <n v="3.09"/>
    <n v="11.9"/>
    <s v="Family"/>
    <n v="7"/>
    <n v="1"/>
    <n v="0"/>
  </r>
  <r>
    <s v="U00903"/>
    <x v="5"/>
    <n v="48"/>
    <s v="Male"/>
    <x v="2"/>
    <x v="1"/>
    <n v="19.16"/>
    <n v="2"/>
    <n v="8.6999999999999993"/>
    <n v="5.0999999999999996"/>
    <n v="78.900000000000006"/>
    <s v="Comedy"/>
    <n v="4"/>
    <n v="2"/>
    <n v="1"/>
  </r>
  <r>
    <s v="U00904"/>
    <x v="7"/>
    <n v="20"/>
    <s v="Male"/>
    <x v="1"/>
    <x v="1"/>
    <n v="19.47"/>
    <n v="5"/>
    <n v="4"/>
    <n v="23.87"/>
    <n v="27.7"/>
    <s v="Drama"/>
    <n v="6"/>
    <n v="1"/>
    <n v="0"/>
  </r>
  <r>
    <s v="U00905"/>
    <x v="4"/>
    <n v="25"/>
    <s v="Female"/>
    <x v="1"/>
    <x v="3"/>
    <n v="11.64"/>
    <n v="4"/>
    <n v="2.5"/>
    <n v="7.11"/>
    <n v="88"/>
    <s v="Drama"/>
    <n v="10"/>
    <n v="1"/>
    <n v="0"/>
  </r>
  <r>
    <s v="U00906"/>
    <x v="7"/>
    <n v="41"/>
    <s v="Male"/>
    <x v="2"/>
    <x v="4"/>
    <n v="18.38"/>
    <n v="3"/>
    <n v="2.4"/>
    <n v="12.2"/>
    <n v="12"/>
    <s v="Drama"/>
    <n v="2"/>
    <n v="0"/>
    <n v="0"/>
  </r>
  <r>
    <s v="U00907"/>
    <x v="10"/>
    <n v="32"/>
    <s v="Female"/>
    <x v="2"/>
    <x v="4"/>
    <n v="10.17"/>
    <n v="1"/>
    <n v="3.4"/>
    <n v="21.69"/>
    <n v="57.9"/>
    <s v="Family"/>
    <n v="2"/>
    <n v="3"/>
    <n v="0"/>
  </r>
  <r>
    <s v="U00908"/>
    <x v="4"/>
    <n v="60"/>
    <s v="Male"/>
    <x v="0"/>
    <x v="3"/>
    <n v="19.54"/>
    <n v="3"/>
    <n v="5"/>
    <n v="3"/>
    <n v="79.900000000000006"/>
    <s v="Thriller"/>
    <n v="6"/>
    <n v="3"/>
    <n v="0"/>
  </r>
  <r>
    <s v="U00909"/>
    <x v="11"/>
    <n v="48"/>
    <s v="Male"/>
    <x v="0"/>
    <x v="4"/>
    <n v="5.32"/>
    <n v="3"/>
    <n v="8.9"/>
    <n v="23.35"/>
    <n v="31.4"/>
    <s v="Family"/>
    <n v="8"/>
    <n v="0"/>
    <n v="0"/>
  </r>
  <r>
    <s v="U00910"/>
    <x v="9"/>
    <n v="26"/>
    <s v="Female"/>
    <x v="1"/>
    <x v="0"/>
    <n v="8.0299999999999994"/>
    <n v="4"/>
    <n v="1.8"/>
    <n v="4.18"/>
    <n v="73.7"/>
    <s v="Family"/>
    <n v="1"/>
    <n v="1"/>
    <n v="1"/>
  </r>
  <r>
    <s v="U00911"/>
    <x v="5"/>
    <n v="56"/>
    <s v="Female"/>
    <x v="1"/>
    <x v="2"/>
    <n v="9.9"/>
    <n v="1"/>
    <n v="9.1999999999999993"/>
    <n v="6.76"/>
    <n v="74.900000000000006"/>
    <s v="Action"/>
    <n v="10"/>
    <n v="2"/>
    <n v="1"/>
  </r>
  <r>
    <s v="U00912"/>
    <x v="8"/>
    <n v="62"/>
    <s v="Female"/>
    <x v="2"/>
    <x v="3"/>
    <n v="20.46"/>
    <n v="2"/>
    <n v="9.3000000000000007"/>
    <n v="3.64"/>
    <n v="67.400000000000006"/>
    <s v="Drama"/>
    <n v="7"/>
    <n v="0"/>
    <n v="0"/>
  </r>
  <r>
    <s v="U00913"/>
    <x v="10"/>
    <n v="19"/>
    <s v="Female"/>
    <x v="2"/>
    <x v="1"/>
    <n v="6.33"/>
    <n v="5"/>
    <n v="7.5"/>
    <n v="14.43"/>
    <n v="42.8"/>
    <s v="Drama"/>
    <n v="6"/>
    <n v="3"/>
    <n v="0"/>
  </r>
  <r>
    <s v="U00914"/>
    <x v="5"/>
    <n v="25"/>
    <s v="Male"/>
    <x v="1"/>
    <x v="4"/>
    <n v="8.76"/>
    <n v="3"/>
    <n v="9.1"/>
    <n v="23.75"/>
    <n v="80.7"/>
    <s v="Comedy"/>
    <n v="5"/>
    <n v="3"/>
    <n v="0"/>
  </r>
  <r>
    <s v="U00915"/>
    <x v="2"/>
    <n v="24"/>
    <s v="Female"/>
    <x v="2"/>
    <x v="0"/>
    <n v="12.17"/>
    <n v="4"/>
    <n v="7.9"/>
    <n v="21.46"/>
    <n v="66.599999999999994"/>
    <s v="Drama"/>
    <n v="10"/>
    <n v="0"/>
    <n v="1"/>
  </r>
  <r>
    <s v="U00916"/>
    <x v="11"/>
    <n v="61"/>
    <s v="Male"/>
    <x v="1"/>
    <x v="0"/>
    <n v="5.18"/>
    <n v="4"/>
    <n v="5.8"/>
    <n v="17.07"/>
    <n v="63.1"/>
    <s v="Family"/>
    <n v="8"/>
    <n v="1"/>
    <n v="0"/>
  </r>
  <r>
    <s v="U00917"/>
    <x v="5"/>
    <n v="68"/>
    <s v="Male"/>
    <x v="0"/>
    <x v="2"/>
    <n v="20.239999999999998"/>
    <n v="5"/>
    <n v="6.4"/>
    <n v="7.08"/>
    <n v="83.7"/>
    <s v="Action"/>
    <n v="1"/>
    <n v="4"/>
    <n v="1"/>
  </r>
  <r>
    <s v="U00918"/>
    <x v="11"/>
    <n v="56"/>
    <s v="Male"/>
    <x v="2"/>
    <x v="0"/>
    <n v="16.2"/>
    <n v="5"/>
    <n v="6.7"/>
    <n v="22.13"/>
    <n v="32"/>
    <s v="Comedy"/>
    <n v="5"/>
    <n v="2"/>
    <n v="1"/>
  </r>
  <r>
    <s v="U00919"/>
    <x v="11"/>
    <n v="59"/>
    <s v="Male"/>
    <x v="0"/>
    <x v="4"/>
    <n v="23.01"/>
    <n v="1"/>
    <n v="2.1"/>
    <n v="19.61"/>
    <n v="30.9"/>
    <s v="Family"/>
    <n v="6"/>
    <n v="4"/>
    <n v="0"/>
  </r>
  <r>
    <s v="U00920"/>
    <x v="7"/>
    <n v="33"/>
    <s v="Male"/>
    <x v="2"/>
    <x v="4"/>
    <n v="5.62"/>
    <n v="3"/>
    <n v="2.7"/>
    <n v="8.8699999999999992"/>
    <n v="44.8"/>
    <s v="Family"/>
    <n v="4"/>
    <n v="2"/>
    <n v="0"/>
  </r>
  <r>
    <s v="U00921"/>
    <x v="3"/>
    <n v="52"/>
    <s v="Male"/>
    <x v="2"/>
    <x v="0"/>
    <n v="10.43"/>
    <n v="3"/>
    <n v="5.7"/>
    <n v="20.71"/>
    <n v="16.600000000000001"/>
    <s v="Comedy"/>
    <n v="10"/>
    <n v="4"/>
    <n v="0"/>
  </r>
  <r>
    <s v="U00922"/>
    <x v="2"/>
    <n v="47"/>
    <s v="Female"/>
    <x v="1"/>
    <x v="4"/>
    <n v="19.63"/>
    <n v="5"/>
    <n v="2"/>
    <n v="22.3"/>
    <n v="40.4"/>
    <s v="Family"/>
    <n v="11"/>
    <n v="4"/>
    <n v="1"/>
  </r>
  <r>
    <s v="U00923"/>
    <x v="10"/>
    <n v="27"/>
    <s v="Male"/>
    <x v="1"/>
    <x v="4"/>
    <n v="18.5"/>
    <n v="2"/>
    <n v="9.6999999999999993"/>
    <n v="18.36"/>
    <n v="46.6"/>
    <s v="Family"/>
    <n v="10"/>
    <n v="2"/>
    <n v="0"/>
  </r>
  <r>
    <s v="U00924"/>
    <x v="5"/>
    <n v="55"/>
    <s v="Male"/>
    <x v="1"/>
    <x v="1"/>
    <n v="9.86"/>
    <n v="3"/>
    <n v="5.6"/>
    <n v="5.21"/>
    <n v="54.6"/>
    <s v="Action"/>
    <n v="2"/>
    <n v="2"/>
    <n v="1"/>
  </r>
  <r>
    <s v="U00925"/>
    <x v="1"/>
    <n v="35"/>
    <s v="Male"/>
    <x v="1"/>
    <x v="3"/>
    <n v="16.91"/>
    <n v="4"/>
    <n v="4.4000000000000004"/>
    <n v="24.65"/>
    <n v="32.9"/>
    <s v="Action"/>
    <n v="8"/>
    <n v="3"/>
    <n v="1"/>
  </r>
  <r>
    <s v="U00926"/>
    <x v="10"/>
    <n v="67"/>
    <s v="Female"/>
    <x v="1"/>
    <x v="4"/>
    <n v="20.88"/>
    <n v="5"/>
    <n v="2.4"/>
    <n v="4.67"/>
    <n v="91.6"/>
    <s v="Action"/>
    <n v="5"/>
    <n v="1"/>
    <n v="0"/>
  </r>
  <r>
    <s v="U00927"/>
    <x v="3"/>
    <n v="22"/>
    <s v="Female"/>
    <x v="1"/>
    <x v="4"/>
    <n v="5.67"/>
    <n v="3"/>
    <n v="4.7"/>
    <n v="17.399999999999999"/>
    <n v="35.700000000000003"/>
    <s v="Drama"/>
    <n v="10"/>
    <n v="1"/>
    <n v="0"/>
  </r>
  <r>
    <s v="U00928"/>
    <x v="10"/>
    <n v="46"/>
    <s v="Male"/>
    <x v="2"/>
    <x v="2"/>
    <n v="19.350000000000001"/>
    <n v="1"/>
    <n v="3.7"/>
    <n v="5.43"/>
    <n v="86.6"/>
    <s v="Comedy"/>
    <n v="6"/>
    <n v="3"/>
    <n v="0"/>
  </r>
  <r>
    <s v="U00929"/>
    <x v="6"/>
    <n v="56"/>
    <s v="Female"/>
    <x v="1"/>
    <x v="3"/>
    <n v="10.039999999999999"/>
    <n v="5"/>
    <n v="1.8"/>
    <n v="22.92"/>
    <n v="50"/>
    <s v="Action"/>
    <n v="9"/>
    <n v="4"/>
    <n v="0"/>
  </r>
  <r>
    <s v="U00930"/>
    <x v="1"/>
    <n v="51"/>
    <s v="Male"/>
    <x v="0"/>
    <x v="3"/>
    <n v="23.96"/>
    <n v="4"/>
    <n v="9.6999999999999993"/>
    <n v="10.7"/>
    <n v="74.599999999999994"/>
    <s v="Family"/>
    <n v="2"/>
    <n v="2"/>
    <n v="0"/>
  </r>
  <r>
    <s v="U00931"/>
    <x v="3"/>
    <n v="60"/>
    <s v="Female"/>
    <x v="1"/>
    <x v="3"/>
    <n v="15.76"/>
    <n v="1"/>
    <n v="3.4"/>
    <n v="14.25"/>
    <n v="20"/>
    <s v="Drama"/>
    <n v="5"/>
    <n v="0"/>
    <n v="0"/>
  </r>
  <r>
    <s v="U00932"/>
    <x v="7"/>
    <n v="62"/>
    <s v="Male"/>
    <x v="2"/>
    <x v="0"/>
    <n v="5.67"/>
    <n v="5"/>
    <n v="7.2"/>
    <n v="6.93"/>
    <n v="59"/>
    <s v="Comedy"/>
    <n v="1"/>
    <n v="4"/>
    <n v="1"/>
  </r>
  <r>
    <s v="U00933"/>
    <x v="5"/>
    <n v="40"/>
    <s v="Female"/>
    <x v="1"/>
    <x v="1"/>
    <n v="13.07"/>
    <n v="5"/>
    <n v="1.8"/>
    <n v="15.02"/>
    <n v="96.5"/>
    <s v="Action"/>
    <n v="3"/>
    <n v="1"/>
    <n v="1"/>
  </r>
  <r>
    <s v="U00934"/>
    <x v="9"/>
    <n v="22"/>
    <s v="Female"/>
    <x v="1"/>
    <x v="1"/>
    <n v="24.33"/>
    <n v="3"/>
    <n v="9.1999999999999993"/>
    <n v="23.65"/>
    <n v="70"/>
    <s v="Action"/>
    <n v="6"/>
    <n v="2"/>
    <n v="0"/>
  </r>
  <r>
    <s v="U00935"/>
    <x v="0"/>
    <n v="47"/>
    <s v="Female"/>
    <x v="2"/>
    <x v="2"/>
    <n v="19.61"/>
    <n v="1"/>
    <n v="6.3"/>
    <n v="22.84"/>
    <n v="83.8"/>
    <s v="Comedy"/>
    <n v="8"/>
    <n v="3"/>
    <n v="0"/>
  </r>
  <r>
    <s v="U00936"/>
    <x v="3"/>
    <n v="23"/>
    <s v="Male"/>
    <x v="1"/>
    <x v="3"/>
    <n v="11.01"/>
    <n v="5"/>
    <n v="6.9"/>
    <n v="4.41"/>
    <n v="33.5"/>
    <s v="Action"/>
    <n v="5"/>
    <n v="4"/>
    <n v="0"/>
  </r>
  <r>
    <s v="U00937"/>
    <x v="8"/>
    <n v="63"/>
    <s v="Male"/>
    <x v="1"/>
    <x v="3"/>
    <n v="16.510000000000002"/>
    <n v="4"/>
    <n v="8"/>
    <n v="11.32"/>
    <n v="82"/>
    <s v="Comedy"/>
    <n v="4"/>
    <n v="0"/>
    <n v="1"/>
  </r>
  <r>
    <s v="U00938"/>
    <x v="5"/>
    <n v="61"/>
    <s v="Male"/>
    <x v="2"/>
    <x v="4"/>
    <n v="16.98"/>
    <n v="1"/>
    <n v="6.5"/>
    <n v="8.8800000000000008"/>
    <n v="41.6"/>
    <s v="Comedy"/>
    <n v="5"/>
    <n v="4"/>
    <n v="0"/>
  </r>
  <r>
    <s v="U00939"/>
    <x v="2"/>
    <n v="21"/>
    <s v="Female"/>
    <x v="0"/>
    <x v="0"/>
    <n v="5.47"/>
    <n v="3"/>
    <n v="1.6"/>
    <n v="13.59"/>
    <n v="53.7"/>
    <s v="Family"/>
    <n v="4"/>
    <n v="3"/>
    <n v="0"/>
  </r>
  <r>
    <s v="U00940"/>
    <x v="3"/>
    <n v="46"/>
    <s v="Female"/>
    <x v="2"/>
    <x v="0"/>
    <n v="8.58"/>
    <n v="2"/>
    <n v="4.9000000000000004"/>
    <n v="21.34"/>
    <n v="26.9"/>
    <s v="Comedy"/>
    <n v="2"/>
    <n v="0"/>
    <n v="0"/>
  </r>
  <r>
    <s v="U00941"/>
    <x v="6"/>
    <n v="40"/>
    <s v="Male"/>
    <x v="0"/>
    <x v="2"/>
    <n v="16.04"/>
    <n v="5"/>
    <n v="3.4"/>
    <n v="19.25"/>
    <n v="53.7"/>
    <s v="Thriller"/>
    <n v="1"/>
    <n v="4"/>
    <n v="0"/>
  </r>
  <r>
    <s v="U00942"/>
    <x v="0"/>
    <n v="23"/>
    <s v="Female"/>
    <x v="0"/>
    <x v="1"/>
    <n v="13.06"/>
    <n v="2"/>
    <n v="5.4"/>
    <n v="10.57"/>
    <n v="56.4"/>
    <s v="Action"/>
    <n v="8"/>
    <n v="3"/>
    <n v="1"/>
  </r>
  <r>
    <s v="U00943"/>
    <x v="6"/>
    <n v="49"/>
    <s v="Male"/>
    <x v="2"/>
    <x v="3"/>
    <n v="8.8000000000000007"/>
    <n v="5"/>
    <n v="4.5999999999999996"/>
    <n v="11.42"/>
    <n v="66"/>
    <s v="Family"/>
    <n v="1"/>
    <n v="4"/>
    <n v="0"/>
  </r>
  <r>
    <s v="U00944"/>
    <x v="0"/>
    <n v="59"/>
    <s v="Male"/>
    <x v="0"/>
    <x v="2"/>
    <n v="20.45"/>
    <n v="3"/>
    <n v="8.4"/>
    <n v="17.39"/>
    <n v="88.2"/>
    <s v="Drama"/>
    <n v="2"/>
    <n v="2"/>
    <n v="1"/>
  </r>
  <r>
    <s v="U00945"/>
    <x v="2"/>
    <n v="35"/>
    <s v="Male"/>
    <x v="2"/>
    <x v="0"/>
    <n v="14.78"/>
    <n v="3"/>
    <n v="3.2"/>
    <n v="7.27"/>
    <n v="37.4"/>
    <s v="Thriller"/>
    <n v="5"/>
    <n v="4"/>
    <n v="0"/>
  </r>
  <r>
    <s v="U00946"/>
    <x v="9"/>
    <n v="32"/>
    <s v="Male"/>
    <x v="2"/>
    <x v="0"/>
    <n v="11.2"/>
    <n v="3"/>
    <n v="2.8"/>
    <n v="5.26"/>
    <n v="98.6"/>
    <s v="Comedy"/>
    <n v="8"/>
    <n v="3"/>
    <n v="0"/>
  </r>
  <r>
    <s v="U00947"/>
    <x v="8"/>
    <n v="57"/>
    <s v="Female"/>
    <x v="2"/>
    <x v="0"/>
    <n v="8.23"/>
    <n v="3"/>
    <n v="9.6"/>
    <n v="8.34"/>
    <n v="86.3"/>
    <s v="Drama"/>
    <n v="10"/>
    <n v="1"/>
    <n v="1"/>
  </r>
  <r>
    <s v="U00948"/>
    <x v="5"/>
    <n v="49"/>
    <s v="Female"/>
    <x v="2"/>
    <x v="3"/>
    <n v="17.22"/>
    <n v="1"/>
    <n v="9.5"/>
    <n v="5.73"/>
    <n v="46.3"/>
    <s v="Drama"/>
    <n v="3"/>
    <n v="3"/>
    <n v="1"/>
  </r>
  <r>
    <s v="U00949"/>
    <x v="7"/>
    <n v="26"/>
    <s v="Female"/>
    <x v="0"/>
    <x v="3"/>
    <n v="18.329999999999998"/>
    <n v="1"/>
    <n v="9.9"/>
    <n v="10.74"/>
    <n v="30.4"/>
    <s v="Drama"/>
    <n v="11"/>
    <n v="4"/>
    <n v="0"/>
  </r>
  <r>
    <s v="U00950"/>
    <x v="6"/>
    <n v="54"/>
    <s v="Male"/>
    <x v="2"/>
    <x v="3"/>
    <n v="18.39"/>
    <n v="5"/>
    <n v="6.1"/>
    <n v="23.63"/>
    <n v="16.399999999999999"/>
    <s v="Drama"/>
    <n v="11"/>
    <n v="2"/>
    <n v="0"/>
  </r>
  <r>
    <s v="U00951"/>
    <x v="6"/>
    <n v="27"/>
    <s v="Female"/>
    <x v="0"/>
    <x v="4"/>
    <n v="9.41"/>
    <n v="1"/>
    <n v="2"/>
    <n v="5.65"/>
    <n v="31.1"/>
    <s v="Family"/>
    <n v="9"/>
    <n v="1"/>
    <n v="0"/>
  </r>
  <r>
    <s v="U00952"/>
    <x v="11"/>
    <n v="37"/>
    <s v="Male"/>
    <x v="1"/>
    <x v="1"/>
    <n v="16.91"/>
    <n v="5"/>
    <n v="8.9"/>
    <n v="21"/>
    <n v="89.6"/>
    <s v="Family"/>
    <n v="6"/>
    <n v="3"/>
    <n v="1"/>
  </r>
  <r>
    <s v="U00953"/>
    <x v="0"/>
    <n v="23"/>
    <s v="Male"/>
    <x v="2"/>
    <x v="0"/>
    <n v="23.11"/>
    <n v="1"/>
    <n v="2.2999999999999998"/>
    <n v="14.76"/>
    <n v="36.299999999999997"/>
    <s v="Drama"/>
    <n v="11"/>
    <n v="1"/>
    <n v="1"/>
  </r>
  <r>
    <s v="U00954"/>
    <x v="4"/>
    <n v="65"/>
    <s v="Male"/>
    <x v="1"/>
    <x v="0"/>
    <n v="12.06"/>
    <n v="1"/>
    <n v="2.4"/>
    <n v="16.920000000000002"/>
    <n v="22.4"/>
    <s v="Thriller"/>
    <n v="3"/>
    <n v="2"/>
    <n v="0"/>
  </r>
  <r>
    <s v="U00955"/>
    <x v="9"/>
    <n v="20"/>
    <s v="Male"/>
    <x v="1"/>
    <x v="4"/>
    <n v="9.2200000000000006"/>
    <n v="1"/>
    <n v="2.7"/>
    <n v="6.74"/>
    <n v="12"/>
    <s v="Action"/>
    <n v="10"/>
    <n v="0"/>
    <n v="0"/>
  </r>
  <r>
    <s v="U00956"/>
    <x v="5"/>
    <n v="59"/>
    <s v="Male"/>
    <x v="1"/>
    <x v="0"/>
    <n v="20.440000000000001"/>
    <n v="4"/>
    <n v="6.9"/>
    <n v="6.33"/>
    <n v="36.799999999999997"/>
    <s v="Action"/>
    <n v="7"/>
    <n v="1"/>
    <n v="0"/>
  </r>
  <r>
    <s v="U00957"/>
    <x v="0"/>
    <n v="28"/>
    <s v="Male"/>
    <x v="1"/>
    <x v="0"/>
    <n v="8.5399999999999991"/>
    <n v="3"/>
    <n v="2"/>
    <n v="6.58"/>
    <n v="29.5"/>
    <s v="Family"/>
    <n v="7"/>
    <n v="3"/>
    <n v="0"/>
  </r>
  <r>
    <s v="U00958"/>
    <x v="11"/>
    <n v="60"/>
    <s v="Female"/>
    <x v="2"/>
    <x v="3"/>
    <n v="10.07"/>
    <n v="4"/>
    <n v="8"/>
    <n v="17.68"/>
    <n v="19.2"/>
    <s v="Thriller"/>
    <n v="7"/>
    <n v="2"/>
    <n v="0"/>
  </r>
  <r>
    <s v="U00959"/>
    <x v="10"/>
    <n v="34"/>
    <s v="Female"/>
    <x v="0"/>
    <x v="3"/>
    <n v="7.01"/>
    <n v="1"/>
    <n v="1.5"/>
    <n v="19.45"/>
    <n v="95.6"/>
    <s v="Thriller"/>
    <n v="4"/>
    <n v="3"/>
    <n v="1"/>
  </r>
  <r>
    <s v="U00960"/>
    <x v="0"/>
    <n v="49"/>
    <s v="Female"/>
    <x v="1"/>
    <x v="1"/>
    <n v="10.36"/>
    <n v="1"/>
    <n v="2"/>
    <n v="23.25"/>
    <n v="34.1"/>
    <s v="Comedy"/>
    <n v="6"/>
    <n v="2"/>
    <n v="1"/>
  </r>
  <r>
    <s v="U00961"/>
    <x v="7"/>
    <n v="21"/>
    <s v="Female"/>
    <x v="2"/>
    <x v="0"/>
    <n v="13.21"/>
    <n v="4"/>
    <n v="4.9000000000000004"/>
    <n v="11.76"/>
    <n v="10.6"/>
    <s v="Family"/>
    <n v="3"/>
    <n v="3"/>
    <n v="0"/>
  </r>
  <r>
    <s v="U00962"/>
    <x v="5"/>
    <n v="21"/>
    <s v="Male"/>
    <x v="1"/>
    <x v="2"/>
    <n v="6.28"/>
    <n v="5"/>
    <n v="4.4000000000000004"/>
    <n v="13.16"/>
    <n v="95"/>
    <s v="Thriller"/>
    <n v="4"/>
    <n v="2"/>
    <n v="0"/>
  </r>
  <r>
    <s v="U00963"/>
    <x v="9"/>
    <n v="34"/>
    <s v="Male"/>
    <x v="0"/>
    <x v="0"/>
    <n v="22.43"/>
    <n v="3"/>
    <n v="9.9"/>
    <n v="13.33"/>
    <n v="62.1"/>
    <s v="Thriller"/>
    <n v="3"/>
    <n v="4"/>
    <n v="0"/>
  </r>
  <r>
    <s v="U00964"/>
    <x v="11"/>
    <n v="58"/>
    <s v="Female"/>
    <x v="1"/>
    <x v="0"/>
    <n v="15.27"/>
    <n v="5"/>
    <n v="9.6999999999999993"/>
    <n v="8.94"/>
    <n v="17.5"/>
    <s v="Action"/>
    <n v="3"/>
    <n v="3"/>
    <n v="0"/>
  </r>
  <r>
    <s v="U00965"/>
    <x v="10"/>
    <n v="36"/>
    <s v="Female"/>
    <x v="1"/>
    <x v="1"/>
    <n v="16.760000000000002"/>
    <n v="3"/>
    <n v="2.7"/>
    <n v="10.220000000000001"/>
    <n v="12.8"/>
    <s v="Thriller"/>
    <n v="1"/>
    <n v="2"/>
    <n v="1"/>
  </r>
  <r>
    <s v="U00966"/>
    <x v="1"/>
    <n v="22"/>
    <s v="Female"/>
    <x v="0"/>
    <x v="2"/>
    <n v="12.43"/>
    <n v="2"/>
    <n v="9.5"/>
    <n v="21.63"/>
    <n v="19.7"/>
    <s v="Thriller"/>
    <n v="5"/>
    <n v="0"/>
    <n v="0"/>
  </r>
  <r>
    <s v="U00967"/>
    <x v="11"/>
    <n v="49"/>
    <s v="Female"/>
    <x v="2"/>
    <x v="0"/>
    <n v="18.399999999999999"/>
    <n v="3"/>
    <n v="7.2"/>
    <n v="10.56"/>
    <n v="63.2"/>
    <s v="Drama"/>
    <n v="3"/>
    <n v="2"/>
    <n v="0"/>
  </r>
  <r>
    <s v="U00968"/>
    <x v="1"/>
    <n v="39"/>
    <s v="Female"/>
    <x v="1"/>
    <x v="2"/>
    <n v="13.64"/>
    <n v="5"/>
    <n v="4.7"/>
    <n v="22.12"/>
    <n v="15.6"/>
    <s v="Action"/>
    <n v="1"/>
    <n v="0"/>
    <n v="0"/>
  </r>
  <r>
    <s v="U00969"/>
    <x v="5"/>
    <n v="23"/>
    <s v="Female"/>
    <x v="2"/>
    <x v="3"/>
    <n v="20.23"/>
    <n v="3"/>
    <n v="7.7"/>
    <n v="9.7200000000000006"/>
    <n v="61.1"/>
    <s v="Action"/>
    <n v="9"/>
    <n v="1"/>
    <n v="0"/>
  </r>
  <r>
    <s v="U00970"/>
    <x v="6"/>
    <n v="52"/>
    <s v="Female"/>
    <x v="2"/>
    <x v="3"/>
    <n v="21.43"/>
    <n v="2"/>
    <n v="9.1"/>
    <n v="10.48"/>
    <n v="68.7"/>
    <s v="Drama"/>
    <n v="11"/>
    <n v="2"/>
    <n v="0"/>
  </r>
  <r>
    <s v="U00971"/>
    <x v="11"/>
    <n v="39"/>
    <s v="Female"/>
    <x v="1"/>
    <x v="2"/>
    <n v="18.440000000000001"/>
    <n v="2"/>
    <n v="2.6"/>
    <n v="15.33"/>
    <n v="23.3"/>
    <s v="Action"/>
    <n v="4"/>
    <n v="1"/>
    <n v="1"/>
  </r>
  <r>
    <s v="U00972"/>
    <x v="8"/>
    <n v="18"/>
    <s v="Male"/>
    <x v="0"/>
    <x v="0"/>
    <n v="14.83"/>
    <n v="1"/>
    <n v="2.8"/>
    <n v="5.27"/>
    <n v="54"/>
    <s v="Comedy"/>
    <n v="9"/>
    <n v="1"/>
    <n v="1"/>
  </r>
  <r>
    <s v="U00973"/>
    <x v="1"/>
    <n v="37"/>
    <s v="Male"/>
    <x v="1"/>
    <x v="2"/>
    <n v="20.65"/>
    <n v="2"/>
    <n v="4.7"/>
    <n v="23.29"/>
    <n v="96.7"/>
    <s v="Comedy"/>
    <n v="2"/>
    <n v="4"/>
    <n v="0"/>
  </r>
  <r>
    <s v="U00974"/>
    <x v="7"/>
    <n v="39"/>
    <s v="Male"/>
    <x v="0"/>
    <x v="2"/>
    <n v="14.89"/>
    <n v="4"/>
    <n v="2.5"/>
    <n v="21.05"/>
    <n v="85.3"/>
    <s v="Family"/>
    <n v="2"/>
    <n v="2"/>
    <n v="0"/>
  </r>
  <r>
    <s v="U00975"/>
    <x v="8"/>
    <n v="65"/>
    <s v="Male"/>
    <x v="2"/>
    <x v="3"/>
    <n v="7.23"/>
    <n v="5"/>
    <n v="4.2"/>
    <n v="17.75"/>
    <n v="75.099999999999994"/>
    <s v="Action"/>
    <n v="4"/>
    <n v="4"/>
    <n v="0"/>
  </r>
  <r>
    <s v="U00976"/>
    <x v="3"/>
    <n v="28"/>
    <s v="Female"/>
    <x v="0"/>
    <x v="2"/>
    <n v="7.33"/>
    <n v="4"/>
    <n v="6.8"/>
    <n v="24.74"/>
    <n v="56.6"/>
    <s v="Action"/>
    <n v="4"/>
    <n v="4"/>
    <n v="0"/>
  </r>
  <r>
    <s v="U00977"/>
    <x v="3"/>
    <n v="30"/>
    <s v="Male"/>
    <x v="0"/>
    <x v="4"/>
    <n v="23.97"/>
    <n v="4"/>
    <n v="8.3000000000000007"/>
    <n v="3.35"/>
    <n v="45.5"/>
    <s v="Comedy"/>
    <n v="5"/>
    <n v="1"/>
    <n v="0"/>
  </r>
  <r>
    <s v="U00978"/>
    <x v="10"/>
    <n v="59"/>
    <s v="Female"/>
    <x v="1"/>
    <x v="4"/>
    <n v="9.27"/>
    <n v="5"/>
    <n v="3.7"/>
    <n v="12.04"/>
    <n v="50.6"/>
    <s v="Family"/>
    <n v="11"/>
    <n v="3"/>
    <n v="1"/>
  </r>
  <r>
    <s v="U00979"/>
    <x v="9"/>
    <n v="20"/>
    <s v="Male"/>
    <x v="0"/>
    <x v="3"/>
    <n v="21.32"/>
    <n v="4"/>
    <n v="3.5"/>
    <n v="21.88"/>
    <n v="78.8"/>
    <s v="Family"/>
    <n v="1"/>
    <n v="1"/>
    <n v="0"/>
  </r>
  <r>
    <s v="U00980"/>
    <x v="6"/>
    <n v="26"/>
    <s v="Female"/>
    <x v="0"/>
    <x v="0"/>
    <n v="9.93"/>
    <n v="4"/>
    <n v="8"/>
    <n v="12.53"/>
    <n v="59.9"/>
    <s v="Comedy"/>
    <n v="5"/>
    <n v="1"/>
    <n v="0"/>
  </r>
  <r>
    <s v="U00981"/>
    <x v="5"/>
    <n v="29"/>
    <s v="Female"/>
    <x v="1"/>
    <x v="0"/>
    <n v="13.62"/>
    <n v="4"/>
    <n v="4.4000000000000004"/>
    <n v="3.12"/>
    <n v="78.8"/>
    <s v="Comedy"/>
    <n v="10"/>
    <n v="0"/>
    <n v="1"/>
  </r>
  <r>
    <s v="U00982"/>
    <x v="11"/>
    <n v="40"/>
    <s v="Male"/>
    <x v="0"/>
    <x v="3"/>
    <n v="18.100000000000001"/>
    <n v="2"/>
    <n v="8.4"/>
    <n v="6.47"/>
    <n v="97.3"/>
    <s v="Drama"/>
    <n v="2"/>
    <n v="3"/>
    <n v="1"/>
  </r>
  <r>
    <s v="U00983"/>
    <x v="4"/>
    <n v="31"/>
    <s v="Male"/>
    <x v="0"/>
    <x v="0"/>
    <n v="8.18"/>
    <n v="5"/>
    <n v="9.9"/>
    <n v="12.55"/>
    <n v="67.599999999999994"/>
    <s v="Family"/>
    <n v="5"/>
    <n v="1"/>
    <n v="0"/>
  </r>
  <r>
    <s v="U00984"/>
    <x v="7"/>
    <n v="50"/>
    <s v="Female"/>
    <x v="1"/>
    <x v="1"/>
    <n v="19.739999999999998"/>
    <n v="5"/>
    <n v="9.8000000000000007"/>
    <n v="17.690000000000001"/>
    <n v="64.3"/>
    <s v="Family"/>
    <n v="10"/>
    <n v="3"/>
    <n v="0"/>
  </r>
  <r>
    <s v="U00985"/>
    <x v="1"/>
    <n v="35"/>
    <s v="Female"/>
    <x v="2"/>
    <x v="4"/>
    <n v="18.8"/>
    <n v="5"/>
    <n v="7"/>
    <n v="6.58"/>
    <n v="46.6"/>
    <s v="Drama"/>
    <n v="10"/>
    <n v="0"/>
    <n v="0"/>
  </r>
  <r>
    <s v="U00986"/>
    <x v="5"/>
    <n v="66"/>
    <s v="Female"/>
    <x v="1"/>
    <x v="1"/>
    <n v="15.86"/>
    <n v="4"/>
    <n v="4.4000000000000004"/>
    <n v="12.86"/>
    <n v="27.7"/>
    <s v="Comedy"/>
    <n v="6"/>
    <n v="3"/>
    <n v="1"/>
  </r>
  <r>
    <s v="U00987"/>
    <x v="8"/>
    <n v="58"/>
    <s v="Male"/>
    <x v="1"/>
    <x v="1"/>
    <n v="16.32"/>
    <n v="2"/>
    <n v="1.6"/>
    <n v="3.28"/>
    <n v="43.7"/>
    <s v="Drama"/>
    <n v="3"/>
    <n v="2"/>
    <n v="0"/>
  </r>
  <r>
    <s v="U00988"/>
    <x v="2"/>
    <n v="26"/>
    <s v="Male"/>
    <x v="1"/>
    <x v="1"/>
    <n v="7.12"/>
    <n v="5"/>
    <n v="7.6"/>
    <n v="13.51"/>
    <n v="56.8"/>
    <s v="Drama"/>
    <n v="4"/>
    <n v="0"/>
    <n v="0"/>
  </r>
  <r>
    <s v="U00989"/>
    <x v="3"/>
    <n v="40"/>
    <s v="Female"/>
    <x v="1"/>
    <x v="3"/>
    <n v="13.72"/>
    <n v="3"/>
    <n v="9.8000000000000007"/>
    <n v="22.71"/>
    <n v="13.1"/>
    <s v="Thriller"/>
    <n v="5"/>
    <n v="3"/>
    <n v="0"/>
  </r>
  <r>
    <s v="U00990"/>
    <x v="2"/>
    <n v="27"/>
    <s v="Male"/>
    <x v="2"/>
    <x v="1"/>
    <n v="6.73"/>
    <n v="5"/>
    <n v="1.6"/>
    <n v="16.13"/>
    <n v="52.8"/>
    <s v="Family"/>
    <n v="6"/>
    <n v="4"/>
    <n v="0"/>
  </r>
  <r>
    <s v="U00991"/>
    <x v="7"/>
    <n v="36"/>
    <s v="Female"/>
    <x v="0"/>
    <x v="2"/>
    <n v="11.16"/>
    <n v="1"/>
    <n v="1.1000000000000001"/>
    <n v="12.69"/>
    <n v="87.6"/>
    <s v="Comedy"/>
    <n v="9"/>
    <n v="3"/>
    <n v="0"/>
  </r>
  <r>
    <s v="U00992"/>
    <x v="4"/>
    <n v="64"/>
    <s v="Male"/>
    <x v="1"/>
    <x v="0"/>
    <n v="23.01"/>
    <n v="3"/>
    <n v="8.5"/>
    <n v="6.57"/>
    <n v="97.9"/>
    <s v="Thriller"/>
    <n v="9"/>
    <n v="0"/>
    <n v="1"/>
  </r>
  <r>
    <s v="U00993"/>
    <x v="11"/>
    <n v="22"/>
    <s v="Male"/>
    <x v="2"/>
    <x v="3"/>
    <n v="16.489999999999998"/>
    <n v="5"/>
    <n v="1.9"/>
    <n v="7.45"/>
    <n v="87"/>
    <s v="Thriller"/>
    <n v="6"/>
    <n v="4"/>
    <n v="0"/>
  </r>
  <r>
    <s v="U00994"/>
    <x v="10"/>
    <n v="64"/>
    <s v="Male"/>
    <x v="2"/>
    <x v="2"/>
    <n v="19.850000000000001"/>
    <n v="4"/>
    <n v="1.7"/>
    <n v="4.68"/>
    <n v="25.5"/>
    <s v="Thriller"/>
    <n v="1"/>
    <n v="3"/>
    <n v="0"/>
  </r>
  <r>
    <s v="U00995"/>
    <x v="4"/>
    <n v="69"/>
    <s v="Male"/>
    <x v="0"/>
    <x v="2"/>
    <n v="16.48"/>
    <n v="5"/>
    <n v="9.1999999999999993"/>
    <n v="19.329999999999998"/>
    <n v="24"/>
    <s v="Comedy"/>
    <n v="6"/>
    <n v="3"/>
    <n v="0"/>
  </r>
  <r>
    <s v="U00996"/>
    <x v="7"/>
    <n v="40"/>
    <s v="Male"/>
    <x v="0"/>
    <x v="4"/>
    <n v="8.8800000000000008"/>
    <n v="2"/>
    <n v="1.7"/>
    <n v="4.7"/>
    <n v="45.4"/>
    <s v="Drama"/>
    <n v="10"/>
    <n v="0"/>
    <n v="1"/>
  </r>
  <r>
    <s v="U00997"/>
    <x v="4"/>
    <n v="47"/>
    <s v="Female"/>
    <x v="2"/>
    <x v="4"/>
    <n v="16.899999999999999"/>
    <n v="2"/>
    <n v="2"/>
    <n v="11.45"/>
    <n v="30.3"/>
    <s v="Comedy"/>
    <n v="3"/>
    <n v="4"/>
    <n v="0"/>
  </r>
  <r>
    <s v="U00998"/>
    <x v="7"/>
    <n v="42"/>
    <s v="Female"/>
    <x v="0"/>
    <x v="2"/>
    <n v="20.11"/>
    <n v="5"/>
    <n v="6.1"/>
    <n v="19.5"/>
    <n v="70.8"/>
    <s v="Family"/>
    <n v="5"/>
    <n v="4"/>
    <n v="0"/>
  </r>
  <r>
    <s v="U00999"/>
    <x v="7"/>
    <n v="45"/>
    <s v="Male"/>
    <x v="2"/>
    <x v="4"/>
    <n v="7.77"/>
    <n v="4"/>
    <n v="7.8"/>
    <n v="18.68"/>
    <n v="17.600000000000001"/>
    <s v="Family"/>
    <n v="5"/>
    <n v="3"/>
    <n v="0"/>
  </r>
  <r>
    <s v="U01000"/>
    <x v="0"/>
    <n v="51"/>
    <s v="Female"/>
    <x v="2"/>
    <x v="0"/>
    <n v="21.34"/>
    <n v="4"/>
    <n v="4.5999999999999996"/>
    <n v="15.71"/>
    <n v="49.9"/>
    <s v="Drama"/>
    <n v="10"/>
    <n v="2"/>
    <n v="1"/>
  </r>
  <r>
    <s v="U01001"/>
    <x v="1"/>
    <n v="62"/>
    <s v="Female"/>
    <x v="2"/>
    <x v="0"/>
    <n v="16.11"/>
    <n v="4"/>
    <n v="4.8"/>
    <n v="15.57"/>
    <n v="35.200000000000003"/>
    <s v="Comedy"/>
    <n v="4"/>
    <n v="0"/>
    <n v="0"/>
  </r>
  <r>
    <s v="U01002"/>
    <x v="2"/>
    <n v="65"/>
    <s v="Male"/>
    <x v="0"/>
    <x v="4"/>
    <n v="5.09"/>
    <n v="5"/>
    <n v="6.7"/>
    <n v="4.99"/>
    <n v="63.6"/>
    <s v="Drama"/>
    <n v="3"/>
    <n v="0"/>
    <n v="0"/>
  </r>
  <r>
    <s v="U01003"/>
    <x v="3"/>
    <n v="64"/>
    <s v="Female"/>
    <x v="2"/>
    <x v="1"/>
    <n v="15.4"/>
    <n v="5"/>
    <n v="5.5"/>
    <n v="6.85"/>
    <n v="81.7"/>
    <s v="Drama"/>
    <n v="1"/>
    <n v="1"/>
    <n v="0"/>
  </r>
  <r>
    <s v="U01004"/>
    <x v="0"/>
    <n v="42"/>
    <s v="Male"/>
    <x v="1"/>
    <x v="2"/>
    <n v="12.91"/>
    <n v="1"/>
    <n v="1.2"/>
    <n v="14.76"/>
    <n v="93.1"/>
    <s v="Comedy"/>
    <n v="7"/>
    <n v="4"/>
    <n v="0"/>
  </r>
  <r>
    <s v="U01005"/>
    <x v="11"/>
    <n v="27"/>
    <s v="Female"/>
    <x v="2"/>
    <x v="0"/>
    <n v="10.93"/>
    <n v="2"/>
    <n v="2"/>
    <n v="10.66"/>
    <n v="96.7"/>
    <s v="Family"/>
    <n v="8"/>
    <n v="4"/>
    <n v="0"/>
  </r>
  <r>
    <s v="U01006"/>
    <x v="0"/>
    <n v="31"/>
    <s v="Female"/>
    <x v="0"/>
    <x v="4"/>
    <n v="20.43"/>
    <n v="3"/>
    <n v="6.2"/>
    <n v="3.42"/>
    <n v="41.6"/>
    <s v="Comedy"/>
    <n v="5"/>
    <n v="1"/>
    <n v="0"/>
  </r>
  <r>
    <s v="U01007"/>
    <x v="6"/>
    <n v="59"/>
    <s v="Female"/>
    <x v="0"/>
    <x v="4"/>
    <n v="22.99"/>
    <n v="3"/>
    <n v="8.1"/>
    <n v="20.56"/>
    <n v="87"/>
    <s v="Family"/>
    <n v="8"/>
    <n v="3"/>
    <n v="1"/>
  </r>
  <r>
    <s v="U01008"/>
    <x v="6"/>
    <n v="63"/>
    <s v="Female"/>
    <x v="1"/>
    <x v="0"/>
    <n v="20.25"/>
    <n v="2"/>
    <n v="7.9"/>
    <n v="17.38"/>
    <n v="63.3"/>
    <s v="Action"/>
    <n v="4"/>
    <n v="3"/>
    <n v="0"/>
  </r>
  <r>
    <s v="U01009"/>
    <x v="3"/>
    <n v="47"/>
    <s v="Female"/>
    <x v="0"/>
    <x v="0"/>
    <n v="21.94"/>
    <n v="1"/>
    <n v="7.7"/>
    <n v="10.17"/>
    <n v="72.3"/>
    <s v="Action"/>
    <n v="8"/>
    <n v="0"/>
    <n v="1"/>
  </r>
  <r>
    <s v="U01010"/>
    <x v="4"/>
    <n v="58"/>
    <s v="Female"/>
    <x v="1"/>
    <x v="1"/>
    <n v="23.18"/>
    <n v="2"/>
    <n v="7.9"/>
    <n v="5.16"/>
    <n v="86.6"/>
    <s v="Action"/>
    <n v="3"/>
    <n v="3"/>
    <n v="0"/>
  </r>
  <r>
    <s v="U01011"/>
    <x v="1"/>
    <n v="42"/>
    <s v="Female"/>
    <x v="2"/>
    <x v="4"/>
    <n v="23.25"/>
    <n v="1"/>
    <n v="1.4"/>
    <n v="16.010000000000002"/>
    <n v="21.7"/>
    <s v="Thriller"/>
    <n v="8"/>
    <n v="2"/>
    <n v="0"/>
  </r>
  <r>
    <s v="U01012"/>
    <x v="3"/>
    <n v="31"/>
    <s v="Male"/>
    <x v="1"/>
    <x v="4"/>
    <n v="7.29"/>
    <n v="1"/>
    <n v="9.1"/>
    <n v="10.67"/>
    <n v="95.3"/>
    <s v="Family"/>
    <n v="6"/>
    <n v="2"/>
    <n v="1"/>
  </r>
  <r>
    <s v="U01013"/>
    <x v="7"/>
    <n v="52"/>
    <s v="Male"/>
    <x v="2"/>
    <x v="3"/>
    <n v="14.13"/>
    <n v="4"/>
    <n v="9"/>
    <n v="8.6199999999999992"/>
    <n v="59.3"/>
    <s v="Family"/>
    <n v="9"/>
    <n v="2"/>
    <n v="0"/>
  </r>
  <r>
    <s v="U01014"/>
    <x v="8"/>
    <n v="69"/>
    <s v="Male"/>
    <x v="0"/>
    <x v="1"/>
    <n v="5.01"/>
    <n v="2"/>
    <n v="5.8"/>
    <n v="18.87"/>
    <n v="40.200000000000003"/>
    <s v="Comedy"/>
    <n v="5"/>
    <n v="1"/>
    <n v="1"/>
  </r>
  <r>
    <s v="U01015"/>
    <x v="1"/>
    <n v="65"/>
    <s v="Male"/>
    <x v="0"/>
    <x v="0"/>
    <n v="15.13"/>
    <n v="3"/>
    <n v="3.2"/>
    <n v="10.220000000000001"/>
    <n v="40.5"/>
    <s v="Family"/>
    <n v="1"/>
    <n v="2"/>
    <n v="1"/>
  </r>
  <r>
    <s v="U01016"/>
    <x v="9"/>
    <n v="51"/>
    <s v="Female"/>
    <x v="0"/>
    <x v="0"/>
    <n v="23.48"/>
    <n v="5"/>
    <n v="6.3"/>
    <n v="5.99"/>
    <n v="77.599999999999994"/>
    <s v="Comedy"/>
    <n v="8"/>
    <n v="1"/>
    <n v="1"/>
  </r>
  <r>
    <s v="U01017"/>
    <x v="2"/>
    <n v="27"/>
    <s v="Female"/>
    <x v="1"/>
    <x v="2"/>
    <n v="8.98"/>
    <n v="5"/>
    <n v="6"/>
    <n v="13.6"/>
    <n v="71.099999999999994"/>
    <s v="Thriller"/>
    <n v="11"/>
    <n v="0"/>
    <n v="0"/>
  </r>
  <r>
    <s v="U01018"/>
    <x v="1"/>
    <n v="52"/>
    <s v="Female"/>
    <x v="2"/>
    <x v="0"/>
    <n v="17.8"/>
    <n v="2"/>
    <n v="3"/>
    <n v="21.23"/>
    <n v="75.7"/>
    <s v="Comedy"/>
    <n v="3"/>
    <n v="0"/>
    <n v="0"/>
  </r>
  <r>
    <s v="U01019"/>
    <x v="7"/>
    <n v="28"/>
    <s v="Male"/>
    <x v="0"/>
    <x v="4"/>
    <n v="17.89"/>
    <n v="5"/>
    <n v="6.4"/>
    <n v="21.69"/>
    <n v="32.799999999999997"/>
    <s v="Action"/>
    <n v="11"/>
    <n v="2"/>
    <n v="0"/>
  </r>
  <r>
    <s v="U01020"/>
    <x v="7"/>
    <n v="28"/>
    <s v="Male"/>
    <x v="1"/>
    <x v="0"/>
    <n v="8.2100000000000009"/>
    <n v="1"/>
    <n v="8.1999999999999993"/>
    <n v="21.69"/>
    <n v="25.3"/>
    <s v="Comedy"/>
    <n v="5"/>
    <n v="1"/>
    <n v="1"/>
  </r>
  <r>
    <s v="U01021"/>
    <x v="10"/>
    <n v="38"/>
    <s v="Male"/>
    <x v="1"/>
    <x v="4"/>
    <n v="9.77"/>
    <n v="5"/>
    <n v="8.3000000000000007"/>
    <n v="12.26"/>
    <n v="75"/>
    <s v="Comedy"/>
    <n v="2"/>
    <n v="2"/>
    <n v="0"/>
  </r>
  <r>
    <s v="U01022"/>
    <x v="3"/>
    <n v="38"/>
    <s v="Female"/>
    <x v="2"/>
    <x v="4"/>
    <n v="14.24"/>
    <n v="1"/>
    <n v="1.5"/>
    <n v="20.399999999999999"/>
    <n v="36.9"/>
    <s v="Comedy"/>
    <n v="7"/>
    <n v="3"/>
    <n v="0"/>
  </r>
  <r>
    <s v="U01023"/>
    <x v="7"/>
    <n v="39"/>
    <s v="Male"/>
    <x v="0"/>
    <x v="1"/>
    <n v="8.76"/>
    <n v="1"/>
    <n v="2.8"/>
    <n v="21.71"/>
    <n v="30"/>
    <s v="Family"/>
    <n v="5"/>
    <n v="1"/>
    <n v="1"/>
  </r>
  <r>
    <s v="U01024"/>
    <x v="6"/>
    <n v="62"/>
    <s v="Female"/>
    <x v="0"/>
    <x v="0"/>
    <n v="16.7"/>
    <n v="3"/>
    <n v="7"/>
    <n v="13.11"/>
    <n v="29.3"/>
    <s v="Drama"/>
    <n v="7"/>
    <n v="1"/>
    <n v="0"/>
  </r>
  <r>
    <s v="U01025"/>
    <x v="11"/>
    <n v="24"/>
    <s v="Male"/>
    <x v="0"/>
    <x v="1"/>
    <n v="14.69"/>
    <n v="5"/>
    <n v="8.6999999999999993"/>
    <n v="10.01"/>
    <n v="23.4"/>
    <s v="Drama"/>
    <n v="7"/>
    <n v="1"/>
    <n v="0"/>
  </r>
  <r>
    <s v="U01026"/>
    <x v="8"/>
    <n v="34"/>
    <s v="Female"/>
    <x v="1"/>
    <x v="4"/>
    <n v="15.38"/>
    <n v="3"/>
    <n v="5.7"/>
    <n v="18.440000000000001"/>
    <n v="48.4"/>
    <s v="Drama"/>
    <n v="5"/>
    <n v="1"/>
    <n v="0"/>
  </r>
  <r>
    <s v="U01027"/>
    <x v="2"/>
    <n v="19"/>
    <s v="Male"/>
    <x v="0"/>
    <x v="0"/>
    <n v="7.69"/>
    <n v="5"/>
    <n v="7.4"/>
    <n v="22.9"/>
    <n v="33.5"/>
    <s v="Family"/>
    <n v="5"/>
    <n v="3"/>
    <n v="0"/>
  </r>
  <r>
    <s v="U01028"/>
    <x v="3"/>
    <n v="29"/>
    <s v="Female"/>
    <x v="2"/>
    <x v="0"/>
    <n v="15.35"/>
    <n v="1"/>
    <n v="1.2"/>
    <n v="24.39"/>
    <n v="90.4"/>
    <s v="Action"/>
    <n v="9"/>
    <n v="2"/>
    <n v="0"/>
  </r>
  <r>
    <s v="U01029"/>
    <x v="5"/>
    <n v="59"/>
    <s v="Male"/>
    <x v="1"/>
    <x v="1"/>
    <n v="5.99"/>
    <n v="5"/>
    <n v="6.5"/>
    <n v="9.3800000000000008"/>
    <n v="72"/>
    <s v="Drama"/>
    <n v="3"/>
    <n v="0"/>
    <n v="0"/>
  </r>
  <r>
    <s v="U01030"/>
    <x v="6"/>
    <n v="35"/>
    <s v="Male"/>
    <x v="1"/>
    <x v="1"/>
    <n v="22.63"/>
    <n v="3"/>
    <n v="9.6999999999999993"/>
    <n v="24.04"/>
    <n v="76.900000000000006"/>
    <s v="Drama"/>
    <n v="8"/>
    <n v="4"/>
    <n v="0"/>
  </r>
  <r>
    <s v="U01031"/>
    <x v="9"/>
    <n v="28"/>
    <s v="Female"/>
    <x v="1"/>
    <x v="4"/>
    <n v="11.86"/>
    <n v="4"/>
    <n v="6.9"/>
    <n v="13.98"/>
    <n v="46.3"/>
    <s v="Thriller"/>
    <n v="1"/>
    <n v="4"/>
    <n v="1"/>
  </r>
  <r>
    <s v="U01032"/>
    <x v="4"/>
    <n v="33"/>
    <s v="Female"/>
    <x v="0"/>
    <x v="4"/>
    <n v="22.13"/>
    <n v="3"/>
    <n v="9.3000000000000007"/>
    <n v="9.73"/>
    <n v="64"/>
    <s v="Thriller"/>
    <n v="4"/>
    <n v="1"/>
    <n v="1"/>
  </r>
  <r>
    <s v="U01033"/>
    <x v="7"/>
    <n v="66"/>
    <s v="Male"/>
    <x v="1"/>
    <x v="0"/>
    <n v="19.03"/>
    <n v="4"/>
    <n v="6.1"/>
    <n v="24.74"/>
    <n v="55.1"/>
    <s v="Action"/>
    <n v="2"/>
    <n v="1"/>
    <n v="1"/>
  </r>
  <r>
    <s v="U01034"/>
    <x v="5"/>
    <n v="68"/>
    <s v="Female"/>
    <x v="2"/>
    <x v="0"/>
    <n v="20.32"/>
    <n v="2"/>
    <n v="8.6"/>
    <n v="22.31"/>
    <n v="25.1"/>
    <s v="Comedy"/>
    <n v="3"/>
    <n v="0"/>
    <n v="0"/>
  </r>
  <r>
    <s v="U01035"/>
    <x v="7"/>
    <n v="35"/>
    <s v="Male"/>
    <x v="2"/>
    <x v="3"/>
    <n v="11.29"/>
    <n v="3"/>
    <n v="2.1"/>
    <n v="18.23"/>
    <n v="14.3"/>
    <s v="Comedy"/>
    <n v="11"/>
    <n v="4"/>
    <n v="1"/>
  </r>
  <r>
    <s v="U01036"/>
    <x v="1"/>
    <n v="52"/>
    <s v="Female"/>
    <x v="2"/>
    <x v="3"/>
    <n v="9.5500000000000007"/>
    <n v="5"/>
    <n v="2.1"/>
    <n v="22.69"/>
    <n v="71.5"/>
    <s v="Thriller"/>
    <n v="6"/>
    <n v="1"/>
    <n v="0"/>
  </r>
  <r>
    <s v="U01037"/>
    <x v="6"/>
    <n v="43"/>
    <s v="Male"/>
    <x v="2"/>
    <x v="2"/>
    <n v="13.13"/>
    <n v="4"/>
    <n v="2.1"/>
    <n v="17.989999999999998"/>
    <n v="20.9"/>
    <s v="Thriller"/>
    <n v="4"/>
    <n v="3"/>
    <n v="1"/>
  </r>
  <r>
    <s v="U01038"/>
    <x v="1"/>
    <n v="33"/>
    <s v="Female"/>
    <x v="0"/>
    <x v="4"/>
    <n v="5.48"/>
    <n v="5"/>
    <n v="5.4"/>
    <n v="12.69"/>
    <n v="15.2"/>
    <s v="Action"/>
    <n v="1"/>
    <n v="4"/>
    <n v="1"/>
  </r>
  <r>
    <s v="U01039"/>
    <x v="10"/>
    <n v="23"/>
    <s v="Male"/>
    <x v="0"/>
    <x v="2"/>
    <n v="23.38"/>
    <n v="4"/>
    <n v="4"/>
    <n v="23.86"/>
    <n v="49.8"/>
    <s v="Action"/>
    <n v="5"/>
    <n v="3"/>
    <n v="1"/>
  </r>
  <r>
    <s v="U01040"/>
    <x v="1"/>
    <n v="61"/>
    <s v="Male"/>
    <x v="0"/>
    <x v="2"/>
    <n v="12.74"/>
    <n v="3"/>
    <n v="7.5"/>
    <n v="24.19"/>
    <n v="76.400000000000006"/>
    <s v="Family"/>
    <n v="3"/>
    <n v="0"/>
    <n v="0"/>
  </r>
  <r>
    <s v="U01041"/>
    <x v="10"/>
    <n v="60"/>
    <s v="Male"/>
    <x v="1"/>
    <x v="1"/>
    <n v="24.77"/>
    <n v="3"/>
    <n v="9.1"/>
    <n v="9.91"/>
    <n v="79.2"/>
    <s v="Comedy"/>
    <n v="2"/>
    <n v="0"/>
    <n v="1"/>
  </r>
  <r>
    <s v="U01042"/>
    <x v="9"/>
    <n v="64"/>
    <s v="Female"/>
    <x v="0"/>
    <x v="1"/>
    <n v="20.23"/>
    <n v="5"/>
    <n v="6.6"/>
    <n v="10.8"/>
    <n v="88.6"/>
    <s v="Family"/>
    <n v="4"/>
    <n v="4"/>
    <n v="0"/>
  </r>
  <r>
    <s v="U01043"/>
    <x v="10"/>
    <n v="64"/>
    <s v="Male"/>
    <x v="1"/>
    <x v="3"/>
    <n v="6.61"/>
    <n v="3"/>
    <n v="2.9"/>
    <n v="11.42"/>
    <n v="27.9"/>
    <s v="Drama"/>
    <n v="4"/>
    <n v="2"/>
    <n v="0"/>
  </r>
  <r>
    <s v="U01044"/>
    <x v="5"/>
    <n v="65"/>
    <s v="Female"/>
    <x v="1"/>
    <x v="2"/>
    <n v="18.2"/>
    <n v="5"/>
    <n v="9.4"/>
    <n v="21.09"/>
    <n v="98.7"/>
    <s v="Action"/>
    <n v="3"/>
    <n v="4"/>
    <n v="0"/>
  </r>
  <r>
    <s v="U01045"/>
    <x v="7"/>
    <n v="59"/>
    <s v="Female"/>
    <x v="2"/>
    <x v="3"/>
    <n v="10.42"/>
    <n v="1"/>
    <n v="5.8"/>
    <n v="20.41"/>
    <n v="78.7"/>
    <s v="Comedy"/>
    <n v="5"/>
    <n v="3"/>
    <n v="0"/>
  </r>
  <r>
    <s v="U01046"/>
    <x v="4"/>
    <n v="29"/>
    <s v="Female"/>
    <x v="2"/>
    <x v="4"/>
    <n v="9.8699999999999992"/>
    <n v="4"/>
    <n v="7.5"/>
    <n v="24.63"/>
    <n v="24.1"/>
    <s v="Comedy"/>
    <n v="5"/>
    <n v="2"/>
    <n v="1"/>
  </r>
  <r>
    <s v="U01047"/>
    <x v="2"/>
    <n v="30"/>
    <s v="Male"/>
    <x v="2"/>
    <x v="0"/>
    <n v="10.130000000000001"/>
    <n v="5"/>
    <n v="9"/>
    <n v="13.23"/>
    <n v="85.7"/>
    <s v="Family"/>
    <n v="8"/>
    <n v="3"/>
    <n v="1"/>
  </r>
  <r>
    <s v="U01048"/>
    <x v="1"/>
    <n v="21"/>
    <s v="Female"/>
    <x v="0"/>
    <x v="1"/>
    <n v="23.32"/>
    <n v="4"/>
    <n v="9.9"/>
    <n v="19.21"/>
    <n v="54.9"/>
    <s v="Thriller"/>
    <n v="10"/>
    <n v="3"/>
    <n v="0"/>
  </r>
  <r>
    <s v="U01049"/>
    <x v="2"/>
    <n v="56"/>
    <s v="Female"/>
    <x v="0"/>
    <x v="4"/>
    <n v="15"/>
    <n v="1"/>
    <n v="5.6"/>
    <n v="21.85"/>
    <n v="16"/>
    <s v="Thriller"/>
    <n v="7"/>
    <n v="3"/>
    <n v="0"/>
  </r>
  <r>
    <s v="U01050"/>
    <x v="6"/>
    <n v="19"/>
    <s v="Female"/>
    <x v="1"/>
    <x v="4"/>
    <n v="18.39"/>
    <n v="4"/>
    <n v="8.3000000000000007"/>
    <n v="7.87"/>
    <n v="21.9"/>
    <s v="Action"/>
    <n v="11"/>
    <n v="1"/>
    <n v="0"/>
  </r>
  <r>
    <s v="U01051"/>
    <x v="10"/>
    <n v="43"/>
    <s v="Male"/>
    <x v="0"/>
    <x v="1"/>
    <n v="10.62"/>
    <n v="5"/>
    <n v="6.1"/>
    <n v="16.649999999999999"/>
    <n v="49.1"/>
    <s v="Thriller"/>
    <n v="9"/>
    <n v="2"/>
    <n v="1"/>
  </r>
  <r>
    <s v="U01052"/>
    <x v="7"/>
    <n v="44"/>
    <s v="Female"/>
    <x v="0"/>
    <x v="1"/>
    <n v="15.46"/>
    <n v="3"/>
    <n v="5.4"/>
    <n v="15.05"/>
    <n v="57.7"/>
    <s v="Drama"/>
    <n v="7"/>
    <n v="1"/>
    <n v="0"/>
  </r>
  <r>
    <s v="U01053"/>
    <x v="8"/>
    <n v="44"/>
    <s v="Female"/>
    <x v="1"/>
    <x v="2"/>
    <n v="12"/>
    <n v="4"/>
    <n v="5.8"/>
    <n v="19.34"/>
    <n v="95.3"/>
    <s v="Comedy"/>
    <n v="2"/>
    <n v="1"/>
    <n v="0"/>
  </r>
  <r>
    <s v="U01054"/>
    <x v="3"/>
    <n v="32"/>
    <s v="Female"/>
    <x v="0"/>
    <x v="3"/>
    <n v="11.42"/>
    <n v="4"/>
    <n v="5.4"/>
    <n v="18.3"/>
    <n v="29.4"/>
    <s v="Thriller"/>
    <n v="3"/>
    <n v="3"/>
    <n v="1"/>
  </r>
  <r>
    <s v="U01055"/>
    <x v="5"/>
    <n v="25"/>
    <s v="Female"/>
    <x v="1"/>
    <x v="4"/>
    <n v="9.94"/>
    <n v="1"/>
    <n v="4.8"/>
    <n v="20.88"/>
    <n v="52.7"/>
    <s v="Action"/>
    <n v="6"/>
    <n v="0"/>
    <n v="0"/>
  </r>
  <r>
    <s v="U01056"/>
    <x v="4"/>
    <n v="24"/>
    <s v="Male"/>
    <x v="1"/>
    <x v="2"/>
    <n v="13.18"/>
    <n v="2"/>
    <n v="7.5"/>
    <n v="9.85"/>
    <n v="30.3"/>
    <s v="Drama"/>
    <n v="1"/>
    <n v="4"/>
    <n v="0"/>
  </r>
  <r>
    <s v="U01057"/>
    <x v="0"/>
    <n v="64"/>
    <s v="Male"/>
    <x v="1"/>
    <x v="2"/>
    <n v="18.2"/>
    <n v="3"/>
    <n v="3.2"/>
    <n v="7.76"/>
    <n v="60.3"/>
    <s v="Family"/>
    <n v="8"/>
    <n v="0"/>
    <n v="0"/>
  </r>
  <r>
    <s v="U01058"/>
    <x v="5"/>
    <n v="63"/>
    <s v="Female"/>
    <x v="1"/>
    <x v="4"/>
    <n v="9.44"/>
    <n v="5"/>
    <n v="6.5"/>
    <n v="20.71"/>
    <n v="91.8"/>
    <s v="Family"/>
    <n v="7"/>
    <n v="3"/>
    <n v="0"/>
  </r>
  <r>
    <s v="U01059"/>
    <x v="9"/>
    <n v="57"/>
    <s v="Female"/>
    <x v="1"/>
    <x v="4"/>
    <n v="24.31"/>
    <n v="1"/>
    <n v="7.4"/>
    <n v="10.93"/>
    <n v="61.1"/>
    <s v="Drama"/>
    <n v="6"/>
    <n v="4"/>
    <n v="0"/>
  </r>
  <r>
    <s v="U01060"/>
    <x v="8"/>
    <n v="29"/>
    <s v="Female"/>
    <x v="0"/>
    <x v="0"/>
    <n v="7.49"/>
    <n v="5"/>
    <n v="9"/>
    <n v="9.33"/>
    <n v="55.9"/>
    <s v="Action"/>
    <n v="5"/>
    <n v="4"/>
    <n v="0"/>
  </r>
  <r>
    <s v="U01061"/>
    <x v="3"/>
    <n v="30"/>
    <s v="Female"/>
    <x v="0"/>
    <x v="3"/>
    <n v="14.6"/>
    <n v="5"/>
    <n v="4"/>
    <n v="10.41"/>
    <n v="77.5"/>
    <s v="Family"/>
    <n v="10"/>
    <n v="3"/>
    <n v="0"/>
  </r>
  <r>
    <s v="U01062"/>
    <x v="8"/>
    <n v="60"/>
    <s v="Male"/>
    <x v="1"/>
    <x v="4"/>
    <n v="6.7"/>
    <n v="4"/>
    <n v="8.6999999999999993"/>
    <n v="4.46"/>
    <n v="23.3"/>
    <s v="Comedy"/>
    <n v="5"/>
    <n v="1"/>
    <n v="0"/>
  </r>
  <r>
    <s v="U01063"/>
    <x v="1"/>
    <n v="34"/>
    <s v="Male"/>
    <x v="2"/>
    <x v="1"/>
    <n v="5.45"/>
    <n v="1"/>
    <n v="9.5"/>
    <n v="20.010000000000002"/>
    <n v="91.5"/>
    <s v="Comedy"/>
    <n v="8"/>
    <n v="4"/>
    <n v="0"/>
  </r>
  <r>
    <s v="U01064"/>
    <x v="10"/>
    <n v="34"/>
    <s v="Male"/>
    <x v="2"/>
    <x v="0"/>
    <n v="23.45"/>
    <n v="1"/>
    <n v="6.8"/>
    <n v="18.73"/>
    <n v="62"/>
    <s v="Action"/>
    <n v="8"/>
    <n v="4"/>
    <n v="0"/>
  </r>
  <r>
    <s v="U01065"/>
    <x v="4"/>
    <n v="53"/>
    <s v="Male"/>
    <x v="1"/>
    <x v="3"/>
    <n v="21.21"/>
    <n v="3"/>
    <n v="7.9"/>
    <n v="15.16"/>
    <n v="71.8"/>
    <s v="Action"/>
    <n v="3"/>
    <n v="4"/>
    <n v="0"/>
  </r>
  <r>
    <s v="U01066"/>
    <x v="11"/>
    <n v="38"/>
    <s v="Female"/>
    <x v="0"/>
    <x v="1"/>
    <n v="18.88"/>
    <n v="2"/>
    <n v="4.7"/>
    <n v="18.75"/>
    <n v="83.7"/>
    <s v="Comedy"/>
    <n v="9"/>
    <n v="4"/>
    <n v="0"/>
  </r>
  <r>
    <s v="U01067"/>
    <x v="10"/>
    <n v="25"/>
    <s v="Female"/>
    <x v="1"/>
    <x v="1"/>
    <n v="22.3"/>
    <n v="5"/>
    <n v="9.6"/>
    <n v="11.21"/>
    <n v="67.2"/>
    <s v="Action"/>
    <n v="3"/>
    <n v="2"/>
    <n v="0"/>
  </r>
  <r>
    <s v="U01068"/>
    <x v="11"/>
    <n v="22"/>
    <s v="Male"/>
    <x v="1"/>
    <x v="3"/>
    <n v="21.06"/>
    <n v="3"/>
    <n v="7"/>
    <n v="9.5"/>
    <n v="67.7"/>
    <s v="Drama"/>
    <n v="10"/>
    <n v="1"/>
    <n v="0"/>
  </r>
  <r>
    <s v="U01069"/>
    <x v="2"/>
    <n v="43"/>
    <s v="Male"/>
    <x v="1"/>
    <x v="0"/>
    <n v="17.940000000000001"/>
    <n v="3"/>
    <n v="3.8"/>
    <n v="21.97"/>
    <n v="75.7"/>
    <s v="Action"/>
    <n v="8"/>
    <n v="2"/>
    <n v="1"/>
  </r>
  <r>
    <s v="U01070"/>
    <x v="3"/>
    <n v="33"/>
    <s v="Female"/>
    <x v="1"/>
    <x v="1"/>
    <n v="21.95"/>
    <n v="5"/>
    <n v="4.5999999999999996"/>
    <n v="12.29"/>
    <n v="14.7"/>
    <s v="Comedy"/>
    <n v="7"/>
    <n v="2"/>
    <n v="0"/>
  </r>
  <r>
    <s v="U01071"/>
    <x v="7"/>
    <n v="53"/>
    <s v="Female"/>
    <x v="1"/>
    <x v="2"/>
    <n v="12.82"/>
    <n v="4"/>
    <n v="6.6"/>
    <n v="7.31"/>
    <n v="44.4"/>
    <s v="Thriller"/>
    <n v="9"/>
    <n v="3"/>
    <n v="0"/>
  </r>
  <r>
    <s v="U01072"/>
    <x v="0"/>
    <n v="45"/>
    <s v="Female"/>
    <x v="1"/>
    <x v="3"/>
    <n v="16.059999999999999"/>
    <n v="4"/>
    <n v="3.1"/>
    <n v="19.48"/>
    <n v="96.7"/>
    <s v="Action"/>
    <n v="11"/>
    <n v="1"/>
    <n v="0"/>
  </r>
  <r>
    <s v="U01073"/>
    <x v="6"/>
    <n v="46"/>
    <s v="Female"/>
    <x v="2"/>
    <x v="3"/>
    <n v="20.53"/>
    <n v="5"/>
    <n v="7.8"/>
    <n v="10.39"/>
    <n v="33.200000000000003"/>
    <s v="Family"/>
    <n v="9"/>
    <n v="0"/>
    <n v="0"/>
  </r>
  <r>
    <s v="U01074"/>
    <x v="10"/>
    <n v="64"/>
    <s v="Female"/>
    <x v="0"/>
    <x v="4"/>
    <n v="6.7"/>
    <n v="1"/>
    <n v="3"/>
    <n v="7.66"/>
    <n v="58.8"/>
    <s v="Drama"/>
    <n v="11"/>
    <n v="1"/>
    <n v="0"/>
  </r>
  <r>
    <s v="U01075"/>
    <x v="4"/>
    <n v="29"/>
    <s v="Male"/>
    <x v="2"/>
    <x v="0"/>
    <n v="22.17"/>
    <n v="2"/>
    <n v="6.3"/>
    <n v="3.6"/>
    <n v="25.8"/>
    <s v="Drama"/>
    <n v="1"/>
    <n v="0"/>
    <n v="0"/>
  </r>
  <r>
    <s v="U01076"/>
    <x v="9"/>
    <n v="54"/>
    <s v="Male"/>
    <x v="0"/>
    <x v="2"/>
    <n v="8.14"/>
    <n v="4"/>
    <n v="7.3"/>
    <n v="24.35"/>
    <n v="39.1"/>
    <s v="Drama"/>
    <n v="1"/>
    <n v="4"/>
    <n v="0"/>
  </r>
  <r>
    <s v="U01077"/>
    <x v="9"/>
    <n v="47"/>
    <s v="Female"/>
    <x v="0"/>
    <x v="2"/>
    <n v="22.29"/>
    <n v="2"/>
    <n v="8.6999999999999993"/>
    <n v="13.28"/>
    <n v="74.5"/>
    <s v="Family"/>
    <n v="3"/>
    <n v="0"/>
    <n v="0"/>
  </r>
  <r>
    <s v="U01078"/>
    <x v="8"/>
    <n v="40"/>
    <s v="Female"/>
    <x v="2"/>
    <x v="4"/>
    <n v="11.23"/>
    <n v="3"/>
    <n v="7.6"/>
    <n v="6.56"/>
    <n v="67.900000000000006"/>
    <s v="Family"/>
    <n v="7"/>
    <n v="0"/>
    <n v="0"/>
  </r>
  <r>
    <s v="U01079"/>
    <x v="4"/>
    <n v="33"/>
    <s v="Male"/>
    <x v="2"/>
    <x v="1"/>
    <n v="11.54"/>
    <n v="3"/>
    <n v="8.1999999999999993"/>
    <n v="19.670000000000002"/>
    <n v="47.3"/>
    <s v="Drama"/>
    <n v="3"/>
    <n v="0"/>
    <n v="0"/>
  </r>
  <r>
    <s v="U01080"/>
    <x v="3"/>
    <n v="31"/>
    <s v="Female"/>
    <x v="0"/>
    <x v="1"/>
    <n v="6.48"/>
    <n v="5"/>
    <n v="9.1999999999999993"/>
    <n v="22.53"/>
    <n v="94.4"/>
    <s v="Drama"/>
    <n v="3"/>
    <n v="4"/>
    <n v="0"/>
  </r>
  <r>
    <s v="U01081"/>
    <x v="2"/>
    <n v="27"/>
    <s v="Male"/>
    <x v="1"/>
    <x v="2"/>
    <n v="22.72"/>
    <n v="5"/>
    <n v="6.4"/>
    <n v="14.62"/>
    <n v="79.8"/>
    <s v="Drama"/>
    <n v="4"/>
    <n v="4"/>
    <n v="0"/>
  </r>
  <r>
    <s v="U01082"/>
    <x v="11"/>
    <n v="24"/>
    <s v="Male"/>
    <x v="0"/>
    <x v="0"/>
    <n v="8.49"/>
    <n v="5"/>
    <n v="8.6"/>
    <n v="3.62"/>
    <n v="34.1"/>
    <s v="Action"/>
    <n v="8"/>
    <n v="2"/>
    <n v="1"/>
  </r>
  <r>
    <s v="U01083"/>
    <x v="8"/>
    <n v="62"/>
    <s v="Male"/>
    <x v="1"/>
    <x v="1"/>
    <n v="17.600000000000001"/>
    <n v="4"/>
    <n v="3.1"/>
    <n v="11.03"/>
    <n v="51.9"/>
    <s v="Family"/>
    <n v="1"/>
    <n v="0"/>
    <n v="0"/>
  </r>
  <r>
    <s v="U01084"/>
    <x v="9"/>
    <n v="69"/>
    <s v="Male"/>
    <x v="2"/>
    <x v="3"/>
    <n v="17.88"/>
    <n v="2"/>
    <n v="8.3000000000000007"/>
    <n v="8.35"/>
    <n v="89"/>
    <s v="Comedy"/>
    <n v="4"/>
    <n v="1"/>
    <n v="1"/>
  </r>
  <r>
    <s v="U01085"/>
    <x v="6"/>
    <n v="54"/>
    <s v="Female"/>
    <x v="2"/>
    <x v="4"/>
    <n v="10.62"/>
    <n v="3"/>
    <n v="3"/>
    <n v="17"/>
    <n v="12"/>
    <s v="Action"/>
    <n v="4"/>
    <n v="3"/>
    <n v="1"/>
  </r>
  <r>
    <s v="U01086"/>
    <x v="6"/>
    <n v="46"/>
    <s v="Female"/>
    <x v="1"/>
    <x v="0"/>
    <n v="24.71"/>
    <n v="2"/>
    <n v="9.4"/>
    <n v="14.41"/>
    <n v="62.3"/>
    <s v="Comedy"/>
    <n v="8"/>
    <n v="2"/>
    <n v="0"/>
  </r>
  <r>
    <s v="U01087"/>
    <x v="10"/>
    <n v="20"/>
    <s v="Male"/>
    <x v="1"/>
    <x v="1"/>
    <n v="6.28"/>
    <n v="4"/>
    <n v="4"/>
    <n v="10.83"/>
    <n v="30.9"/>
    <s v="Action"/>
    <n v="7"/>
    <n v="0"/>
    <n v="0"/>
  </r>
  <r>
    <s v="U01088"/>
    <x v="3"/>
    <n v="32"/>
    <s v="Female"/>
    <x v="1"/>
    <x v="2"/>
    <n v="17.16"/>
    <n v="2"/>
    <n v="2.5"/>
    <n v="17.27"/>
    <n v="15.7"/>
    <s v="Action"/>
    <n v="4"/>
    <n v="2"/>
    <n v="1"/>
  </r>
  <r>
    <s v="U01089"/>
    <x v="7"/>
    <n v="53"/>
    <s v="Female"/>
    <x v="1"/>
    <x v="4"/>
    <n v="14.59"/>
    <n v="2"/>
    <n v="2.2999999999999998"/>
    <n v="15.86"/>
    <n v="92.2"/>
    <s v="Comedy"/>
    <n v="8"/>
    <n v="0"/>
    <n v="0"/>
  </r>
  <r>
    <s v="U01090"/>
    <x v="9"/>
    <n v="64"/>
    <s v="Female"/>
    <x v="2"/>
    <x v="1"/>
    <n v="9.91"/>
    <n v="5"/>
    <n v="2.7"/>
    <n v="22.94"/>
    <n v="83.5"/>
    <s v="Drama"/>
    <n v="11"/>
    <n v="0"/>
    <n v="0"/>
  </r>
  <r>
    <s v="U01091"/>
    <x v="3"/>
    <n v="63"/>
    <s v="Female"/>
    <x v="2"/>
    <x v="2"/>
    <n v="8.27"/>
    <n v="2"/>
    <n v="5"/>
    <n v="16.13"/>
    <n v="26.7"/>
    <s v="Comedy"/>
    <n v="3"/>
    <n v="2"/>
    <n v="0"/>
  </r>
  <r>
    <s v="U01092"/>
    <x v="2"/>
    <n v="69"/>
    <s v="Male"/>
    <x v="1"/>
    <x v="1"/>
    <n v="19.739999999999998"/>
    <n v="2"/>
    <n v="5.7"/>
    <n v="14.17"/>
    <n v="85.3"/>
    <s v="Thriller"/>
    <n v="10"/>
    <n v="0"/>
    <n v="0"/>
  </r>
  <r>
    <s v="U01093"/>
    <x v="11"/>
    <n v="36"/>
    <s v="Female"/>
    <x v="1"/>
    <x v="4"/>
    <n v="23.33"/>
    <n v="2"/>
    <n v="9.1999999999999993"/>
    <n v="21.12"/>
    <n v="23.2"/>
    <s v="Family"/>
    <n v="7"/>
    <n v="0"/>
    <n v="0"/>
  </r>
  <r>
    <s v="U01094"/>
    <x v="4"/>
    <n v="30"/>
    <s v="Male"/>
    <x v="0"/>
    <x v="3"/>
    <n v="7.15"/>
    <n v="1"/>
    <n v="4.4000000000000004"/>
    <n v="7.45"/>
    <n v="52.9"/>
    <s v="Thriller"/>
    <n v="9"/>
    <n v="3"/>
    <n v="1"/>
  </r>
  <r>
    <s v="U01095"/>
    <x v="9"/>
    <n v="59"/>
    <s v="Male"/>
    <x v="0"/>
    <x v="3"/>
    <n v="8.8800000000000008"/>
    <n v="3"/>
    <n v="3"/>
    <n v="8.36"/>
    <n v="75.3"/>
    <s v="Action"/>
    <n v="6"/>
    <n v="1"/>
    <n v="0"/>
  </r>
  <r>
    <s v="U01096"/>
    <x v="6"/>
    <n v="38"/>
    <s v="Female"/>
    <x v="2"/>
    <x v="2"/>
    <n v="24.73"/>
    <n v="3"/>
    <n v="7.7"/>
    <n v="20.239999999999998"/>
    <n v="58"/>
    <s v="Comedy"/>
    <n v="4"/>
    <n v="4"/>
    <n v="1"/>
  </r>
  <r>
    <s v="U01097"/>
    <x v="4"/>
    <n v="54"/>
    <s v="Male"/>
    <x v="1"/>
    <x v="3"/>
    <n v="5.3"/>
    <n v="2"/>
    <n v="2.2000000000000002"/>
    <n v="12.73"/>
    <n v="86.6"/>
    <s v="Drama"/>
    <n v="4"/>
    <n v="3"/>
    <n v="0"/>
  </r>
  <r>
    <s v="U01098"/>
    <x v="4"/>
    <n v="44"/>
    <s v="Female"/>
    <x v="1"/>
    <x v="4"/>
    <n v="15.17"/>
    <n v="5"/>
    <n v="9"/>
    <n v="12"/>
    <n v="65.5"/>
    <s v="Drama"/>
    <n v="1"/>
    <n v="4"/>
    <n v="0"/>
  </r>
  <r>
    <s v="U01099"/>
    <x v="4"/>
    <n v="69"/>
    <s v="Female"/>
    <x v="1"/>
    <x v="2"/>
    <n v="15.32"/>
    <n v="5"/>
    <n v="4.7"/>
    <n v="22.52"/>
    <n v="48.9"/>
    <s v="Thriller"/>
    <n v="6"/>
    <n v="4"/>
    <n v="0"/>
  </r>
  <r>
    <s v="U01100"/>
    <x v="6"/>
    <n v="46"/>
    <s v="Male"/>
    <x v="2"/>
    <x v="1"/>
    <n v="10.26"/>
    <n v="5"/>
    <n v="6.5"/>
    <n v="16.420000000000002"/>
    <n v="93.3"/>
    <s v="Thriller"/>
    <n v="3"/>
    <n v="1"/>
    <n v="0"/>
  </r>
  <r>
    <s v="U01101"/>
    <x v="2"/>
    <n v="37"/>
    <s v="Female"/>
    <x v="0"/>
    <x v="0"/>
    <n v="18.260000000000002"/>
    <n v="3"/>
    <n v="2.7"/>
    <n v="20.66"/>
    <n v="13.3"/>
    <s v="Action"/>
    <n v="3"/>
    <n v="3"/>
    <n v="1"/>
  </r>
  <r>
    <s v="U01102"/>
    <x v="5"/>
    <n v="42"/>
    <s v="Male"/>
    <x v="2"/>
    <x v="1"/>
    <n v="23.9"/>
    <n v="4"/>
    <n v="2.2999999999999998"/>
    <n v="20.82"/>
    <n v="54"/>
    <s v="Family"/>
    <n v="1"/>
    <n v="0"/>
    <n v="0"/>
  </r>
  <r>
    <s v="U01103"/>
    <x v="1"/>
    <n v="23"/>
    <s v="Male"/>
    <x v="2"/>
    <x v="4"/>
    <n v="14"/>
    <n v="2"/>
    <n v="8.1999999999999993"/>
    <n v="5.64"/>
    <n v="69.5"/>
    <s v="Action"/>
    <n v="7"/>
    <n v="1"/>
    <n v="0"/>
  </r>
  <r>
    <s v="U01104"/>
    <x v="11"/>
    <n v="53"/>
    <s v="Female"/>
    <x v="2"/>
    <x v="2"/>
    <n v="19.989999999999998"/>
    <n v="3"/>
    <n v="4.9000000000000004"/>
    <n v="17.38"/>
    <n v="85.2"/>
    <s v="Drama"/>
    <n v="9"/>
    <n v="0"/>
    <n v="1"/>
  </r>
  <r>
    <s v="U01105"/>
    <x v="5"/>
    <n v="19"/>
    <s v="Female"/>
    <x v="1"/>
    <x v="1"/>
    <n v="17.920000000000002"/>
    <n v="5"/>
    <n v="9.9"/>
    <n v="23.96"/>
    <n v="58.7"/>
    <s v="Comedy"/>
    <n v="3"/>
    <n v="0"/>
    <n v="0"/>
  </r>
  <r>
    <s v="U01106"/>
    <x v="11"/>
    <n v="39"/>
    <s v="Female"/>
    <x v="0"/>
    <x v="2"/>
    <n v="14.46"/>
    <n v="3"/>
    <n v="5.7"/>
    <n v="13.56"/>
    <n v="89.7"/>
    <s v="Thriller"/>
    <n v="7"/>
    <n v="0"/>
    <n v="0"/>
  </r>
  <r>
    <s v="U01107"/>
    <x v="8"/>
    <n v="49"/>
    <s v="Male"/>
    <x v="1"/>
    <x v="3"/>
    <n v="6"/>
    <n v="3"/>
    <n v="8.6"/>
    <n v="19.11"/>
    <n v="48.4"/>
    <s v="Drama"/>
    <n v="9"/>
    <n v="0"/>
    <n v="0"/>
  </r>
  <r>
    <s v="U01108"/>
    <x v="3"/>
    <n v="33"/>
    <s v="Female"/>
    <x v="1"/>
    <x v="0"/>
    <n v="19.829999999999998"/>
    <n v="3"/>
    <n v="9.8000000000000007"/>
    <n v="15.47"/>
    <n v="38.5"/>
    <s v="Action"/>
    <n v="3"/>
    <n v="3"/>
    <n v="0"/>
  </r>
  <r>
    <s v="U01109"/>
    <x v="3"/>
    <n v="35"/>
    <s v="Male"/>
    <x v="0"/>
    <x v="4"/>
    <n v="12.27"/>
    <n v="5"/>
    <n v="3.5"/>
    <n v="7.51"/>
    <n v="97.6"/>
    <s v="Family"/>
    <n v="9"/>
    <n v="4"/>
    <n v="0"/>
  </r>
  <r>
    <s v="U01110"/>
    <x v="0"/>
    <n v="22"/>
    <s v="Male"/>
    <x v="1"/>
    <x v="1"/>
    <n v="9.49"/>
    <n v="4"/>
    <n v="8.1999999999999993"/>
    <n v="7.29"/>
    <n v="70"/>
    <s v="Comedy"/>
    <n v="11"/>
    <n v="4"/>
    <n v="0"/>
  </r>
  <r>
    <s v="U01111"/>
    <x v="3"/>
    <n v="53"/>
    <s v="Female"/>
    <x v="1"/>
    <x v="0"/>
    <n v="23.97"/>
    <n v="1"/>
    <n v="1.2"/>
    <n v="12.54"/>
    <n v="48.3"/>
    <s v="Family"/>
    <n v="2"/>
    <n v="3"/>
    <n v="0"/>
  </r>
  <r>
    <s v="U01112"/>
    <x v="6"/>
    <n v="47"/>
    <s v="Female"/>
    <x v="2"/>
    <x v="4"/>
    <n v="20.47"/>
    <n v="2"/>
    <n v="7.1"/>
    <n v="13.63"/>
    <n v="89"/>
    <s v="Action"/>
    <n v="3"/>
    <n v="4"/>
    <n v="0"/>
  </r>
  <r>
    <s v="U01113"/>
    <x v="7"/>
    <n v="62"/>
    <s v="Female"/>
    <x v="0"/>
    <x v="4"/>
    <n v="24.25"/>
    <n v="2"/>
    <n v="7.7"/>
    <n v="14.07"/>
    <n v="71.5"/>
    <s v="Action"/>
    <n v="11"/>
    <n v="1"/>
    <n v="0"/>
  </r>
  <r>
    <s v="U01114"/>
    <x v="10"/>
    <n v="36"/>
    <s v="Male"/>
    <x v="1"/>
    <x v="3"/>
    <n v="10.119999999999999"/>
    <n v="3"/>
    <n v="5.3"/>
    <n v="24.01"/>
    <n v="67.400000000000006"/>
    <s v="Drama"/>
    <n v="4"/>
    <n v="0"/>
    <n v="0"/>
  </r>
  <r>
    <s v="U01115"/>
    <x v="0"/>
    <n v="40"/>
    <s v="Female"/>
    <x v="2"/>
    <x v="2"/>
    <n v="21.72"/>
    <n v="4"/>
    <n v="2.5"/>
    <n v="5.21"/>
    <n v="75.599999999999994"/>
    <s v="Comedy"/>
    <n v="7"/>
    <n v="0"/>
    <n v="0"/>
  </r>
  <r>
    <s v="U01116"/>
    <x v="10"/>
    <n v="51"/>
    <s v="Male"/>
    <x v="2"/>
    <x v="2"/>
    <n v="17.149999999999999"/>
    <n v="5"/>
    <n v="6.6"/>
    <n v="11.37"/>
    <n v="76.400000000000006"/>
    <s v="Action"/>
    <n v="11"/>
    <n v="0"/>
    <n v="0"/>
  </r>
  <r>
    <s v="U01117"/>
    <x v="11"/>
    <n v="30"/>
    <s v="Female"/>
    <x v="2"/>
    <x v="0"/>
    <n v="24.63"/>
    <n v="1"/>
    <n v="9.1"/>
    <n v="14.32"/>
    <n v="54.4"/>
    <s v="Drama"/>
    <n v="9"/>
    <n v="2"/>
    <n v="0"/>
  </r>
  <r>
    <s v="U01118"/>
    <x v="10"/>
    <n v="60"/>
    <s v="Female"/>
    <x v="2"/>
    <x v="3"/>
    <n v="23.93"/>
    <n v="1"/>
    <n v="9.4"/>
    <n v="24.19"/>
    <n v="47.7"/>
    <s v="Action"/>
    <n v="1"/>
    <n v="1"/>
    <n v="1"/>
  </r>
  <r>
    <s v="U01119"/>
    <x v="10"/>
    <n v="46"/>
    <s v="Male"/>
    <x v="2"/>
    <x v="4"/>
    <n v="24.46"/>
    <n v="3"/>
    <n v="7.7"/>
    <n v="14.09"/>
    <n v="91.8"/>
    <s v="Drama"/>
    <n v="9"/>
    <n v="2"/>
    <n v="1"/>
  </r>
  <r>
    <s v="U01120"/>
    <x v="0"/>
    <n v="53"/>
    <s v="Male"/>
    <x v="1"/>
    <x v="3"/>
    <n v="24.04"/>
    <n v="3"/>
    <n v="3.4"/>
    <n v="20.059999999999999"/>
    <n v="54.8"/>
    <s v="Family"/>
    <n v="10"/>
    <n v="3"/>
    <n v="0"/>
  </r>
  <r>
    <s v="U01121"/>
    <x v="8"/>
    <n v="39"/>
    <s v="Female"/>
    <x v="1"/>
    <x v="3"/>
    <n v="5.15"/>
    <n v="5"/>
    <n v="8.8000000000000007"/>
    <n v="19.48"/>
    <n v="29.4"/>
    <s v="Drama"/>
    <n v="5"/>
    <n v="2"/>
    <n v="0"/>
  </r>
  <r>
    <s v="U01122"/>
    <x v="4"/>
    <n v="69"/>
    <s v="Female"/>
    <x v="0"/>
    <x v="0"/>
    <n v="19.82"/>
    <n v="5"/>
    <n v="9"/>
    <n v="15.46"/>
    <n v="56.9"/>
    <s v="Family"/>
    <n v="4"/>
    <n v="4"/>
    <n v="0"/>
  </r>
  <r>
    <s v="U01123"/>
    <x v="3"/>
    <n v="69"/>
    <s v="Female"/>
    <x v="0"/>
    <x v="2"/>
    <n v="10.44"/>
    <n v="5"/>
    <n v="4.3"/>
    <n v="5.88"/>
    <n v="13.1"/>
    <s v="Thriller"/>
    <n v="11"/>
    <n v="4"/>
    <n v="0"/>
  </r>
  <r>
    <s v="U01124"/>
    <x v="3"/>
    <n v="64"/>
    <s v="Female"/>
    <x v="0"/>
    <x v="3"/>
    <n v="19.100000000000001"/>
    <n v="3"/>
    <n v="2.6"/>
    <n v="7.81"/>
    <n v="75.099999999999994"/>
    <s v="Action"/>
    <n v="6"/>
    <n v="1"/>
    <n v="0"/>
  </r>
  <r>
    <s v="U01125"/>
    <x v="6"/>
    <n v="53"/>
    <s v="Female"/>
    <x v="0"/>
    <x v="3"/>
    <n v="24.61"/>
    <n v="4"/>
    <n v="8.9"/>
    <n v="8.2799999999999994"/>
    <n v="21.4"/>
    <s v="Thriller"/>
    <n v="10"/>
    <n v="2"/>
    <n v="0"/>
  </r>
  <r>
    <s v="U01126"/>
    <x v="0"/>
    <n v="26"/>
    <s v="Male"/>
    <x v="0"/>
    <x v="3"/>
    <n v="5.79"/>
    <n v="3"/>
    <n v="9"/>
    <n v="3.85"/>
    <n v="20.100000000000001"/>
    <s v="Comedy"/>
    <n v="5"/>
    <n v="2"/>
    <n v="0"/>
  </r>
  <r>
    <s v="U01127"/>
    <x v="6"/>
    <n v="56"/>
    <s v="Male"/>
    <x v="0"/>
    <x v="1"/>
    <n v="16.34"/>
    <n v="3"/>
    <n v="1.9"/>
    <n v="11.34"/>
    <n v="95.2"/>
    <s v="Thriller"/>
    <n v="5"/>
    <n v="0"/>
    <n v="0"/>
  </r>
  <r>
    <s v="U01128"/>
    <x v="7"/>
    <n v="68"/>
    <s v="Male"/>
    <x v="0"/>
    <x v="3"/>
    <n v="19.7"/>
    <n v="1"/>
    <n v="9.6999999999999993"/>
    <n v="16.43"/>
    <n v="79.5"/>
    <s v="Drama"/>
    <n v="5"/>
    <n v="1"/>
    <n v="0"/>
  </r>
  <r>
    <s v="U01129"/>
    <x v="7"/>
    <n v="36"/>
    <s v="Male"/>
    <x v="2"/>
    <x v="3"/>
    <n v="10.07"/>
    <n v="5"/>
    <n v="5.8"/>
    <n v="6.17"/>
    <n v="47.3"/>
    <s v="Drama"/>
    <n v="8"/>
    <n v="0"/>
    <n v="1"/>
  </r>
  <r>
    <s v="U01130"/>
    <x v="6"/>
    <n v="55"/>
    <s v="Female"/>
    <x v="0"/>
    <x v="4"/>
    <n v="9.5"/>
    <n v="2"/>
    <n v="9.9"/>
    <n v="6.85"/>
    <n v="31.6"/>
    <s v="Comedy"/>
    <n v="10"/>
    <n v="1"/>
    <n v="0"/>
  </r>
  <r>
    <s v="U01131"/>
    <x v="0"/>
    <n v="23"/>
    <s v="Male"/>
    <x v="2"/>
    <x v="1"/>
    <n v="6.21"/>
    <n v="5"/>
    <n v="5"/>
    <n v="18.55"/>
    <n v="85.9"/>
    <s v="Comedy"/>
    <n v="8"/>
    <n v="1"/>
    <n v="0"/>
  </r>
  <r>
    <s v="U01132"/>
    <x v="6"/>
    <n v="69"/>
    <s v="Male"/>
    <x v="0"/>
    <x v="3"/>
    <n v="6.88"/>
    <n v="4"/>
    <n v="5.8"/>
    <n v="6.72"/>
    <n v="97.2"/>
    <s v="Action"/>
    <n v="10"/>
    <n v="2"/>
    <n v="0"/>
  </r>
  <r>
    <s v="U01133"/>
    <x v="3"/>
    <n v="64"/>
    <s v="Male"/>
    <x v="2"/>
    <x v="3"/>
    <n v="18.13"/>
    <n v="4"/>
    <n v="3.4"/>
    <n v="5.98"/>
    <n v="55.8"/>
    <s v="Drama"/>
    <n v="4"/>
    <n v="0"/>
    <n v="0"/>
  </r>
  <r>
    <s v="U01134"/>
    <x v="5"/>
    <n v="32"/>
    <s v="Female"/>
    <x v="2"/>
    <x v="0"/>
    <n v="15.1"/>
    <n v="5"/>
    <n v="9.1"/>
    <n v="24.51"/>
    <n v="62.2"/>
    <s v="Comedy"/>
    <n v="9"/>
    <n v="3"/>
    <n v="0"/>
  </r>
  <r>
    <s v="U01135"/>
    <x v="1"/>
    <n v="37"/>
    <s v="Male"/>
    <x v="1"/>
    <x v="0"/>
    <n v="5.6"/>
    <n v="5"/>
    <n v="5"/>
    <n v="3.32"/>
    <n v="31.9"/>
    <s v="Thriller"/>
    <n v="8"/>
    <n v="0"/>
    <n v="0"/>
  </r>
  <r>
    <s v="U01136"/>
    <x v="10"/>
    <n v="26"/>
    <s v="Female"/>
    <x v="1"/>
    <x v="1"/>
    <n v="24.39"/>
    <n v="3"/>
    <n v="8.3000000000000007"/>
    <n v="10.16"/>
    <n v="63"/>
    <s v="Drama"/>
    <n v="6"/>
    <n v="3"/>
    <n v="0"/>
  </r>
  <r>
    <s v="U01137"/>
    <x v="1"/>
    <n v="49"/>
    <s v="Male"/>
    <x v="0"/>
    <x v="4"/>
    <n v="18.12"/>
    <n v="2"/>
    <n v="1.7"/>
    <n v="3.77"/>
    <n v="46.1"/>
    <s v="Comedy"/>
    <n v="2"/>
    <n v="4"/>
    <n v="0"/>
  </r>
  <r>
    <s v="U01138"/>
    <x v="0"/>
    <n v="21"/>
    <s v="Female"/>
    <x v="2"/>
    <x v="1"/>
    <n v="15.31"/>
    <n v="3"/>
    <n v="8.1"/>
    <n v="21.44"/>
    <n v="86.1"/>
    <s v="Action"/>
    <n v="9"/>
    <n v="1"/>
    <n v="0"/>
  </r>
  <r>
    <s v="U01139"/>
    <x v="2"/>
    <n v="67"/>
    <s v="Male"/>
    <x v="2"/>
    <x v="1"/>
    <n v="10.45"/>
    <n v="1"/>
    <n v="5.4"/>
    <n v="15.84"/>
    <n v="43.9"/>
    <s v="Family"/>
    <n v="6"/>
    <n v="0"/>
    <n v="0"/>
  </r>
  <r>
    <s v="U01140"/>
    <x v="1"/>
    <n v="35"/>
    <s v="Female"/>
    <x v="2"/>
    <x v="0"/>
    <n v="18.16"/>
    <n v="1"/>
    <n v="1"/>
    <n v="4.05"/>
    <n v="68.400000000000006"/>
    <s v="Drama"/>
    <n v="8"/>
    <n v="1"/>
    <n v="0"/>
  </r>
  <r>
    <s v="U01141"/>
    <x v="7"/>
    <n v="22"/>
    <s v="Male"/>
    <x v="1"/>
    <x v="0"/>
    <n v="12.28"/>
    <n v="4"/>
    <n v="3"/>
    <n v="16.54"/>
    <n v="28.3"/>
    <s v="Drama"/>
    <n v="6"/>
    <n v="0"/>
    <n v="1"/>
  </r>
  <r>
    <s v="U01142"/>
    <x v="11"/>
    <n v="37"/>
    <s v="Female"/>
    <x v="1"/>
    <x v="4"/>
    <n v="19.05"/>
    <n v="4"/>
    <n v="2.7"/>
    <n v="5.71"/>
    <n v="18.2"/>
    <s v="Drama"/>
    <n v="5"/>
    <n v="4"/>
    <n v="0"/>
  </r>
  <r>
    <s v="U01143"/>
    <x v="10"/>
    <n v="40"/>
    <s v="Female"/>
    <x v="2"/>
    <x v="3"/>
    <n v="18.649999999999999"/>
    <n v="2"/>
    <n v="7.8"/>
    <n v="13.91"/>
    <n v="13.6"/>
    <s v="Drama"/>
    <n v="7"/>
    <n v="0"/>
    <n v="0"/>
  </r>
  <r>
    <s v="U01144"/>
    <x v="4"/>
    <n v="28"/>
    <s v="Male"/>
    <x v="0"/>
    <x v="4"/>
    <n v="6.85"/>
    <n v="4"/>
    <n v="5.3"/>
    <n v="17.73"/>
    <n v="47.4"/>
    <s v="Family"/>
    <n v="4"/>
    <n v="4"/>
    <n v="1"/>
  </r>
  <r>
    <s v="U01145"/>
    <x v="2"/>
    <n v="54"/>
    <s v="Female"/>
    <x v="1"/>
    <x v="3"/>
    <n v="23.19"/>
    <n v="1"/>
    <n v="2.4"/>
    <n v="6.27"/>
    <n v="24.7"/>
    <s v="Family"/>
    <n v="10"/>
    <n v="1"/>
    <n v="0"/>
  </r>
  <r>
    <s v="U01146"/>
    <x v="0"/>
    <n v="39"/>
    <s v="Female"/>
    <x v="0"/>
    <x v="2"/>
    <n v="14.74"/>
    <n v="2"/>
    <n v="3.3"/>
    <n v="13.94"/>
    <n v="99.4"/>
    <s v="Action"/>
    <n v="11"/>
    <n v="2"/>
    <n v="0"/>
  </r>
  <r>
    <s v="U01147"/>
    <x v="10"/>
    <n v="21"/>
    <s v="Male"/>
    <x v="2"/>
    <x v="0"/>
    <n v="12.86"/>
    <n v="1"/>
    <n v="5.5"/>
    <n v="13.06"/>
    <n v="81.900000000000006"/>
    <s v="Drama"/>
    <n v="3"/>
    <n v="3"/>
    <n v="0"/>
  </r>
  <r>
    <s v="U01148"/>
    <x v="1"/>
    <n v="46"/>
    <s v="Male"/>
    <x v="0"/>
    <x v="2"/>
    <n v="24.11"/>
    <n v="5"/>
    <n v="1.2"/>
    <n v="23.15"/>
    <n v="72.400000000000006"/>
    <s v="Comedy"/>
    <n v="11"/>
    <n v="1"/>
    <n v="1"/>
  </r>
  <r>
    <s v="U01149"/>
    <x v="7"/>
    <n v="61"/>
    <s v="Female"/>
    <x v="0"/>
    <x v="2"/>
    <n v="13.76"/>
    <n v="5"/>
    <n v="4.8"/>
    <n v="24.91"/>
    <n v="82.3"/>
    <s v="Thriller"/>
    <n v="7"/>
    <n v="2"/>
    <n v="0"/>
  </r>
  <r>
    <s v="U01150"/>
    <x v="8"/>
    <n v="51"/>
    <s v="Male"/>
    <x v="1"/>
    <x v="0"/>
    <n v="19.420000000000002"/>
    <n v="2"/>
    <n v="7.1"/>
    <n v="17.399999999999999"/>
    <n v="33.6"/>
    <s v="Drama"/>
    <n v="2"/>
    <n v="1"/>
    <n v="0"/>
  </r>
  <r>
    <s v="U01151"/>
    <x v="5"/>
    <n v="30"/>
    <s v="Male"/>
    <x v="2"/>
    <x v="2"/>
    <n v="18.100000000000001"/>
    <n v="3"/>
    <n v="5.7"/>
    <n v="21.81"/>
    <n v="89.1"/>
    <s v="Family"/>
    <n v="10"/>
    <n v="1"/>
    <n v="0"/>
  </r>
  <r>
    <s v="U01152"/>
    <x v="4"/>
    <n v="59"/>
    <s v="Male"/>
    <x v="1"/>
    <x v="1"/>
    <n v="8.3000000000000007"/>
    <n v="4"/>
    <n v="6.4"/>
    <n v="17.23"/>
    <n v="99.6"/>
    <s v="Action"/>
    <n v="3"/>
    <n v="0"/>
    <n v="0"/>
  </r>
  <r>
    <s v="U01153"/>
    <x v="2"/>
    <n v="26"/>
    <s v="Female"/>
    <x v="0"/>
    <x v="3"/>
    <n v="24.82"/>
    <n v="2"/>
    <n v="3.9"/>
    <n v="22.28"/>
    <n v="36.1"/>
    <s v="Drama"/>
    <n v="1"/>
    <n v="4"/>
    <n v="0"/>
  </r>
  <r>
    <s v="U01154"/>
    <x v="5"/>
    <n v="59"/>
    <s v="Female"/>
    <x v="0"/>
    <x v="4"/>
    <n v="14.27"/>
    <n v="4"/>
    <n v="2.6"/>
    <n v="12.53"/>
    <n v="98.6"/>
    <s v="Action"/>
    <n v="11"/>
    <n v="4"/>
    <n v="0"/>
  </r>
  <r>
    <s v="U01155"/>
    <x v="10"/>
    <n v="48"/>
    <s v="Female"/>
    <x v="2"/>
    <x v="0"/>
    <n v="12.9"/>
    <n v="1"/>
    <n v="8.3000000000000007"/>
    <n v="16.38"/>
    <n v="38.799999999999997"/>
    <s v="Comedy"/>
    <n v="1"/>
    <n v="0"/>
    <n v="1"/>
  </r>
  <r>
    <s v="U01156"/>
    <x v="7"/>
    <n v="24"/>
    <s v="Female"/>
    <x v="2"/>
    <x v="1"/>
    <n v="23.39"/>
    <n v="3"/>
    <n v="9.1999999999999993"/>
    <n v="21.59"/>
    <n v="11.1"/>
    <s v="Comedy"/>
    <n v="2"/>
    <n v="0"/>
    <n v="1"/>
  </r>
  <r>
    <s v="U01157"/>
    <x v="7"/>
    <n v="21"/>
    <s v="Female"/>
    <x v="2"/>
    <x v="4"/>
    <n v="15.58"/>
    <n v="4"/>
    <n v="5.6"/>
    <n v="23.2"/>
    <n v="43"/>
    <s v="Comedy"/>
    <n v="1"/>
    <n v="1"/>
    <n v="1"/>
  </r>
  <r>
    <s v="U01158"/>
    <x v="1"/>
    <n v="36"/>
    <s v="Female"/>
    <x v="1"/>
    <x v="4"/>
    <n v="19.100000000000001"/>
    <n v="5"/>
    <n v="3.7"/>
    <n v="3.54"/>
    <n v="99.8"/>
    <s v="Comedy"/>
    <n v="2"/>
    <n v="4"/>
    <n v="0"/>
  </r>
  <r>
    <s v="U01159"/>
    <x v="3"/>
    <n v="59"/>
    <s v="Female"/>
    <x v="2"/>
    <x v="4"/>
    <n v="21.92"/>
    <n v="5"/>
    <n v="5.6"/>
    <n v="5.29"/>
    <n v="67.2"/>
    <s v="Thriller"/>
    <n v="1"/>
    <n v="1"/>
    <n v="0"/>
  </r>
  <r>
    <s v="U01160"/>
    <x v="1"/>
    <n v="47"/>
    <s v="Male"/>
    <x v="1"/>
    <x v="2"/>
    <n v="9.7100000000000009"/>
    <n v="1"/>
    <n v="8.9"/>
    <n v="23.49"/>
    <n v="72.599999999999994"/>
    <s v="Action"/>
    <n v="3"/>
    <n v="2"/>
    <n v="0"/>
  </r>
  <r>
    <s v="U01161"/>
    <x v="3"/>
    <n v="48"/>
    <s v="Female"/>
    <x v="1"/>
    <x v="2"/>
    <n v="8.39"/>
    <n v="2"/>
    <n v="7.2"/>
    <n v="15.51"/>
    <n v="31.5"/>
    <s v="Drama"/>
    <n v="9"/>
    <n v="2"/>
    <n v="0"/>
  </r>
  <r>
    <s v="U01162"/>
    <x v="3"/>
    <n v="52"/>
    <s v="Female"/>
    <x v="1"/>
    <x v="2"/>
    <n v="6.37"/>
    <n v="4"/>
    <n v="8.6999999999999993"/>
    <n v="24.78"/>
    <n v="23.1"/>
    <s v="Thriller"/>
    <n v="9"/>
    <n v="0"/>
    <n v="0"/>
  </r>
  <r>
    <s v="U01163"/>
    <x v="4"/>
    <n v="38"/>
    <s v="Male"/>
    <x v="1"/>
    <x v="2"/>
    <n v="22.94"/>
    <n v="1"/>
    <n v="4"/>
    <n v="20.440000000000001"/>
    <n v="89.7"/>
    <s v="Drama"/>
    <n v="8"/>
    <n v="4"/>
    <n v="1"/>
  </r>
  <r>
    <s v="U01164"/>
    <x v="1"/>
    <n v="48"/>
    <s v="Male"/>
    <x v="2"/>
    <x v="1"/>
    <n v="9.01"/>
    <n v="5"/>
    <n v="7.4"/>
    <n v="21"/>
    <n v="47.2"/>
    <s v="Family"/>
    <n v="9"/>
    <n v="2"/>
    <n v="1"/>
  </r>
  <r>
    <s v="U01165"/>
    <x v="9"/>
    <n v="36"/>
    <s v="Male"/>
    <x v="1"/>
    <x v="2"/>
    <n v="11.16"/>
    <n v="5"/>
    <n v="6.9"/>
    <n v="11.49"/>
    <n v="10.4"/>
    <s v="Thriller"/>
    <n v="4"/>
    <n v="4"/>
    <n v="0"/>
  </r>
  <r>
    <s v="U01166"/>
    <x v="8"/>
    <n v="48"/>
    <s v="Female"/>
    <x v="1"/>
    <x v="0"/>
    <n v="10.72"/>
    <n v="5"/>
    <n v="6.1"/>
    <n v="8.67"/>
    <n v="36.5"/>
    <s v="Thriller"/>
    <n v="8"/>
    <n v="4"/>
    <n v="1"/>
  </r>
  <r>
    <s v="U01167"/>
    <x v="2"/>
    <n v="49"/>
    <s v="Male"/>
    <x v="0"/>
    <x v="4"/>
    <n v="11.09"/>
    <n v="3"/>
    <n v="5.8"/>
    <n v="16.16"/>
    <n v="27.6"/>
    <s v="Family"/>
    <n v="11"/>
    <n v="3"/>
    <n v="0"/>
  </r>
  <r>
    <s v="U01168"/>
    <x v="6"/>
    <n v="19"/>
    <s v="Female"/>
    <x v="0"/>
    <x v="1"/>
    <n v="18.36"/>
    <n v="3"/>
    <n v="6"/>
    <n v="22.34"/>
    <n v="64.3"/>
    <s v="Thriller"/>
    <n v="5"/>
    <n v="2"/>
    <n v="0"/>
  </r>
  <r>
    <s v="U01169"/>
    <x v="6"/>
    <n v="69"/>
    <s v="Female"/>
    <x v="1"/>
    <x v="2"/>
    <n v="24.08"/>
    <n v="5"/>
    <n v="8.6"/>
    <n v="18.97"/>
    <n v="78.099999999999994"/>
    <s v="Action"/>
    <n v="4"/>
    <n v="2"/>
    <n v="0"/>
  </r>
  <r>
    <s v="U01170"/>
    <x v="1"/>
    <n v="27"/>
    <s v="Female"/>
    <x v="0"/>
    <x v="4"/>
    <n v="11.59"/>
    <n v="2"/>
    <n v="9.1999999999999993"/>
    <n v="13.39"/>
    <n v="54.8"/>
    <s v="Comedy"/>
    <n v="4"/>
    <n v="1"/>
    <n v="1"/>
  </r>
  <r>
    <s v="U01171"/>
    <x v="1"/>
    <n v="19"/>
    <s v="Male"/>
    <x v="0"/>
    <x v="1"/>
    <n v="13.15"/>
    <n v="3"/>
    <n v="2"/>
    <n v="19.57"/>
    <n v="26.7"/>
    <s v="Drama"/>
    <n v="2"/>
    <n v="1"/>
    <n v="0"/>
  </r>
  <r>
    <s v="U01172"/>
    <x v="5"/>
    <n v="19"/>
    <s v="Male"/>
    <x v="1"/>
    <x v="4"/>
    <n v="20.420000000000002"/>
    <n v="4"/>
    <n v="6.1"/>
    <n v="18.190000000000001"/>
    <n v="15.2"/>
    <s v="Family"/>
    <n v="10"/>
    <n v="4"/>
    <n v="0"/>
  </r>
  <r>
    <s v="U01173"/>
    <x v="2"/>
    <n v="41"/>
    <s v="Female"/>
    <x v="1"/>
    <x v="1"/>
    <n v="13.65"/>
    <n v="3"/>
    <n v="9.3000000000000007"/>
    <n v="23.09"/>
    <n v="38.200000000000003"/>
    <s v="Comedy"/>
    <n v="9"/>
    <n v="0"/>
    <n v="0"/>
  </r>
  <r>
    <s v="U01174"/>
    <x v="2"/>
    <n v="34"/>
    <s v="Female"/>
    <x v="2"/>
    <x v="3"/>
    <n v="23.52"/>
    <n v="4"/>
    <n v="2.2000000000000002"/>
    <n v="8.8000000000000007"/>
    <n v="82.5"/>
    <s v="Thriller"/>
    <n v="9"/>
    <n v="1"/>
    <n v="1"/>
  </r>
  <r>
    <s v="U01175"/>
    <x v="4"/>
    <n v="49"/>
    <s v="Female"/>
    <x v="1"/>
    <x v="1"/>
    <n v="15.06"/>
    <n v="3"/>
    <n v="4.7"/>
    <n v="5.62"/>
    <n v="47.8"/>
    <s v="Action"/>
    <n v="1"/>
    <n v="1"/>
    <n v="1"/>
  </r>
  <r>
    <s v="U01176"/>
    <x v="1"/>
    <n v="33"/>
    <s v="Male"/>
    <x v="2"/>
    <x v="2"/>
    <n v="11.95"/>
    <n v="5"/>
    <n v="1.8"/>
    <n v="13.34"/>
    <n v="32.700000000000003"/>
    <s v="Thriller"/>
    <n v="4"/>
    <n v="4"/>
    <n v="0"/>
  </r>
  <r>
    <s v="U01177"/>
    <x v="2"/>
    <n v="33"/>
    <s v="Female"/>
    <x v="2"/>
    <x v="4"/>
    <n v="24.43"/>
    <n v="4"/>
    <n v="2"/>
    <n v="10.94"/>
    <n v="11.9"/>
    <s v="Family"/>
    <n v="9"/>
    <n v="2"/>
    <n v="0"/>
  </r>
  <r>
    <s v="U01178"/>
    <x v="5"/>
    <n v="63"/>
    <s v="Male"/>
    <x v="2"/>
    <x v="4"/>
    <n v="13.52"/>
    <n v="2"/>
    <n v="9.1"/>
    <n v="24.45"/>
    <n v="54.6"/>
    <s v="Thriller"/>
    <n v="4"/>
    <n v="1"/>
    <n v="0"/>
  </r>
  <r>
    <s v="U01179"/>
    <x v="3"/>
    <n v="56"/>
    <s v="Female"/>
    <x v="1"/>
    <x v="4"/>
    <n v="9.6199999999999992"/>
    <n v="3"/>
    <n v="5"/>
    <n v="3.17"/>
    <n v="71.599999999999994"/>
    <s v="Action"/>
    <n v="2"/>
    <n v="0"/>
    <n v="0"/>
  </r>
  <r>
    <s v="U01180"/>
    <x v="7"/>
    <n v="48"/>
    <s v="Male"/>
    <x v="1"/>
    <x v="0"/>
    <n v="8.5500000000000007"/>
    <n v="3"/>
    <n v="7.2"/>
    <n v="23.53"/>
    <n v="27.1"/>
    <s v="Thriller"/>
    <n v="2"/>
    <n v="4"/>
    <n v="0"/>
  </r>
  <r>
    <s v="U01181"/>
    <x v="7"/>
    <n v="60"/>
    <s v="Female"/>
    <x v="2"/>
    <x v="0"/>
    <n v="24.9"/>
    <n v="5"/>
    <n v="2.2999999999999998"/>
    <n v="24.01"/>
    <n v="58.3"/>
    <s v="Thriller"/>
    <n v="10"/>
    <n v="2"/>
    <n v="0"/>
  </r>
  <r>
    <s v="U01182"/>
    <x v="3"/>
    <n v="41"/>
    <s v="Male"/>
    <x v="0"/>
    <x v="2"/>
    <n v="20.059999999999999"/>
    <n v="4"/>
    <n v="1.2"/>
    <n v="4.12"/>
    <n v="47.9"/>
    <s v="Thriller"/>
    <n v="9"/>
    <n v="3"/>
    <n v="0"/>
  </r>
  <r>
    <s v="U01183"/>
    <x v="0"/>
    <n v="18"/>
    <s v="Male"/>
    <x v="0"/>
    <x v="3"/>
    <n v="13.17"/>
    <n v="5"/>
    <n v="9"/>
    <n v="22.57"/>
    <n v="73.400000000000006"/>
    <s v="Thriller"/>
    <n v="11"/>
    <n v="0"/>
    <n v="1"/>
  </r>
  <r>
    <s v="U01184"/>
    <x v="5"/>
    <n v="28"/>
    <s v="Male"/>
    <x v="1"/>
    <x v="0"/>
    <n v="21.53"/>
    <n v="4"/>
    <n v="6.2"/>
    <n v="13.36"/>
    <n v="87.5"/>
    <s v="Action"/>
    <n v="4"/>
    <n v="2"/>
    <n v="1"/>
  </r>
  <r>
    <s v="U01185"/>
    <x v="2"/>
    <n v="38"/>
    <s v="Male"/>
    <x v="0"/>
    <x v="1"/>
    <n v="15.94"/>
    <n v="3"/>
    <n v="1.2"/>
    <n v="19.86"/>
    <n v="37.6"/>
    <s v="Drama"/>
    <n v="1"/>
    <n v="4"/>
    <n v="0"/>
  </r>
  <r>
    <s v="U01186"/>
    <x v="9"/>
    <n v="21"/>
    <s v="Male"/>
    <x v="2"/>
    <x v="2"/>
    <n v="11.35"/>
    <n v="3"/>
    <n v="9.9"/>
    <n v="4.74"/>
    <n v="91.4"/>
    <s v="Comedy"/>
    <n v="1"/>
    <n v="3"/>
    <n v="0"/>
  </r>
  <r>
    <s v="U01187"/>
    <x v="5"/>
    <n v="24"/>
    <s v="Male"/>
    <x v="1"/>
    <x v="3"/>
    <n v="19.87"/>
    <n v="3"/>
    <n v="5.4"/>
    <n v="24.01"/>
    <n v="73.599999999999994"/>
    <s v="Family"/>
    <n v="1"/>
    <n v="0"/>
    <n v="0"/>
  </r>
  <r>
    <s v="U01188"/>
    <x v="3"/>
    <n v="43"/>
    <s v="Female"/>
    <x v="1"/>
    <x v="1"/>
    <n v="19.920000000000002"/>
    <n v="3"/>
    <n v="5.3"/>
    <n v="16.37"/>
    <n v="13.3"/>
    <s v="Drama"/>
    <n v="8"/>
    <n v="1"/>
    <n v="0"/>
  </r>
  <r>
    <s v="U01189"/>
    <x v="8"/>
    <n v="64"/>
    <s v="Female"/>
    <x v="1"/>
    <x v="4"/>
    <n v="15"/>
    <n v="1"/>
    <n v="6.6"/>
    <n v="22.77"/>
    <n v="81.2"/>
    <s v="Action"/>
    <n v="1"/>
    <n v="1"/>
    <n v="0"/>
  </r>
  <r>
    <s v="U01190"/>
    <x v="11"/>
    <n v="67"/>
    <s v="Female"/>
    <x v="1"/>
    <x v="0"/>
    <n v="5.9"/>
    <n v="3"/>
    <n v="1.1000000000000001"/>
    <n v="17.809999999999999"/>
    <n v="54.5"/>
    <s v="Family"/>
    <n v="5"/>
    <n v="0"/>
    <n v="1"/>
  </r>
  <r>
    <s v="U01191"/>
    <x v="10"/>
    <n v="29"/>
    <s v="Female"/>
    <x v="0"/>
    <x v="1"/>
    <n v="6.54"/>
    <n v="3"/>
    <n v="6.1"/>
    <n v="14.81"/>
    <n v="95.1"/>
    <s v="Family"/>
    <n v="9"/>
    <n v="1"/>
    <n v="0"/>
  </r>
  <r>
    <s v="U01192"/>
    <x v="3"/>
    <n v="48"/>
    <s v="Male"/>
    <x v="1"/>
    <x v="3"/>
    <n v="20.77"/>
    <n v="4"/>
    <n v="6.7"/>
    <n v="6.79"/>
    <n v="39.1"/>
    <s v="Thriller"/>
    <n v="4"/>
    <n v="4"/>
    <n v="0"/>
  </r>
  <r>
    <s v="U01193"/>
    <x v="9"/>
    <n v="34"/>
    <s v="Female"/>
    <x v="2"/>
    <x v="2"/>
    <n v="21.47"/>
    <n v="3"/>
    <n v="3.7"/>
    <n v="6.91"/>
    <n v="63.2"/>
    <s v="Comedy"/>
    <n v="11"/>
    <n v="0"/>
    <n v="0"/>
  </r>
  <r>
    <s v="U01194"/>
    <x v="2"/>
    <n v="50"/>
    <s v="Male"/>
    <x v="1"/>
    <x v="1"/>
    <n v="18.57"/>
    <n v="3"/>
    <n v="7.5"/>
    <n v="13.4"/>
    <n v="96.1"/>
    <s v="Comedy"/>
    <n v="9"/>
    <n v="0"/>
    <n v="1"/>
  </r>
  <r>
    <s v="U01195"/>
    <x v="9"/>
    <n v="28"/>
    <s v="Male"/>
    <x v="2"/>
    <x v="2"/>
    <n v="21.78"/>
    <n v="4"/>
    <n v="4.4000000000000004"/>
    <n v="22.15"/>
    <n v="34.4"/>
    <s v="Action"/>
    <n v="5"/>
    <n v="1"/>
    <n v="0"/>
  </r>
  <r>
    <s v="U01196"/>
    <x v="9"/>
    <n v="45"/>
    <s v="Male"/>
    <x v="0"/>
    <x v="4"/>
    <n v="19.39"/>
    <n v="3"/>
    <n v="7.5"/>
    <n v="5.53"/>
    <n v="52.5"/>
    <s v="Drama"/>
    <n v="9"/>
    <n v="0"/>
    <n v="0"/>
  </r>
  <r>
    <s v="U01197"/>
    <x v="1"/>
    <n v="49"/>
    <s v="Female"/>
    <x v="0"/>
    <x v="3"/>
    <n v="22.94"/>
    <n v="3"/>
    <n v="2.2999999999999998"/>
    <n v="24.96"/>
    <n v="77.7"/>
    <s v="Thriller"/>
    <n v="2"/>
    <n v="3"/>
    <n v="0"/>
  </r>
  <r>
    <s v="U01198"/>
    <x v="1"/>
    <n v="18"/>
    <s v="Male"/>
    <x v="0"/>
    <x v="3"/>
    <n v="8.01"/>
    <n v="5"/>
    <n v="9.1999999999999993"/>
    <n v="22.27"/>
    <n v="72.2"/>
    <s v="Comedy"/>
    <n v="8"/>
    <n v="0"/>
    <n v="0"/>
  </r>
  <r>
    <s v="U01199"/>
    <x v="4"/>
    <n v="64"/>
    <s v="Female"/>
    <x v="1"/>
    <x v="0"/>
    <n v="12.75"/>
    <n v="1"/>
    <n v="8.9"/>
    <n v="11.64"/>
    <n v="85.5"/>
    <s v="Thriller"/>
    <n v="7"/>
    <n v="1"/>
    <n v="1"/>
  </r>
  <r>
    <s v="U01200"/>
    <x v="3"/>
    <n v="45"/>
    <s v="Female"/>
    <x v="2"/>
    <x v="3"/>
    <n v="14.28"/>
    <n v="4"/>
    <n v="2.4"/>
    <n v="8.57"/>
    <n v="56.8"/>
    <s v="Drama"/>
    <n v="7"/>
    <n v="1"/>
    <n v="0"/>
  </r>
  <r>
    <s v="U01201"/>
    <x v="4"/>
    <n v="59"/>
    <s v="Female"/>
    <x v="2"/>
    <x v="1"/>
    <n v="10.95"/>
    <n v="5"/>
    <n v="9.4"/>
    <n v="23.28"/>
    <n v="38.700000000000003"/>
    <s v="Family"/>
    <n v="3"/>
    <n v="1"/>
    <n v="0"/>
  </r>
  <r>
    <s v="U01202"/>
    <x v="3"/>
    <n v="24"/>
    <s v="Female"/>
    <x v="1"/>
    <x v="1"/>
    <n v="19.510000000000002"/>
    <n v="2"/>
    <n v="6"/>
    <n v="5.71"/>
    <n v="58.2"/>
    <s v="Drama"/>
    <n v="10"/>
    <n v="1"/>
    <n v="0"/>
  </r>
  <r>
    <s v="U01203"/>
    <x v="5"/>
    <n v="19"/>
    <s v="Female"/>
    <x v="1"/>
    <x v="1"/>
    <n v="23.25"/>
    <n v="2"/>
    <n v="7.3"/>
    <n v="10.64"/>
    <n v="41.5"/>
    <s v="Family"/>
    <n v="2"/>
    <n v="4"/>
    <n v="0"/>
  </r>
  <r>
    <s v="U01204"/>
    <x v="10"/>
    <n v="59"/>
    <s v="Male"/>
    <x v="2"/>
    <x v="4"/>
    <n v="13.25"/>
    <n v="1"/>
    <n v="8.6"/>
    <n v="4.8499999999999996"/>
    <n v="25.9"/>
    <s v="Drama"/>
    <n v="11"/>
    <n v="1"/>
    <n v="1"/>
  </r>
  <r>
    <s v="U01205"/>
    <x v="9"/>
    <n v="41"/>
    <s v="Male"/>
    <x v="0"/>
    <x v="3"/>
    <n v="23.83"/>
    <n v="2"/>
    <n v="1.8"/>
    <n v="23.98"/>
    <n v="59.9"/>
    <s v="Thriller"/>
    <n v="10"/>
    <n v="3"/>
    <n v="1"/>
  </r>
  <r>
    <s v="U01206"/>
    <x v="5"/>
    <n v="21"/>
    <s v="Female"/>
    <x v="0"/>
    <x v="3"/>
    <n v="15.34"/>
    <n v="1"/>
    <n v="2.5"/>
    <n v="16.59"/>
    <n v="14.4"/>
    <s v="Drama"/>
    <n v="1"/>
    <n v="0"/>
    <n v="0"/>
  </r>
  <r>
    <s v="U01207"/>
    <x v="11"/>
    <n v="61"/>
    <s v="Male"/>
    <x v="2"/>
    <x v="1"/>
    <n v="15.45"/>
    <n v="2"/>
    <n v="3.6"/>
    <n v="10.4"/>
    <n v="13.3"/>
    <s v="Comedy"/>
    <n v="1"/>
    <n v="2"/>
    <n v="0"/>
  </r>
  <r>
    <s v="U01208"/>
    <x v="7"/>
    <n v="36"/>
    <s v="Female"/>
    <x v="1"/>
    <x v="0"/>
    <n v="17"/>
    <n v="2"/>
    <n v="5.3"/>
    <n v="9.06"/>
    <n v="15.8"/>
    <s v="Comedy"/>
    <n v="7"/>
    <n v="2"/>
    <n v="0"/>
  </r>
  <r>
    <s v="U01209"/>
    <x v="6"/>
    <n v="43"/>
    <s v="Male"/>
    <x v="2"/>
    <x v="0"/>
    <n v="10.37"/>
    <n v="5"/>
    <n v="4.0999999999999996"/>
    <n v="12.77"/>
    <n v="70.5"/>
    <s v="Action"/>
    <n v="9"/>
    <n v="4"/>
    <n v="1"/>
  </r>
  <r>
    <s v="U01210"/>
    <x v="3"/>
    <n v="28"/>
    <s v="Male"/>
    <x v="1"/>
    <x v="3"/>
    <n v="12.67"/>
    <n v="2"/>
    <n v="5.6"/>
    <n v="5.01"/>
    <n v="46.6"/>
    <s v="Comedy"/>
    <n v="1"/>
    <n v="2"/>
    <n v="0"/>
  </r>
  <r>
    <s v="U01211"/>
    <x v="11"/>
    <n v="57"/>
    <s v="Male"/>
    <x v="2"/>
    <x v="3"/>
    <n v="16.059999999999999"/>
    <n v="1"/>
    <n v="2.7"/>
    <n v="22.57"/>
    <n v="54.5"/>
    <s v="Comedy"/>
    <n v="10"/>
    <n v="1"/>
    <n v="0"/>
  </r>
  <r>
    <s v="U01212"/>
    <x v="7"/>
    <n v="67"/>
    <s v="Male"/>
    <x v="0"/>
    <x v="2"/>
    <n v="23.84"/>
    <n v="3"/>
    <n v="7.1"/>
    <n v="14.24"/>
    <n v="40.9"/>
    <s v="Family"/>
    <n v="4"/>
    <n v="2"/>
    <n v="0"/>
  </r>
  <r>
    <s v="U01213"/>
    <x v="2"/>
    <n v="60"/>
    <s v="Male"/>
    <x v="0"/>
    <x v="3"/>
    <n v="17.850000000000001"/>
    <n v="3"/>
    <n v="1.5"/>
    <n v="18.95"/>
    <n v="32.799999999999997"/>
    <s v="Thriller"/>
    <n v="2"/>
    <n v="3"/>
    <n v="0"/>
  </r>
  <r>
    <s v="U01214"/>
    <x v="0"/>
    <n v="28"/>
    <s v="Male"/>
    <x v="1"/>
    <x v="1"/>
    <n v="11.66"/>
    <n v="3"/>
    <n v="4.3"/>
    <n v="8.14"/>
    <n v="42.2"/>
    <s v="Thriller"/>
    <n v="8"/>
    <n v="1"/>
    <n v="1"/>
  </r>
  <r>
    <s v="U01215"/>
    <x v="10"/>
    <n v="62"/>
    <s v="Male"/>
    <x v="1"/>
    <x v="4"/>
    <n v="5.21"/>
    <n v="1"/>
    <n v="2.6"/>
    <n v="14.08"/>
    <n v="27.4"/>
    <s v="Family"/>
    <n v="9"/>
    <n v="2"/>
    <n v="0"/>
  </r>
  <r>
    <s v="U01216"/>
    <x v="4"/>
    <n v="20"/>
    <s v="Male"/>
    <x v="0"/>
    <x v="3"/>
    <n v="24.63"/>
    <n v="1"/>
    <n v="7.6"/>
    <n v="7.64"/>
    <n v="71.099999999999994"/>
    <s v="Comedy"/>
    <n v="3"/>
    <n v="1"/>
    <n v="0"/>
  </r>
  <r>
    <s v="U01217"/>
    <x v="4"/>
    <n v="29"/>
    <s v="Male"/>
    <x v="0"/>
    <x v="3"/>
    <n v="14.86"/>
    <n v="3"/>
    <n v="9"/>
    <n v="20.95"/>
    <n v="19.2"/>
    <s v="Drama"/>
    <n v="3"/>
    <n v="4"/>
    <n v="1"/>
  </r>
  <r>
    <s v="U01218"/>
    <x v="5"/>
    <n v="20"/>
    <s v="Male"/>
    <x v="0"/>
    <x v="1"/>
    <n v="23.77"/>
    <n v="2"/>
    <n v="1.7"/>
    <n v="20.059999999999999"/>
    <n v="56.5"/>
    <s v="Family"/>
    <n v="7"/>
    <n v="3"/>
    <n v="0"/>
  </r>
  <r>
    <s v="U01219"/>
    <x v="1"/>
    <n v="59"/>
    <s v="Male"/>
    <x v="2"/>
    <x v="2"/>
    <n v="15.99"/>
    <n v="3"/>
    <n v="8.1"/>
    <n v="6.26"/>
    <n v="52.9"/>
    <s v="Thriller"/>
    <n v="9"/>
    <n v="0"/>
    <n v="0"/>
  </r>
  <r>
    <s v="U01220"/>
    <x v="7"/>
    <n v="44"/>
    <s v="Male"/>
    <x v="1"/>
    <x v="3"/>
    <n v="17.11"/>
    <n v="4"/>
    <n v="9.1"/>
    <n v="4.6399999999999997"/>
    <n v="37.200000000000003"/>
    <s v="Action"/>
    <n v="7"/>
    <n v="1"/>
    <n v="0"/>
  </r>
  <r>
    <s v="U01221"/>
    <x v="0"/>
    <n v="66"/>
    <s v="Male"/>
    <x v="0"/>
    <x v="0"/>
    <n v="19.239999999999998"/>
    <n v="1"/>
    <n v="9.8000000000000007"/>
    <n v="21.13"/>
    <n v="19.2"/>
    <s v="Thriller"/>
    <n v="7"/>
    <n v="3"/>
    <n v="0"/>
  </r>
  <r>
    <s v="U01222"/>
    <x v="11"/>
    <n v="19"/>
    <s v="Female"/>
    <x v="0"/>
    <x v="0"/>
    <n v="11.42"/>
    <n v="4"/>
    <n v="6.2"/>
    <n v="5.41"/>
    <n v="73.3"/>
    <s v="Drama"/>
    <n v="2"/>
    <n v="4"/>
    <n v="0"/>
  </r>
  <r>
    <s v="U01223"/>
    <x v="10"/>
    <n v="66"/>
    <s v="Male"/>
    <x v="0"/>
    <x v="0"/>
    <n v="18.98"/>
    <n v="4"/>
    <n v="3.9"/>
    <n v="15.07"/>
    <n v="61.3"/>
    <s v="Thriller"/>
    <n v="11"/>
    <n v="4"/>
    <n v="0"/>
  </r>
  <r>
    <s v="U01224"/>
    <x v="7"/>
    <n v="33"/>
    <s v="Male"/>
    <x v="1"/>
    <x v="4"/>
    <n v="15.54"/>
    <n v="1"/>
    <n v="3.9"/>
    <n v="14.76"/>
    <n v="82.9"/>
    <s v="Family"/>
    <n v="1"/>
    <n v="3"/>
    <n v="0"/>
  </r>
  <r>
    <s v="U01225"/>
    <x v="0"/>
    <n v="19"/>
    <s v="Male"/>
    <x v="0"/>
    <x v="4"/>
    <n v="18.45"/>
    <n v="3"/>
    <n v="4.4000000000000004"/>
    <n v="7.46"/>
    <n v="31.2"/>
    <s v="Action"/>
    <n v="2"/>
    <n v="2"/>
    <n v="0"/>
  </r>
  <r>
    <s v="U01226"/>
    <x v="6"/>
    <n v="47"/>
    <s v="Male"/>
    <x v="2"/>
    <x v="3"/>
    <n v="21.72"/>
    <n v="5"/>
    <n v="6.5"/>
    <n v="16.010000000000002"/>
    <n v="81.2"/>
    <s v="Thriller"/>
    <n v="6"/>
    <n v="3"/>
    <n v="0"/>
  </r>
  <r>
    <s v="U01227"/>
    <x v="3"/>
    <n v="37"/>
    <s v="Male"/>
    <x v="0"/>
    <x v="3"/>
    <n v="8.68"/>
    <n v="4"/>
    <n v="5.4"/>
    <n v="14.06"/>
    <n v="36.299999999999997"/>
    <s v="Family"/>
    <n v="10"/>
    <n v="2"/>
    <n v="0"/>
  </r>
  <r>
    <s v="U01228"/>
    <x v="4"/>
    <n v="55"/>
    <s v="Male"/>
    <x v="0"/>
    <x v="3"/>
    <n v="17.27"/>
    <n v="3"/>
    <n v="6.9"/>
    <n v="14.2"/>
    <n v="20.100000000000001"/>
    <s v="Family"/>
    <n v="8"/>
    <n v="2"/>
    <n v="0"/>
  </r>
  <r>
    <s v="U01229"/>
    <x v="11"/>
    <n v="45"/>
    <s v="Female"/>
    <x v="2"/>
    <x v="4"/>
    <n v="6.04"/>
    <n v="5"/>
    <n v="1.4"/>
    <n v="10.91"/>
    <n v="22.1"/>
    <s v="Family"/>
    <n v="8"/>
    <n v="3"/>
    <n v="0"/>
  </r>
  <r>
    <s v="U01230"/>
    <x v="4"/>
    <n v="42"/>
    <s v="Female"/>
    <x v="2"/>
    <x v="3"/>
    <n v="7.04"/>
    <n v="4"/>
    <n v="2"/>
    <n v="21.45"/>
    <n v="29.9"/>
    <s v="Action"/>
    <n v="6"/>
    <n v="4"/>
    <n v="0"/>
  </r>
  <r>
    <s v="U01231"/>
    <x v="11"/>
    <n v="49"/>
    <s v="Female"/>
    <x v="0"/>
    <x v="1"/>
    <n v="18.489999999999998"/>
    <n v="3"/>
    <n v="9.8000000000000007"/>
    <n v="4.8600000000000003"/>
    <n v="71.400000000000006"/>
    <s v="Family"/>
    <n v="2"/>
    <n v="0"/>
    <n v="1"/>
  </r>
  <r>
    <s v="U01232"/>
    <x v="5"/>
    <n v="27"/>
    <s v="Male"/>
    <x v="2"/>
    <x v="2"/>
    <n v="6.42"/>
    <n v="4"/>
    <n v="10"/>
    <n v="12.65"/>
    <n v="32"/>
    <s v="Action"/>
    <n v="9"/>
    <n v="0"/>
    <n v="0"/>
  </r>
  <r>
    <s v="U01233"/>
    <x v="1"/>
    <n v="59"/>
    <s v="Male"/>
    <x v="1"/>
    <x v="0"/>
    <n v="16.91"/>
    <n v="3"/>
    <n v="7.7"/>
    <n v="8.7200000000000006"/>
    <n v="64.3"/>
    <s v="Drama"/>
    <n v="10"/>
    <n v="3"/>
    <n v="0"/>
  </r>
  <r>
    <s v="U01234"/>
    <x v="11"/>
    <n v="57"/>
    <s v="Male"/>
    <x v="2"/>
    <x v="0"/>
    <n v="9.4"/>
    <n v="2"/>
    <n v="3.3"/>
    <n v="21.67"/>
    <n v="33.1"/>
    <s v="Drama"/>
    <n v="4"/>
    <n v="1"/>
    <n v="0"/>
  </r>
  <r>
    <s v="U01235"/>
    <x v="4"/>
    <n v="50"/>
    <s v="Female"/>
    <x v="1"/>
    <x v="1"/>
    <n v="11.08"/>
    <n v="2"/>
    <n v="9.6"/>
    <n v="7.95"/>
    <n v="42.9"/>
    <s v="Drama"/>
    <n v="5"/>
    <n v="3"/>
    <n v="0"/>
  </r>
  <r>
    <s v="U01236"/>
    <x v="5"/>
    <n v="30"/>
    <s v="Male"/>
    <x v="1"/>
    <x v="3"/>
    <n v="7.59"/>
    <n v="1"/>
    <n v="2.9"/>
    <n v="19.87"/>
    <n v="90.1"/>
    <s v="Family"/>
    <n v="1"/>
    <n v="0"/>
    <n v="1"/>
  </r>
  <r>
    <s v="U01237"/>
    <x v="11"/>
    <n v="58"/>
    <s v="Male"/>
    <x v="2"/>
    <x v="4"/>
    <n v="9.9700000000000006"/>
    <n v="5"/>
    <n v="7.6"/>
    <n v="16.45"/>
    <n v="55"/>
    <s v="Action"/>
    <n v="9"/>
    <n v="3"/>
    <n v="0"/>
  </r>
  <r>
    <s v="U01238"/>
    <x v="6"/>
    <n v="59"/>
    <s v="Female"/>
    <x v="0"/>
    <x v="3"/>
    <n v="21.43"/>
    <n v="4"/>
    <n v="2"/>
    <n v="22.25"/>
    <n v="64"/>
    <s v="Drama"/>
    <n v="11"/>
    <n v="4"/>
    <n v="0"/>
  </r>
  <r>
    <s v="U01239"/>
    <x v="1"/>
    <n v="64"/>
    <s v="Female"/>
    <x v="1"/>
    <x v="3"/>
    <n v="17.78"/>
    <n v="4"/>
    <n v="6.8"/>
    <n v="16.059999999999999"/>
    <n v="27"/>
    <s v="Comedy"/>
    <n v="11"/>
    <n v="0"/>
    <n v="0"/>
  </r>
  <r>
    <s v="U01240"/>
    <x v="11"/>
    <n v="54"/>
    <s v="Male"/>
    <x v="1"/>
    <x v="0"/>
    <n v="24"/>
    <n v="3"/>
    <n v="7.8"/>
    <n v="15.24"/>
    <n v="21.8"/>
    <s v="Drama"/>
    <n v="11"/>
    <n v="0"/>
    <n v="1"/>
  </r>
  <r>
    <s v="U01241"/>
    <x v="5"/>
    <n v="33"/>
    <s v="Male"/>
    <x v="0"/>
    <x v="0"/>
    <n v="5.97"/>
    <n v="5"/>
    <n v="8.6999999999999993"/>
    <n v="20.62"/>
    <n v="47.2"/>
    <s v="Family"/>
    <n v="10"/>
    <n v="0"/>
    <n v="0"/>
  </r>
  <r>
    <s v="U01242"/>
    <x v="2"/>
    <n v="62"/>
    <s v="Male"/>
    <x v="0"/>
    <x v="4"/>
    <n v="20.85"/>
    <n v="4"/>
    <n v="7.6"/>
    <n v="15.37"/>
    <n v="87"/>
    <s v="Comedy"/>
    <n v="1"/>
    <n v="4"/>
    <n v="0"/>
  </r>
  <r>
    <s v="U01243"/>
    <x v="7"/>
    <n v="39"/>
    <s v="Male"/>
    <x v="0"/>
    <x v="0"/>
    <n v="18.98"/>
    <n v="5"/>
    <n v="9.3000000000000007"/>
    <n v="21.58"/>
    <n v="31.7"/>
    <s v="Thriller"/>
    <n v="7"/>
    <n v="0"/>
    <n v="1"/>
  </r>
  <r>
    <s v="U01244"/>
    <x v="8"/>
    <n v="37"/>
    <s v="Female"/>
    <x v="1"/>
    <x v="3"/>
    <n v="10.220000000000001"/>
    <n v="5"/>
    <n v="5.7"/>
    <n v="4.08"/>
    <n v="66"/>
    <s v="Comedy"/>
    <n v="11"/>
    <n v="1"/>
    <n v="0"/>
  </r>
  <r>
    <s v="U01245"/>
    <x v="0"/>
    <n v="67"/>
    <s v="Male"/>
    <x v="1"/>
    <x v="1"/>
    <n v="19.579999999999998"/>
    <n v="2"/>
    <n v="7.1"/>
    <n v="13.89"/>
    <n v="88.5"/>
    <s v="Thriller"/>
    <n v="9"/>
    <n v="0"/>
    <n v="1"/>
  </r>
  <r>
    <s v="U01246"/>
    <x v="8"/>
    <n v="60"/>
    <s v="Male"/>
    <x v="1"/>
    <x v="4"/>
    <n v="19.329999999999998"/>
    <n v="4"/>
    <n v="4.3"/>
    <n v="20.88"/>
    <n v="94.1"/>
    <s v="Comedy"/>
    <n v="3"/>
    <n v="3"/>
    <n v="0"/>
  </r>
  <r>
    <s v="U01247"/>
    <x v="2"/>
    <n v="44"/>
    <s v="Female"/>
    <x v="0"/>
    <x v="1"/>
    <n v="14.19"/>
    <n v="4"/>
    <n v="1.1000000000000001"/>
    <n v="21.66"/>
    <n v="99.4"/>
    <s v="Action"/>
    <n v="2"/>
    <n v="1"/>
    <n v="0"/>
  </r>
  <r>
    <s v="U01248"/>
    <x v="8"/>
    <n v="58"/>
    <s v="Male"/>
    <x v="1"/>
    <x v="3"/>
    <n v="18.77"/>
    <n v="1"/>
    <n v="7.8"/>
    <n v="21.35"/>
    <n v="78.7"/>
    <s v="Comedy"/>
    <n v="10"/>
    <n v="2"/>
    <n v="0"/>
  </r>
  <r>
    <s v="U01249"/>
    <x v="2"/>
    <n v="33"/>
    <s v="Male"/>
    <x v="2"/>
    <x v="4"/>
    <n v="13.89"/>
    <n v="5"/>
    <n v="8.8000000000000007"/>
    <n v="16.3"/>
    <n v="16.8"/>
    <s v="Drama"/>
    <n v="8"/>
    <n v="0"/>
    <n v="0"/>
  </r>
  <r>
    <s v="U01250"/>
    <x v="10"/>
    <n v="51"/>
    <s v="Female"/>
    <x v="1"/>
    <x v="1"/>
    <n v="11.71"/>
    <n v="3"/>
    <n v="2.6"/>
    <n v="24.87"/>
    <n v="88.4"/>
    <s v="Thriller"/>
    <n v="4"/>
    <n v="2"/>
    <n v="0"/>
  </r>
  <r>
    <s v="U01251"/>
    <x v="2"/>
    <n v="49"/>
    <s v="Female"/>
    <x v="1"/>
    <x v="4"/>
    <n v="14.33"/>
    <n v="2"/>
    <n v="1.3"/>
    <n v="6.99"/>
    <n v="89.7"/>
    <s v="Thriller"/>
    <n v="1"/>
    <n v="2"/>
    <n v="0"/>
  </r>
  <r>
    <s v="U01252"/>
    <x v="2"/>
    <n v="43"/>
    <s v="Male"/>
    <x v="2"/>
    <x v="3"/>
    <n v="22.9"/>
    <n v="1"/>
    <n v="2.5"/>
    <n v="6.84"/>
    <n v="60.2"/>
    <s v="Drama"/>
    <n v="8"/>
    <n v="4"/>
    <n v="0"/>
  </r>
  <r>
    <s v="U01253"/>
    <x v="9"/>
    <n v="42"/>
    <s v="Female"/>
    <x v="2"/>
    <x v="4"/>
    <n v="12.69"/>
    <n v="2"/>
    <n v="9.1"/>
    <n v="3.72"/>
    <n v="16.100000000000001"/>
    <s v="Action"/>
    <n v="6"/>
    <n v="3"/>
    <n v="0"/>
  </r>
  <r>
    <s v="U01254"/>
    <x v="2"/>
    <n v="19"/>
    <s v="Female"/>
    <x v="1"/>
    <x v="3"/>
    <n v="13.07"/>
    <n v="3"/>
    <n v="3.7"/>
    <n v="24.77"/>
    <n v="52.9"/>
    <s v="Comedy"/>
    <n v="6"/>
    <n v="3"/>
    <n v="0"/>
  </r>
  <r>
    <s v="U01255"/>
    <x v="6"/>
    <n v="29"/>
    <s v="Male"/>
    <x v="2"/>
    <x v="4"/>
    <n v="17.170000000000002"/>
    <n v="1"/>
    <n v="3.1"/>
    <n v="10.66"/>
    <n v="29"/>
    <s v="Action"/>
    <n v="4"/>
    <n v="2"/>
    <n v="0"/>
  </r>
  <r>
    <s v="U01256"/>
    <x v="7"/>
    <n v="57"/>
    <s v="Female"/>
    <x v="1"/>
    <x v="4"/>
    <n v="20.059999999999999"/>
    <n v="2"/>
    <n v="1.1000000000000001"/>
    <n v="19.77"/>
    <n v="49.8"/>
    <s v="Drama"/>
    <n v="6"/>
    <n v="4"/>
    <n v="0"/>
  </r>
  <r>
    <s v="U01257"/>
    <x v="3"/>
    <n v="26"/>
    <s v="Male"/>
    <x v="2"/>
    <x v="0"/>
    <n v="19.690000000000001"/>
    <n v="3"/>
    <n v="3.7"/>
    <n v="4.3099999999999996"/>
    <n v="75.2"/>
    <s v="Comedy"/>
    <n v="2"/>
    <n v="1"/>
    <n v="0"/>
  </r>
  <r>
    <s v="U01258"/>
    <x v="11"/>
    <n v="29"/>
    <s v="Male"/>
    <x v="0"/>
    <x v="3"/>
    <n v="5.4"/>
    <n v="1"/>
    <n v="7.4"/>
    <n v="9.57"/>
    <n v="70.099999999999994"/>
    <s v="Drama"/>
    <n v="6"/>
    <n v="0"/>
    <n v="0"/>
  </r>
  <r>
    <s v="U01259"/>
    <x v="0"/>
    <n v="43"/>
    <s v="Male"/>
    <x v="0"/>
    <x v="2"/>
    <n v="18.75"/>
    <n v="3"/>
    <n v="9.6"/>
    <n v="16.72"/>
    <n v="80.2"/>
    <s v="Thriller"/>
    <n v="2"/>
    <n v="1"/>
    <n v="0"/>
  </r>
  <r>
    <s v="U01260"/>
    <x v="1"/>
    <n v="26"/>
    <s v="Male"/>
    <x v="0"/>
    <x v="4"/>
    <n v="14.01"/>
    <n v="1"/>
    <n v="3.8"/>
    <n v="14.55"/>
    <n v="52.9"/>
    <s v="Thriller"/>
    <n v="6"/>
    <n v="0"/>
    <n v="1"/>
  </r>
  <r>
    <s v="U01261"/>
    <x v="7"/>
    <n v="27"/>
    <s v="Female"/>
    <x v="2"/>
    <x v="1"/>
    <n v="15.48"/>
    <n v="4"/>
    <n v="3.2"/>
    <n v="7.57"/>
    <n v="56"/>
    <s v="Thriller"/>
    <n v="9"/>
    <n v="2"/>
    <n v="0"/>
  </r>
  <r>
    <s v="U01262"/>
    <x v="4"/>
    <n v="49"/>
    <s v="Male"/>
    <x v="1"/>
    <x v="0"/>
    <n v="16.23"/>
    <n v="4"/>
    <n v="9"/>
    <n v="13.16"/>
    <n v="94.2"/>
    <s v="Family"/>
    <n v="7"/>
    <n v="4"/>
    <n v="0"/>
  </r>
  <r>
    <s v="U01263"/>
    <x v="3"/>
    <n v="51"/>
    <s v="Male"/>
    <x v="0"/>
    <x v="0"/>
    <n v="19.63"/>
    <n v="2"/>
    <n v="8.6999999999999993"/>
    <n v="5.39"/>
    <n v="66.8"/>
    <s v="Family"/>
    <n v="4"/>
    <n v="4"/>
    <n v="1"/>
  </r>
  <r>
    <s v="U01264"/>
    <x v="10"/>
    <n v="65"/>
    <s v="Male"/>
    <x v="0"/>
    <x v="4"/>
    <n v="21.63"/>
    <n v="5"/>
    <n v="4"/>
    <n v="14.94"/>
    <n v="77.3"/>
    <s v="Thriller"/>
    <n v="1"/>
    <n v="3"/>
    <n v="0"/>
  </r>
  <r>
    <s v="U01265"/>
    <x v="10"/>
    <n v="37"/>
    <s v="Male"/>
    <x v="2"/>
    <x v="2"/>
    <n v="17.93"/>
    <n v="5"/>
    <n v="1.6"/>
    <n v="5.13"/>
    <n v="69.8"/>
    <s v="Family"/>
    <n v="9"/>
    <n v="3"/>
    <n v="0"/>
  </r>
  <r>
    <s v="U01266"/>
    <x v="2"/>
    <n v="56"/>
    <s v="Female"/>
    <x v="2"/>
    <x v="0"/>
    <n v="16.28"/>
    <n v="3"/>
    <n v="9.9"/>
    <n v="16.989999999999998"/>
    <n v="67.599999999999994"/>
    <s v="Family"/>
    <n v="1"/>
    <n v="1"/>
    <n v="0"/>
  </r>
  <r>
    <s v="U01267"/>
    <x v="7"/>
    <n v="19"/>
    <s v="Female"/>
    <x v="1"/>
    <x v="3"/>
    <n v="12.48"/>
    <n v="1"/>
    <n v="7.1"/>
    <n v="6.42"/>
    <n v="92.2"/>
    <s v="Drama"/>
    <n v="5"/>
    <n v="3"/>
    <n v="1"/>
  </r>
  <r>
    <s v="U01268"/>
    <x v="5"/>
    <n v="18"/>
    <s v="Female"/>
    <x v="1"/>
    <x v="4"/>
    <n v="7.76"/>
    <n v="4"/>
    <n v="9.3000000000000007"/>
    <n v="15.04"/>
    <n v="42.1"/>
    <s v="Comedy"/>
    <n v="7"/>
    <n v="0"/>
    <n v="1"/>
  </r>
  <r>
    <s v="U01269"/>
    <x v="9"/>
    <n v="68"/>
    <s v="Male"/>
    <x v="1"/>
    <x v="4"/>
    <n v="24.17"/>
    <n v="5"/>
    <n v="4.0999999999999996"/>
    <n v="5.84"/>
    <n v="48.5"/>
    <s v="Thriller"/>
    <n v="10"/>
    <n v="4"/>
    <n v="1"/>
  </r>
  <r>
    <s v="U01270"/>
    <x v="8"/>
    <n v="53"/>
    <s v="Female"/>
    <x v="1"/>
    <x v="2"/>
    <n v="14.24"/>
    <n v="4"/>
    <n v="6.8"/>
    <n v="11.82"/>
    <n v="44.2"/>
    <s v="Family"/>
    <n v="10"/>
    <n v="4"/>
    <n v="0"/>
  </r>
  <r>
    <s v="U01271"/>
    <x v="4"/>
    <n v="41"/>
    <s v="Female"/>
    <x v="2"/>
    <x v="3"/>
    <n v="16.32"/>
    <n v="3"/>
    <n v="7.1"/>
    <n v="10.74"/>
    <n v="78.900000000000006"/>
    <s v="Drama"/>
    <n v="6"/>
    <n v="2"/>
    <n v="0"/>
  </r>
  <r>
    <s v="U01272"/>
    <x v="10"/>
    <n v="44"/>
    <s v="Male"/>
    <x v="0"/>
    <x v="3"/>
    <n v="20.02"/>
    <n v="3"/>
    <n v="8.9"/>
    <n v="19.64"/>
    <n v="88.2"/>
    <s v="Drama"/>
    <n v="3"/>
    <n v="2"/>
    <n v="0"/>
  </r>
  <r>
    <s v="U01273"/>
    <x v="0"/>
    <n v="19"/>
    <s v="Female"/>
    <x v="1"/>
    <x v="2"/>
    <n v="6.37"/>
    <n v="1"/>
    <n v="9.9"/>
    <n v="17.11"/>
    <n v="42.2"/>
    <s v="Comedy"/>
    <n v="11"/>
    <n v="1"/>
    <n v="0"/>
  </r>
  <r>
    <s v="U01274"/>
    <x v="10"/>
    <n v="48"/>
    <s v="Male"/>
    <x v="1"/>
    <x v="1"/>
    <n v="22.1"/>
    <n v="5"/>
    <n v="2"/>
    <n v="23.62"/>
    <n v="22.8"/>
    <s v="Drama"/>
    <n v="8"/>
    <n v="2"/>
    <n v="0"/>
  </r>
  <r>
    <s v="U01275"/>
    <x v="1"/>
    <n v="31"/>
    <s v="Female"/>
    <x v="1"/>
    <x v="3"/>
    <n v="20.94"/>
    <n v="3"/>
    <n v="6.7"/>
    <n v="23.28"/>
    <n v="54.5"/>
    <s v="Action"/>
    <n v="11"/>
    <n v="0"/>
    <n v="0"/>
  </r>
  <r>
    <s v="U01276"/>
    <x v="11"/>
    <n v="19"/>
    <s v="Female"/>
    <x v="1"/>
    <x v="1"/>
    <n v="20.49"/>
    <n v="3"/>
    <n v="4"/>
    <n v="18.95"/>
    <n v="98.6"/>
    <s v="Action"/>
    <n v="7"/>
    <n v="3"/>
    <n v="0"/>
  </r>
  <r>
    <s v="U01277"/>
    <x v="10"/>
    <n v="46"/>
    <s v="Female"/>
    <x v="1"/>
    <x v="1"/>
    <n v="5.44"/>
    <n v="4"/>
    <n v="8.3000000000000007"/>
    <n v="19.95"/>
    <n v="28.3"/>
    <s v="Thriller"/>
    <n v="9"/>
    <n v="3"/>
    <n v="1"/>
  </r>
  <r>
    <s v="U01278"/>
    <x v="1"/>
    <n v="32"/>
    <s v="Female"/>
    <x v="0"/>
    <x v="4"/>
    <n v="15.53"/>
    <n v="2"/>
    <n v="7.8"/>
    <n v="16.75"/>
    <n v="50.7"/>
    <s v="Comedy"/>
    <n v="1"/>
    <n v="1"/>
    <n v="0"/>
  </r>
  <r>
    <s v="U01279"/>
    <x v="7"/>
    <n v="29"/>
    <s v="Male"/>
    <x v="1"/>
    <x v="4"/>
    <n v="6.09"/>
    <n v="5"/>
    <n v="9"/>
    <n v="18.22"/>
    <n v="34.4"/>
    <s v="Action"/>
    <n v="8"/>
    <n v="3"/>
    <n v="1"/>
  </r>
  <r>
    <s v="U01280"/>
    <x v="7"/>
    <n v="54"/>
    <s v="Male"/>
    <x v="0"/>
    <x v="0"/>
    <n v="16.02"/>
    <n v="1"/>
    <n v="4.0999999999999996"/>
    <n v="16.579999999999998"/>
    <n v="93"/>
    <s v="Comedy"/>
    <n v="4"/>
    <n v="4"/>
    <n v="0"/>
  </r>
  <r>
    <s v="U01281"/>
    <x v="9"/>
    <n v="45"/>
    <s v="Female"/>
    <x v="0"/>
    <x v="4"/>
    <n v="19.37"/>
    <n v="1"/>
    <n v="2.7"/>
    <n v="9.86"/>
    <n v="59.6"/>
    <s v="Thriller"/>
    <n v="7"/>
    <n v="3"/>
    <n v="0"/>
  </r>
  <r>
    <s v="U01282"/>
    <x v="3"/>
    <n v="37"/>
    <s v="Male"/>
    <x v="0"/>
    <x v="3"/>
    <n v="7.44"/>
    <n v="4"/>
    <n v="1.2"/>
    <n v="10.72"/>
    <n v="62.1"/>
    <s v="Drama"/>
    <n v="7"/>
    <n v="2"/>
    <n v="1"/>
  </r>
  <r>
    <s v="U01283"/>
    <x v="10"/>
    <n v="56"/>
    <s v="Female"/>
    <x v="2"/>
    <x v="3"/>
    <n v="18.899999999999999"/>
    <n v="1"/>
    <n v="3.3"/>
    <n v="15.64"/>
    <n v="10.7"/>
    <s v="Drama"/>
    <n v="4"/>
    <n v="4"/>
    <n v="0"/>
  </r>
  <r>
    <s v="U01284"/>
    <x v="0"/>
    <n v="41"/>
    <s v="Female"/>
    <x v="1"/>
    <x v="1"/>
    <n v="13.99"/>
    <n v="3"/>
    <n v="4.3"/>
    <n v="18.84"/>
    <n v="68.8"/>
    <s v="Drama"/>
    <n v="8"/>
    <n v="2"/>
    <n v="1"/>
  </r>
  <r>
    <s v="U01285"/>
    <x v="10"/>
    <n v="38"/>
    <s v="Female"/>
    <x v="1"/>
    <x v="3"/>
    <n v="21.23"/>
    <n v="5"/>
    <n v="9.5"/>
    <n v="11.93"/>
    <n v="37.6"/>
    <s v="Action"/>
    <n v="1"/>
    <n v="2"/>
    <n v="0"/>
  </r>
  <r>
    <s v="U01286"/>
    <x v="0"/>
    <n v="27"/>
    <s v="Female"/>
    <x v="2"/>
    <x v="4"/>
    <n v="15.67"/>
    <n v="1"/>
    <n v="5.4"/>
    <n v="6.14"/>
    <n v="56.2"/>
    <s v="Comedy"/>
    <n v="5"/>
    <n v="1"/>
    <n v="1"/>
  </r>
  <r>
    <s v="U01287"/>
    <x v="6"/>
    <n v="63"/>
    <s v="Female"/>
    <x v="1"/>
    <x v="4"/>
    <n v="11.72"/>
    <n v="5"/>
    <n v="6"/>
    <n v="13.11"/>
    <n v="57.8"/>
    <s v="Action"/>
    <n v="4"/>
    <n v="1"/>
    <n v="0"/>
  </r>
  <r>
    <s v="U01288"/>
    <x v="2"/>
    <n v="31"/>
    <s v="Female"/>
    <x v="1"/>
    <x v="4"/>
    <n v="11.64"/>
    <n v="1"/>
    <n v="8.9"/>
    <n v="24.19"/>
    <n v="63.3"/>
    <s v="Family"/>
    <n v="4"/>
    <n v="4"/>
    <n v="0"/>
  </r>
  <r>
    <s v="U01289"/>
    <x v="3"/>
    <n v="54"/>
    <s v="Male"/>
    <x v="1"/>
    <x v="2"/>
    <n v="22.95"/>
    <n v="2"/>
    <n v="9"/>
    <n v="7.71"/>
    <n v="84.1"/>
    <s v="Comedy"/>
    <n v="3"/>
    <n v="3"/>
    <n v="1"/>
  </r>
  <r>
    <s v="U01290"/>
    <x v="6"/>
    <n v="35"/>
    <s v="Male"/>
    <x v="1"/>
    <x v="3"/>
    <n v="14.06"/>
    <n v="2"/>
    <n v="5.8"/>
    <n v="17.28"/>
    <n v="36.9"/>
    <s v="Thriller"/>
    <n v="1"/>
    <n v="0"/>
    <n v="0"/>
  </r>
  <r>
    <s v="U01291"/>
    <x v="10"/>
    <n v="41"/>
    <s v="Female"/>
    <x v="1"/>
    <x v="0"/>
    <n v="13.12"/>
    <n v="5"/>
    <n v="2"/>
    <n v="24.62"/>
    <n v="33.1"/>
    <s v="Action"/>
    <n v="5"/>
    <n v="3"/>
    <n v="0"/>
  </r>
  <r>
    <s v="U01292"/>
    <x v="3"/>
    <n v="31"/>
    <s v="Male"/>
    <x v="1"/>
    <x v="3"/>
    <n v="5.8"/>
    <n v="2"/>
    <n v="3.4"/>
    <n v="11.28"/>
    <n v="81.599999999999994"/>
    <s v="Drama"/>
    <n v="8"/>
    <n v="4"/>
    <n v="0"/>
  </r>
  <r>
    <s v="U01293"/>
    <x v="6"/>
    <n v="51"/>
    <s v="Female"/>
    <x v="2"/>
    <x v="3"/>
    <n v="12.29"/>
    <n v="2"/>
    <n v="5.0999999999999996"/>
    <n v="22.53"/>
    <n v="74.7"/>
    <s v="Drama"/>
    <n v="10"/>
    <n v="0"/>
    <n v="1"/>
  </r>
  <r>
    <s v="U01294"/>
    <x v="8"/>
    <n v="29"/>
    <s v="Male"/>
    <x v="2"/>
    <x v="2"/>
    <n v="21.99"/>
    <n v="3"/>
    <n v="7.8"/>
    <n v="22.01"/>
    <n v="30.3"/>
    <s v="Drama"/>
    <n v="6"/>
    <n v="2"/>
    <n v="0"/>
  </r>
  <r>
    <s v="U01295"/>
    <x v="10"/>
    <n v="39"/>
    <s v="Male"/>
    <x v="0"/>
    <x v="3"/>
    <n v="20.22"/>
    <n v="1"/>
    <n v="7.4"/>
    <n v="10.46"/>
    <n v="10.1"/>
    <s v="Action"/>
    <n v="1"/>
    <n v="2"/>
    <n v="0"/>
  </r>
  <r>
    <s v="U01296"/>
    <x v="6"/>
    <n v="23"/>
    <s v="Male"/>
    <x v="0"/>
    <x v="1"/>
    <n v="9.42"/>
    <n v="2"/>
    <n v="6.8"/>
    <n v="5.17"/>
    <n v="69.900000000000006"/>
    <s v="Action"/>
    <n v="5"/>
    <n v="0"/>
    <n v="1"/>
  </r>
  <r>
    <s v="U01297"/>
    <x v="8"/>
    <n v="53"/>
    <s v="Female"/>
    <x v="1"/>
    <x v="4"/>
    <n v="13.26"/>
    <n v="5"/>
    <n v="8.9"/>
    <n v="6.93"/>
    <n v="24.1"/>
    <s v="Drama"/>
    <n v="6"/>
    <n v="2"/>
    <n v="1"/>
  </r>
  <r>
    <s v="U01298"/>
    <x v="8"/>
    <n v="62"/>
    <s v="Male"/>
    <x v="1"/>
    <x v="4"/>
    <n v="8.93"/>
    <n v="3"/>
    <n v="8.1999999999999993"/>
    <n v="11.05"/>
    <n v="96.1"/>
    <s v="Drama"/>
    <n v="9"/>
    <n v="3"/>
    <n v="0"/>
  </r>
  <r>
    <s v="U01299"/>
    <x v="7"/>
    <n v="53"/>
    <s v="Female"/>
    <x v="0"/>
    <x v="2"/>
    <n v="24.08"/>
    <n v="2"/>
    <n v="9.8000000000000007"/>
    <n v="24.1"/>
    <n v="64.400000000000006"/>
    <s v="Drama"/>
    <n v="9"/>
    <n v="1"/>
    <n v="1"/>
  </r>
  <r>
    <s v="U01300"/>
    <x v="9"/>
    <n v="39"/>
    <s v="Female"/>
    <x v="2"/>
    <x v="4"/>
    <n v="16.96"/>
    <n v="5"/>
    <n v="9"/>
    <n v="9.0399999999999991"/>
    <n v="86.5"/>
    <s v="Family"/>
    <n v="5"/>
    <n v="3"/>
    <n v="0"/>
  </r>
  <r>
    <s v="U01301"/>
    <x v="10"/>
    <n v="31"/>
    <s v="Female"/>
    <x v="0"/>
    <x v="1"/>
    <n v="20.09"/>
    <n v="1"/>
    <n v="2.8"/>
    <n v="23.39"/>
    <n v="82.5"/>
    <s v="Action"/>
    <n v="3"/>
    <n v="2"/>
    <n v="0"/>
  </r>
  <r>
    <s v="U01302"/>
    <x v="8"/>
    <n v="33"/>
    <s v="Male"/>
    <x v="2"/>
    <x v="2"/>
    <n v="19.28"/>
    <n v="2"/>
    <n v="1.5"/>
    <n v="6.99"/>
    <n v="60.2"/>
    <s v="Drama"/>
    <n v="6"/>
    <n v="1"/>
    <n v="0"/>
  </r>
  <r>
    <s v="U01303"/>
    <x v="7"/>
    <n v="53"/>
    <s v="Male"/>
    <x v="2"/>
    <x v="0"/>
    <n v="22.47"/>
    <n v="5"/>
    <n v="4.7"/>
    <n v="24.34"/>
    <n v="49.5"/>
    <s v="Thriller"/>
    <n v="11"/>
    <n v="3"/>
    <n v="0"/>
  </r>
  <r>
    <s v="U01304"/>
    <x v="6"/>
    <n v="42"/>
    <s v="Male"/>
    <x v="2"/>
    <x v="4"/>
    <n v="23.99"/>
    <n v="5"/>
    <n v="6.6"/>
    <n v="9.4600000000000009"/>
    <n v="54.7"/>
    <s v="Drama"/>
    <n v="8"/>
    <n v="2"/>
    <n v="1"/>
  </r>
  <r>
    <s v="U01305"/>
    <x v="1"/>
    <n v="49"/>
    <s v="Female"/>
    <x v="0"/>
    <x v="3"/>
    <n v="5.65"/>
    <n v="4"/>
    <n v="6.8"/>
    <n v="16.93"/>
    <n v="82.3"/>
    <s v="Action"/>
    <n v="11"/>
    <n v="3"/>
    <n v="0"/>
  </r>
  <r>
    <s v="U01306"/>
    <x v="10"/>
    <n v="50"/>
    <s v="Female"/>
    <x v="0"/>
    <x v="1"/>
    <n v="24.51"/>
    <n v="5"/>
    <n v="3.4"/>
    <n v="4.53"/>
    <n v="67.599999999999994"/>
    <s v="Thriller"/>
    <n v="5"/>
    <n v="2"/>
    <n v="0"/>
  </r>
  <r>
    <s v="U01307"/>
    <x v="3"/>
    <n v="62"/>
    <s v="Male"/>
    <x v="1"/>
    <x v="1"/>
    <n v="22.41"/>
    <n v="4"/>
    <n v="8.6999999999999993"/>
    <n v="9.59"/>
    <n v="28.5"/>
    <s v="Action"/>
    <n v="8"/>
    <n v="4"/>
    <n v="0"/>
  </r>
  <r>
    <s v="U01308"/>
    <x v="0"/>
    <n v="53"/>
    <s v="Female"/>
    <x v="0"/>
    <x v="4"/>
    <n v="12.66"/>
    <n v="1"/>
    <n v="4"/>
    <n v="7.64"/>
    <n v="64.8"/>
    <s v="Action"/>
    <n v="1"/>
    <n v="0"/>
    <n v="0"/>
  </r>
  <r>
    <s v="U01309"/>
    <x v="0"/>
    <n v="37"/>
    <s v="Male"/>
    <x v="1"/>
    <x v="0"/>
    <n v="21.74"/>
    <n v="1"/>
    <n v="9.3000000000000007"/>
    <n v="3.08"/>
    <n v="46.4"/>
    <s v="Action"/>
    <n v="8"/>
    <n v="2"/>
    <n v="0"/>
  </r>
  <r>
    <s v="U01310"/>
    <x v="6"/>
    <n v="35"/>
    <s v="Male"/>
    <x v="1"/>
    <x v="3"/>
    <n v="19.73"/>
    <n v="3"/>
    <n v="5.2"/>
    <n v="6.45"/>
    <n v="15.5"/>
    <s v="Comedy"/>
    <n v="2"/>
    <n v="3"/>
    <n v="1"/>
  </r>
  <r>
    <s v="U01311"/>
    <x v="5"/>
    <n v="55"/>
    <s v="Male"/>
    <x v="0"/>
    <x v="0"/>
    <n v="20.86"/>
    <n v="4"/>
    <n v="1.1000000000000001"/>
    <n v="16.05"/>
    <n v="44.3"/>
    <s v="Thriller"/>
    <n v="7"/>
    <n v="2"/>
    <n v="0"/>
  </r>
  <r>
    <s v="U01312"/>
    <x v="5"/>
    <n v="20"/>
    <s v="Male"/>
    <x v="0"/>
    <x v="0"/>
    <n v="9.41"/>
    <n v="5"/>
    <n v="2.5"/>
    <n v="11.58"/>
    <n v="30.5"/>
    <s v="Family"/>
    <n v="2"/>
    <n v="2"/>
    <n v="1"/>
  </r>
  <r>
    <s v="U01313"/>
    <x v="6"/>
    <n v="40"/>
    <s v="Female"/>
    <x v="2"/>
    <x v="4"/>
    <n v="17.97"/>
    <n v="3"/>
    <n v="1.9"/>
    <n v="18.899999999999999"/>
    <n v="85.5"/>
    <s v="Family"/>
    <n v="3"/>
    <n v="3"/>
    <n v="0"/>
  </r>
  <r>
    <s v="U01314"/>
    <x v="8"/>
    <n v="49"/>
    <s v="Male"/>
    <x v="0"/>
    <x v="3"/>
    <n v="5.52"/>
    <n v="3"/>
    <n v="1.4"/>
    <n v="17.760000000000002"/>
    <n v="19.399999999999999"/>
    <s v="Comedy"/>
    <n v="5"/>
    <n v="3"/>
    <n v="0"/>
  </r>
  <r>
    <s v="U01315"/>
    <x v="9"/>
    <n v="62"/>
    <s v="Male"/>
    <x v="0"/>
    <x v="4"/>
    <n v="21.96"/>
    <n v="1"/>
    <n v="7.4"/>
    <n v="20.58"/>
    <n v="42.5"/>
    <s v="Action"/>
    <n v="10"/>
    <n v="1"/>
    <n v="0"/>
  </r>
  <r>
    <s v="U01316"/>
    <x v="10"/>
    <n v="33"/>
    <s v="Male"/>
    <x v="1"/>
    <x v="4"/>
    <n v="24.02"/>
    <n v="5"/>
    <n v="2.7"/>
    <n v="22.07"/>
    <n v="72.599999999999994"/>
    <s v="Family"/>
    <n v="7"/>
    <n v="2"/>
    <n v="0"/>
  </r>
  <r>
    <s v="U01317"/>
    <x v="0"/>
    <n v="22"/>
    <s v="Male"/>
    <x v="2"/>
    <x v="1"/>
    <n v="18.239999999999998"/>
    <n v="4"/>
    <n v="8.5"/>
    <n v="21.04"/>
    <n v="90.8"/>
    <s v="Thriller"/>
    <n v="9"/>
    <n v="4"/>
    <n v="0"/>
  </r>
  <r>
    <s v="U01318"/>
    <x v="0"/>
    <n v="21"/>
    <s v="Male"/>
    <x v="1"/>
    <x v="4"/>
    <n v="15.25"/>
    <n v="1"/>
    <n v="3.4"/>
    <n v="12.86"/>
    <n v="40.200000000000003"/>
    <s v="Drama"/>
    <n v="5"/>
    <n v="0"/>
    <n v="0"/>
  </r>
  <r>
    <s v="U01319"/>
    <x v="9"/>
    <n v="38"/>
    <s v="Male"/>
    <x v="0"/>
    <x v="2"/>
    <n v="19.510000000000002"/>
    <n v="3"/>
    <n v="1.3"/>
    <n v="9.7899999999999991"/>
    <n v="64.599999999999994"/>
    <s v="Thriller"/>
    <n v="11"/>
    <n v="2"/>
    <n v="1"/>
  </r>
  <r>
    <s v="U01320"/>
    <x v="8"/>
    <n v="57"/>
    <s v="Male"/>
    <x v="1"/>
    <x v="3"/>
    <n v="11.53"/>
    <n v="2"/>
    <n v="8.4"/>
    <n v="14.05"/>
    <n v="43.6"/>
    <s v="Action"/>
    <n v="1"/>
    <n v="3"/>
    <n v="1"/>
  </r>
  <r>
    <s v="U01321"/>
    <x v="0"/>
    <n v="68"/>
    <s v="Female"/>
    <x v="2"/>
    <x v="1"/>
    <n v="17.53"/>
    <n v="3"/>
    <n v="5.2"/>
    <n v="14.77"/>
    <n v="28.3"/>
    <s v="Thriller"/>
    <n v="11"/>
    <n v="1"/>
    <n v="0"/>
  </r>
  <r>
    <s v="U01322"/>
    <x v="3"/>
    <n v="31"/>
    <s v="Female"/>
    <x v="2"/>
    <x v="3"/>
    <n v="19.38"/>
    <n v="2"/>
    <n v="6.4"/>
    <n v="9.89"/>
    <n v="39.299999999999997"/>
    <s v="Action"/>
    <n v="3"/>
    <n v="2"/>
    <n v="0"/>
  </r>
  <r>
    <s v="U01323"/>
    <x v="10"/>
    <n v="56"/>
    <s v="Female"/>
    <x v="1"/>
    <x v="1"/>
    <n v="7.85"/>
    <n v="1"/>
    <n v="4"/>
    <n v="14.88"/>
    <n v="67.2"/>
    <s v="Thriller"/>
    <n v="5"/>
    <n v="4"/>
    <n v="0"/>
  </r>
  <r>
    <s v="U01324"/>
    <x v="11"/>
    <n v="48"/>
    <s v="Female"/>
    <x v="1"/>
    <x v="2"/>
    <n v="7.8"/>
    <n v="4"/>
    <n v="1.4"/>
    <n v="5.33"/>
    <n v="74.5"/>
    <s v="Comedy"/>
    <n v="3"/>
    <n v="3"/>
    <n v="0"/>
  </r>
  <r>
    <s v="U01325"/>
    <x v="0"/>
    <n v="31"/>
    <s v="Male"/>
    <x v="1"/>
    <x v="4"/>
    <n v="19.32"/>
    <n v="5"/>
    <n v="4.3"/>
    <n v="8.08"/>
    <n v="43.4"/>
    <s v="Thriller"/>
    <n v="8"/>
    <n v="4"/>
    <n v="1"/>
  </r>
  <r>
    <s v="U01326"/>
    <x v="6"/>
    <n v="23"/>
    <s v="Female"/>
    <x v="0"/>
    <x v="1"/>
    <n v="13.64"/>
    <n v="2"/>
    <n v="5.7"/>
    <n v="19.41"/>
    <n v="23.7"/>
    <s v="Family"/>
    <n v="8"/>
    <n v="4"/>
    <n v="0"/>
  </r>
  <r>
    <s v="U01327"/>
    <x v="3"/>
    <n v="29"/>
    <s v="Female"/>
    <x v="1"/>
    <x v="1"/>
    <n v="22.78"/>
    <n v="5"/>
    <n v="1.1000000000000001"/>
    <n v="7.02"/>
    <n v="22.6"/>
    <s v="Drama"/>
    <n v="11"/>
    <n v="0"/>
    <n v="1"/>
  </r>
  <r>
    <s v="U01328"/>
    <x v="0"/>
    <n v="33"/>
    <s v="Female"/>
    <x v="2"/>
    <x v="1"/>
    <n v="11.24"/>
    <n v="1"/>
    <n v="6.2"/>
    <n v="6.06"/>
    <n v="83.1"/>
    <s v="Comedy"/>
    <n v="1"/>
    <n v="0"/>
    <n v="0"/>
  </r>
  <r>
    <s v="U01329"/>
    <x v="2"/>
    <n v="34"/>
    <s v="Male"/>
    <x v="2"/>
    <x v="2"/>
    <n v="5.85"/>
    <n v="1"/>
    <n v="9"/>
    <n v="9.32"/>
    <n v="68.8"/>
    <s v="Thriller"/>
    <n v="8"/>
    <n v="2"/>
    <n v="0"/>
  </r>
  <r>
    <s v="U01330"/>
    <x v="3"/>
    <n v="62"/>
    <s v="Female"/>
    <x v="0"/>
    <x v="3"/>
    <n v="18"/>
    <n v="1"/>
    <n v="3"/>
    <n v="11.16"/>
    <n v="75.5"/>
    <s v="Action"/>
    <n v="4"/>
    <n v="0"/>
    <n v="0"/>
  </r>
  <r>
    <s v="U01331"/>
    <x v="7"/>
    <n v="40"/>
    <s v="Female"/>
    <x v="0"/>
    <x v="2"/>
    <n v="18.68"/>
    <n v="4"/>
    <n v="9.3000000000000007"/>
    <n v="10.23"/>
    <n v="53.9"/>
    <s v="Comedy"/>
    <n v="11"/>
    <n v="2"/>
    <n v="0"/>
  </r>
  <r>
    <s v="U01332"/>
    <x v="11"/>
    <n v="31"/>
    <s v="Male"/>
    <x v="1"/>
    <x v="1"/>
    <n v="16.07"/>
    <n v="2"/>
    <n v="1.9"/>
    <n v="11.24"/>
    <n v="51.2"/>
    <s v="Family"/>
    <n v="6"/>
    <n v="2"/>
    <n v="0"/>
  </r>
  <r>
    <s v="U01333"/>
    <x v="4"/>
    <n v="24"/>
    <s v="Female"/>
    <x v="2"/>
    <x v="1"/>
    <n v="18.670000000000002"/>
    <n v="5"/>
    <n v="8.4"/>
    <n v="6.08"/>
    <n v="29"/>
    <s v="Drama"/>
    <n v="10"/>
    <n v="3"/>
    <n v="1"/>
  </r>
  <r>
    <s v="U01334"/>
    <x v="6"/>
    <n v="63"/>
    <s v="Male"/>
    <x v="2"/>
    <x v="4"/>
    <n v="15.48"/>
    <n v="3"/>
    <n v="8.6"/>
    <n v="6.64"/>
    <n v="25.2"/>
    <s v="Drama"/>
    <n v="8"/>
    <n v="3"/>
    <n v="0"/>
  </r>
  <r>
    <s v="U01335"/>
    <x v="6"/>
    <n v="49"/>
    <s v="Female"/>
    <x v="0"/>
    <x v="2"/>
    <n v="18.850000000000001"/>
    <n v="1"/>
    <n v="3.3"/>
    <n v="8.19"/>
    <n v="23.9"/>
    <s v="Thriller"/>
    <n v="2"/>
    <n v="1"/>
    <n v="0"/>
  </r>
  <r>
    <s v="U01336"/>
    <x v="10"/>
    <n v="32"/>
    <s v="Male"/>
    <x v="0"/>
    <x v="2"/>
    <n v="5.88"/>
    <n v="5"/>
    <n v="9.6"/>
    <n v="11.84"/>
    <n v="99.3"/>
    <s v="Family"/>
    <n v="8"/>
    <n v="0"/>
    <n v="0"/>
  </r>
  <r>
    <s v="U01337"/>
    <x v="9"/>
    <n v="61"/>
    <s v="Female"/>
    <x v="1"/>
    <x v="0"/>
    <n v="12.37"/>
    <n v="5"/>
    <n v="4.7"/>
    <n v="10.39"/>
    <n v="83.9"/>
    <s v="Family"/>
    <n v="7"/>
    <n v="1"/>
    <n v="0"/>
  </r>
  <r>
    <s v="U01338"/>
    <x v="3"/>
    <n v="34"/>
    <s v="Female"/>
    <x v="1"/>
    <x v="3"/>
    <n v="9.2200000000000006"/>
    <n v="4"/>
    <n v="2.2999999999999998"/>
    <n v="20.41"/>
    <n v="66.400000000000006"/>
    <s v="Drama"/>
    <n v="4"/>
    <n v="4"/>
    <n v="0"/>
  </r>
  <r>
    <s v="U01339"/>
    <x v="8"/>
    <n v="58"/>
    <s v="Female"/>
    <x v="2"/>
    <x v="0"/>
    <n v="6.99"/>
    <n v="2"/>
    <n v="6.3"/>
    <n v="14.56"/>
    <n v="29.3"/>
    <s v="Drama"/>
    <n v="5"/>
    <n v="2"/>
    <n v="0"/>
  </r>
  <r>
    <s v="U01340"/>
    <x v="6"/>
    <n v="64"/>
    <s v="Male"/>
    <x v="1"/>
    <x v="0"/>
    <n v="9.68"/>
    <n v="4"/>
    <n v="10"/>
    <n v="15.67"/>
    <n v="40.4"/>
    <s v="Family"/>
    <n v="6"/>
    <n v="2"/>
    <n v="1"/>
  </r>
  <r>
    <s v="U01341"/>
    <x v="3"/>
    <n v="61"/>
    <s v="Female"/>
    <x v="2"/>
    <x v="3"/>
    <n v="8.83"/>
    <n v="4"/>
    <n v="9.1"/>
    <n v="15.33"/>
    <n v="41.6"/>
    <s v="Drama"/>
    <n v="3"/>
    <n v="3"/>
    <n v="0"/>
  </r>
  <r>
    <s v="U01342"/>
    <x v="3"/>
    <n v="51"/>
    <s v="Male"/>
    <x v="1"/>
    <x v="4"/>
    <n v="24.46"/>
    <n v="5"/>
    <n v="3.5"/>
    <n v="11.77"/>
    <n v="53"/>
    <s v="Action"/>
    <n v="2"/>
    <n v="4"/>
    <n v="0"/>
  </r>
  <r>
    <s v="U01343"/>
    <x v="2"/>
    <n v="22"/>
    <s v="Male"/>
    <x v="2"/>
    <x v="4"/>
    <n v="10.73"/>
    <n v="2"/>
    <n v="6.2"/>
    <n v="24.57"/>
    <n v="48"/>
    <s v="Drama"/>
    <n v="2"/>
    <n v="2"/>
    <n v="0"/>
  </r>
  <r>
    <s v="U01344"/>
    <x v="1"/>
    <n v="62"/>
    <s v="Male"/>
    <x v="1"/>
    <x v="3"/>
    <n v="9.6199999999999992"/>
    <n v="2"/>
    <n v="2"/>
    <n v="3.82"/>
    <n v="94.1"/>
    <s v="Action"/>
    <n v="4"/>
    <n v="2"/>
    <n v="0"/>
  </r>
  <r>
    <s v="U01345"/>
    <x v="1"/>
    <n v="44"/>
    <s v="Male"/>
    <x v="2"/>
    <x v="3"/>
    <n v="21.7"/>
    <n v="2"/>
    <n v="5.2"/>
    <n v="7.75"/>
    <n v="74.900000000000006"/>
    <s v="Drama"/>
    <n v="7"/>
    <n v="4"/>
    <n v="0"/>
  </r>
  <r>
    <s v="U01346"/>
    <x v="4"/>
    <n v="69"/>
    <s v="Female"/>
    <x v="0"/>
    <x v="2"/>
    <n v="13.38"/>
    <n v="1"/>
    <n v="5.7"/>
    <n v="9.26"/>
    <n v="17.3"/>
    <s v="Comedy"/>
    <n v="1"/>
    <n v="4"/>
    <n v="1"/>
  </r>
  <r>
    <s v="U01347"/>
    <x v="7"/>
    <n v="40"/>
    <s v="Female"/>
    <x v="1"/>
    <x v="2"/>
    <n v="13.43"/>
    <n v="2"/>
    <n v="3.8"/>
    <n v="22.39"/>
    <n v="42.4"/>
    <s v="Comedy"/>
    <n v="1"/>
    <n v="2"/>
    <n v="0"/>
  </r>
  <r>
    <s v="U01348"/>
    <x v="4"/>
    <n v="57"/>
    <s v="Female"/>
    <x v="0"/>
    <x v="2"/>
    <n v="13.87"/>
    <n v="5"/>
    <n v="5.4"/>
    <n v="23.22"/>
    <n v="22"/>
    <s v="Comedy"/>
    <n v="4"/>
    <n v="4"/>
    <n v="0"/>
  </r>
  <r>
    <s v="U01349"/>
    <x v="0"/>
    <n v="31"/>
    <s v="Male"/>
    <x v="1"/>
    <x v="2"/>
    <n v="13.33"/>
    <n v="1"/>
    <n v="9.3000000000000007"/>
    <n v="21.61"/>
    <n v="35.1"/>
    <s v="Action"/>
    <n v="9"/>
    <n v="0"/>
    <n v="0"/>
  </r>
  <r>
    <s v="U01350"/>
    <x v="8"/>
    <n v="32"/>
    <s v="Female"/>
    <x v="1"/>
    <x v="1"/>
    <n v="11.53"/>
    <n v="3"/>
    <n v="5.5"/>
    <n v="12.17"/>
    <n v="96.3"/>
    <s v="Action"/>
    <n v="5"/>
    <n v="4"/>
    <n v="0"/>
  </r>
  <r>
    <s v="U01351"/>
    <x v="0"/>
    <n v="60"/>
    <s v="Male"/>
    <x v="0"/>
    <x v="1"/>
    <n v="10.73"/>
    <n v="4"/>
    <n v="8.5"/>
    <n v="23.12"/>
    <n v="73.5"/>
    <s v="Thriller"/>
    <n v="1"/>
    <n v="1"/>
    <n v="0"/>
  </r>
  <r>
    <s v="U01352"/>
    <x v="5"/>
    <n v="50"/>
    <s v="Male"/>
    <x v="2"/>
    <x v="4"/>
    <n v="22.64"/>
    <n v="2"/>
    <n v="3.9"/>
    <n v="5.17"/>
    <n v="10.7"/>
    <s v="Thriller"/>
    <n v="3"/>
    <n v="1"/>
    <n v="0"/>
  </r>
  <r>
    <s v="U01353"/>
    <x v="0"/>
    <n v="48"/>
    <s v="Male"/>
    <x v="0"/>
    <x v="1"/>
    <n v="8.23"/>
    <n v="3"/>
    <n v="9.6999999999999993"/>
    <n v="17.350000000000001"/>
    <n v="39.6"/>
    <s v="Drama"/>
    <n v="11"/>
    <n v="2"/>
    <n v="1"/>
  </r>
  <r>
    <s v="U01354"/>
    <x v="10"/>
    <n v="52"/>
    <s v="Female"/>
    <x v="2"/>
    <x v="1"/>
    <n v="8.6199999999999992"/>
    <n v="2"/>
    <n v="1.8"/>
    <n v="23.62"/>
    <n v="49.5"/>
    <s v="Action"/>
    <n v="6"/>
    <n v="2"/>
    <n v="0"/>
  </r>
  <r>
    <s v="U01355"/>
    <x v="0"/>
    <n v="34"/>
    <s v="Female"/>
    <x v="2"/>
    <x v="2"/>
    <n v="16.43"/>
    <n v="4"/>
    <n v="6.3"/>
    <n v="19.61"/>
    <n v="64.2"/>
    <s v="Comedy"/>
    <n v="3"/>
    <n v="3"/>
    <n v="0"/>
  </r>
  <r>
    <s v="U01356"/>
    <x v="4"/>
    <n v="45"/>
    <s v="Male"/>
    <x v="0"/>
    <x v="2"/>
    <n v="11.87"/>
    <n v="5"/>
    <n v="8.1"/>
    <n v="9.11"/>
    <n v="55"/>
    <s v="Comedy"/>
    <n v="11"/>
    <n v="4"/>
    <n v="1"/>
  </r>
  <r>
    <s v="U01357"/>
    <x v="6"/>
    <n v="36"/>
    <s v="Female"/>
    <x v="1"/>
    <x v="3"/>
    <n v="13.43"/>
    <n v="5"/>
    <n v="8.3000000000000007"/>
    <n v="18.79"/>
    <n v="16.3"/>
    <s v="Comedy"/>
    <n v="6"/>
    <n v="1"/>
    <n v="1"/>
  </r>
  <r>
    <s v="U01358"/>
    <x v="6"/>
    <n v="63"/>
    <s v="Female"/>
    <x v="0"/>
    <x v="2"/>
    <n v="21.13"/>
    <n v="4"/>
    <n v="2.8"/>
    <n v="9.48"/>
    <n v="56.4"/>
    <s v="Drama"/>
    <n v="6"/>
    <n v="3"/>
    <n v="0"/>
  </r>
  <r>
    <s v="U01359"/>
    <x v="1"/>
    <n v="40"/>
    <s v="Male"/>
    <x v="0"/>
    <x v="3"/>
    <n v="23.07"/>
    <n v="3"/>
    <n v="4.5999999999999996"/>
    <n v="5.45"/>
    <n v="21.7"/>
    <s v="Action"/>
    <n v="5"/>
    <n v="2"/>
    <n v="0"/>
  </r>
  <r>
    <s v="U01360"/>
    <x v="9"/>
    <n v="49"/>
    <s v="Male"/>
    <x v="1"/>
    <x v="3"/>
    <n v="20.81"/>
    <n v="1"/>
    <n v="6.6"/>
    <n v="18.78"/>
    <n v="56.7"/>
    <s v="Drama"/>
    <n v="10"/>
    <n v="0"/>
    <n v="0"/>
  </r>
  <r>
    <s v="U01361"/>
    <x v="8"/>
    <n v="57"/>
    <s v="Female"/>
    <x v="2"/>
    <x v="1"/>
    <n v="9.6999999999999993"/>
    <n v="1"/>
    <n v="3.8"/>
    <n v="6.94"/>
    <n v="32.1"/>
    <s v="Family"/>
    <n v="5"/>
    <n v="4"/>
    <n v="0"/>
  </r>
  <r>
    <s v="U01362"/>
    <x v="8"/>
    <n v="30"/>
    <s v="Male"/>
    <x v="0"/>
    <x v="2"/>
    <n v="24.6"/>
    <n v="2"/>
    <n v="6.9"/>
    <n v="5.44"/>
    <n v="23"/>
    <s v="Family"/>
    <n v="9"/>
    <n v="3"/>
    <n v="1"/>
  </r>
  <r>
    <s v="U01363"/>
    <x v="10"/>
    <n v="37"/>
    <s v="Male"/>
    <x v="1"/>
    <x v="1"/>
    <n v="12.26"/>
    <n v="4"/>
    <n v="4.4000000000000004"/>
    <n v="15.14"/>
    <n v="35.9"/>
    <s v="Thriller"/>
    <n v="3"/>
    <n v="0"/>
    <n v="0"/>
  </r>
  <r>
    <s v="U01364"/>
    <x v="4"/>
    <n v="52"/>
    <s v="Female"/>
    <x v="1"/>
    <x v="2"/>
    <n v="8.3800000000000008"/>
    <n v="4"/>
    <n v="4.2"/>
    <n v="16.649999999999999"/>
    <n v="19"/>
    <s v="Action"/>
    <n v="11"/>
    <n v="2"/>
    <n v="0"/>
  </r>
  <r>
    <s v="U01365"/>
    <x v="1"/>
    <n v="22"/>
    <s v="Female"/>
    <x v="2"/>
    <x v="1"/>
    <n v="14.99"/>
    <n v="1"/>
    <n v="2"/>
    <n v="4.12"/>
    <n v="35.6"/>
    <s v="Comedy"/>
    <n v="10"/>
    <n v="1"/>
    <n v="0"/>
  </r>
  <r>
    <s v="U01366"/>
    <x v="2"/>
    <n v="26"/>
    <s v="Male"/>
    <x v="0"/>
    <x v="1"/>
    <n v="19.510000000000002"/>
    <n v="3"/>
    <n v="1.4"/>
    <n v="3.1"/>
    <n v="88"/>
    <s v="Action"/>
    <n v="7"/>
    <n v="3"/>
    <n v="0"/>
  </r>
  <r>
    <s v="U01367"/>
    <x v="5"/>
    <n v="46"/>
    <s v="Female"/>
    <x v="1"/>
    <x v="1"/>
    <n v="6.67"/>
    <n v="4"/>
    <n v="8.5"/>
    <n v="22.41"/>
    <n v="37.6"/>
    <s v="Thriller"/>
    <n v="4"/>
    <n v="3"/>
    <n v="1"/>
  </r>
  <r>
    <s v="U01368"/>
    <x v="8"/>
    <n v="23"/>
    <s v="Male"/>
    <x v="1"/>
    <x v="4"/>
    <n v="17.690000000000001"/>
    <n v="5"/>
    <n v="5.4"/>
    <n v="5.54"/>
    <n v="52.3"/>
    <s v="Comedy"/>
    <n v="2"/>
    <n v="2"/>
    <n v="1"/>
  </r>
  <r>
    <s v="U01369"/>
    <x v="6"/>
    <n v="42"/>
    <s v="Male"/>
    <x v="1"/>
    <x v="1"/>
    <n v="22.16"/>
    <n v="5"/>
    <n v="6.1"/>
    <n v="15.85"/>
    <n v="56.8"/>
    <s v="Drama"/>
    <n v="10"/>
    <n v="2"/>
    <n v="1"/>
  </r>
  <r>
    <s v="U01370"/>
    <x v="0"/>
    <n v="48"/>
    <s v="Female"/>
    <x v="2"/>
    <x v="0"/>
    <n v="10.24"/>
    <n v="4"/>
    <n v="4.3"/>
    <n v="23.98"/>
    <n v="26"/>
    <s v="Comedy"/>
    <n v="3"/>
    <n v="1"/>
    <n v="0"/>
  </r>
  <r>
    <s v="U01371"/>
    <x v="0"/>
    <n v="39"/>
    <s v="Male"/>
    <x v="2"/>
    <x v="0"/>
    <n v="18.86"/>
    <n v="3"/>
    <n v="2.2000000000000002"/>
    <n v="14.26"/>
    <n v="49.8"/>
    <s v="Family"/>
    <n v="3"/>
    <n v="1"/>
    <n v="0"/>
  </r>
  <r>
    <s v="U01372"/>
    <x v="9"/>
    <n v="19"/>
    <s v="Male"/>
    <x v="0"/>
    <x v="0"/>
    <n v="13"/>
    <n v="5"/>
    <n v="5"/>
    <n v="6.08"/>
    <n v="86.8"/>
    <s v="Drama"/>
    <n v="3"/>
    <n v="1"/>
    <n v="1"/>
  </r>
  <r>
    <s v="U01373"/>
    <x v="1"/>
    <n v="62"/>
    <s v="Male"/>
    <x v="1"/>
    <x v="3"/>
    <n v="13.28"/>
    <n v="3"/>
    <n v="3.1"/>
    <n v="11.66"/>
    <n v="17.2"/>
    <s v="Comedy"/>
    <n v="3"/>
    <n v="0"/>
    <n v="1"/>
  </r>
  <r>
    <s v="U01374"/>
    <x v="4"/>
    <n v="22"/>
    <s v="Female"/>
    <x v="1"/>
    <x v="1"/>
    <n v="10.62"/>
    <n v="1"/>
    <n v="8.5"/>
    <n v="16.73"/>
    <n v="93.1"/>
    <s v="Drama"/>
    <n v="10"/>
    <n v="0"/>
    <n v="0"/>
  </r>
  <r>
    <s v="U01375"/>
    <x v="4"/>
    <n v="44"/>
    <s v="Female"/>
    <x v="1"/>
    <x v="0"/>
    <n v="17.489999999999998"/>
    <n v="2"/>
    <n v="9.9"/>
    <n v="19.78"/>
    <n v="88.4"/>
    <s v="Family"/>
    <n v="6"/>
    <n v="2"/>
    <n v="0"/>
  </r>
  <r>
    <s v="U01376"/>
    <x v="7"/>
    <n v="42"/>
    <s v="Female"/>
    <x v="1"/>
    <x v="3"/>
    <n v="12.22"/>
    <n v="1"/>
    <n v="9"/>
    <n v="16.350000000000001"/>
    <n v="87"/>
    <s v="Family"/>
    <n v="6"/>
    <n v="3"/>
    <n v="0"/>
  </r>
  <r>
    <s v="U01377"/>
    <x v="11"/>
    <n v="25"/>
    <s v="Male"/>
    <x v="1"/>
    <x v="0"/>
    <n v="21.62"/>
    <n v="2"/>
    <n v="5.8"/>
    <n v="3.75"/>
    <n v="27.9"/>
    <s v="Action"/>
    <n v="11"/>
    <n v="0"/>
    <n v="0"/>
  </r>
  <r>
    <s v="U01378"/>
    <x v="8"/>
    <n v="18"/>
    <s v="Male"/>
    <x v="1"/>
    <x v="2"/>
    <n v="24.26"/>
    <n v="5"/>
    <n v="6.7"/>
    <n v="6.15"/>
    <n v="53.6"/>
    <s v="Family"/>
    <n v="9"/>
    <n v="2"/>
    <n v="0"/>
  </r>
  <r>
    <s v="U01379"/>
    <x v="4"/>
    <n v="37"/>
    <s v="Female"/>
    <x v="2"/>
    <x v="4"/>
    <n v="23.7"/>
    <n v="2"/>
    <n v="9.5"/>
    <n v="11.18"/>
    <n v="65.5"/>
    <s v="Family"/>
    <n v="8"/>
    <n v="0"/>
    <n v="0"/>
  </r>
  <r>
    <s v="U01380"/>
    <x v="9"/>
    <n v="61"/>
    <s v="Female"/>
    <x v="0"/>
    <x v="1"/>
    <n v="8.26"/>
    <n v="2"/>
    <n v="5.8"/>
    <n v="18.53"/>
    <n v="19"/>
    <s v="Family"/>
    <n v="10"/>
    <n v="1"/>
    <n v="0"/>
  </r>
  <r>
    <s v="U01381"/>
    <x v="6"/>
    <n v="40"/>
    <s v="Female"/>
    <x v="2"/>
    <x v="4"/>
    <n v="5.28"/>
    <n v="4"/>
    <n v="6.7"/>
    <n v="15.86"/>
    <n v="60.1"/>
    <s v="Thriller"/>
    <n v="7"/>
    <n v="2"/>
    <n v="0"/>
  </r>
  <r>
    <s v="U01382"/>
    <x v="1"/>
    <n v="49"/>
    <s v="Male"/>
    <x v="1"/>
    <x v="4"/>
    <n v="13.77"/>
    <n v="2"/>
    <n v="6.7"/>
    <n v="3.98"/>
    <n v="85.6"/>
    <s v="Family"/>
    <n v="2"/>
    <n v="1"/>
    <n v="0"/>
  </r>
  <r>
    <s v="U01383"/>
    <x v="5"/>
    <n v="28"/>
    <s v="Female"/>
    <x v="1"/>
    <x v="2"/>
    <n v="19.579999999999998"/>
    <n v="4"/>
    <n v="7.4"/>
    <n v="20.53"/>
    <n v="94.3"/>
    <s v="Action"/>
    <n v="10"/>
    <n v="4"/>
    <n v="0"/>
  </r>
  <r>
    <s v="U01384"/>
    <x v="7"/>
    <n v="56"/>
    <s v="Male"/>
    <x v="2"/>
    <x v="2"/>
    <n v="24.55"/>
    <n v="2"/>
    <n v="6.8"/>
    <n v="16.309999999999999"/>
    <n v="35"/>
    <s v="Drama"/>
    <n v="2"/>
    <n v="3"/>
    <n v="0"/>
  </r>
  <r>
    <s v="U01385"/>
    <x v="9"/>
    <n v="64"/>
    <s v="Female"/>
    <x v="1"/>
    <x v="2"/>
    <n v="20.67"/>
    <n v="4"/>
    <n v="7"/>
    <n v="22.52"/>
    <n v="36"/>
    <s v="Thriller"/>
    <n v="1"/>
    <n v="1"/>
    <n v="0"/>
  </r>
  <r>
    <s v="U01386"/>
    <x v="3"/>
    <n v="41"/>
    <s v="Male"/>
    <x v="1"/>
    <x v="3"/>
    <n v="16.61"/>
    <n v="5"/>
    <n v="7.5"/>
    <n v="12.19"/>
    <n v="34.4"/>
    <s v="Drama"/>
    <n v="7"/>
    <n v="3"/>
    <n v="0"/>
  </r>
  <r>
    <s v="U01387"/>
    <x v="10"/>
    <n v="28"/>
    <s v="Male"/>
    <x v="1"/>
    <x v="0"/>
    <n v="5.53"/>
    <n v="5"/>
    <n v="8.3000000000000007"/>
    <n v="13.78"/>
    <n v="23.8"/>
    <s v="Drama"/>
    <n v="7"/>
    <n v="2"/>
    <n v="0"/>
  </r>
  <r>
    <s v="U01388"/>
    <x v="5"/>
    <n v="46"/>
    <s v="Female"/>
    <x v="1"/>
    <x v="1"/>
    <n v="21.51"/>
    <n v="2"/>
    <n v="4.5999999999999996"/>
    <n v="11.92"/>
    <n v="48.8"/>
    <s v="Action"/>
    <n v="1"/>
    <n v="4"/>
    <n v="0"/>
  </r>
  <r>
    <s v="U01389"/>
    <x v="3"/>
    <n v="43"/>
    <s v="Male"/>
    <x v="2"/>
    <x v="2"/>
    <n v="8.5399999999999991"/>
    <n v="3"/>
    <n v="7.7"/>
    <n v="18.89"/>
    <n v="80.599999999999994"/>
    <s v="Thriller"/>
    <n v="6"/>
    <n v="3"/>
    <n v="0"/>
  </r>
  <r>
    <s v="U01390"/>
    <x v="2"/>
    <n v="33"/>
    <s v="Female"/>
    <x v="2"/>
    <x v="1"/>
    <n v="6.11"/>
    <n v="5"/>
    <n v="1.9"/>
    <n v="19.55"/>
    <n v="74.099999999999994"/>
    <s v="Comedy"/>
    <n v="11"/>
    <n v="0"/>
    <n v="0"/>
  </r>
  <r>
    <s v="U01391"/>
    <x v="0"/>
    <n v="52"/>
    <s v="Male"/>
    <x v="0"/>
    <x v="1"/>
    <n v="22.01"/>
    <n v="1"/>
    <n v="8.9"/>
    <n v="18.91"/>
    <n v="91"/>
    <s v="Family"/>
    <n v="7"/>
    <n v="2"/>
    <n v="0"/>
  </r>
  <r>
    <s v="U01392"/>
    <x v="10"/>
    <n v="37"/>
    <s v="Male"/>
    <x v="0"/>
    <x v="1"/>
    <n v="16.329999999999998"/>
    <n v="1"/>
    <n v="3.6"/>
    <n v="9.42"/>
    <n v="42"/>
    <s v="Drama"/>
    <n v="1"/>
    <n v="4"/>
    <n v="0"/>
  </r>
  <r>
    <s v="U01393"/>
    <x v="8"/>
    <n v="63"/>
    <s v="Female"/>
    <x v="1"/>
    <x v="2"/>
    <n v="7.57"/>
    <n v="4"/>
    <n v="4.5999999999999996"/>
    <n v="16.989999999999998"/>
    <n v="61.5"/>
    <s v="Drama"/>
    <n v="6"/>
    <n v="0"/>
    <n v="1"/>
  </r>
  <r>
    <s v="U01394"/>
    <x v="6"/>
    <n v="20"/>
    <s v="Male"/>
    <x v="0"/>
    <x v="2"/>
    <n v="12.73"/>
    <n v="3"/>
    <n v="8.1999999999999993"/>
    <n v="10.45"/>
    <n v="79"/>
    <s v="Action"/>
    <n v="10"/>
    <n v="0"/>
    <n v="0"/>
  </r>
  <r>
    <s v="U01395"/>
    <x v="10"/>
    <n v="18"/>
    <s v="Female"/>
    <x v="1"/>
    <x v="0"/>
    <n v="6.71"/>
    <n v="4"/>
    <n v="6.7"/>
    <n v="21.35"/>
    <n v="90.8"/>
    <s v="Action"/>
    <n v="9"/>
    <n v="4"/>
    <n v="1"/>
  </r>
  <r>
    <s v="U01396"/>
    <x v="11"/>
    <n v="64"/>
    <s v="Female"/>
    <x v="0"/>
    <x v="2"/>
    <n v="17.760000000000002"/>
    <n v="2"/>
    <n v="3.8"/>
    <n v="4.21"/>
    <n v="88.5"/>
    <s v="Action"/>
    <n v="1"/>
    <n v="1"/>
    <n v="0"/>
  </r>
  <r>
    <s v="U01397"/>
    <x v="3"/>
    <n v="18"/>
    <s v="Female"/>
    <x v="1"/>
    <x v="2"/>
    <n v="10.65"/>
    <n v="5"/>
    <n v="3"/>
    <n v="3.83"/>
    <n v="51.9"/>
    <s v="Thriller"/>
    <n v="2"/>
    <n v="4"/>
    <n v="0"/>
  </r>
  <r>
    <s v="U01398"/>
    <x v="8"/>
    <n v="34"/>
    <s v="Male"/>
    <x v="0"/>
    <x v="1"/>
    <n v="22.32"/>
    <n v="3"/>
    <n v="9.6"/>
    <n v="5.24"/>
    <n v="91.6"/>
    <s v="Family"/>
    <n v="2"/>
    <n v="4"/>
    <n v="0"/>
  </r>
  <r>
    <s v="U01399"/>
    <x v="11"/>
    <n v="19"/>
    <s v="Male"/>
    <x v="1"/>
    <x v="0"/>
    <n v="12.16"/>
    <n v="4"/>
    <n v="1.8"/>
    <n v="7.45"/>
    <n v="50"/>
    <s v="Thriller"/>
    <n v="10"/>
    <n v="4"/>
    <n v="0"/>
  </r>
  <r>
    <s v="U01400"/>
    <x v="0"/>
    <n v="46"/>
    <s v="Male"/>
    <x v="1"/>
    <x v="4"/>
    <n v="14.89"/>
    <n v="4"/>
    <n v="1"/>
    <n v="3.83"/>
    <n v="91.3"/>
    <s v="Action"/>
    <n v="3"/>
    <n v="3"/>
    <n v="0"/>
  </r>
  <r>
    <s v="U01401"/>
    <x v="11"/>
    <n v="37"/>
    <s v="Female"/>
    <x v="1"/>
    <x v="2"/>
    <n v="6.27"/>
    <n v="1"/>
    <n v="7.1"/>
    <n v="4.58"/>
    <n v="79.900000000000006"/>
    <s v="Action"/>
    <n v="4"/>
    <n v="1"/>
    <n v="0"/>
  </r>
  <r>
    <s v="U01402"/>
    <x v="7"/>
    <n v="23"/>
    <s v="Female"/>
    <x v="2"/>
    <x v="2"/>
    <n v="10.51"/>
    <n v="2"/>
    <n v="6.5"/>
    <n v="9.73"/>
    <n v="29.9"/>
    <s v="Drama"/>
    <n v="7"/>
    <n v="2"/>
    <n v="0"/>
  </r>
  <r>
    <s v="U01403"/>
    <x v="7"/>
    <n v="25"/>
    <s v="Male"/>
    <x v="2"/>
    <x v="4"/>
    <n v="18.54"/>
    <n v="4"/>
    <n v="7.6"/>
    <n v="5.2"/>
    <n v="93.7"/>
    <s v="Thriller"/>
    <n v="3"/>
    <n v="0"/>
    <n v="1"/>
  </r>
  <r>
    <s v="U01404"/>
    <x v="2"/>
    <n v="46"/>
    <s v="Male"/>
    <x v="1"/>
    <x v="1"/>
    <n v="19.73"/>
    <n v="1"/>
    <n v="7.6"/>
    <n v="20.65"/>
    <n v="31.8"/>
    <s v="Thriller"/>
    <n v="7"/>
    <n v="3"/>
    <n v="0"/>
  </r>
  <r>
    <s v="U01405"/>
    <x v="1"/>
    <n v="65"/>
    <s v="Female"/>
    <x v="0"/>
    <x v="0"/>
    <n v="9.86"/>
    <n v="3"/>
    <n v="8.8000000000000007"/>
    <n v="4.1900000000000004"/>
    <n v="91.8"/>
    <s v="Family"/>
    <n v="5"/>
    <n v="1"/>
    <n v="1"/>
  </r>
  <r>
    <s v="U01406"/>
    <x v="5"/>
    <n v="68"/>
    <s v="Male"/>
    <x v="2"/>
    <x v="1"/>
    <n v="15.08"/>
    <n v="4"/>
    <n v="9.3000000000000007"/>
    <n v="22.97"/>
    <n v="65.400000000000006"/>
    <s v="Thriller"/>
    <n v="5"/>
    <n v="4"/>
    <n v="0"/>
  </r>
  <r>
    <s v="U01407"/>
    <x v="5"/>
    <n v="50"/>
    <s v="Female"/>
    <x v="2"/>
    <x v="3"/>
    <n v="21.35"/>
    <n v="1"/>
    <n v="8"/>
    <n v="22.16"/>
    <n v="70.099999999999994"/>
    <s v="Family"/>
    <n v="7"/>
    <n v="3"/>
    <n v="0"/>
  </r>
  <r>
    <s v="U01408"/>
    <x v="8"/>
    <n v="20"/>
    <s v="Male"/>
    <x v="2"/>
    <x v="2"/>
    <n v="12.6"/>
    <n v="2"/>
    <n v="3.1"/>
    <n v="7.58"/>
    <n v="19.8"/>
    <s v="Comedy"/>
    <n v="7"/>
    <n v="3"/>
    <n v="0"/>
  </r>
  <r>
    <s v="U01409"/>
    <x v="0"/>
    <n v="52"/>
    <s v="Female"/>
    <x v="0"/>
    <x v="3"/>
    <n v="7.68"/>
    <n v="5"/>
    <n v="5.2"/>
    <n v="4.57"/>
    <n v="15.9"/>
    <s v="Family"/>
    <n v="7"/>
    <n v="0"/>
    <n v="0"/>
  </r>
  <r>
    <s v="U01410"/>
    <x v="4"/>
    <n v="22"/>
    <s v="Male"/>
    <x v="2"/>
    <x v="2"/>
    <n v="13.64"/>
    <n v="3"/>
    <n v="6.8"/>
    <n v="5.32"/>
    <n v="97.2"/>
    <s v="Action"/>
    <n v="9"/>
    <n v="2"/>
    <n v="0"/>
  </r>
  <r>
    <s v="U01411"/>
    <x v="2"/>
    <n v="44"/>
    <s v="Male"/>
    <x v="0"/>
    <x v="3"/>
    <n v="17.010000000000002"/>
    <n v="4"/>
    <n v="5.9"/>
    <n v="15.3"/>
    <n v="40.299999999999997"/>
    <s v="Comedy"/>
    <n v="1"/>
    <n v="1"/>
    <n v="0"/>
  </r>
  <r>
    <s v="U01412"/>
    <x v="7"/>
    <n v="61"/>
    <s v="Female"/>
    <x v="2"/>
    <x v="4"/>
    <n v="5.15"/>
    <n v="1"/>
    <n v="2.4"/>
    <n v="16.22"/>
    <n v="86"/>
    <s v="Drama"/>
    <n v="1"/>
    <n v="1"/>
    <n v="0"/>
  </r>
  <r>
    <s v="U01413"/>
    <x v="8"/>
    <n v="29"/>
    <s v="Female"/>
    <x v="2"/>
    <x v="2"/>
    <n v="11.97"/>
    <n v="4"/>
    <n v="6.3"/>
    <n v="9.94"/>
    <n v="73.400000000000006"/>
    <s v="Drama"/>
    <n v="3"/>
    <n v="1"/>
    <n v="0"/>
  </r>
  <r>
    <s v="U01414"/>
    <x v="4"/>
    <n v="37"/>
    <s v="Female"/>
    <x v="0"/>
    <x v="2"/>
    <n v="17.149999999999999"/>
    <n v="5"/>
    <n v="9"/>
    <n v="9.5299999999999994"/>
    <n v="64.400000000000006"/>
    <s v="Drama"/>
    <n v="6"/>
    <n v="4"/>
    <n v="0"/>
  </r>
  <r>
    <s v="U01415"/>
    <x v="5"/>
    <n v="62"/>
    <s v="Male"/>
    <x v="2"/>
    <x v="3"/>
    <n v="24.04"/>
    <n v="4"/>
    <n v="4.8"/>
    <n v="14.69"/>
    <n v="71.7"/>
    <s v="Action"/>
    <n v="2"/>
    <n v="4"/>
    <n v="1"/>
  </r>
  <r>
    <s v="U01416"/>
    <x v="1"/>
    <n v="37"/>
    <s v="Female"/>
    <x v="1"/>
    <x v="0"/>
    <n v="13.17"/>
    <n v="4"/>
    <n v="7"/>
    <n v="9.7200000000000006"/>
    <n v="18"/>
    <s v="Drama"/>
    <n v="9"/>
    <n v="3"/>
    <n v="1"/>
  </r>
  <r>
    <s v="U01417"/>
    <x v="11"/>
    <n v="26"/>
    <s v="Female"/>
    <x v="2"/>
    <x v="3"/>
    <n v="8.26"/>
    <n v="1"/>
    <n v="6.5"/>
    <n v="23.56"/>
    <n v="47.1"/>
    <s v="Family"/>
    <n v="1"/>
    <n v="2"/>
    <n v="0"/>
  </r>
  <r>
    <s v="U01418"/>
    <x v="7"/>
    <n v="56"/>
    <s v="Male"/>
    <x v="0"/>
    <x v="2"/>
    <n v="15.68"/>
    <n v="5"/>
    <n v="4.4000000000000004"/>
    <n v="11.42"/>
    <n v="64.599999999999994"/>
    <s v="Action"/>
    <n v="5"/>
    <n v="0"/>
    <n v="0"/>
  </r>
  <r>
    <s v="U01419"/>
    <x v="8"/>
    <n v="21"/>
    <s v="Female"/>
    <x v="2"/>
    <x v="2"/>
    <n v="10.72"/>
    <n v="3"/>
    <n v="6.1"/>
    <n v="7.84"/>
    <n v="88.1"/>
    <s v="Thriller"/>
    <n v="7"/>
    <n v="0"/>
    <n v="0"/>
  </r>
  <r>
    <s v="U01420"/>
    <x v="10"/>
    <n v="68"/>
    <s v="Female"/>
    <x v="0"/>
    <x v="0"/>
    <n v="9.3000000000000007"/>
    <n v="1"/>
    <n v="2.9"/>
    <n v="6.21"/>
    <n v="74.3"/>
    <s v="Action"/>
    <n v="10"/>
    <n v="2"/>
    <n v="0"/>
  </r>
  <r>
    <s v="U01421"/>
    <x v="4"/>
    <n v="36"/>
    <s v="Female"/>
    <x v="2"/>
    <x v="1"/>
    <n v="16.809999999999999"/>
    <n v="5"/>
    <n v="5.9"/>
    <n v="16.899999999999999"/>
    <n v="32.799999999999997"/>
    <s v="Action"/>
    <n v="3"/>
    <n v="1"/>
    <n v="0"/>
  </r>
  <r>
    <s v="U01422"/>
    <x v="11"/>
    <n v="55"/>
    <s v="Male"/>
    <x v="1"/>
    <x v="0"/>
    <n v="23.32"/>
    <n v="5"/>
    <n v="8.1999999999999993"/>
    <n v="10.19"/>
    <n v="98.6"/>
    <s v="Thriller"/>
    <n v="2"/>
    <n v="2"/>
    <n v="0"/>
  </r>
  <r>
    <s v="U01423"/>
    <x v="7"/>
    <n v="44"/>
    <s v="Male"/>
    <x v="1"/>
    <x v="1"/>
    <n v="21.7"/>
    <n v="4"/>
    <n v="7.8"/>
    <n v="7.15"/>
    <n v="67.900000000000006"/>
    <s v="Family"/>
    <n v="3"/>
    <n v="0"/>
    <n v="0"/>
  </r>
  <r>
    <s v="U01424"/>
    <x v="5"/>
    <n v="62"/>
    <s v="Male"/>
    <x v="0"/>
    <x v="2"/>
    <n v="8.65"/>
    <n v="2"/>
    <n v="4.2"/>
    <n v="9.07"/>
    <n v="55.1"/>
    <s v="Comedy"/>
    <n v="7"/>
    <n v="4"/>
    <n v="1"/>
  </r>
  <r>
    <s v="U01425"/>
    <x v="9"/>
    <n v="60"/>
    <s v="Female"/>
    <x v="2"/>
    <x v="4"/>
    <n v="20.32"/>
    <n v="2"/>
    <n v="2"/>
    <n v="9.77"/>
    <n v="80.3"/>
    <s v="Thriller"/>
    <n v="1"/>
    <n v="2"/>
    <n v="1"/>
  </r>
  <r>
    <s v="U01426"/>
    <x v="0"/>
    <n v="30"/>
    <s v="Male"/>
    <x v="0"/>
    <x v="4"/>
    <n v="9.6"/>
    <n v="3"/>
    <n v="8.1999999999999993"/>
    <n v="16.77"/>
    <n v="64.2"/>
    <s v="Action"/>
    <n v="8"/>
    <n v="3"/>
    <n v="0"/>
  </r>
  <r>
    <s v="U01427"/>
    <x v="4"/>
    <n v="30"/>
    <s v="Female"/>
    <x v="1"/>
    <x v="3"/>
    <n v="10.81"/>
    <n v="4"/>
    <n v="3.4"/>
    <n v="6.84"/>
    <n v="73.900000000000006"/>
    <s v="Drama"/>
    <n v="3"/>
    <n v="4"/>
    <n v="0"/>
  </r>
  <r>
    <s v="U01428"/>
    <x v="5"/>
    <n v="39"/>
    <s v="Female"/>
    <x v="0"/>
    <x v="0"/>
    <n v="23.4"/>
    <n v="2"/>
    <n v="1.5"/>
    <n v="19.12"/>
    <n v="65.5"/>
    <s v="Thriller"/>
    <n v="5"/>
    <n v="3"/>
    <n v="1"/>
  </r>
  <r>
    <s v="U01429"/>
    <x v="7"/>
    <n v="45"/>
    <s v="Female"/>
    <x v="2"/>
    <x v="0"/>
    <n v="23.22"/>
    <n v="1"/>
    <n v="5"/>
    <n v="9.7100000000000009"/>
    <n v="26.1"/>
    <s v="Thriller"/>
    <n v="10"/>
    <n v="3"/>
    <n v="0"/>
  </r>
  <r>
    <s v="U01430"/>
    <x v="4"/>
    <n v="69"/>
    <s v="Male"/>
    <x v="0"/>
    <x v="4"/>
    <n v="8.3699999999999992"/>
    <n v="3"/>
    <n v="7.7"/>
    <n v="13.74"/>
    <n v="58.9"/>
    <s v="Comedy"/>
    <n v="11"/>
    <n v="2"/>
    <n v="0"/>
  </r>
  <r>
    <s v="U01431"/>
    <x v="2"/>
    <n v="64"/>
    <s v="Male"/>
    <x v="0"/>
    <x v="1"/>
    <n v="6.28"/>
    <n v="4"/>
    <n v="8.3000000000000007"/>
    <n v="17.41"/>
    <n v="35.5"/>
    <s v="Action"/>
    <n v="5"/>
    <n v="3"/>
    <n v="1"/>
  </r>
  <r>
    <s v="U01432"/>
    <x v="11"/>
    <n v="62"/>
    <s v="Female"/>
    <x v="0"/>
    <x v="0"/>
    <n v="10.86"/>
    <n v="1"/>
    <n v="9.8000000000000007"/>
    <n v="14.96"/>
    <n v="61.3"/>
    <s v="Drama"/>
    <n v="6"/>
    <n v="1"/>
    <n v="0"/>
  </r>
  <r>
    <s v="U01433"/>
    <x v="7"/>
    <n v="39"/>
    <s v="Female"/>
    <x v="1"/>
    <x v="1"/>
    <n v="16.64"/>
    <n v="2"/>
    <n v="2.7"/>
    <n v="17.57"/>
    <n v="21.3"/>
    <s v="Drama"/>
    <n v="7"/>
    <n v="2"/>
    <n v="0"/>
  </r>
  <r>
    <s v="U01434"/>
    <x v="2"/>
    <n v="60"/>
    <s v="Male"/>
    <x v="0"/>
    <x v="1"/>
    <n v="22.54"/>
    <n v="2"/>
    <n v="3.6"/>
    <n v="10.1"/>
    <n v="30.9"/>
    <s v="Comedy"/>
    <n v="11"/>
    <n v="0"/>
    <n v="1"/>
  </r>
  <r>
    <s v="U01435"/>
    <x v="3"/>
    <n v="36"/>
    <s v="Male"/>
    <x v="1"/>
    <x v="1"/>
    <n v="7.38"/>
    <n v="2"/>
    <n v="6.5"/>
    <n v="24.2"/>
    <n v="82.8"/>
    <s v="Drama"/>
    <n v="1"/>
    <n v="1"/>
    <n v="1"/>
  </r>
  <r>
    <s v="U01436"/>
    <x v="8"/>
    <n v="25"/>
    <s v="Male"/>
    <x v="2"/>
    <x v="1"/>
    <n v="13.3"/>
    <n v="2"/>
    <n v="8.3000000000000007"/>
    <n v="13.1"/>
    <n v="46.5"/>
    <s v="Family"/>
    <n v="6"/>
    <n v="4"/>
    <n v="0"/>
  </r>
  <r>
    <s v="U01437"/>
    <x v="9"/>
    <n v="69"/>
    <s v="Female"/>
    <x v="2"/>
    <x v="3"/>
    <n v="10.43"/>
    <n v="5"/>
    <n v="3.1"/>
    <n v="10.08"/>
    <n v="70.599999999999994"/>
    <s v="Thriller"/>
    <n v="2"/>
    <n v="2"/>
    <n v="1"/>
  </r>
  <r>
    <s v="U01438"/>
    <x v="11"/>
    <n v="25"/>
    <s v="Male"/>
    <x v="1"/>
    <x v="3"/>
    <n v="5.3"/>
    <n v="3"/>
    <n v="4.7"/>
    <n v="9.52"/>
    <n v="54.8"/>
    <s v="Thriller"/>
    <n v="10"/>
    <n v="0"/>
    <n v="0"/>
  </r>
  <r>
    <s v="U01439"/>
    <x v="4"/>
    <n v="59"/>
    <s v="Male"/>
    <x v="0"/>
    <x v="4"/>
    <n v="20.77"/>
    <n v="3"/>
    <n v="4.7"/>
    <n v="3.94"/>
    <n v="40.700000000000003"/>
    <s v="Drama"/>
    <n v="3"/>
    <n v="0"/>
    <n v="0"/>
  </r>
  <r>
    <s v="U01440"/>
    <x v="0"/>
    <n v="43"/>
    <s v="Male"/>
    <x v="1"/>
    <x v="3"/>
    <n v="21.27"/>
    <n v="2"/>
    <n v="8"/>
    <n v="18.07"/>
    <n v="54.6"/>
    <s v="Drama"/>
    <n v="5"/>
    <n v="2"/>
    <n v="0"/>
  </r>
  <r>
    <s v="U01441"/>
    <x v="5"/>
    <n v="65"/>
    <s v="Female"/>
    <x v="0"/>
    <x v="0"/>
    <n v="9.42"/>
    <n v="3"/>
    <n v="3.2"/>
    <n v="8.7799999999999994"/>
    <n v="83.2"/>
    <s v="Drama"/>
    <n v="1"/>
    <n v="1"/>
    <n v="1"/>
  </r>
  <r>
    <s v="U01442"/>
    <x v="10"/>
    <n v="68"/>
    <s v="Male"/>
    <x v="2"/>
    <x v="3"/>
    <n v="8.02"/>
    <n v="1"/>
    <n v="9.6999999999999993"/>
    <n v="24.1"/>
    <n v="35.299999999999997"/>
    <s v="Thriller"/>
    <n v="7"/>
    <n v="0"/>
    <n v="1"/>
  </r>
  <r>
    <s v="U01443"/>
    <x v="5"/>
    <n v="43"/>
    <s v="Female"/>
    <x v="0"/>
    <x v="0"/>
    <n v="7.89"/>
    <n v="1"/>
    <n v="5.6"/>
    <n v="7.63"/>
    <n v="47.9"/>
    <s v="Drama"/>
    <n v="1"/>
    <n v="2"/>
    <n v="0"/>
  </r>
  <r>
    <s v="U01444"/>
    <x v="4"/>
    <n v="40"/>
    <s v="Female"/>
    <x v="1"/>
    <x v="0"/>
    <n v="14.28"/>
    <n v="3"/>
    <n v="3.5"/>
    <n v="14.65"/>
    <n v="28.2"/>
    <s v="Family"/>
    <n v="8"/>
    <n v="2"/>
    <n v="1"/>
  </r>
  <r>
    <s v="U01445"/>
    <x v="9"/>
    <n v="60"/>
    <s v="Female"/>
    <x v="1"/>
    <x v="1"/>
    <n v="9.93"/>
    <n v="2"/>
    <n v="3.6"/>
    <n v="19.18"/>
    <n v="41.6"/>
    <s v="Family"/>
    <n v="11"/>
    <n v="3"/>
    <n v="1"/>
  </r>
  <r>
    <s v="U01446"/>
    <x v="5"/>
    <n v="30"/>
    <s v="Male"/>
    <x v="2"/>
    <x v="4"/>
    <n v="15.23"/>
    <n v="4"/>
    <n v="1.2"/>
    <n v="22.14"/>
    <n v="89.7"/>
    <s v="Thriller"/>
    <n v="6"/>
    <n v="2"/>
    <n v="0"/>
  </r>
  <r>
    <s v="U01447"/>
    <x v="8"/>
    <n v="45"/>
    <s v="Male"/>
    <x v="0"/>
    <x v="1"/>
    <n v="12.7"/>
    <n v="2"/>
    <n v="7.2"/>
    <n v="6.44"/>
    <n v="80.7"/>
    <s v="Action"/>
    <n v="11"/>
    <n v="0"/>
    <n v="1"/>
  </r>
  <r>
    <s v="U01448"/>
    <x v="9"/>
    <n v="26"/>
    <s v="Male"/>
    <x v="1"/>
    <x v="1"/>
    <n v="9.2200000000000006"/>
    <n v="5"/>
    <n v="8"/>
    <n v="24.68"/>
    <n v="43.6"/>
    <s v="Action"/>
    <n v="1"/>
    <n v="3"/>
    <n v="1"/>
  </r>
  <r>
    <s v="U01449"/>
    <x v="7"/>
    <n v="37"/>
    <s v="Female"/>
    <x v="0"/>
    <x v="3"/>
    <n v="20.02"/>
    <n v="4"/>
    <n v="1.3"/>
    <n v="22.95"/>
    <n v="21.9"/>
    <s v="Action"/>
    <n v="7"/>
    <n v="0"/>
    <n v="0"/>
  </r>
  <r>
    <s v="U01450"/>
    <x v="2"/>
    <n v="36"/>
    <s v="Male"/>
    <x v="2"/>
    <x v="3"/>
    <n v="8.01"/>
    <n v="5"/>
    <n v="6.3"/>
    <n v="24.18"/>
    <n v="47.8"/>
    <s v="Family"/>
    <n v="10"/>
    <n v="1"/>
    <n v="0"/>
  </r>
  <r>
    <s v="U01451"/>
    <x v="10"/>
    <n v="65"/>
    <s v="Female"/>
    <x v="2"/>
    <x v="0"/>
    <n v="20.98"/>
    <n v="3"/>
    <n v="8"/>
    <n v="21.76"/>
    <n v="79.5"/>
    <s v="Comedy"/>
    <n v="3"/>
    <n v="1"/>
    <n v="0"/>
  </r>
  <r>
    <s v="U01452"/>
    <x v="6"/>
    <n v="56"/>
    <s v="Male"/>
    <x v="1"/>
    <x v="3"/>
    <n v="16.23"/>
    <n v="5"/>
    <n v="4.4000000000000004"/>
    <n v="22.31"/>
    <n v="13.9"/>
    <s v="Action"/>
    <n v="7"/>
    <n v="0"/>
    <n v="0"/>
  </r>
  <r>
    <s v="U01453"/>
    <x v="4"/>
    <n v="68"/>
    <s v="Male"/>
    <x v="1"/>
    <x v="3"/>
    <n v="21.64"/>
    <n v="3"/>
    <n v="4.9000000000000004"/>
    <n v="16.170000000000002"/>
    <n v="77.099999999999994"/>
    <s v="Comedy"/>
    <n v="11"/>
    <n v="4"/>
    <n v="0"/>
  </r>
  <r>
    <s v="U01454"/>
    <x v="1"/>
    <n v="29"/>
    <s v="Male"/>
    <x v="2"/>
    <x v="2"/>
    <n v="5.0999999999999996"/>
    <n v="5"/>
    <n v="4.3"/>
    <n v="21.6"/>
    <n v="71.2"/>
    <s v="Thriller"/>
    <n v="8"/>
    <n v="4"/>
    <n v="0"/>
  </r>
  <r>
    <s v="U01455"/>
    <x v="6"/>
    <n v="32"/>
    <s v="Male"/>
    <x v="1"/>
    <x v="0"/>
    <n v="19.98"/>
    <n v="4"/>
    <n v="3.8"/>
    <n v="14.75"/>
    <n v="15.8"/>
    <s v="Family"/>
    <n v="10"/>
    <n v="4"/>
    <n v="1"/>
  </r>
  <r>
    <s v="U01456"/>
    <x v="5"/>
    <n v="48"/>
    <s v="Female"/>
    <x v="1"/>
    <x v="0"/>
    <n v="6.03"/>
    <n v="5"/>
    <n v="5.4"/>
    <n v="14.84"/>
    <n v="67.2"/>
    <s v="Action"/>
    <n v="3"/>
    <n v="0"/>
    <n v="0"/>
  </r>
  <r>
    <s v="U01457"/>
    <x v="4"/>
    <n v="31"/>
    <s v="Female"/>
    <x v="1"/>
    <x v="2"/>
    <n v="24"/>
    <n v="2"/>
    <n v="2.5"/>
    <n v="15.38"/>
    <n v="36.9"/>
    <s v="Family"/>
    <n v="5"/>
    <n v="2"/>
    <n v="1"/>
  </r>
  <r>
    <s v="U01458"/>
    <x v="2"/>
    <n v="28"/>
    <s v="Female"/>
    <x v="1"/>
    <x v="0"/>
    <n v="19.05"/>
    <n v="3"/>
    <n v="5"/>
    <n v="24.92"/>
    <n v="26"/>
    <s v="Thriller"/>
    <n v="10"/>
    <n v="3"/>
    <n v="1"/>
  </r>
  <r>
    <s v="U01459"/>
    <x v="3"/>
    <n v="43"/>
    <s v="Female"/>
    <x v="0"/>
    <x v="4"/>
    <n v="11.4"/>
    <n v="1"/>
    <n v="9.5"/>
    <n v="5.3"/>
    <n v="44.6"/>
    <s v="Family"/>
    <n v="2"/>
    <n v="2"/>
    <n v="0"/>
  </r>
  <r>
    <s v="U01460"/>
    <x v="2"/>
    <n v="59"/>
    <s v="Male"/>
    <x v="2"/>
    <x v="4"/>
    <n v="11.4"/>
    <n v="5"/>
    <n v="1.2"/>
    <n v="20.72"/>
    <n v="28.5"/>
    <s v="Drama"/>
    <n v="2"/>
    <n v="0"/>
    <n v="0"/>
  </r>
  <r>
    <s v="U01461"/>
    <x v="1"/>
    <n v="44"/>
    <s v="Female"/>
    <x v="1"/>
    <x v="2"/>
    <n v="22.23"/>
    <n v="3"/>
    <n v="2.5"/>
    <n v="9.01"/>
    <n v="84.2"/>
    <s v="Action"/>
    <n v="1"/>
    <n v="2"/>
    <n v="0"/>
  </r>
  <r>
    <s v="U01462"/>
    <x v="10"/>
    <n v="28"/>
    <s v="Female"/>
    <x v="0"/>
    <x v="3"/>
    <n v="23.06"/>
    <n v="1"/>
    <n v="8"/>
    <n v="10.95"/>
    <n v="76.8"/>
    <s v="Family"/>
    <n v="3"/>
    <n v="1"/>
    <n v="0"/>
  </r>
  <r>
    <s v="U01463"/>
    <x v="2"/>
    <n v="55"/>
    <s v="Female"/>
    <x v="2"/>
    <x v="4"/>
    <n v="22.83"/>
    <n v="3"/>
    <n v="2.2000000000000002"/>
    <n v="4.7699999999999996"/>
    <n v="98.3"/>
    <s v="Family"/>
    <n v="4"/>
    <n v="3"/>
    <n v="0"/>
  </r>
  <r>
    <s v="U01464"/>
    <x v="0"/>
    <n v="51"/>
    <s v="Male"/>
    <x v="1"/>
    <x v="2"/>
    <n v="21.17"/>
    <n v="3"/>
    <n v="3.4"/>
    <n v="10.73"/>
    <n v="58.1"/>
    <s v="Family"/>
    <n v="3"/>
    <n v="0"/>
    <n v="0"/>
  </r>
  <r>
    <s v="U01465"/>
    <x v="3"/>
    <n v="60"/>
    <s v="Female"/>
    <x v="0"/>
    <x v="4"/>
    <n v="21.38"/>
    <n v="1"/>
    <n v="5.0999999999999996"/>
    <n v="24.8"/>
    <n v="18"/>
    <s v="Thriller"/>
    <n v="11"/>
    <n v="3"/>
    <n v="0"/>
  </r>
  <r>
    <s v="U01466"/>
    <x v="6"/>
    <n v="36"/>
    <s v="Female"/>
    <x v="1"/>
    <x v="1"/>
    <n v="16.46"/>
    <n v="1"/>
    <n v="9.5"/>
    <n v="11.74"/>
    <n v="43.1"/>
    <s v="Action"/>
    <n v="8"/>
    <n v="4"/>
    <n v="0"/>
  </r>
  <r>
    <s v="U01467"/>
    <x v="7"/>
    <n v="23"/>
    <s v="Male"/>
    <x v="2"/>
    <x v="2"/>
    <n v="5.56"/>
    <n v="4"/>
    <n v="2.7"/>
    <n v="17.73"/>
    <n v="85.5"/>
    <s v="Action"/>
    <n v="1"/>
    <n v="4"/>
    <n v="1"/>
  </r>
  <r>
    <s v="U01468"/>
    <x v="8"/>
    <n v="63"/>
    <s v="Male"/>
    <x v="2"/>
    <x v="0"/>
    <n v="6.74"/>
    <n v="5"/>
    <n v="9.3000000000000007"/>
    <n v="5.66"/>
    <n v="45.7"/>
    <s v="Drama"/>
    <n v="5"/>
    <n v="1"/>
    <n v="0"/>
  </r>
  <r>
    <s v="U01469"/>
    <x v="0"/>
    <n v="69"/>
    <s v="Female"/>
    <x v="2"/>
    <x v="4"/>
    <n v="17.989999999999998"/>
    <n v="5"/>
    <n v="7.5"/>
    <n v="23.29"/>
    <n v="51"/>
    <s v="Drama"/>
    <n v="7"/>
    <n v="0"/>
    <n v="0"/>
  </r>
  <r>
    <s v="U01470"/>
    <x v="3"/>
    <n v="55"/>
    <s v="Female"/>
    <x v="2"/>
    <x v="0"/>
    <n v="13.02"/>
    <n v="3"/>
    <n v="7"/>
    <n v="21.21"/>
    <n v="47.1"/>
    <s v="Family"/>
    <n v="9"/>
    <n v="4"/>
    <n v="0"/>
  </r>
  <r>
    <s v="U01471"/>
    <x v="7"/>
    <n v="66"/>
    <s v="Male"/>
    <x v="0"/>
    <x v="2"/>
    <n v="16.350000000000001"/>
    <n v="2"/>
    <n v="7.5"/>
    <n v="11.5"/>
    <n v="31.2"/>
    <s v="Action"/>
    <n v="1"/>
    <n v="3"/>
    <n v="0"/>
  </r>
  <r>
    <s v="U01472"/>
    <x v="7"/>
    <n v="59"/>
    <s v="Female"/>
    <x v="1"/>
    <x v="4"/>
    <n v="9.6199999999999992"/>
    <n v="2"/>
    <n v="1.3"/>
    <n v="10.67"/>
    <n v="16.600000000000001"/>
    <s v="Action"/>
    <n v="9"/>
    <n v="3"/>
    <n v="1"/>
  </r>
  <r>
    <s v="U01473"/>
    <x v="4"/>
    <n v="45"/>
    <s v="Male"/>
    <x v="2"/>
    <x v="0"/>
    <n v="17.989999999999998"/>
    <n v="3"/>
    <n v="1.9"/>
    <n v="12.51"/>
    <n v="26.3"/>
    <s v="Family"/>
    <n v="11"/>
    <n v="1"/>
    <n v="0"/>
  </r>
  <r>
    <s v="U01474"/>
    <x v="3"/>
    <n v="18"/>
    <s v="Female"/>
    <x v="1"/>
    <x v="3"/>
    <n v="9.86"/>
    <n v="4"/>
    <n v="4"/>
    <n v="11.83"/>
    <n v="42.8"/>
    <s v="Comedy"/>
    <n v="9"/>
    <n v="4"/>
    <n v="0"/>
  </r>
  <r>
    <s v="U01475"/>
    <x v="10"/>
    <n v="52"/>
    <s v="Female"/>
    <x v="1"/>
    <x v="3"/>
    <n v="14.22"/>
    <n v="1"/>
    <n v="1.7"/>
    <n v="8.68"/>
    <n v="32.1"/>
    <s v="Action"/>
    <n v="4"/>
    <n v="2"/>
    <n v="0"/>
  </r>
  <r>
    <s v="U01476"/>
    <x v="5"/>
    <n v="57"/>
    <s v="Female"/>
    <x v="1"/>
    <x v="1"/>
    <n v="14.57"/>
    <n v="3"/>
    <n v="9.9"/>
    <n v="24.8"/>
    <n v="61.5"/>
    <s v="Family"/>
    <n v="10"/>
    <n v="4"/>
    <n v="0"/>
  </r>
  <r>
    <s v="U01477"/>
    <x v="1"/>
    <n v="25"/>
    <s v="Female"/>
    <x v="1"/>
    <x v="2"/>
    <n v="8.5500000000000007"/>
    <n v="5"/>
    <n v="6.2"/>
    <n v="20.83"/>
    <n v="65.3"/>
    <s v="Family"/>
    <n v="5"/>
    <n v="1"/>
    <n v="0"/>
  </r>
  <r>
    <s v="U01478"/>
    <x v="1"/>
    <n v="69"/>
    <s v="Female"/>
    <x v="2"/>
    <x v="0"/>
    <n v="22.52"/>
    <n v="2"/>
    <n v="5.4"/>
    <n v="8.89"/>
    <n v="61.3"/>
    <s v="Comedy"/>
    <n v="6"/>
    <n v="4"/>
    <n v="0"/>
  </r>
  <r>
    <s v="U01479"/>
    <x v="6"/>
    <n v="64"/>
    <s v="Male"/>
    <x v="1"/>
    <x v="1"/>
    <n v="15.52"/>
    <n v="2"/>
    <n v="8.1"/>
    <n v="24.6"/>
    <n v="17.600000000000001"/>
    <s v="Drama"/>
    <n v="4"/>
    <n v="0"/>
    <n v="1"/>
  </r>
  <r>
    <s v="U01480"/>
    <x v="6"/>
    <n v="24"/>
    <s v="Male"/>
    <x v="1"/>
    <x v="2"/>
    <n v="22.34"/>
    <n v="2"/>
    <n v="9.8000000000000007"/>
    <n v="3.34"/>
    <n v="70"/>
    <s v="Family"/>
    <n v="6"/>
    <n v="1"/>
    <n v="0"/>
  </r>
  <r>
    <s v="U01481"/>
    <x v="1"/>
    <n v="28"/>
    <s v="Female"/>
    <x v="2"/>
    <x v="3"/>
    <n v="10.25"/>
    <n v="4"/>
    <n v="9.6"/>
    <n v="12.63"/>
    <n v="44.6"/>
    <s v="Action"/>
    <n v="5"/>
    <n v="2"/>
    <n v="0"/>
  </r>
  <r>
    <s v="U01482"/>
    <x v="2"/>
    <n v="56"/>
    <s v="Female"/>
    <x v="1"/>
    <x v="0"/>
    <n v="8.4499999999999993"/>
    <n v="5"/>
    <n v="8.1"/>
    <n v="15.53"/>
    <n v="89"/>
    <s v="Drama"/>
    <n v="3"/>
    <n v="3"/>
    <n v="1"/>
  </r>
  <r>
    <s v="U01483"/>
    <x v="10"/>
    <n v="21"/>
    <s v="Female"/>
    <x v="0"/>
    <x v="4"/>
    <n v="5.36"/>
    <n v="4"/>
    <n v="4.4000000000000004"/>
    <n v="3.83"/>
    <n v="57.3"/>
    <s v="Drama"/>
    <n v="3"/>
    <n v="4"/>
    <n v="0"/>
  </r>
  <r>
    <s v="U01484"/>
    <x v="2"/>
    <n v="42"/>
    <s v="Male"/>
    <x v="1"/>
    <x v="3"/>
    <n v="6.88"/>
    <n v="1"/>
    <n v="1.6"/>
    <n v="6.54"/>
    <n v="17.600000000000001"/>
    <s v="Drama"/>
    <n v="9"/>
    <n v="3"/>
    <n v="0"/>
  </r>
  <r>
    <s v="U01485"/>
    <x v="2"/>
    <n v="29"/>
    <s v="Male"/>
    <x v="2"/>
    <x v="4"/>
    <n v="7.95"/>
    <n v="3"/>
    <n v="1.9"/>
    <n v="8.68"/>
    <n v="10.8"/>
    <s v="Family"/>
    <n v="5"/>
    <n v="1"/>
    <n v="0"/>
  </r>
  <r>
    <s v="U01486"/>
    <x v="8"/>
    <n v="43"/>
    <s v="Male"/>
    <x v="2"/>
    <x v="4"/>
    <n v="6.58"/>
    <n v="3"/>
    <n v="1"/>
    <n v="18.84"/>
    <n v="73.2"/>
    <s v="Action"/>
    <n v="11"/>
    <n v="3"/>
    <n v="0"/>
  </r>
  <r>
    <s v="U01487"/>
    <x v="11"/>
    <n v="55"/>
    <s v="Male"/>
    <x v="2"/>
    <x v="0"/>
    <n v="22.94"/>
    <n v="2"/>
    <n v="1"/>
    <n v="23.67"/>
    <n v="46"/>
    <s v="Comedy"/>
    <n v="3"/>
    <n v="0"/>
    <n v="0"/>
  </r>
  <r>
    <s v="U01488"/>
    <x v="5"/>
    <n v="63"/>
    <s v="Male"/>
    <x v="2"/>
    <x v="0"/>
    <n v="23.23"/>
    <n v="2"/>
    <n v="9.4"/>
    <n v="16.739999999999998"/>
    <n v="35.9"/>
    <s v="Thriller"/>
    <n v="8"/>
    <n v="1"/>
    <n v="1"/>
  </r>
  <r>
    <s v="U01489"/>
    <x v="8"/>
    <n v="29"/>
    <s v="Male"/>
    <x v="0"/>
    <x v="4"/>
    <n v="23.75"/>
    <n v="1"/>
    <n v="9.3000000000000007"/>
    <n v="15.38"/>
    <n v="50.2"/>
    <s v="Thriller"/>
    <n v="8"/>
    <n v="1"/>
    <n v="0"/>
  </r>
  <r>
    <s v="U01490"/>
    <x v="4"/>
    <n v="60"/>
    <s v="Male"/>
    <x v="2"/>
    <x v="1"/>
    <n v="24.2"/>
    <n v="4"/>
    <n v="7"/>
    <n v="14.81"/>
    <n v="16.5"/>
    <s v="Drama"/>
    <n v="3"/>
    <n v="4"/>
    <n v="1"/>
  </r>
  <r>
    <s v="U01491"/>
    <x v="11"/>
    <n v="68"/>
    <s v="Male"/>
    <x v="2"/>
    <x v="4"/>
    <n v="14.84"/>
    <n v="5"/>
    <n v="7.5"/>
    <n v="10.72"/>
    <n v="45.3"/>
    <s v="Thriller"/>
    <n v="7"/>
    <n v="1"/>
    <n v="0"/>
  </r>
  <r>
    <s v="U01492"/>
    <x v="11"/>
    <n v="54"/>
    <s v="Female"/>
    <x v="0"/>
    <x v="4"/>
    <n v="15.6"/>
    <n v="1"/>
    <n v="5.6"/>
    <n v="21.21"/>
    <n v="38.299999999999997"/>
    <s v="Thriller"/>
    <n v="9"/>
    <n v="0"/>
    <n v="0"/>
  </r>
  <r>
    <s v="U01493"/>
    <x v="3"/>
    <n v="63"/>
    <s v="Male"/>
    <x v="0"/>
    <x v="0"/>
    <n v="7.62"/>
    <n v="3"/>
    <n v="3.1"/>
    <n v="14.9"/>
    <n v="82"/>
    <s v="Family"/>
    <n v="3"/>
    <n v="4"/>
    <n v="0"/>
  </r>
  <r>
    <s v="U01494"/>
    <x v="10"/>
    <n v="41"/>
    <s v="Male"/>
    <x v="2"/>
    <x v="2"/>
    <n v="7.74"/>
    <n v="3"/>
    <n v="9.1999999999999993"/>
    <n v="8.06"/>
    <n v="25.7"/>
    <s v="Comedy"/>
    <n v="8"/>
    <n v="0"/>
    <n v="0"/>
  </r>
  <r>
    <s v="U01495"/>
    <x v="10"/>
    <n v="33"/>
    <s v="Male"/>
    <x v="2"/>
    <x v="3"/>
    <n v="20.46"/>
    <n v="4"/>
    <n v="3.5"/>
    <n v="6.01"/>
    <n v="78.099999999999994"/>
    <s v="Thriller"/>
    <n v="1"/>
    <n v="2"/>
    <n v="1"/>
  </r>
  <r>
    <s v="U01496"/>
    <x v="11"/>
    <n v="30"/>
    <s v="Male"/>
    <x v="2"/>
    <x v="0"/>
    <n v="22.11"/>
    <n v="1"/>
    <n v="7.7"/>
    <n v="24.68"/>
    <n v="55"/>
    <s v="Comedy"/>
    <n v="3"/>
    <n v="4"/>
    <n v="0"/>
  </r>
  <r>
    <s v="U01497"/>
    <x v="2"/>
    <n v="42"/>
    <s v="Female"/>
    <x v="2"/>
    <x v="1"/>
    <n v="20.69"/>
    <n v="5"/>
    <n v="3.2"/>
    <n v="3.38"/>
    <n v="17.399999999999999"/>
    <s v="Thriller"/>
    <n v="4"/>
    <n v="1"/>
    <n v="0"/>
  </r>
  <r>
    <s v="U01498"/>
    <x v="3"/>
    <n v="69"/>
    <s v="Male"/>
    <x v="1"/>
    <x v="3"/>
    <n v="21.69"/>
    <n v="1"/>
    <n v="8.8000000000000007"/>
    <n v="23.54"/>
    <n v="97.3"/>
    <s v="Drama"/>
    <n v="3"/>
    <n v="1"/>
    <n v="1"/>
  </r>
  <r>
    <s v="U01499"/>
    <x v="5"/>
    <n v="21"/>
    <s v="Female"/>
    <x v="1"/>
    <x v="0"/>
    <n v="10.53"/>
    <n v="1"/>
    <n v="6.9"/>
    <n v="7.8"/>
    <n v="76.099999999999994"/>
    <s v="Drama"/>
    <n v="9"/>
    <n v="1"/>
    <n v="0"/>
  </r>
  <r>
    <s v="U01500"/>
    <x v="11"/>
    <n v="28"/>
    <s v="Female"/>
    <x v="1"/>
    <x v="0"/>
    <n v="14.32"/>
    <n v="4"/>
    <n v="6.8"/>
    <n v="17.47"/>
    <n v="33.4"/>
    <s v="Comedy"/>
    <n v="10"/>
    <n v="2"/>
    <n v="0"/>
  </r>
  <r>
    <s v="U01501"/>
    <x v="0"/>
    <n v="49"/>
    <s v="Female"/>
    <x v="0"/>
    <x v="2"/>
    <n v="14.18"/>
    <n v="5"/>
    <n v="1.9"/>
    <n v="9.6300000000000008"/>
    <n v="62.4"/>
    <s v="Comedy"/>
    <n v="5"/>
    <n v="0"/>
    <n v="0"/>
  </r>
  <r>
    <s v="U01502"/>
    <x v="6"/>
    <n v="66"/>
    <s v="Male"/>
    <x v="2"/>
    <x v="1"/>
    <n v="24.91"/>
    <n v="3"/>
    <n v="4.8"/>
    <n v="21.92"/>
    <n v="91"/>
    <s v="Comedy"/>
    <n v="3"/>
    <n v="1"/>
    <n v="0"/>
  </r>
  <r>
    <s v="U01503"/>
    <x v="6"/>
    <n v="24"/>
    <s v="Male"/>
    <x v="1"/>
    <x v="1"/>
    <n v="23.98"/>
    <n v="2"/>
    <n v="5.7"/>
    <n v="14.96"/>
    <n v="93.8"/>
    <s v="Comedy"/>
    <n v="3"/>
    <n v="3"/>
    <n v="1"/>
  </r>
  <r>
    <s v="U01504"/>
    <x v="8"/>
    <n v="63"/>
    <s v="Male"/>
    <x v="1"/>
    <x v="0"/>
    <n v="16.97"/>
    <n v="5"/>
    <n v="3.6"/>
    <n v="6.1"/>
    <n v="75.8"/>
    <s v="Action"/>
    <n v="11"/>
    <n v="1"/>
    <n v="1"/>
  </r>
  <r>
    <s v="U01505"/>
    <x v="4"/>
    <n v="28"/>
    <s v="Female"/>
    <x v="1"/>
    <x v="2"/>
    <n v="7.76"/>
    <n v="3"/>
    <n v="8.9"/>
    <n v="8.94"/>
    <n v="75.5"/>
    <s v="Drama"/>
    <n v="2"/>
    <n v="4"/>
    <n v="0"/>
  </r>
  <r>
    <s v="U01506"/>
    <x v="9"/>
    <n v="45"/>
    <s v="Female"/>
    <x v="1"/>
    <x v="0"/>
    <n v="10.17"/>
    <n v="4"/>
    <n v="8.5"/>
    <n v="10.050000000000001"/>
    <n v="35"/>
    <s v="Thriller"/>
    <n v="10"/>
    <n v="4"/>
    <n v="1"/>
  </r>
  <r>
    <s v="U01507"/>
    <x v="9"/>
    <n v="58"/>
    <s v="Female"/>
    <x v="0"/>
    <x v="4"/>
    <n v="12.28"/>
    <n v="5"/>
    <n v="5.4"/>
    <n v="22.49"/>
    <n v="99.1"/>
    <s v="Action"/>
    <n v="6"/>
    <n v="3"/>
    <n v="1"/>
  </r>
  <r>
    <s v="U01508"/>
    <x v="6"/>
    <n v="40"/>
    <s v="Female"/>
    <x v="0"/>
    <x v="4"/>
    <n v="22.46"/>
    <n v="5"/>
    <n v="4.0999999999999996"/>
    <n v="19.87"/>
    <n v="31.9"/>
    <s v="Comedy"/>
    <n v="9"/>
    <n v="2"/>
    <n v="0"/>
  </r>
  <r>
    <s v="U01509"/>
    <x v="7"/>
    <n v="62"/>
    <s v="Male"/>
    <x v="0"/>
    <x v="2"/>
    <n v="8.41"/>
    <n v="3"/>
    <n v="8.1999999999999993"/>
    <n v="21.25"/>
    <n v="18"/>
    <s v="Thriller"/>
    <n v="7"/>
    <n v="4"/>
    <n v="0"/>
  </r>
  <r>
    <s v="U01510"/>
    <x v="8"/>
    <n v="40"/>
    <s v="Male"/>
    <x v="0"/>
    <x v="0"/>
    <n v="9.39"/>
    <n v="3"/>
    <n v="2.8"/>
    <n v="4.1500000000000004"/>
    <n v="98"/>
    <s v="Drama"/>
    <n v="2"/>
    <n v="2"/>
    <n v="0"/>
  </r>
  <r>
    <s v="U01511"/>
    <x v="9"/>
    <n v="67"/>
    <s v="Male"/>
    <x v="2"/>
    <x v="2"/>
    <n v="11.99"/>
    <n v="1"/>
    <n v="1.6"/>
    <n v="15.73"/>
    <n v="23.8"/>
    <s v="Comedy"/>
    <n v="9"/>
    <n v="2"/>
    <n v="0"/>
  </r>
  <r>
    <s v="U01512"/>
    <x v="6"/>
    <n v="45"/>
    <s v="Female"/>
    <x v="0"/>
    <x v="0"/>
    <n v="23.54"/>
    <n v="1"/>
    <n v="1.4"/>
    <n v="24.98"/>
    <n v="56.9"/>
    <s v="Family"/>
    <n v="3"/>
    <n v="3"/>
    <n v="0"/>
  </r>
  <r>
    <s v="U01513"/>
    <x v="4"/>
    <n v="60"/>
    <s v="Female"/>
    <x v="0"/>
    <x v="0"/>
    <n v="15.08"/>
    <n v="5"/>
    <n v="1.3"/>
    <n v="20.27"/>
    <n v="52.1"/>
    <s v="Comedy"/>
    <n v="7"/>
    <n v="4"/>
    <n v="1"/>
  </r>
  <r>
    <s v="U01514"/>
    <x v="9"/>
    <n v="64"/>
    <s v="Male"/>
    <x v="1"/>
    <x v="4"/>
    <n v="17.940000000000001"/>
    <n v="2"/>
    <n v="5.4"/>
    <n v="5.66"/>
    <n v="86.3"/>
    <s v="Thriller"/>
    <n v="10"/>
    <n v="1"/>
    <n v="0"/>
  </r>
  <r>
    <s v="U01515"/>
    <x v="2"/>
    <n v="43"/>
    <s v="Male"/>
    <x v="1"/>
    <x v="3"/>
    <n v="12.74"/>
    <n v="4"/>
    <n v="3.3"/>
    <n v="17.93"/>
    <n v="45.7"/>
    <s v="Drama"/>
    <n v="7"/>
    <n v="2"/>
    <n v="0"/>
  </r>
  <r>
    <s v="U01516"/>
    <x v="2"/>
    <n v="42"/>
    <s v="Female"/>
    <x v="0"/>
    <x v="1"/>
    <n v="8.77"/>
    <n v="3"/>
    <n v="7.2"/>
    <n v="19.399999999999999"/>
    <n v="55.2"/>
    <s v="Comedy"/>
    <n v="4"/>
    <n v="2"/>
    <n v="0"/>
  </r>
  <r>
    <s v="U01517"/>
    <x v="10"/>
    <n v="46"/>
    <s v="Male"/>
    <x v="2"/>
    <x v="1"/>
    <n v="9.4600000000000009"/>
    <n v="1"/>
    <n v="6.9"/>
    <n v="14.31"/>
    <n v="13.9"/>
    <s v="Drama"/>
    <n v="4"/>
    <n v="4"/>
    <n v="0"/>
  </r>
  <r>
    <s v="U01518"/>
    <x v="10"/>
    <n v="36"/>
    <s v="Male"/>
    <x v="2"/>
    <x v="2"/>
    <n v="21.05"/>
    <n v="4"/>
    <n v="5.9"/>
    <n v="4.7300000000000004"/>
    <n v="28.7"/>
    <s v="Action"/>
    <n v="2"/>
    <n v="4"/>
    <n v="1"/>
  </r>
  <r>
    <s v="U01519"/>
    <x v="5"/>
    <n v="50"/>
    <s v="Female"/>
    <x v="0"/>
    <x v="1"/>
    <n v="22.87"/>
    <n v="5"/>
    <n v="4.2"/>
    <n v="3.76"/>
    <n v="85"/>
    <s v="Family"/>
    <n v="2"/>
    <n v="3"/>
    <n v="0"/>
  </r>
  <r>
    <s v="U01520"/>
    <x v="11"/>
    <n v="53"/>
    <s v="Female"/>
    <x v="0"/>
    <x v="4"/>
    <n v="14.86"/>
    <n v="3"/>
    <n v="8.6999999999999993"/>
    <n v="23.63"/>
    <n v="53.1"/>
    <s v="Action"/>
    <n v="2"/>
    <n v="0"/>
    <n v="0"/>
  </r>
  <r>
    <s v="U01521"/>
    <x v="0"/>
    <n v="31"/>
    <s v="Female"/>
    <x v="2"/>
    <x v="3"/>
    <n v="12.14"/>
    <n v="3"/>
    <n v="7.4"/>
    <n v="8.67"/>
    <n v="30.8"/>
    <s v="Family"/>
    <n v="11"/>
    <n v="0"/>
    <n v="0"/>
  </r>
  <r>
    <s v="U01522"/>
    <x v="10"/>
    <n v="31"/>
    <s v="Male"/>
    <x v="2"/>
    <x v="0"/>
    <n v="21.16"/>
    <n v="1"/>
    <n v="3.4"/>
    <n v="11.34"/>
    <n v="43.2"/>
    <s v="Action"/>
    <n v="5"/>
    <n v="0"/>
    <n v="1"/>
  </r>
  <r>
    <s v="U01523"/>
    <x v="9"/>
    <n v="52"/>
    <s v="Female"/>
    <x v="1"/>
    <x v="0"/>
    <n v="18.46"/>
    <n v="2"/>
    <n v="5.5"/>
    <n v="20.5"/>
    <n v="35.700000000000003"/>
    <s v="Drama"/>
    <n v="3"/>
    <n v="2"/>
    <n v="1"/>
  </r>
  <r>
    <s v="U01524"/>
    <x v="3"/>
    <n v="47"/>
    <s v="Male"/>
    <x v="0"/>
    <x v="4"/>
    <n v="5.82"/>
    <n v="3"/>
    <n v="2.4"/>
    <n v="18.16"/>
    <n v="60.1"/>
    <s v="Drama"/>
    <n v="10"/>
    <n v="3"/>
    <n v="1"/>
  </r>
  <r>
    <s v="U01525"/>
    <x v="6"/>
    <n v="45"/>
    <s v="Male"/>
    <x v="1"/>
    <x v="1"/>
    <n v="12.01"/>
    <n v="2"/>
    <n v="4"/>
    <n v="24.31"/>
    <n v="14.6"/>
    <s v="Action"/>
    <n v="7"/>
    <n v="0"/>
    <n v="0"/>
  </r>
  <r>
    <s v="U01526"/>
    <x v="3"/>
    <n v="34"/>
    <s v="Female"/>
    <x v="1"/>
    <x v="0"/>
    <n v="18.64"/>
    <n v="4"/>
    <n v="10"/>
    <n v="5.04"/>
    <n v="30.2"/>
    <s v="Thriller"/>
    <n v="7"/>
    <n v="4"/>
    <n v="1"/>
  </r>
  <r>
    <s v="U01527"/>
    <x v="4"/>
    <n v="20"/>
    <s v="Male"/>
    <x v="0"/>
    <x v="1"/>
    <n v="16.47"/>
    <n v="3"/>
    <n v="3"/>
    <n v="18.55"/>
    <n v="41.9"/>
    <s v="Action"/>
    <n v="6"/>
    <n v="2"/>
    <n v="0"/>
  </r>
  <r>
    <s v="U01528"/>
    <x v="10"/>
    <n v="33"/>
    <s v="Female"/>
    <x v="1"/>
    <x v="4"/>
    <n v="24.56"/>
    <n v="3"/>
    <n v="7.3"/>
    <n v="4.8099999999999996"/>
    <n v="93.5"/>
    <s v="Comedy"/>
    <n v="8"/>
    <n v="2"/>
    <n v="0"/>
  </r>
  <r>
    <s v="U01529"/>
    <x v="0"/>
    <n v="63"/>
    <s v="Female"/>
    <x v="1"/>
    <x v="0"/>
    <n v="22.32"/>
    <n v="2"/>
    <n v="3.1"/>
    <n v="3"/>
    <n v="66.099999999999994"/>
    <s v="Thriller"/>
    <n v="11"/>
    <n v="4"/>
    <n v="0"/>
  </r>
  <r>
    <s v="U01530"/>
    <x v="4"/>
    <n v="47"/>
    <s v="Male"/>
    <x v="1"/>
    <x v="2"/>
    <n v="6.19"/>
    <n v="1"/>
    <n v="9.4"/>
    <n v="5.65"/>
    <n v="55.4"/>
    <s v="Drama"/>
    <n v="4"/>
    <n v="3"/>
    <n v="0"/>
  </r>
  <r>
    <s v="U01531"/>
    <x v="7"/>
    <n v="69"/>
    <s v="Male"/>
    <x v="2"/>
    <x v="3"/>
    <n v="19.52"/>
    <n v="5"/>
    <n v="3.8"/>
    <n v="16.57"/>
    <n v="27.2"/>
    <s v="Action"/>
    <n v="9"/>
    <n v="3"/>
    <n v="0"/>
  </r>
  <r>
    <s v="U01532"/>
    <x v="7"/>
    <n v="46"/>
    <s v="Female"/>
    <x v="2"/>
    <x v="1"/>
    <n v="11.73"/>
    <n v="4"/>
    <n v="4.0999999999999996"/>
    <n v="17.88"/>
    <n v="60.2"/>
    <s v="Thriller"/>
    <n v="10"/>
    <n v="0"/>
    <n v="0"/>
  </r>
  <r>
    <s v="U01533"/>
    <x v="3"/>
    <n v="62"/>
    <s v="Female"/>
    <x v="1"/>
    <x v="1"/>
    <n v="18.64"/>
    <n v="3"/>
    <n v="6.3"/>
    <n v="12.64"/>
    <n v="93.6"/>
    <s v="Comedy"/>
    <n v="10"/>
    <n v="4"/>
    <n v="0"/>
  </r>
  <r>
    <s v="U01534"/>
    <x v="11"/>
    <n v="32"/>
    <s v="Female"/>
    <x v="2"/>
    <x v="1"/>
    <n v="17.34"/>
    <n v="1"/>
    <n v="6.3"/>
    <n v="4.01"/>
    <n v="61"/>
    <s v="Family"/>
    <n v="5"/>
    <n v="1"/>
    <n v="1"/>
  </r>
  <r>
    <s v="U01535"/>
    <x v="8"/>
    <n v="63"/>
    <s v="Female"/>
    <x v="0"/>
    <x v="1"/>
    <n v="15.06"/>
    <n v="3"/>
    <n v="6.2"/>
    <n v="16.95"/>
    <n v="24.8"/>
    <s v="Drama"/>
    <n v="4"/>
    <n v="3"/>
    <n v="0"/>
  </r>
  <r>
    <s v="U01536"/>
    <x v="11"/>
    <n v="42"/>
    <s v="Female"/>
    <x v="2"/>
    <x v="4"/>
    <n v="22.06"/>
    <n v="4"/>
    <n v="6.2"/>
    <n v="4.8899999999999997"/>
    <n v="99.7"/>
    <s v="Thriller"/>
    <n v="3"/>
    <n v="0"/>
    <n v="1"/>
  </r>
  <r>
    <s v="U01537"/>
    <x v="9"/>
    <n v="68"/>
    <s v="Female"/>
    <x v="0"/>
    <x v="4"/>
    <n v="19.170000000000002"/>
    <n v="5"/>
    <n v="3.8"/>
    <n v="6.12"/>
    <n v="54.9"/>
    <s v="Thriller"/>
    <n v="9"/>
    <n v="2"/>
    <n v="0"/>
  </r>
  <r>
    <s v="U01538"/>
    <x v="2"/>
    <n v="55"/>
    <s v="Male"/>
    <x v="0"/>
    <x v="4"/>
    <n v="22.79"/>
    <n v="3"/>
    <n v="4.9000000000000004"/>
    <n v="14.28"/>
    <n v="38.799999999999997"/>
    <s v="Thriller"/>
    <n v="4"/>
    <n v="3"/>
    <n v="0"/>
  </r>
  <r>
    <s v="U01539"/>
    <x v="5"/>
    <n v="59"/>
    <s v="Male"/>
    <x v="1"/>
    <x v="4"/>
    <n v="10.63"/>
    <n v="2"/>
    <n v="6.3"/>
    <n v="10.49"/>
    <n v="55.3"/>
    <s v="Action"/>
    <n v="9"/>
    <n v="1"/>
    <n v="0"/>
  </r>
  <r>
    <s v="U01540"/>
    <x v="11"/>
    <n v="64"/>
    <s v="Male"/>
    <x v="1"/>
    <x v="0"/>
    <n v="11.96"/>
    <n v="1"/>
    <n v="7"/>
    <n v="13.22"/>
    <n v="33.700000000000003"/>
    <s v="Drama"/>
    <n v="11"/>
    <n v="2"/>
    <n v="0"/>
  </r>
  <r>
    <s v="U01541"/>
    <x v="5"/>
    <n v="69"/>
    <s v="Male"/>
    <x v="2"/>
    <x v="4"/>
    <n v="17.440000000000001"/>
    <n v="5"/>
    <n v="3.3"/>
    <n v="16.97"/>
    <n v="12.7"/>
    <s v="Drama"/>
    <n v="1"/>
    <n v="2"/>
    <n v="1"/>
  </r>
  <r>
    <s v="U01542"/>
    <x v="5"/>
    <n v="55"/>
    <s v="Female"/>
    <x v="1"/>
    <x v="0"/>
    <n v="24.33"/>
    <n v="3"/>
    <n v="7.3"/>
    <n v="6.52"/>
    <n v="90.1"/>
    <s v="Action"/>
    <n v="5"/>
    <n v="4"/>
    <n v="0"/>
  </r>
  <r>
    <s v="U01543"/>
    <x v="0"/>
    <n v="40"/>
    <s v="Male"/>
    <x v="0"/>
    <x v="2"/>
    <n v="12.43"/>
    <n v="5"/>
    <n v="9.3000000000000007"/>
    <n v="22.65"/>
    <n v="48.6"/>
    <s v="Action"/>
    <n v="1"/>
    <n v="4"/>
    <n v="0"/>
  </r>
  <r>
    <s v="U01544"/>
    <x v="10"/>
    <n v="42"/>
    <s v="Male"/>
    <x v="1"/>
    <x v="4"/>
    <n v="5.65"/>
    <n v="2"/>
    <n v="7.8"/>
    <n v="15.31"/>
    <n v="77.8"/>
    <s v="Action"/>
    <n v="9"/>
    <n v="3"/>
    <n v="0"/>
  </r>
  <r>
    <s v="U01545"/>
    <x v="0"/>
    <n v="59"/>
    <s v="Female"/>
    <x v="1"/>
    <x v="2"/>
    <n v="13.92"/>
    <n v="3"/>
    <n v="1.8"/>
    <n v="3.49"/>
    <n v="97.4"/>
    <s v="Comedy"/>
    <n v="7"/>
    <n v="1"/>
    <n v="0"/>
  </r>
  <r>
    <s v="U01546"/>
    <x v="5"/>
    <n v="24"/>
    <s v="Male"/>
    <x v="1"/>
    <x v="4"/>
    <n v="15.88"/>
    <n v="5"/>
    <n v="5.2"/>
    <n v="16.829999999999998"/>
    <n v="66.900000000000006"/>
    <s v="Thriller"/>
    <n v="10"/>
    <n v="4"/>
    <n v="0"/>
  </r>
  <r>
    <s v="U01547"/>
    <x v="4"/>
    <n v="39"/>
    <s v="Female"/>
    <x v="1"/>
    <x v="2"/>
    <n v="21.02"/>
    <n v="3"/>
    <n v="4.9000000000000004"/>
    <n v="13.19"/>
    <n v="72.2"/>
    <s v="Comedy"/>
    <n v="9"/>
    <n v="0"/>
    <n v="1"/>
  </r>
  <r>
    <s v="U01548"/>
    <x v="7"/>
    <n v="34"/>
    <s v="Female"/>
    <x v="2"/>
    <x v="3"/>
    <n v="19.57"/>
    <n v="3"/>
    <n v="4"/>
    <n v="18.440000000000001"/>
    <n v="94.9"/>
    <s v="Drama"/>
    <n v="5"/>
    <n v="2"/>
    <n v="0"/>
  </r>
  <r>
    <s v="U01549"/>
    <x v="5"/>
    <n v="35"/>
    <s v="Female"/>
    <x v="2"/>
    <x v="2"/>
    <n v="24.29"/>
    <n v="5"/>
    <n v="5.4"/>
    <n v="20.25"/>
    <n v="56.5"/>
    <s v="Action"/>
    <n v="10"/>
    <n v="0"/>
    <n v="0"/>
  </r>
  <r>
    <s v="U01550"/>
    <x v="0"/>
    <n v="66"/>
    <s v="Female"/>
    <x v="2"/>
    <x v="0"/>
    <n v="20.65"/>
    <n v="3"/>
    <n v="5"/>
    <n v="23.65"/>
    <n v="38.799999999999997"/>
    <s v="Thriller"/>
    <n v="9"/>
    <n v="2"/>
    <n v="0"/>
  </r>
  <r>
    <s v="U01551"/>
    <x v="4"/>
    <n v="58"/>
    <s v="Female"/>
    <x v="0"/>
    <x v="1"/>
    <n v="10.97"/>
    <n v="2"/>
    <n v="1.1000000000000001"/>
    <n v="24.96"/>
    <n v="92.9"/>
    <s v="Family"/>
    <n v="4"/>
    <n v="0"/>
    <n v="0"/>
  </r>
  <r>
    <s v="U01552"/>
    <x v="0"/>
    <n v="27"/>
    <s v="Male"/>
    <x v="2"/>
    <x v="2"/>
    <n v="17.829999999999998"/>
    <n v="5"/>
    <n v="3.1"/>
    <n v="15.09"/>
    <n v="16.2"/>
    <s v="Thriller"/>
    <n v="3"/>
    <n v="2"/>
    <n v="1"/>
  </r>
  <r>
    <s v="U01553"/>
    <x v="11"/>
    <n v="27"/>
    <s v="Male"/>
    <x v="1"/>
    <x v="1"/>
    <n v="18.440000000000001"/>
    <n v="5"/>
    <n v="2.9"/>
    <n v="15.35"/>
    <n v="29.3"/>
    <s v="Family"/>
    <n v="2"/>
    <n v="4"/>
    <n v="0"/>
  </r>
  <r>
    <s v="U01554"/>
    <x v="6"/>
    <n v="24"/>
    <s v="Male"/>
    <x v="1"/>
    <x v="3"/>
    <n v="24.96"/>
    <n v="2"/>
    <n v="4.0999999999999996"/>
    <n v="3.49"/>
    <n v="40.700000000000003"/>
    <s v="Thriller"/>
    <n v="4"/>
    <n v="0"/>
    <n v="0"/>
  </r>
  <r>
    <s v="U01555"/>
    <x v="3"/>
    <n v="65"/>
    <s v="Female"/>
    <x v="1"/>
    <x v="3"/>
    <n v="7.77"/>
    <n v="2"/>
    <n v="2.6"/>
    <n v="22.03"/>
    <n v="80.400000000000006"/>
    <s v="Action"/>
    <n v="3"/>
    <n v="3"/>
    <n v="0"/>
  </r>
  <r>
    <s v="U01556"/>
    <x v="8"/>
    <n v="67"/>
    <s v="Male"/>
    <x v="2"/>
    <x v="0"/>
    <n v="8.83"/>
    <n v="2"/>
    <n v="1.6"/>
    <n v="3.63"/>
    <n v="91.4"/>
    <s v="Family"/>
    <n v="9"/>
    <n v="3"/>
    <n v="0"/>
  </r>
  <r>
    <s v="U01557"/>
    <x v="2"/>
    <n v="55"/>
    <s v="Male"/>
    <x v="2"/>
    <x v="0"/>
    <n v="8.11"/>
    <n v="3"/>
    <n v="2.8"/>
    <n v="16.920000000000002"/>
    <n v="50.7"/>
    <s v="Family"/>
    <n v="8"/>
    <n v="1"/>
    <n v="0"/>
  </r>
  <r>
    <s v="U01558"/>
    <x v="0"/>
    <n v="44"/>
    <s v="Male"/>
    <x v="2"/>
    <x v="2"/>
    <n v="16.78"/>
    <n v="3"/>
    <n v="8.6999999999999993"/>
    <n v="5.17"/>
    <n v="35.799999999999997"/>
    <s v="Drama"/>
    <n v="1"/>
    <n v="1"/>
    <n v="0"/>
  </r>
  <r>
    <s v="U01559"/>
    <x v="8"/>
    <n v="69"/>
    <s v="Male"/>
    <x v="2"/>
    <x v="4"/>
    <n v="7.71"/>
    <n v="4"/>
    <n v="8.1999999999999993"/>
    <n v="9.2899999999999991"/>
    <n v="41.8"/>
    <s v="Thriller"/>
    <n v="2"/>
    <n v="1"/>
    <n v="1"/>
  </r>
  <r>
    <s v="U01560"/>
    <x v="1"/>
    <n v="50"/>
    <s v="Female"/>
    <x v="2"/>
    <x v="3"/>
    <n v="18.12"/>
    <n v="3"/>
    <n v="5"/>
    <n v="6.09"/>
    <n v="69.099999999999994"/>
    <s v="Comedy"/>
    <n v="3"/>
    <n v="0"/>
    <n v="1"/>
  </r>
  <r>
    <s v="U01561"/>
    <x v="0"/>
    <n v="18"/>
    <s v="Male"/>
    <x v="2"/>
    <x v="1"/>
    <n v="21.08"/>
    <n v="2"/>
    <n v="8.9"/>
    <n v="6.02"/>
    <n v="24.2"/>
    <s v="Comedy"/>
    <n v="6"/>
    <n v="2"/>
    <n v="1"/>
  </r>
  <r>
    <s v="U01562"/>
    <x v="6"/>
    <n v="61"/>
    <s v="Female"/>
    <x v="1"/>
    <x v="4"/>
    <n v="13.66"/>
    <n v="4"/>
    <n v="3.1"/>
    <n v="4.6399999999999997"/>
    <n v="59.3"/>
    <s v="Drama"/>
    <n v="5"/>
    <n v="1"/>
    <n v="0"/>
  </r>
  <r>
    <s v="U01563"/>
    <x v="8"/>
    <n v="51"/>
    <s v="Female"/>
    <x v="0"/>
    <x v="3"/>
    <n v="16.21"/>
    <n v="2"/>
    <n v="6.3"/>
    <n v="9.99"/>
    <n v="63"/>
    <s v="Drama"/>
    <n v="11"/>
    <n v="4"/>
    <n v="0"/>
  </r>
  <r>
    <s v="U01564"/>
    <x v="2"/>
    <n v="21"/>
    <s v="Male"/>
    <x v="1"/>
    <x v="2"/>
    <n v="23.25"/>
    <n v="1"/>
    <n v="2.2999999999999998"/>
    <n v="12.32"/>
    <n v="73.7"/>
    <s v="Drama"/>
    <n v="5"/>
    <n v="3"/>
    <n v="0"/>
  </r>
  <r>
    <s v="U01565"/>
    <x v="5"/>
    <n v="34"/>
    <s v="Female"/>
    <x v="0"/>
    <x v="3"/>
    <n v="16.39"/>
    <n v="5"/>
    <n v="8.5"/>
    <n v="13.22"/>
    <n v="64.400000000000006"/>
    <s v="Action"/>
    <n v="6"/>
    <n v="3"/>
    <n v="1"/>
  </r>
  <r>
    <s v="U01566"/>
    <x v="0"/>
    <n v="21"/>
    <s v="Female"/>
    <x v="1"/>
    <x v="0"/>
    <n v="9.17"/>
    <n v="1"/>
    <n v="2.2000000000000002"/>
    <n v="12.67"/>
    <n v="18.7"/>
    <s v="Action"/>
    <n v="8"/>
    <n v="4"/>
    <n v="0"/>
  </r>
  <r>
    <s v="U01567"/>
    <x v="10"/>
    <n v="60"/>
    <s v="Female"/>
    <x v="1"/>
    <x v="1"/>
    <n v="11.86"/>
    <n v="2"/>
    <n v="1.3"/>
    <n v="14.52"/>
    <n v="72"/>
    <s v="Action"/>
    <n v="1"/>
    <n v="3"/>
    <n v="0"/>
  </r>
  <r>
    <s v="U01568"/>
    <x v="3"/>
    <n v="43"/>
    <s v="Female"/>
    <x v="1"/>
    <x v="1"/>
    <n v="15.6"/>
    <n v="3"/>
    <n v="3.5"/>
    <n v="21.92"/>
    <n v="12"/>
    <s v="Action"/>
    <n v="5"/>
    <n v="0"/>
    <n v="1"/>
  </r>
  <r>
    <s v="U01569"/>
    <x v="6"/>
    <n v="21"/>
    <s v="Female"/>
    <x v="2"/>
    <x v="0"/>
    <n v="8.1"/>
    <n v="5"/>
    <n v="9.1"/>
    <n v="16.899999999999999"/>
    <n v="45.1"/>
    <s v="Drama"/>
    <n v="6"/>
    <n v="4"/>
    <n v="0"/>
  </r>
  <r>
    <s v="U01570"/>
    <x v="9"/>
    <n v="18"/>
    <s v="Female"/>
    <x v="2"/>
    <x v="4"/>
    <n v="17.25"/>
    <n v="3"/>
    <n v="2.2000000000000002"/>
    <n v="3.38"/>
    <n v="47.5"/>
    <s v="Drama"/>
    <n v="11"/>
    <n v="0"/>
    <n v="0"/>
  </r>
  <r>
    <s v="U01571"/>
    <x v="9"/>
    <n v="24"/>
    <s v="Female"/>
    <x v="0"/>
    <x v="0"/>
    <n v="24.98"/>
    <n v="3"/>
    <n v="4"/>
    <n v="6.8"/>
    <n v="20.5"/>
    <s v="Action"/>
    <n v="10"/>
    <n v="3"/>
    <n v="1"/>
  </r>
  <r>
    <s v="U01572"/>
    <x v="8"/>
    <n v="47"/>
    <s v="Male"/>
    <x v="1"/>
    <x v="1"/>
    <n v="18.05"/>
    <n v="5"/>
    <n v="3.8"/>
    <n v="10.68"/>
    <n v="10.9"/>
    <s v="Action"/>
    <n v="11"/>
    <n v="4"/>
    <n v="0"/>
  </r>
  <r>
    <s v="U01573"/>
    <x v="6"/>
    <n v="67"/>
    <s v="Male"/>
    <x v="1"/>
    <x v="2"/>
    <n v="12.45"/>
    <n v="5"/>
    <n v="8.1999999999999993"/>
    <n v="23.88"/>
    <n v="16.399999999999999"/>
    <s v="Family"/>
    <n v="6"/>
    <n v="4"/>
    <n v="0"/>
  </r>
  <r>
    <s v="U01574"/>
    <x v="4"/>
    <n v="26"/>
    <s v="Female"/>
    <x v="1"/>
    <x v="4"/>
    <n v="11.63"/>
    <n v="1"/>
    <n v="4.8"/>
    <n v="4.72"/>
    <n v="50.2"/>
    <s v="Thriller"/>
    <n v="9"/>
    <n v="4"/>
    <n v="0"/>
  </r>
  <r>
    <s v="U01575"/>
    <x v="2"/>
    <n v="52"/>
    <s v="Female"/>
    <x v="2"/>
    <x v="3"/>
    <n v="23.63"/>
    <n v="2"/>
    <n v="6.5"/>
    <n v="18.62"/>
    <n v="31.6"/>
    <s v="Family"/>
    <n v="10"/>
    <n v="3"/>
    <n v="0"/>
  </r>
  <r>
    <s v="U01576"/>
    <x v="3"/>
    <n v="25"/>
    <s v="Male"/>
    <x v="1"/>
    <x v="2"/>
    <n v="22.43"/>
    <n v="3"/>
    <n v="4.5999999999999996"/>
    <n v="3.73"/>
    <n v="16.2"/>
    <s v="Thriller"/>
    <n v="7"/>
    <n v="3"/>
    <n v="0"/>
  </r>
  <r>
    <s v="U01577"/>
    <x v="5"/>
    <n v="41"/>
    <s v="Male"/>
    <x v="1"/>
    <x v="4"/>
    <n v="14.45"/>
    <n v="2"/>
    <n v="6"/>
    <n v="10.98"/>
    <n v="33.1"/>
    <s v="Action"/>
    <n v="4"/>
    <n v="3"/>
    <n v="0"/>
  </r>
  <r>
    <s v="U01578"/>
    <x v="0"/>
    <n v="36"/>
    <s v="Male"/>
    <x v="2"/>
    <x v="1"/>
    <n v="12.07"/>
    <n v="2"/>
    <n v="1.6"/>
    <n v="19.940000000000001"/>
    <n v="57.6"/>
    <s v="Action"/>
    <n v="7"/>
    <n v="1"/>
    <n v="1"/>
  </r>
  <r>
    <s v="U01579"/>
    <x v="0"/>
    <n v="53"/>
    <s v="Male"/>
    <x v="2"/>
    <x v="1"/>
    <n v="19.21"/>
    <n v="4"/>
    <n v="4.4000000000000004"/>
    <n v="10.57"/>
    <n v="76.8"/>
    <s v="Action"/>
    <n v="7"/>
    <n v="1"/>
    <n v="0"/>
  </r>
  <r>
    <s v="U01580"/>
    <x v="9"/>
    <n v="67"/>
    <s v="Female"/>
    <x v="0"/>
    <x v="2"/>
    <n v="11.29"/>
    <n v="1"/>
    <n v="8.6999999999999993"/>
    <n v="12.47"/>
    <n v="47.1"/>
    <s v="Family"/>
    <n v="11"/>
    <n v="2"/>
    <n v="1"/>
  </r>
  <r>
    <s v="U01581"/>
    <x v="0"/>
    <n v="69"/>
    <s v="Female"/>
    <x v="2"/>
    <x v="4"/>
    <n v="7.39"/>
    <n v="3"/>
    <n v="7.2"/>
    <n v="22.92"/>
    <n v="65.2"/>
    <s v="Drama"/>
    <n v="11"/>
    <n v="4"/>
    <n v="0"/>
  </r>
  <r>
    <s v="U01582"/>
    <x v="3"/>
    <n v="60"/>
    <s v="Male"/>
    <x v="1"/>
    <x v="3"/>
    <n v="11.2"/>
    <n v="5"/>
    <n v="9.8000000000000007"/>
    <n v="4.46"/>
    <n v="63.7"/>
    <s v="Thriller"/>
    <n v="6"/>
    <n v="3"/>
    <n v="0"/>
  </r>
  <r>
    <s v="U01583"/>
    <x v="10"/>
    <n v="44"/>
    <s v="Male"/>
    <x v="0"/>
    <x v="3"/>
    <n v="13.69"/>
    <n v="5"/>
    <n v="8.1"/>
    <n v="14.61"/>
    <n v="90.7"/>
    <s v="Family"/>
    <n v="8"/>
    <n v="4"/>
    <n v="0"/>
  </r>
  <r>
    <s v="U01584"/>
    <x v="1"/>
    <n v="49"/>
    <s v="Male"/>
    <x v="0"/>
    <x v="0"/>
    <n v="10.11"/>
    <n v="2"/>
    <n v="5.0999999999999996"/>
    <n v="11.06"/>
    <n v="26.1"/>
    <s v="Action"/>
    <n v="8"/>
    <n v="0"/>
    <n v="0"/>
  </r>
  <r>
    <s v="U01585"/>
    <x v="7"/>
    <n v="31"/>
    <s v="Male"/>
    <x v="1"/>
    <x v="2"/>
    <n v="9.34"/>
    <n v="1"/>
    <n v="7.1"/>
    <n v="24.2"/>
    <n v="52.9"/>
    <s v="Drama"/>
    <n v="10"/>
    <n v="0"/>
    <n v="0"/>
  </r>
  <r>
    <s v="U01586"/>
    <x v="11"/>
    <n v="35"/>
    <s v="Female"/>
    <x v="1"/>
    <x v="4"/>
    <n v="5.12"/>
    <n v="1"/>
    <n v="8"/>
    <n v="20.46"/>
    <n v="66.900000000000006"/>
    <s v="Family"/>
    <n v="6"/>
    <n v="3"/>
    <n v="1"/>
  </r>
  <r>
    <s v="U01587"/>
    <x v="8"/>
    <n v="45"/>
    <s v="Male"/>
    <x v="0"/>
    <x v="2"/>
    <n v="17.62"/>
    <n v="3"/>
    <n v="3.4"/>
    <n v="5.69"/>
    <n v="56.8"/>
    <s v="Thriller"/>
    <n v="11"/>
    <n v="1"/>
    <n v="0"/>
  </r>
  <r>
    <s v="U01588"/>
    <x v="10"/>
    <n v="46"/>
    <s v="Male"/>
    <x v="1"/>
    <x v="3"/>
    <n v="17.29"/>
    <n v="3"/>
    <n v="1.5"/>
    <n v="23.4"/>
    <n v="50.5"/>
    <s v="Action"/>
    <n v="2"/>
    <n v="2"/>
    <n v="1"/>
  </r>
  <r>
    <s v="U01589"/>
    <x v="5"/>
    <n v="33"/>
    <s v="Male"/>
    <x v="2"/>
    <x v="4"/>
    <n v="8.76"/>
    <n v="2"/>
    <n v="4.7"/>
    <n v="7.65"/>
    <n v="97.6"/>
    <s v="Thriller"/>
    <n v="5"/>
    <n v="1"/>
    <n v="0"/>
  </r>
  <r>
    <s v="U01590"/>
    <x v="9"/>
    <n v="52"/>
    <s v="Female"/>
    <x v="0"/>
    <x v="1"/>
    <n v="23.87"/>
    <n v="2"/>
    <n v="2.2999999999999998"/>
    <n v="4.87"/>
    <n v="94.8"/>
    <s v="Action"/>
    <n v="1"/>
    <n v="4"/>
    <n v="1"/>
  </r>
  <r>
    <s v="U01591"/>
    <x v="8"/>
    <n v="64"/>
    <s v="Female"/>
    <x v="0"/>
    <x v="1"/>
    <n v="13.19"/>
    <n v="2"/>
    <n v="3.5"/>
    <n v="14.92"/>
    <n v="65"/>
    <s v="Action"/>
    <n v="10"/>
    <n v="1"/>
    <n v="0"/>
  </r>
  <r>
    <s v="U01592"/>
    <x v="0"/>
    <n v="48"/>
    <s v="Female"/>
    <x v="2"/>
    <x v="4"/>
    <n v="5.51"/>
    <n v="4"/>
    <n v="9.5"/>
    <n v="19.21"/>
    <n v="49.6"/>
    <s v="Comedy"/>
    <n v="10"/>
    <n v="3"/>
    <n v="1"/>
  </r>
  <r>
    <s v="U01593"/>
    <x v="6"/>
    <n v="21"/>
    <s v="Male"/>
    <x v="0"/>
    <x v="2"/>
    <n v="9.4"/>
    <n v="1"/>
    <n v="8.6"/>
    <n v="18.75"/>
    <n v="78"/>
    <s v="Thriller"/>
    <n v="10"/>
    <n v="1"/>
    <n v="1"/>
  </r>
  <r>
    <s v="U01594"/>
    <x v="5"/>
    <n v="54"/>
    <s v="Male"/>
    <x v="2"/>
    <x v="2"/>
    <n v="18.84"/>
    <n v="2"/>
    <n v="6.3"/>
    <n v="14.75"/>
    <n v="56.2"/>
    <s v="Drama"/>
    <n v="11"/>
    <n v="0"/>
    <n v="1"/>
  </r>
  <r>
    <s v="U01595"/>
    <x v="8"/>
    <n v="34"/>
    <s v="Male"/>
    <x v="1"/>
    <x v="1"/>
    <n v="9.0299999999999994"/>
    <n v="1"/>
    <n v="4.5999999999999996"/>
    <n v="13.84"/>
    <n v="99.6"/>
    <s v="Action"/>
    <n v="9"/>
    <n v="3"/>
    <n v="1"/>
  </r>
  <r>
    <s v="U01596"/>
    <x v="2"/>
    <n v="56"/>
    <s v="Female"/>
    <x v="1"/>
    <x v="1"/>
    <n v="6.08"/>
    <n v="5"/>
    <n v="3.4"/>
    <n v="24.33"/>
    <n v="71.7"/>
    <s v="Drama"/>
    <n v="4"/>
    <n v="3"/>
    <n v="0"/>
  </r>
  <r>
    <s v="U01597"/>
    <x v="0"/>
    <n v="65"/>
    <s v="Female"/>
    <x v="0"/>
    <x v="3"/>
    <n v="17.350000000000001"/>
    <n v="5"/>
    <n v="6.1"/>
    <n v="21.05"/>
    <n v="16.100000000000001"/>
    <s v="Family"/>
    <n v="1"/>
    <n v="3"/>
    <n v="0"/>
  </r>
  <r>
    <s v="U01598"/>
    <x v="8"/>
    <n v="63"/>
    <s v="Male"/>
    <x v="0"/>
    <x v="4"/>
    <n v="15.37"/>
    <n v="1"/>
    <n v="5.8"/>
    <n v="18.37"/>
    <n v="46.2"/>
    <s v="Action"/>
    <n v="3"/>
    <n v="1"/>
    <n v="0"/>
  </r>
  <r>
    <s v="U01599"/>
    <x v="6"/>
    <n v="43"/>
    <s v="Male"/>
    <x v="0"/>
    <x v="2"/>
    <n v="20.23"/>
    <n v="5"/>
    <n v="8"/>
    <n v="7.29"/>
    <n v="75.7"/>
    <s v="Action"/>
    <n v="10"/>
    <n v="0"/>
    <n v="0"/>
  </r>
  <r>
    <s v="U01600"/>
    <x v="2"/>
    <n v="65"/>
    <s v="Female"/>
    <x v="0"/>
    <x v="3"/>
    <n v="20.45"/>
    <n v="5"/>
    <n v="9.4"/>
    <n v="21.03"/>
    <n v="85.8"/>
    <s v="Action"/>
    <n v="2"/>
    <n v="1"/>
    <n v="0"/>
  </r>
  <r>
    <s v="U01601"/>
    <x v="0"/>
    <n v="56"/>
    <s v="Male"/>
    <x v="1"/>
    <x v="2"/>
    <n v="24.2"/>
    <n v="5"/>
    <n v="4"/>
    <n v="19.5"/>
    <n v="83.2"/>
    <s v="Drama"/>
    <n v="9"/>
    <n v="4"/>
    <n v="0"/>
  </r>
  <r>
    <s v="U01602"/>
    <x v="1"/>
    <n v="58"/>
    <s v="Male"/>
    <x v="0"/>
    <x v="1"/>
    <n v="6.14"/>
    <n v="3"/>
    <n v="2.9"/>
    <n v="24.82"/>
    <n v="98"/>
    <s v="Comedy"/>
    <n v="7"/>
    <n v="2"/>
    <n v="0"/>
  </r>
  <r>
    <s v="U01603"/>
    <x v="10"/>
    <n v="21"/>
    <s v="Male"/>
    <x v="1"/>
    <x v="4"/>
    <n v="5.78"/>
    <n v="3"/>
    <n v="4.5999999999999996"/>
    <n v="5.93"/>
    <n v="54"/>
    <s v="Thriller"/>
    <n v="10"/>
    <n v="2"/>
    <n v="0"/>
  </r>
  <r>
    <s v="U01604"/>
    <x v="4"/>
    <n v="47"/>
    <s v="Female"/>
    <x v="1"/>
    <x v="0"/>
    <n v="24.74"/>
    <n v="1"/>
    <n v="4.9000000000000004"/>
    <n v="18.739999999999998"/>
    <n v="22.6"/>
    <s v="Action"/>
    <n v="10"/>
    <n v="2"/>
    <n v="0"/>
  </r>
  <r>
    <s v="U01605"/>
    <x v="9"/>
    <n v="47"/>
    <s v="Male"/>
    <x v="0"/>
    <x v="4"/>
    <n v="17.899999999999999"/>
    <n v="1"/>
    <n v="1.4"/>
    <n v="24.54"/>
    <n v="68.7"/>
    <s v="Thriller"/>
    <n v="6"/>
    <n v="4"/>
    <n v="0"/>
  </r>
  <r>
    <s v="U01606"/>
    <x v="11"/>
    <n v="39"/>
    <s v="Male"/>
    <x v="0"/>
    <x v="0"/>
    <n v="19.309999999999999"/>
    <n v="4"/>
    <n v="8.8000000000000007"/>
    <n v="13.18"/>
    <n v="16.399999999999999"/>
    <s v="Thriller"/>
    <n v="4"/>
    <n v="4"/>
    <n v="0"/>
  </r>
  <r>
    <s v="U01607"/>
    <x v="3"/>
    <n v="28"/>
    <s v="Male"/>
    <x v="0"/>
    <x v="3"/>
    <n v="6.93"/>
    <n v="3"/>
    <n v="10"/>
    <n v="19.14"/>
    <n v="97.6"/>
    <s v="Thriller"/>
    <n v="11"/>
    <n v="4"/>
    <n v="0"/>
  </r>
  <r>
    <s v="U01608"/>
    <x v="9"/>
    <n v="19"/>
    <s v="Male"/>
    <x v="0"/>
    <x v="0"/>
    <n v="6.4"/>
    <n v="1"/>
    <n v="9.3000000000000007"/>
    <n v="24.46"/>
    <n v="78.3"/>
    <s v="Drama"/>
    <n v="4"/>
    <n v="0"/>
    <n v="0"/>
  </r>
  <r>
    <s v="U01609"/>
    <x v="11"/>
    <n v="61"/>
    <s v="Female"/>
    <x v="2"/>
    <x v="0"/>
    <n v="8.2100000000000009"/>
    <n v="3"/>
    <n v="8.6999999999999993"/>
    <n v="15.04"/>
    <n v="98.4"/>
    <s v="Thriller"/>
    <n v="7"/>
    <n v="3"/>
    <n v="0"/>
  </r>
  <r>
    <s v="U01610"/>
    <x v="5"/>
    <n v="29"/>
    <s v="Female"/>
    <x v="1"/>
    <x v="3"/>
    <n v="13.54"/>
    <n v="4"/>
    <n v="9.9"/>
    <n v="18.38"/>
    <n v="44"/>
    <s v="Family"/>
    <n v="8"/>
    <n v="4"/>
    <n v="0"/>
  </r>
  <r>
    <s v="U01611"/>
    <x v="11"/>
    <n v="47"/>
    <s v="Female"/>
    <x v="2"/>
    <x v="4"/>
    <n v="7.2"/>
    <n v="1"/>
    <n v="9.1999999999999993"/>
    <n v="3.44"/>
    <n v="11.4"/>
    <s v="Drama"/>
    <n v="4"/>
    <n v="2"/>
    <n v="0"/>
  </r>
  <r>
    <s v="U01612"/>
    <x v="0"/>
    <n v="53"/>
    <s v="Male"/>
    <x v="1"/>
    <x v="3"/>
    <n v="13.93"/>
    <n v="1"/>
    <n v="7.2"/>
    <n v="14.43"/>
    <n v="56.9"/>
    <s v="Drama"/>
    <n v="7"/>
    <n v="2"/>
    <n v="0"/>
  </r>
  <r>
    <s v="U01613"/>
    <x v="1"/>
    <n v="35"/>
    <s v="Female"/>
    <x v="1"/>
    <x v="1"/>
    <n v="16.23"/>
    <n v="1"/>
    <n v="2.5"/>
    <n v="8.6300000000000008"/>
    <n v="20.9"/>
    <s v="Family"/>
    <n v="3"/>
    <n v="1"/>
    <n v="0"/>
  </r>
  <r>
    <s v="U01614"/>
    <x v="4"/>
    <n v="43"/>
    <s v="Male"/>
    <x v="1"/>
    <x v="1"/>
    <n v="5.01"/>
    <n v="1"/>
    <n v="2.4"/>
    <n v="5.89"/>
    <n v="71.2"/>
    <s v="Comedy"/>
    <n v="9"/>
    <n v="3"/>
    <n v="0"/>
  </r>
  <r>
    <s v="U01615"/>
    <x v="10"/>
    <n v="24"/>
    <s v="Female"/>
    <x v="2"/>
    <x v="0"/>
    <n v="7.28"/>
    <n v="2"/>
    <n v="1.4"/>
    <n v="18.59"/>
    <n v="54.8"/>
    <s v="Comedy"/>
    <n v="3"/>
    <n v="4"/>
    <n v="0"/>
  </r>
  <r>
    <s v="U01616"/>
    <x v="10"/>
    <n v="18"/>
    <s v="Male"/>
    <x v="0"/>
    <x v="3"/>
    <n v="12.5"/>
    <n v="3"/>
    <n v="4.7"/>
    <n v="3.86"/>
    <n v="77.8"/>
    <s v="Action"/>
    <n v="3"/>
    <n v="3"/>
    <n v="1"/>
  </r>
  <r>
    <s v="U01617"/>
    <x v="6"/>
    <n v="43"/>
    <s v="Female"/>
    <x v="0"/>
    <x v="3"/>
    <n v="6.07"/>
    <n v="3"/>
    <n v="8.3000000000000007"/>
    <n v="22.91"/>
    <n v="36.200000000000003"/>
    <s v="Comedy"/>
    <n v="10"/>
    <n v="4"/>
    <n v="0"/>
  </r>
  <r>
    <s v="U01618"/>
    <x v="3"/>
    <n v="40"/>
    <s v="Female"/>
    <x v="1"/>
    <x v="3"/>
    <n v="7.67"/>
    <n v="3"/>
    <n v="5.4"/>
    <n v="14.39"/>
    <n v="84.6"/>
    <s v="Action"/>
    <n v="2"/>
    <n v="2"/>
    <n v="0"/>
  </r>
  <r>
    <s v="U01619"/>
    <x v="8"/>
    <n v="43"/>
    <s v="Female"/>
    <x v="1"/>
    <x v="4"/>
    <n v="9.64"/>
    <n v="4"/>
    <n v="4.3"/>
    <n v="17.260000000000002"/>
    <n v="68.599999999999994"/>
    <s v="Thriller"/>
    <n v="3"/>
    <n v="3"/>
    <n v="0"/>
  </r>
  <r>
    <s v="U01620"/>
    <x v="1"/>
    <n v="62"/>
    <s v="Male"/>
    <x v="1"/>
    <x v="2"/>
    <n v="13.59"/>
    <n v="2"/>
    <n v="2"/>
    <n v="8.58"/>
    <n v="98.9"/>
    <s v="Action"/>
    <n v="8"/>
    <n v="3"/>
    <n v="0"/>
  </r>
  <r>
    <s v="U01621"/>
    <x v="8"/>
    <n v="23"/>
    <s v="Male"/>
    <x v="1"/>
    <x v="2"/>
    <n v="19.3"/>
    <n v="3"/>
    <n v="1.5"/>
    <n v="7.01"/>
    <n v="26.1"/>
    <s v="Comedy"/>
    <n v="2"/>
    <n v="4"/>
    <n v="0"/>
  </r>
  <r>
    <s v="U01622"/>
    <x v="4"/>
    <n v="23"/>
    <s v="Male"/>
    <x v="1"/>
    <x v="2"/>
    <n v="7.65"/>
    <n v="3"/>
    <n v="4.5999999999999996"/>
    <n v="8.36"/>
    <n v="14.6"/>
    <s v="Action"/>
    <n v="1"/>
    <n v="4"/>
    <n v="0"/>
  </r>
  <r>
    <s v="U01623"/>
    <x v="11"/>
    <n v="61"/>
    <s v="Female"/>
    <x v="1"/>
    <x v="4"/>
    <n v="19.760000000000002"/>
    <n v="1"/>
    <n v="1.9"/>
    <n v="8.11"/>
    <n v="86.6"/>
    <s v="Drama"/>
    <n v="5"/>
    <n v="3"/>
    <n v="1"/>
  </r>
  <r>
    <s v="U01624"/>
    <x v="10"/>
    <n v="25"/>
    <s v="Male"/>
    <x v="1"/>
    <x v="3"/>
    <n v="22.1"/>
    <n v="1"/>
    <n v="1.9"/>
    <n v="22.02"/>
    <n v="40.5"/>
    <s v="Comedy"/>
    <n v="8"/>
    <n v="4"/>
    <n v="0"/>
  </r>
  <r>
    <s v="U01625"/>
    <x v="4"/>
    <n v="41"/>
    <s v="Male"/>
    <x v="2"/>
    <x v="2"/>
    <n v="18.03"/>
    <n v="1"/>
    <n v="4.5999999999999996"/>
    <n v="20.32"/>
    <n v="48.8"/>
    <s v="Action"/>
    <n v="6"/>
    <n v="3"/>
    <n v="0"/>
  </r>
  <r>
    <s v="U01626"/>
    <x v="11"/>
    <n v="39"/>
    <s v="Male"/>
    <x v="2"/>
    <x v="3"/>
    <n v="5.87"/>
    <n v="3"/>
    <n v="5.5"/>
    <n v="21.76"/>
    <n v="93.3"/>
    <s v="Comedy"/>
    <n v="2"/>
    <n v="1"/>
    <n v="1"/>
  </r>
  <r>
    <s v="U01627"/>
    <x v="10"/>
    <n v="36"/>
    <s v="Male"/>
    <x v="1"/>
    <x v="0"/>
    <n v="13.81"/>
    <n v="1"/>
    <n v="2.7"/>
    <n v="19.170000000000002"/>
    <n v="49.7"/>
    <s v="Family"/>
    <n v="9"/>
    <n v="3"/>
    <n v="0"/>
  </r>
  <r>
    <s v="U01628"/>
    <x v="11"/>
    <n v="54"/>
    <s v="Male"/>
    <x v="1"/>
    <x v="2"/>
    <n v="18.2"/>
    <n v="3"/>
    <n v="7.2"/>
    <n v="17.16"/>
    <n v="36.799999999999997"/>
    <s v="Comedy"/>
    <n v="4"/>
    <n v="0"/>
    <n v="0"/>
  </r>
  <r>
    <s v="U01629"/>
    <x v="3"/>
    <n v="35"/>
    <s v="Male"/>
    <x v="2"/>
    <x v="0"/>
    <n v="24.57"/>
    <n v="4"/>
    <n v="4.8"/>
    <n v="14.61"/>
    <n v="15.4"/>
    <s v="Family"/>
    <n v="3"/>
    <n v="3"/>
    <n v="0"/>
  </r>
  <r>
    <s v="U01630"/>
    <x v="1"/>
    <n v="48"/>
    <s v="Female"/>
    <x v="1"/>
    <x v="4"/>
    <n v="24.04"/>
    <n v="4"/>
    <n v="1.8"/>
    <n v="8.84"/>
    <n v="49.9"/>
    <s v="Action"/>
    <n v="4"/>
    <n v="1"/>
    <n v="1"/>
  </r>
  <r>
    <s v="U01631"/>
    <x v="9"/>
    <n v="54"/>
    <s v="Female"/>
    <x v="1"/>
    <x v="1"/>
    <n v="12.91"/>
    <n v="5"/>
    <n v="6.7"/>
    <n v="18.52"/>
    <n v="68.900000000000006"/>
    <s v="Family"/>
    <n v="3"/>
    <n v="1"/>
    <n v="1"/>
  </r>
  <r>
    <s v="U01632"/>
    <x v="2"/>
    <n v="47"/>
    <s v="Male"/>
    <x v="2"/>
    <x v="4"/>
    <n v="17.32"/>
    <n v="2"/>
    <n v="4.2"/>
    <n v="6"/>
    <n v="34.200000000000003"/>
    <s v="Comedy"/>
    <n v="8"/>
    <n v="2"/>
    <n v="0"/>
  </r>
  <r>
    <s v="U01633"/>
    <x v="5"/>
    <n v="59"/>
    <s v="Female"/>
    <x v="1"/>
    <x v="4"/>
    <n v="22.82"/>
    <n v="1"/>
    <n v="1.5"/>
    <n v="14.24"/>
    <n v="74.599999999999994"/>
    <s v="Drama"/>
    <n v="1"/>
    <n v="2"/>
    <n v="0"/>
  </r>
  <r>
    <s v="U01634"/>
    <x v="4"/>
    <n v="50"/>
    <s v="Female"/>
    <x v="0"/>
    <x v="4"/>
    <n v="21.62"/>
    <n v="1"/>
    <n v="9.5"/>
    <n v="7.3"/>
    <n v="53"/>
    <s v="Family"/>
    <n v="1"/>
    <n v="0"/>
    <n v="0"/>
  </r>
  <r>
    <s v="U01635"/>
    <x v="4"/>
    <n v="27"/>
    <s v="Male"/>
    <x v="2"/>
    <x v="2"/>
    <n v="14.59"/>
    <n v="2"/>
    <n v="6.1"/>
    <n v="14.1"/>
    <n v="87.2"/>
    <s v="Comedy"/>
    <n v="9"/>
    <n v="4"/>
    <n v="1"/>
  </r>
  <r>
    <s v="U01636"/>
    <x v="2"/>
    <n v="54"/>
    <s v="Male"/>
    <x v="0"/>
    <x v="0"/>
    <n v="10.220000000000001"/>
    <n v="2"/>
    <n v="5.3"/>
    <n v="9.4700000000000006"/>
    <n v="24.6"/>
    <s v="Drama"/>
    <n v="7"/>
    <n v="4"/>
    <n v="0"/>
  </r>
  <r>
    <s v="U01637"/>
    <x v="9"/>
    <n v="29"/>
    <s v="Female"/>
    <x v="2"/>
    <x v="2"/>
    <n v="7.74"/>
    <n v="5"/>
    <n v="8.6999999999999993"/>
    <n v="4.18"/>
    <n v="78.099999999999994"/>
    <s v="Thriller"/>
    <n v="9"/>
    <n v="1"/>
    <n v="1"/>
  </r>
  <r>
    <s v="U01638"/>
    <x v="7"/>
    <n v="47"/>
    <s v="Male"/>
    <x v="2"/>
    <x v="1"/>
    <n v="14.76"/>
    <n v="2"/>
    <n v="9.4"/>
    <n v="14.08"/>
    <n v="93.9"/>
    <s v="Family"/>
    <n v="3"/>
    <n v="1"/>
    <n v="1"/>
  </r>
  <r>
    <s v="U01639"/>
    <x v="0"/>
    <n v="44"/>
    <s v="Female"/>
    <x v="2"/>
    <x v="4"/>
    <n v="19.46"/>
    <n v="3"/>
    <n v="3"/>
    <n v="7"/>
    <n v="76.7"/>
    <s v="Family"/>
    <n v="3"/>
    <n v="2"/>
    <n v="0"/>
  </r>
  <r>
    <s v="U01640"/>
    <x v="3"/>
    <n v="56"/>
    <s v="Female"/>
    <x v="0"/>
    <x v="3"/>
    <n v="24.4"/>
    <n v="1"/>
    <n v="8.3000000000000007"/>
    <n v="6.55"/>
    <n v="46.5"/>
    <s v="Action"/>
    <n v="2"/>
    <n v="1"/>
    <n v="1"/>
  </r>
  <r>
    <s v="U01641"/>
    <x v="3"/>
    <n v="26"/>
    <s v="Female"/>
    <x v="1"/>
    <x v="1"/>
    <n v="22.24"/>
    <n v="2"/>
    <n v="8.5"/>
    <n v="11.46"/>
    <n v="30.7"/>
    <s v="Thriller"/>
    <n v="2"/>
    <n v="3"/>
    <n v="0"/>
  </r>
  <r>
    <s v="U01642"/>
    <x v="2"/>
    <n v="38"/>
    <s v="Male"/>
    <x v="1"/>
    <x v="0"/>
    <n v="9.08"/>
    <n v="3"/>
    <n v="1.5"/>
    <n v="10.96"/>
    <n v="18.899999999999999"/>
    <s v="Action"/>
    <n v="11"/>
    <n v="3"/>
    <n v="0"/>
  </r>
  <r>
    <s v="U01643"/>
    <x v="8"/>
    <n v="29"/>
    <s v="Female"/>
    <x v="1"/>
    <x v="1"/>
    <n v="19.399999999999999"/>
    <n v="2"/>
    <n v="7.4"/>
    <n v="22.07"/>
    <n v="67.8"/>
    <s v="Action"/>
    <n v="9"/>
    <n v="0"/>
    <n v="0"/>
  </r>
  <r>
    <s v="U01644"/>
    <x v="11"/>
    <n v="46"/>
    <s v="Male"/>
    <x v="0"/>
    <x v="2"/>
    <n v="10.78"/>
    <n v="3"/>
    <n v="1.6"/>
    <n v="15.42"/>
    <n v="22.9"/>
    <s v="Comedy"/>
    <n v="2"/>
    <n v="3"/>
    <n v="0"/>
  </r>
  <r>
    <s v="U01645"/>
    <x v="0"/>
    <n v="50"/>
    <s v="Male"/>
    <x v="1"/>
    <x v="3"/>
    <n v="18.670000000000002"/>
    <n v="4"/>
    <n v="6.4"/>
    <n v="21.8"/>
    <n v="85.4"/>
    <s v="Action"/>
    <n v="4"/>
    <n v="0"/>
    <n v="0"/>
  </r>
  <r>
    <s v="U01646"/>
    <x v="1"/>
    <n v="60"/>
    <s v="Male"/>
    <x v="1"/>
    <x v="2"/>
    <n v="18.32"/>
    <n v="3"/>
    <n v="7"/>
    <n v="6.23"/>
    <n v="96.5"/>
    <s v="Family"/>
    <n v="11"/>
    <n v="2"/>
    <n v="0"/>
  </r>
  <r>
    <s v="U01647"/>
    <x v="1"/>
    <n v="32"/>
    <s v="Male"/>
    <x v="0"/>
    <x v="4"/>
    <n v="10.45"/>
    <n v="5"/>
    <n v="4.3"/>
    <n v="10.86"/>
    <n v="22.2"/>
    <s v="Action"/>
    <n v="4"/>
    <n v="3"/>
    <n v="0"/>
  </r>
  <r>
    <s v="U01648"/>
    <x v="2"/>
    <n v="19"/>
    <s v="Male"/>
    <x v="1"/>
    <x v="4"/>
    <n v="9.69"/>
    <n v="3"/>
    <n v="8.9"/>
    <n v="15.22"/>
    <n v="43.8"/>
    <s v="Drama"/>
    <n v="9"/>
    <n v="0"/>
    <n v="0"/>
  </r>
  <r>
    <s v="U01649"/>
    <x v="3"/>
    <n v="69"/>
    <s v="Female"/>
    <x v="2"/>
    <x v="1"/>
    <n v="7.08"/>
    <n v="2"/>
    <n v="8.1999999999999993"/>
    <n v="6.37"/>
    <n v="94.4"/>
    <s v="Family"/>
    <n v="3"/>
    <n v="4"/>
    <n v="1"/>
  </r>
  <r>
    <s v="U01650"/>
    <x v="1"/>
    <n v="56"/>
    <s v="Male"/>
    <x v="2"/>
    <x v="4"/>
    <n v="6.01"/>
    <n v="4"/>
    <n v="9.3000000000000007"/>
    <n v="5.82"/>
    <n v="52.4"/>
    <s v="Comedy"/>
    <n v="10"/>
    <n v="0"/>
    <n v="1"/>
  </r>
  <r>
    <s v="U01651"/>
    <x v="7"/>
    <n v="61"/>
    <s v="Male"/>
    <x v="2"/>
    <x v="4"/>
    <n v="22.17"/>
    <n v="4"/>
    <n v="3.8"/>
    <n v="17.55"/>
    <n v="58.2"/>
    <s v="Action"/>
    <n v="2"/>
    <n v="3"/>
    <n v="0"/>
  </r>
  <r>
    <s v="U01652"/>
    <x v="4"/>
    <n v="35"/>
    <s v="Male"/>
    <x v="1"/>
    <x v="0"/>
    <n v="6"/>
    <n v="3"/>
    <n v="1.2"/>
    <n v="17.38"/>
    <n v="77.3"/>
    <s v="Drama"/>
    <n v="3"/>
    <n v="0"/>
    <n v="0"/>
  </r>
  <r>
    <s v="U01653"/>
    <x v="6"/>
    <n v="20"/>
    <s v="Male"/>
    <x v="2"/>
    <x v="0"/>
    <n v="6.77"/>
    <n v="2"/>
    <n v="8.3000000000000007"/>
    <n v="8.15"/>
    <n v="28.9"/>
    <s v="Drama"/>
    <n v="9"/>
    <n v="2"/>
    <n v="0"/>
  </r>
  <r>
    <s v="U01654"/>
    <x v="5"/>
    <n v="24"/>
    <s v="Male"/>
    <x v="2"/>
    <x v="2"/>
    <n v="9.7799999999999994"/>
    <n v="4"/>
    <n v="3"/>
    <n v="8"/>
    <n v="98.1"/>
    <s v="Family"/>
    <n v="5"/>
    <n v="1"/>
    <n v="0"/>
  </r>
  <r>
    <s v="U01655"/>
    <x v="2"/>
    <n v="60"/>
    <s v="Female"/>
    <x v="0"/>
    <x v="2"/>
    <n v="22.75"/>
    <n v="3"/>
    <n v="5.2"/>
    <n v="19.399999999999999"/>
    <n v="80.3"/>
    <s v="Action"/>
    <n v="5"/>
    <n v="4"/>
    <n v="0"/>
  </r>
  <r>
    <s v="U01656"/>
    <x v="8"/>
    <n v="35"/>
    <s v="Male"/>
    <x v="0"/>
    <x v="0"/>
    <n v="11.66"/>
    <n v="3"/>
    <n v="8.4"/>
    <n v="5.57"/>
    <n v="24.5"/>
    <s v="Drama"/>
    <n v="7"/>
    <n v="2"/>
    <n v="0"/>
  </r>
  <r>
    <s v="U01657"/>
    <x v="11"/>
    <n v="61"/>
    <s v="Male"/>
    <x v="1"/>
    <x v="1"/>
    <n v="8.84"/>
    <n v="3"/>
    <n v="2.9"/>
    <n v="23.31"/>
    <n v="20"/>
    <s v="Action"/>
    <n v="1"/>
    <n v="4"/>
    <n v="0"/>
  </r>
  <r>
    <s v="U01658"/>
    <x v="5"/>
    <n v="55"/>
    <s v="Female"/>
    <x v="1"/>
    <x v="0"/>
    <n v="19.309999999999999"/>
    <n v="4"/>
    <n v="3.8"/>
    <n v="23.76"/>
    <n v="94.1"/>
    <s v="Family"/>
    <n v="10"/>
    <n v="4"/>
    <n v="1"/>
  </r>
  <r>
    <s v="U01659"/>
    <x v="11"/>
    <n v="54"/>
    <s v="Male"/>
    <x v="1"/>
    <x v="2"/>
    <n v="11.38"/>
    <n v="1"/>
    <n v="5"/>
    <n v="22.16"/>
    <n v="71.7"/>
    <s v="Thriller"/>
    <n v="5"/>
    <n v="0"/>
    <n v="0"/>
  </r>
  <r>
    <s v="U01660"/>
    <x v="10"/>
    <n v="50"/>
    <s v="Female"/>
    <x v="1"/>
    <x v="3"/>
    <n v="11.67"/>
    <n v="2"/>
    <n v="3.4"/>
    <n v="7.63"/>
    <n v="13.5"/>
    <s v="Drama"/>
    <n v="9"/>
    <n v="1"/>
    <n v="0"/>
  </r>
  <r>
    <s v="U01661"/>
    <x v="5"/>
    <n v="61"/>
    <s v="Female"/>
    <x v="2"/>
    <x v="4"/>
    <n v="19.78"/>
    <n v="5"/>
    <n v="5.2"/>
    <n v="3.37"/>
    <n v="22.8"/>
    <s v="Comedy"/>
    <n v="6"/>
    <n v="0"/>
    <n v="1"/>
  </r>
  <r>
    <s v="U01662"/>
    <x v="6"/>
    <n v="48"/>
    <s v="Female"/>
    <x v="1"/>
    <x v="3"/>
    <n v="10.029999999999999"/>
    <n v="5"/>
    <n v="1.1000000000000001"/>
    <n v="23.61"/>
    <n v="14.3"/>
    <s v="Action"/>
    <n v="8"/>
    <n v="0"/>
    <n v="0"/>
  </r>
  <r>
    <s v="U01663"/>
    <x v="3"/>
    <n v="28"/>
    <s v="Female"/>
    <x v="0"/>
    <x v="3"/>
    <n v="22.94"/>
    <n v="2"/>
    <n v="2.9"/>
    <n v="10.57"/>
    <n v="97.7"/>
    <s v="Family"/>
    <n v="10"/>
    <n v="3"/>
    <n v="0"/>
  </r>
  <r>
    <s v="U01664"/>
    <x v="7"/>
    <n v="21"/>
    <s v="Male"/>
    <x v="2"/>
    <x v="4"/>
    <n v="16.23"/>
    <n v="1"/>
    <n v="8.5"/>
    <n v="9.83"/>
    <n v="54.8"/>
    <s v="Family"/>
    <n v="8"/>
    <n v="0"/>
    <n v="1"/>
  </r>
  <r>
    <s v="U01665"/>
    <x v="4"/>
    <n v="35"/>
    <s v="Male"/>
    <x v="1"/>
    <x v="0"/>
    <n v="15.76"/>
    <n v="2"/>
    <n v="4.7"/>
    <n v="8.76"/>
    <n v="51.6"/>
    <s v="Comedy"/>
    <n v="1"/>
    <n v="1"/>
    <n v="0"/>
  </r>
  <r>
    <s v="U01666"/>
    <x v="4"/>
    <n v="21"/>
    <s v="Female"/>
    <x v="2"/>
    <x v="1"/>
    <n v="10.3"/>
    <n v="3"/>
    <n v="6.7"/>
    <n v="8.3800000000000008"/>
    <n v="96"/>
    <s v="Thriller"/>
    <n v="8"/>
    <n v="2"/>
    <n v="1"/>
  </r>
  <r>
    <s v="U01667"/>
    <x v="7"/>
    <n v="66"/>
    <s v="Female"/>
    <x v="0"/>
    <x v="3"/>
    <n v="21.7"/>
    <n v="2"/>
    <n v="3.1"/>
    <n v="19.16"/>
    <n v="55.4"/>
    <s v="Action"/>
    <n v="6"/>
    <n v="0"/>
    <n v="1"/>
  </r>
  <r>
    <s v="U01668"/>
    <x v="0"/>
    <n v="51"/>
    <s v="Male"/>
    <x v="2"/>
    <x v="1"/>
    <n v="16.45"/>
    <n v="2"/>
    <n v="6.8"/>
    <n v="22.97"/>
    <n v="56.6"/>
    <s v="Thriller"/>
    <n v="4"/>
    <n v="1"/>
    <n v="0"/>
  </r>
  <r>
    <s v="U01669"/>
    <x v="10"/>
    <n v="46"/>
    <s v="Female"/>
    <x v="0"/>
    <x v="2"/>
    <n v="8.11"/>
    <n v="4"/>
    <n v="10"/>
    <n v="20.29"/>
    <n v="98.6"/>
    <s v="Family"/>
    <n v="3"/>
    <n v="0"/>
    <n v="0"/>
  </r>
  <r>
    <s v="U01670"/>
    <x v="11"/>
    <n v="41"/>
    <s v="Female"/>
    <x v="0"/>
    <x v="3"/>
    <n v="9.1300000000000008"/>
    <n v="5"/>
    <n v="6.4"/>
    <n v="17.829999999999998"/>
    <n v="20"/>
    <s v="Drama"/>
    <n v="5"/>
    <n v="4"/>
    <n v="1"/>
  </r>
  <r>
    <s v="U01671"/>
    <x v="6"/>
    <n v="39"/>
    <s v="Female"/>
    <x v="0"/>
    <x v="2"/>
    <n v="14.37"/>
    <n v="5"/>
    <n v="6.7"/>
    <n v="9.33"/>
    <n v="98.7"/>
    <s v="Thriller"/>
    <n v="5"/>
    <n v="0"/>
    <n v="1"/>
  </r>
  <r>
    <s v="U01672"/>
    <x v="1"/>
    <n v="19"/>
    <s v="Male"/>
    <x v="2"/>
    <x v="0"/>
    <n v="20.59"/>
    <n v="3"/>
    <n v="2"/>
    <n v="15.03"/>
    <n v="24.9"/>
    <s v="Drama"/>
    <n v="7"/>
    <n v="3"/>
    <n v="0"/>
  </r>
  <r>
    <s v="U01673"/>
    <x v="5"/>
    <n v="61"/>
    <s v="Female"/>
    <x v="2"/>
    <x v="3"/>
    <n v="23.79"/>
    <n v="3"/>
    <n v="4.5999999999999996"/>
    <n v="8.2100000000000009"/>
    <n v="52.6"/>
    <s v="Comedy"/>
    <n v="9"/>
    <n v="4"/>
    <n v="0"/>
  </r>
  <r>
    <s v="U01674"/>
    <x v="10"/>
    <n v="23"/>
    <s v="Male"/>
    <x v="1"/>
    <x v="2"/>
    <n v="18.27"/>
    <n v="4"/>
    <n v="8.6999999999999993"/>
    <n v="5.45"/>
    <n v="40.4"/>
    <s v="Family"/>
    <n v="11"/>
    <n v="1"/>
    <n v="0"/>
  </r>
  <r>
    <s v="U01675"/>
    <x v="2"/>
    <n v="59"/>
    <s v="Male"/>
    <x v="2"/>
    <x v="2"/>
    <n v="15.12"/>
    <n v="3"/>
    <n v="8.5"/>
    <n v="5.65"/>
    <n v="96"/>
    <s v="Drama"/>
    <n v="1"/>
    <n v="0"/>
    <n v="1"/>
  </r>
  <r>
    <s v="U01676"/>
    <x v="5"/>
    <n v="42"/>
    <s v="Male"/>
    <x v="1"/>
    <x v="0"/>
    <n v="10.01"/>
    <n v="1"/>
    <n v="5.7"/>
    <n v="16.28"/>
    <n v="53.7"/>
    <s v="Action"/>
    <n v="9"/>
    <n v="4"/>
    <n v="0"/>
  </r>
  <r>
    <s v="U01677"/>
    <x v="6"/>
    <n v="38"/>
    <s v="Female"/>
    <x v="1"/>
    <x v="1"/>
    <n v="18.46"/>
    <n v="4"/>
    <n v="9.1"/>
    <n v="3.85"/>
    <n v="12.1"/>
    <s v="Family"/>
    <n v="3"/>
    <n v="4"/>
    <n v="0"/>
  </r>
  <r>
    <s v="U01678"/>
    <x v="8"/>
    <n v="33"/>
    <s v="Female"/>
    <x v="2"/>
    <x v="1"/>
    <n v="24.64"/>
    <n v="4"/>
    <n v="2.2999999999999998"/>
    <n v="24.41"/>
    <n v="30"/>
    <s v="Comedy"/>
    <n v="6"/>
    <n v="2"/>
    <n v="0"/>
  </r>
  <r>
    <s v="U01679"/>
    <x v="8"/>
    <n v="48"/>
    <s v="Male"/>
    <x v="0"/>
    <x v="3"/>
    <n v="14.52"/>
    <n v="2"/>
    <n v="6.9"/>
    <n v="24.9"/>
    <n v="48.8"/>
    <s v="Action"/>
    <n v="6"/>
    <n v="4"/>
    <n v="0"/>
  </r>
  <r>
    <s v="U01680"/>
    <x v="10"/>
    <n v="31"/>
    <s v="Male"/>
    <x v="1"/>
    <x v="0"/>
    <n v="8.24"/>
    <n v="2"/>
    <n v="3.2"/>
    <n v="6.29"/>
    <n v="70.900000000000006"/>
    <s v="Family"/>
    <n v="4"/>
    <n v="1"/>
    <n v="1"/>
  </r>
  <r>
    <s v="U01681"/>
    <x v="3"/>
    <n v="56"/>
    <s v="Male"/>
    <x v="2"/>
    <x v="3"/>
    <n v="7.07"/>
    <n v="1"/>
    <n v="6.8"/>
    <n v="12.4"/>
    <n v="60.6"/>
    <s v="Thriller"/>
    <n v="2"/>
    <n v="0"/>
    <n v="1"/>
  </r>
  <r>
    <s v="U01682"/>
    <x v="6"/>
    <n v="45"/>
    <s v="Female"/>
    <x v="2"/>
    <x v="1"/>
    <n v="10.39"/>
    <n v="4"/>
    <n v="1.8"/>
    <n v="19.899999999999999"/>
    <n v="86.5"/>
    <s v="Family"/>
    <n v="5"/>
    <n v="4"/>
    <n v="0"/>
  </r>
  <r>
    <s v="U01683"/>
    <x v="6"/>
    <n v="49"/>
    <s v="Female"/>
    <x v="2"/>
    <x v="0"/>
    <n v="16.39"/>
    <n v="4"/>
    <n v="9.5"/>
    <n v="24.01"/>
    <n v="84.6"/>
    <s v="Action"/>
    <n v="3"/>
    <n v="1"/>
    <n v="0"/>
  </r>
  <r>
    <s v="U01684"/>
    <x v="7"/>
    <n v="45"/>
    <s v="Male"/>
    <x v="2"/>
    <x v="4"/>
    <n v="23.94"/>
    <n v="2"/>
    <n v="8.1"/>
    <n v="22.61"/>
    <n v="63.1"/>
    <s v="Drama"/>
    <n v="4"/>
    <n v="2"/>
    <n v="0"/>
  </r>
  <r>
    <s v="U01685"/>
    <x v="3"/>
    <n v="68"/>
    <s v="Male"/>
    <x v="0"/>
    <x v="0"/>
    <n v="10.98"/>
    <n v="5"/>
    <n v="2.8"/>
    <n v="8.6"/>
    <n v="61.4"/>
    <s v="Drama"/>
    <n v="6"/>
    <n v="0"/>
    <n v="0"/>
  </r>
  <r>
    <s v="U01686"/>
    <x v="11"/>
    <n v="66"/>
    <s v="Female"/>
    <x v="2"/>
    <x v="0"/>
    <n v="11.11"/>
    <n v="5"/>
    <n v="6.7"/>
    <n v="4.87"/>
    <n v="35"/>
    <s v="Family"/>
    <n v="11"/>
    <n v="3"/>
    <n v="0"/>
  </r>
  <r>
    <s v="U01687"/>
    <x v="11"/>
    <n v="26"/>
    <s v="Male"/>
    <x v="1"/>
    <x v="4"/>
    <n v="14.62"/>
    <n v="2"/>
    <n v="7.8"/>
    <n v="9.35"/>
    <n v="96.2"/>
    <s v="Family"/>
    <n v="7"/>
    <n v="4"/>
    <n v="0"/>
  </r>
  <r>
    <s v="U01688"/>
    <x v="1"/>
    <n v="62"/>
    <s v="Female"/>
    <x v="2"/>
    <x v="2"/>
    <n v="23.37"/>
    <n v="3"/>
    <n v="2.9"/>
    <n v="12.62"/>
    <n v="16.899999999999999"/>
    <s v="Comedy"/>
    <n v="2"/>
    <n v="4"/>
    <n v="0"/>
  </r>
  <r>
    <s v="U01689"/>
    <x v="4"/>
    <n v="39"/>
    <s v="Female"/>
    <x v="1"/>
    <x v="2"/>
    <n v="13.38"/>
    <n v="4"/>
    <n v="1.8"/>
    <n v="10.92"/>
    <n v="45.7"/>
    <s v="Thriller"/>
    <n v="11"/>
    <n v="2"/>
    <n v="0"/>
  </r>
  <r>
    <s v="U01690"/>
    <x v="8"/>
    <n v="49"/>
    <s v="Male"/>
    <x v="1"/>
    <x v="2"/>
    <n v="9.4600000000000009"/>
    <n v="1"/>
    <n v="4.2"/>
    <n v="20.03"/>
    <n v="69.5"/>
    <s v="Comedy"/>
    <n v="3"/>
    <n v="1"/>
    <n v="0"/>
  </r>
  <r>
    <s v="U01691"/>
    <x v="2"/>
    <n v="22"/>
    <s v="Male"/>
    <x v="1"/>
    <x v="1"/>
    <n v="8.26"/>
    <n v="5"/>
    <n v="2.2000000000000002"/>
    <n v="8.67"/>
    <n v="95.1"/>
    <s v="Comedy"/>
    <n v="7"/>
    <n v="2"/>
    <n v="0"/>
  </r>
  <r>
    <s v="U01692"/>
    <x v="11"/>
    <n v="40"/>
    <s v="Female"/>
    <x v="1"/>
    <x v="0"/>
    <n v="14.14"/>
    <n v="3"/>
    <n v="6.1"/>
    <n v="21.89"/>
    <n v="55.1"/>
    <s v="Drama"/>
    <n v="5"/>
    <n v="1"/>
    <n v="0"/>
  </r>
  <r>
    <s v="U01693"/>
    <x v="3"/>
    <n v="22"/>
    <s v="Female"/>
    <x v="0"/>
    <x v="4"/>
    <n v="21.01"/>
    <n v="4"/>
    <n v="4.8"/>
    <n v="7.96"/>
    <n v="90.6"/>
    <s v="Drama"/>
    <n v="4"/>
    <n v="0"/>
    <n v="0"/>
  </r>
  <r>
    <s v="U01694"/>
    <x v="6"/>
    <n v="59"/>
    <s v="Female"/>
    <x v="2"/>
    <x v="1"/>
    <n v="10.83"/>
    <n v="3"/>
    <n v="5.2"/>
    <n v="10.95"/>
    <n v="19.399999999999999"/>
    <s v="Action"/>
    <n v="4"/>
    <n v="4"/>
    <n v="0"/>
  </r>
  <r>
    <s v="U01695"/>
    <x v="2"/>
    <n v="49"/>
    <s v="Female"/>
    <x v="2"/>
    <x v="4"/>
    <n v="15.25"/>
    <n v="4"/>
    <n v="5.9"/>
    <n v="12.85"/>
    <n v="57.8"/>
    <s v="Comedy"/>
    <n v="9"/>
    <n v="3"/>
    <n v="1"/>
  </r>
  <r>
    <s v="U01696"/>
    <x v="9"/>
    <n v="27"/>
    <s v="Female"/>
    <x v="0"/>
    <x v="1"/>
    <n v="17.059999999999999"/>
    <n v="4"/>
    <n v="9.8000000000000007"/>
    <n v="9.41"/>
    <n v="38.4"/>
    <s v="Action"/>
    <n v="9"/>
    <n v="2"/>
    <n v="1"/>
  </r>
  <r>
    <s v="U01697"/>
    <x v="11"/>
    <n v="56"/>
    <s v="Male"/>
    <x v="2"/>
    <x v="1"/>
    <n v="14.01"/>
    <n v="2"/>
    <n v="8.1"/>
    <n v="19.86"/>
    <n v="81.599999999999994"/>
    <s v="Family"/>
    <n v="10"/>
    <n v="3"/>
    <n v="0"/>
  </r>
  <r>
    <s v="U01698"/>
    <x v="6"/>
    <n v="32"/>
    <s v="Female"/>
    <x v="1"/>
    <x v="1"/>
    <n v="8.83"/>
    <n v="2"/>
    <n v="6.7"/>
    <n v="12.01"/>
    <n v="50"/>
    <s v="Action"/>
    <n v="7"/>
    <n v="3"/>
    <n v="0"/>
  </r>
  <r>
    <s v="U01699"/>
    <x v="11"/>
    <n v="24"/>
    <s v="Female"/>
    <x v="1"/>
    <x v="4"/>
    <n v="23.43"/>
    <n v="1"/>
    <n v="4.3"/>
    <n v="22.51"/>
    <n v="52.8"/>
    <s v="Drama"/>
    <n v="1"/>
    <n v="4"/>
    <n v="0"/>
  </r>
  <r>
    <s v="U01700"/>
    <x v="8"/>
    <n v="46"/>
    <s v="Female"/>
    <x v="0"/>
    <x v="3"/>
    <n v="16.309999999999999"/>
    <n v="1"/>
    <n v="1.2"/>
    <n v="24.2"/>
    <n v="15.8"/>
    <s v="Comedy"/>
    <n v="1"/>
    <n v="4"/>
    <n v="0"/>
  </r>
  <r>
    <s v="U01701"/>
    <x v="9"/>
    <n v="64"/>
    <s v="Male"/>
    <x v="2"/>
    <x v="1"/>
    <n v="19.579999999999998"/>
    <n v="3"/>
    <n v="2"/>
    <n v="21.92"/>
    <n v="49.4"/>
    <s v="Drama"/>
    <n v="3"/>
    <n v="3"/>
    <n v="1"/>
  </r>
  <r>
    <s v="U01702"/>
    <x v="5"/>
    <n v="20"/>
    <s v="Male"/>
    <x v="2"/>
    <x v="2"/>
    <n v="17.72"/>
    <n v="2"/>
    <n v="7.6"/>
    <n v="14.5"/>
    <n v="17.3"/>
    <s v="Family"/>
    <n v="3"/>
    <n v="0"/>
    <n v="0"/>
  </r>
  <r>
    <s v="U01703"/>
    <x v="11"/>
    <n v="36"/>
    <s v="Female"/>
    <x v="1"/>
    <x v="0"/>
    <n v="24.96"/>
    <n v="4"/>
    <n v="4.3"/>
    <n v="14.22"/>
    <n v="37"/>
    <s v="Thriller"/>
    <n v="7"/>
    <n v="3"/>
    <n v="0"/>
  </r>
  <r>
    <s v="U01704"/>
    <x v="3"/>
    <n v="27"/>
    <s v="Female"/>
    <x v="1"/>
    <x v="3"/>
    <n v="14.13"/>
    <n v="2"/>
    <n v="4"/>
    <n v="7.75"/>
    <n v="21.4"/>
    <s v="Comedy"/>
    <n v="2"/>
    <n v="1"/>
    <n v="1"/>
  </r>
  <r>
    <s v="U01705"/>
    <x v="11"/>
    <n v="45"/>
    <s v="Male"/>
    <x v="0"/>
    <x v="3"/>
    <n v="13.5"/>
    <n v="4"/>
    <n v="9"/>
    <n v="16.03"/>
    <n v="40.1"/>
    <s v="Drama"/>
    <n v="8"/>
    <n v="1"/>
    <n v="0"/>
  </r>
  <r>
    <s v="U01706"/>
    <x v="4"/>
    <n v="46"/>
    <s v="Male"/>
    <x v="1"/>
    <x v="4"/>
    <n v="12.2"/>
    <n v="2"/>
    <n v="5.4"/>
    <n v="23.96"/>
    <n v="30.5"/>
    <s v="Thriller"/>
    <n v="1"/>
    <n v="1"/>
    <n v="0"/>
  </r>
  <r>
    <s v="U01707"/>
    <x v="2"/>
    <n v="32"/>
    <s v="Male"/>
    <x v="0"/>
    <x v="3"/>
    <n v="12.23"/>
    <n v="4"/>
    <n v="9.1"/>
    <n v="4.7699999999999996"/>
    <n v="35.700000000000003"/>
    <s v="Family"/>
    <n v="11"/>
    <n v="1"/>
    <n v="0"/>
  </r>
  <r>
    <s v="U01708"/>
    <x v="2"/>
    <n v="52"/>
    <s v="Male"/>
    <x v="0"/>
    <x v="4"/>
    <n v="10.52"/>
    <n v="3"/>
    <n v="9"/>
    <n v="19.55"/>
    <n v="23.4"/>
    <s v="Thriller"/>
    <n v="8"/>
    <n v="2"/>
    <n v="0"/>
  </r>
  <r>
    <s v="U01709"/>
    <x v="8"/>
    <n v="23"/>
    <s v="Female"/>
    <x v="1"/>
    <x v="4"/>
    <n v="24.61"/>
    <n v="2"/>
    <n v="1.7"/>
    <n v="22.13"/>
    <n v="49.6"/>
    <s v="Drama"/>
    <n v="9"/>
    <n v="0"/>
    <n v="1"/>
  </r>
  <r>
    <s v="U01710"/>
    <x v="3"/>
    <n v="29"/>
    <s v="Male"/>
    <x v="2"/>
    <x v="2"/>
    <n v="22.42"/>
    <n v="5"/>
    <n v="9.5"/>
    <n v="24.71"/>
    <n v="54.8"/>
    <s v="Drama"/>
    <n v="5"/>
    <n v="2"/>
    <n v="0"/>
  </r>
  <r>
    <s v="U01711"/>
    <x v="9"/>
    <n v="64"/>
    <s v="Female"/>
    <x v="1"/>
    <x v="1"/>
    <n v="11.33"/>
    <n v="5"/>
    <n v="1.7"/>
    <n v="10.36"/>
    <n v="85.3"/>
    <s v="Family"/>
    <n v="11"/>
    <n v="2"/>
    <n v="0"/>
  </r>
  <r>
    <s v="U01712"/>
    <x v="7"/>
    <n v="55"/>
    <s v="Female"/>
    <x v="0"/>
    <x v="3"/>
    <n v="11.1"/>
    <n v="4"/>
    <n v="9.6999999999999993"/>
    <n v="10.82"/>
    <n v="58.5"/>
    <s v="Family"/>
    <n v="4"/>
    <n v="1"/>
    <n v="0"/>
  </r>
  <r>
    <s v="U01713"/>
    <x v="3"/>
    <n v="30"/>
    <s v="Male"/>
    <x v="1"/>
    <x v="1"/>
    <n v="7.07"/>
    <n v="3"/>
    <n v="5.0999999999999996"/>
    <n v="8.06"/>
    <n v="30.6"/>
    <s v="Thriller"/>
    <n v="6"/>
    <n v="0"/>
    <n v="0"/>
  </r>
  <r>
    <s v="U01714"/>
    <x v="2"/>
    <n v="46"/>
    <s v="Male"/>
    <x v="2"/>
    <x v="1"/>
    <n v="22.54"/>
    <n v="4"/>
    <n v="7.8"/>
    <n v="20.36"/>
    <n v="76.2"/>
    <s v="Thriller"/>
    <n v="6"/>
    <n v="0"/>
    <n v="0"/>
  </r>
  <r>
    <s v="U01715"/>
    <x v="4"/>
    <n v="36"/>
    <s v="Male"/>
    <x v="2"/>
    <x v="1"/>
    <n v="12.44"/>
    <n v="3"/>
    <n v="7.4"/>
    <n v="6.08"/>
    <n v="36.799999999999997"/>
    <s v="Drama"/>
    <n v="8"/>
    <n v="3"/>
    <n v="1"/>
  </r>
  <r>
    <s v="U01716"/>
    <x v="5"/>
    <n v="20"/>
    <s v="Male"/>
    <x v="2"/>
    <x v="4"/>
    <n v="16.45"/>
    <n v="1"/>
    <n v="5.7"/>
    <n v="8.89"/>
    <n v="78.099999999999994"/>
    <s v="Family"/>
    <n v="8"/>
    <n v="2"/>
    <n v="1"/>
  </r>
  <r>
    <s v="U01717"/>
    <x v="8"/>
    <n v="25"/>
    <s v="Female"/>
    <x v="1"/>
    <x v="1"/>
    <n v="23.01"/>
    <n v="2"/>
    <n v="6.6"/>
    <n v="9.5"/>
    <n v="44.8"/>
    <s v="Action"/>
    <n v="1"/>
    <n v="0"/>
    <n v="0"/>
  </r>
  <r>
    <s v="U01718"/>
    <x v="7"/>
    <n v="25"/>
    <s v="Female"/>
    <x v="2"/>
    <x v="3"/>
    <n v="13.16"/>
    <n v="3"/>
    <n v="9.5"/>
    <n v="11.25"/>
    <n v="56.2"/>
    <s v="Family"/>
    <n v="9"/>
    <n v="4"/>
    <n v="0"/>
  </r>
  <r>
    <s v="U01719"/>
    <x v="4"/>
    <n v="37"/>
    <s v="Female"/>
    <x v="0"/>
    <x v="4"/>
    <n v="21.14"/>
    <n v="4"/>
    <n v="9.3000000000000007"/>
    <n v="12.28"/>
    <n v="55.3"/>
    <s v="Comedy"/>
    <n v="10"/>
    <n v="2"/>
    <n v="0"/>
  </r>
  <r>
    <s v="U01720"/>
    <x v="9"/>
    <n v="64"/>
    <s v="Male"/>
    <x v="1"/>
    <x v="3"/>
    <n v="13.61"/>
    <n v="1"/>
    <n v="6.9"/>
    <n v="15.3"/>
    <n v="96"/>
    <s v="Comedy"/>
    <n v="1"/>
    <n v="0"/>
    <n v="0"/>
  </r>
  <r>
    <s v="U01721"/>
    <x v="9"/>
    <n v="21"/>
    <s v="Female"/>
    <x v="1"/>
    <x v="4"/>
    <n v="19.02"/>
    <n v="4"/>
    <n v="6.9"/>
    <n v="23.86"/>
    <n v="23.8"/>
    <s v="Family"/>
    <n v="3"/>
    <n v="4"/>
    <n v="0"/>
  </r>
  <r>
    <s v="U01722"/>
    <x v="4"/>
    <n v="68"/>
    <s v="Male"/>
    <x v="1"/>
    <x v="0"/>
    <n v="13.62"/>
    <n v="5"/>
    <n v="3.2"/>
    <n v="8.44"/>
    <n v="94.5"/>
    <s v="Thriller"/>
    <n v="7"/>
    <n v="4"/>
    <n v="0"/>
  </r>
  <r>
    <s v="U01723"/>
    <x v="10"/>
    <n v="38"/>
    <s v="Female"/>
    <x v="2"/>
    <x v="0"/>
    <n v="12.86"/>
    <n v="5"/>
    <n v="8.5"/>
    <n v="20.14"/>
    <n v="60.6"/>
    <s v="Comedy"/>
    <n v="5"/>
    <n v="4"/>
    <n v="1"/>
  </r>
  <r>
    <s v="U01724"/>
    <x v="8"/>
    <n v="20"/>
    <s v="Male"/>
    <x v="2"/>
    <x v="0"/>
    <n v="24.81"/>
    <n v="2"/>
    <n v="6.7"/>
    <n v="17.88"/>
    <n v="99.4"/>
    <s v="Drama"/>
    <n v="6"/>
    <n v="1"/>
    <n v="0"/>
  </r>
  <r>
    <s v="U01725"/>
    <x v="3"/>
    <n v="62"/>
    <s v="Female"/>
    <x v="0"/>
    <x v="0"/>
    <n v="17.25"/>
    <n v="2"/>
    <n v="8.4"/>
    <n v="5.55"/>
    <n v="61.6"/>
    <s v="Drama"/>
    <n v="8"/>
    <n v="3"/>
    <n v="1"/>
  </r>
  <r>
    <s v="U01726"/>
    <x v="6"/>
    <n v="25"/>
    <s v="Female"/>
    <x v="0"/>
    <x v="4"/>
    <n v="12.35"/>
    <n v="1"/>
    <n v="6.9"/>
    <n v="20.83"/>
    <n v="69.099999999999994"/>
    <s v="Drama"/>
    <n v="4"/>
    <n v="3"/>
    <n v="0"/>
  </r>
  <r>
    <s v="U01727"/>
    <x v="5"/>
    <n v="40"/>
    <s v="Male"/>
    <x v="1"/>
    <x v="1"/>
    <n v="10.16"/>
    <n v="5"/>
    <n v="3.7"/>
    <n v="4.99"/>
    <n v="77.5"/>
    <s v="Family"/>
    <n v="4"/>
    <n v="0"/>
    <n v="0"/>
  </r>
  <r>
    <s v="U01728"/>
    <x v="6"/>
    <n v="33"/>
    <s v="Female"/>
    <x v="0"/>
    <x v="2"/>
    <n v="5.8"/>
    <n v="3"/>
    <n v="2.7"/>
    <n v="19.260000000000002"/>
    <n v="84"/>
    <s v="Comedy"/>
    <n v="8"/>
    <n v="0"/>
    <n v="1"/>
  </r>
  <r>
    <s v="U01729"/>
    <x v="3"/>
    <n v="30"/>
    <s v="Female"/>
    <x v="1"/>
    <x v="2"/>
    <n v="19.13"/>
    <n v="5"/>
    <n v="1.7"/>
    <n v="18.75"/>
    <n v="53"/>
    <s v="Thriller"/>
    <n v="3"/>
    <n v="3"/>
    <n v="0"/>
  </r>
  <r>
    <s v="U01730"/>
    <x v="3"/>
    <n v="20"/>
    <s v="Male"/>
    <x v="2"/>
    <x v="0"/>
    <n v="12.44"/>
    <n v="2"/>
    <n v="6.3"/>
    <n v="18.170000000000002"/>
    <n v="71.099999999999994"/>
    <s v="Drama"/>
    <n v="6"/>
    <n v="4"/>
    <n v="0"/>
  </r>
  <r>
    <s v="U01731"/>
    <x v="8"/>
    <n v="65"/>
    <s v="Male"/>
    <x v="2"/>
    <x v="1"/>
    <n v="21.43"/>
    <n v="4"/>
    <n v="3.6"/>
    <n v="9.09"/>
    <n v="65.3"/>
    <s v="Thriller"/>
    <n v="4"/>
    <n v="0"/>
    <n v="0"/>
  </r>
  <r>
    <s v="U01732"/>
    <x v="3"/>
    <n v="26"/>
    <s v="Male"/>
    <x v="1"/>
    <x v="3"/>
    <n v="12.28"/>
    <n v="1"/>
    <n v="6.7"/>
    <n v="15.61"/>
    <n v="46.6"/>
    <s v="Drama"/>
    <n v="6"/>
    <n v="1"/>
    <n v="0"/>
  </r>
  <r>
    <s v="U01733"/>
    <x v="2"/>
    <n v="31"/>
    <s v="Male"/>
    <x v="2"/>
    <x v="1"/>
    <n v="12.47"/>
    <n v="5"/>
    <n v="1.5"/>
    <n v="19.75"/>
    <n v="83.9"/>
    <s v="Family"/>
    <n v="4"/>
    <n v="1"/>
    <n v="1"/>
  </r>
  <r>
    <s v="U01734"/>
    <x v="10"/>
    <n v="30"/>
    <s v="Male"/>
    <x v="1"/>
    <x v="3"/>
    <n v="20.58"/>
    <n v="3"/>
    <n v="4.4000000000000004"/>
    <n v="17.03"/>
    <n v="27.3"/>
    <s v="Drama"/>
    <n v="2"/>
    <n v="3"/>
    <n v="0"/>
  </r>
  <r>
    <s v="U01735"/>
    <x v="7"/>
    <n v="24"/>
    <s v="Female"/>
    <x v="0"/>
    <x v="2"/>
    <n v="14.79"/>
    <n v="3"/>
    <n v="3.3"/>
    <n v="20.69"/>
    <n v="25"/>
    <s v="Family"/>
    <n v="10"/>
    <n v="0"/>
    <n v="0"/>
  </r>
  <r>
    <s v="U01736"/>
    <x v="3"/>
    <n v="32"/>
    <s v="Male"/>
    <x v="1"/>
    <x v="1"/>
    <n v="22.7"/>
    <n v="3"/>
    <n v="4.3"/>
    <n v="18.13"/>
    <n v="76.3"/>
    <s v="Comedy"/>
    <n v="11"/>
    <n v="0"/>
    <n v="0"/>
  </r>
  <r>
    <s v="U01737"/>
    <x v="6"/>
    <n v="24"/>
    <s v="Female"/>
    <x v="1"/>
    <x v="1"/>
    <n v="16.8"/>
    <n v="1"/>
    <n v="1.5"/>
    <n v="9.0399999999999991"/>
    <n v="67.400000000000006"/>
    <s v="Comedy"/>
    <n v="11"/>
    <n v="4"/>
    <n v="0"/>
  </r>
  <r>
    <s v="U01738"/>
    <x v="3"/>
    <n v="55"/>
    <s v="Female"/>
    <x v="2"/>
    <x v="2"/>
    <n v="9.81"/>
    <n v="3"/>
    <n v="7.5"/>
    <n v="6.37"/>
    <n v="38.6"/>
    <s v="Thriller"/>
    <n v="3"/>
    <n v="0"/>
    <n v="0"/>
  </r>
  <r>
    <s v="U01739"/>
    <x v="9"/>
    <n v="51"/>
    <s v="Male"/>
    <x v="0"/>
    <x v="1"/>
    <n v="16.37"/>
    <n v="3"/>
    <n v="2.1"/>
    <n v="16.899999999999999"/>
    <n v="67.2"/>
    <s v="Drama"/>
    <n v="11"/>
    <n v="3"/>
    <n v="0"/>
  </r>
  <r>
    <s v="U01740"/>
    <x v="10"/>
    <n v="58"/>
    <s v="Female"/>
    <x v="1"/>
    <x v="3"/>
    <n v="5.08"/>
    <n v="5"/>
    <n v="1.1000000000000001"/>
    <n v="19.71"/>
    <n v="79.400000000000006"/>
    <s v="Comedy"/>
    <n v="8"/>
    <n v="0"/>
    <n v="0"/>
  </r>
  <r>
    <s v="U01741"/>
    <x v="2"/>
    <n v="39"/>
    <s v="Female"/>
    <x v="1"/>
    <x v="1"/>
    <n v="11.25"/>
    <n v="1"/>
    <n v="9.5"/>
    <n v="6.13"/>
    <n v="29.5"/>
    <s v="Action"/>
    <n v="1"/>
    <n v="0"/>
    <n v="0"/>
  </r>
  <r>
    <s v="U01742"/>
    <x v="2"/>
    <n v="41"/>
    <s v="Male"/>
    <x v="2"/>
    <x v="3"/>
    <n v="9.16"/>
    <n v="4"/>
    <n v="2.7"/>
    <n v="6.85"/>
    <n v="62.3"/>
    <s v="Action"/>
    <n v="11"/>
    <n v="1"/>
    <n v="0"/>
  </r>
  <r>
    <s v="U01743"/>
    <x v="11"/>
    <n v="66"/>
    <s v="Female"/>
    <x v="1"/>
    <x v="0"/>
    <n v="18.079999999999998"/>
    <n v="4"/>
    <n v="8.5"/>
    <n v="3.27"/>
    <n v="84.2"/>
    <s v="Thriller"/>
    <n v="10"/>
    <n v="3"/>
    <n v="1"/>
  </r>
  <r>
    <s v="U01744"/>
    <x v="2"/>
    <n v="54"/>
    <s v="Male"/>
    <x v="2"/>
    <x v="1"/>
    <n v="7.72"/>
    <n v="3"/>
    <n v="9.6999999999999993"/>
    <n v="14.7"/>
    <n v="47"/>
    <s v="Comedy"/>
    <n v="6"/>
    <n v="2"/>
    <n v="1"/>
  </r>
  <r>
    <s v="U01745"/>
    <x v="11"/>
    <n v="61"/>
    <s v="Male"/>
    <x v="2"/>
    <x v="3"/>
    <n v="10.8"/>
    <n v="2"/>
    <n v="5.8"/>
    <n v="14.93"/>
    <n v="61.5"/>
    <s v="Family"/>
    <n v="9"/>
    <n v="3"/>
    <n v="0"/>
  </r>
  <r>
    <s v="U01746"/>
    <x v="4"/>
    <n v="18"/>
    <s v="Male"/>
    <x v="0"/>
    <x v="2"/>
    <n v="11.63"/>
    <n v="1"/>
    <n v="5.7"/>
    <n v="14"/>
    <n v="17.100000000000001"/>
    <s v="Action"/>
    <n v="1"/>
    <n v="3"/>
    <n v="0"/>
  </r>
  <r>
    <s v="U01747"/>
    <x v="5"/>
    <n v="27"/>
    <s v="Female"/>
    <x v="1"/>
    <x v="0"/>
    <n v="5.07"/>
    <n v="2"/>
    <n v="4.3"/>
    <n v="9.9499999999999993"/>
    <n v="84.7"/>
    <s v="Comedy"/>
    <n v="4"/>
    <n v="2"/>
    <n v="0"/>
  </r>
  <r>
    <s v="U01748"/>
    <x v="1"/>
    <n v="60"/>
    <s v="Female"/>
    <x v="2"/>
    <x v="1"/>
    <n v="5.94"/>
    <n v="1"/>
    <n v="4.8"/>
    <n v="12.41"/>
    <n v="81.7"/>
    <s v="Family"/>
    <n v="7"/>
    <n v="2"/>
    <n v="1"/>
  </r>
  <r>
    <s v="U01749"/>
    <x v="2"/>
    <n v="33"/>
    <s v="Female"/>
    <x v="1"/>
    <x v="3"/>
    <n v="11.22"/>
    <n v="1"/>
    <n v="5.3"/>
    <n v="19.86"/>
    <n v="51.1"/>
    <s v="Drama"/>
    <n v="6"/>
    <n v="1"/>
    <n v="1"/>
  </r>
  <r>
    <s v="U01750"/>
    <x v="7"/>
    <n v="63"/>
    <s v="Female"/>
    <x v="2"/>
    <x v="1"/>
    <n v="9.4499999999999993"/>
    <n v="5"/>
    <n v="2.4"/>
    <n v="7"/>
    <n v="20.7"/>
    <s v="Comedy"/>
    <n v="6"/>
    <n v="4"/>
    <n v="0"/>
  </r>
  <r>
    <s v="U01751"/>
    <x v="9"/>
    <n v="25"/>
    <s v="Male"/>
    <x v="0"/>
    <x v="3"/>
    <n v="7.34"/>
    <n v="3"/>
    <n v="4.3"/>
    <n v="7.43"/>
    <n v="69.400000000000006"/>
    <s v="Drama"/>
    <n v="9"/>
    <n v="3"/>
    <n v="0"/>
  </r>
  <r>
    <s v="U01752"/>
    <x v="0"/>
    <n v="66"/>
    <s v="Female"/>
    <x v="0"/>
    <x v="1"/>
    <n v="8.08"/>
    <n v="5"/>
    <n v="8.3000000000000007"/>
    <n v="17.670000000000002"/>
    <n v="61.6"/>
    <s v="Action"/>
    <n v="8"/>
    <n v="3"/>
    <n v="0"/>
  </r>
  <r>
    <s v="U01753"/>
    <x v="4"/>
    <n v="42"/>
    <s v="Male"/>
    <x v="2"/>
    <x v="0"/>
    <n v="21.71"/>
    <n v="2"/>
    <n v="2.6"/>
    <n v="22.07"/>
    <n v="92.8"/>
    <s v="Drama"/>
    <n v="5"/>
    <n v="3"/>
    <n v="0"/>
  </r>
  <r>
    <s v="U01754"/>
    <x v="2"/>
    <n v="67"/>
    <s v="Female"/>
    <x v="2"/>
    <x v="0"/>
    <n v="18.670000000000002"/>
    <n v="2"/>
    <n v="7.6"/>
    <n v="10.49"/>
    <n v="35.200000000000003"/>
    <s v="Action"/>
    <n v="11"/>
    <n v="3"/>
    <n v="0"/>
  </r>
  <r>
    <s v="U01755"/>
    <x v="5"/>
    <n v="29"/>
    <s v="Female"/>
    <x v="2"/>
    <x v="1"/>
    <n v="14.68"/>
    <n v="4"/>
    <n v="6.9"/>
    <n v="23.52"/>
    <n v="12.9"/>
    <s v="Thriller"/>
    <n v="11"/>
    <n v="1"/>
    <n v="0"/>
  </r>
  <r>
    <s v="U01756"/>
    <x v="11"/>
    <n v="42"/>
    <s v="Female"/>
    <x v="1"/>
    <x v="1"/>
    <n v="23.18"/>
    <n v="5"/>
    <n v="1.5"/>
    <n v="4.2699999999999996"/>
    <n v="32.9"/>
    <s v="Thriller"/>
    <n v="2"/>
    <n v="3"/>
    <n v="0"/>
  </r>
  <r>
    <s v="U01757"/>
    <x v="6"/>
    <n v="34"/>
    <s v="Female"/>
    <x v="2"/>
    <x v="4"/>
    <n v="5.59"/>
    <n v="5"/>
    <n v="1.2"/>
    <n v="5.61"/>
    <n v="48.5"/>
    <s v="Action"/>
    <n v="3"/>
    <n v="2"/>
    <n v="0"/>
  </r>
  <r>
    <s v="U01758"/>
    <x v="0"/>
    <n v="43"/>
    <s v="Female"/>
    <x v="2"/>
    <x v="1"/>
    <n v="11.9"/>
    <n v="5"/>
    <n v="4.2"/>
    <n v="13.12"/>
    <n v="24"/>
    <s v="Family"/>
    <n v="10"/>
    <n v="2"/>
    <n v="0"/>
  </r>
  <r>
    <s v="U01759"/>
    <x v="5"/>
    <n v="63"/>
    <s v="Male"/>
    <x v="2"/>
    <x v="1"/>
    <n v="21.47"/>
    <n v="4"/>
    <n v="7.2"/>
    <n v="18.920000000000002"/>
    <n v="98.2"/>
    <s v="Thriller"/>
    <n v="3"/>
    <n v="0"/>
    <n v="0"/>
  </r>
  <r>
    <s v="U01760"/>
    <x v="5"/>
    <n v="65"/>
    <s v="Female"/>
    <x v="1"/>
    <x v="0"/>
    <n v="17.57"/>
    <n v="5"/>
    <n v="4"/>
    <n v="11.16"/>
    <n v="30"/>
    <s v="Family"/>
    <n v="4"/>
    <n v="1"/>
    <n v="1"/>
  </r>
  <r>
    <s v="U01761"/>
    <x v="2"/>
    <n v="31"/>
    <s v="Female"/>
    <x v="1"/>
    <x v="1"/>
    <n v="24.63"/>
    <n v="5"/>
    <n v="7"/>
    <n v="15.2"/>
    <n v="71"/>
    <s v="Family"/>
    <n v="2"/>
    <n v="0"/>
    <n v="0"/>
  </r>
  <r>
    <s v="U01762"/>
    <x v="4"/>
    <n v="58"/>
    <s v="Female"/>
    <x v="2"/>
    <x v="2"/>
    <n v="23.89"/>
    <n v="5"/>
    <n v="7"/>
    <n v="3.63"/>
    <n v="50.9"/>
    <s v="Family"/>
    <n v="8"/>
    <n v="3"/>
    <n v="0"/>
  </r>
  <r>
    <s v="U01763"/>
    <x v="0"/>
    <n v="53"/>
    <s v="Female"/>
    <x v="1"/>
    <x v="1"/>
    <n v="8.4"/>
    <n v="5"/>
    <n v="8.3000000000000007"/>
    <n v="13.16"/>
    <n v="60"/>
    <s v="Comedy"/>
    <n v="8"/>
    <n v="1"/>
    <n v="0"/>
  </r>
  <r>
    <s v="U01764"/>
    <x v="8"/>
    <n v="40"/>
    <s v="Male"/>
    <x v="1"/>
    <x v="4"/>
    <n v="24.44"/>
    <n v="2"/>
    <n v="1.9"/>
    <n v="8.34"/>
    <n v="93.9"/>
    <s v="Comedy"/>
    <n v="8"/>
    <n v="1"/>
    <n v="0"/>
  </r>
  <r>
    <s v="U01765"/>
    <x v="1"/>
    <n v="60"/>
    <s v="Female"/>
    <x v="1"/>
    <x v="3"/>
    <n v="23.91"/>
    <n v="3"/>
    <n v="6.2"/>
    <n v="14.36"/>
    <n v="57.8"/>
    <s v="Family"/>
    <n v="10"/>
    <n v="4"/>
    <n v="1"/>
  </r>
  <r>
    <s v="U01766"/>
    <x v="8"/>
    <n v="23"/>
    <s v="Male"/>
    <x v="1"/>
    <x v="0"/>
    <n v="12.47"/>
    <n v="2"/>
    <n v="1.6"/>
    <n v="14.57"/>
    <n v="37.5"/>
    <s v="Action"/>
    <n v="5"/>
    <n v="4"/>
    <n v="0"/>
  </r>
  <r>
    <s v="U01767"/>
    <x v="9"/>
    <n v="64"/>
    <s v="Female"/>
    <x v="1"/>
    <x v="2"/>
    <n v="24.66"/>
    <n v="5"/>
    <n v="2.6"/>
    <n v="19.57"/>
    <n v="29.9"/>
    <s v="Thriller"/>
    <n v="10"/>
    <n v="0"/>
    <n v="0"/>
  </r>
  <r>
    <s v="U01768"/>
    <x v="0"/>
    <n v="22"/>
    <s v="Male"/>
    <x v="0"/>
    <x v="3"/>
    <n v="5.72"/>
    <n v="1"/>
    <n v="3.9"/>
    <n v="14.88"/>
    <n v="90.3"/>
    <s v="Drama"/>
    <n v="6"/>
    <n v="0"/>
    <n v="0"/>
  </r>
  <r>
    <s v="U01769"/>
    <x v="8"/>
    <n v="60"/>
    <s v="Male"/>
    <x v="2"/>
    <x v="2"/>
    <n v="18.22"/>
    <n v="1"/>
    <n v="7.4"/>
    <n v="16.510000000000002"/>
    <n v="98.8"/>
    <s v="Comedy"/>
    <n v="6"/>
    <n v="2"/>
    <n v="0"/>
  </r>
  <r>
    <s v="U01770"/>
    <x v="2"/>
    <n v="42"/>
    <s v="Male"/>
    <x v="1"/>
    <x v="0"/>
    <n v="10.32"/>
    <n v="4"/>
    <n v="9.8000000000000007"/>
    <n v="14.65"/>
    <n v="32.700000000000003"/>
    <s v="Comedy"/>
    <n v="7"/>
    <n v="2"/>
    <n v="0"/>
  </r>
  <r>
    <s v="U01771"/>
    <x v="10"/>
    <n v="35"/>
    <s v="Male"/>
    <x v="1"/>
    <x v="4"/>
    <n v="7.59"/>
    <n v="2"/>
    <n v="4.0999999999999996"/>
    <n v="24.79"/>
    <n v="75"/>
    <s v="Drama"/>
    <n v="1"/>
    <n v="2"/>
    <n v="0"/>
  </r>
  <r>
    <s v="U01772"/>
    <x v="11"/>
    <n v="30"/>
    <s v="Male"/>
    <x v="0"/>
    <x v="0"/>
    <n v="16.55"/>
    <n v="4"/>
    <n v="5.7"/>
    <n v="20.420000000000002"/>
    <n v="55.5"/>
    <s v="Family"/>
    <n v="10"/>
    <n v="1"/>
    <n v="0"/>
  </r>
  <r>
    <s v="U01773"/>
    <x v="10"/>
    <n v="60"/>
    <s v="Female"/>
    <x v="0"/>
    <x v="2"/>
    <n v="11.13"/>
    <n v="4"/>
    <n v="3.3"/>
    <n v="19.62"/>
    <n v="72.900000000000006"/>
    <s v="Drama"/>
    <n v="3"/>
    <n v="3"/>
    <n v="0"/>
  </r>
  <r>
    <s v="U01774"/>
    <x v="3"/>
    <n v="31"/>
    <s v="Male"/>
    <x v="0"/>
    <x v="2"/>
    <n v="18.34"/>
    <n v="1"/>
    <n v="7.1"/>
    <n v="16.8"/>
    <n v="96.8"/>
    <s v="Family"/>
    <n v="11"/>
    <n v="0"/>
    <n v="0"/>
  </r>
  <r>
    <s v="U01775"/>
    <x v="8"/>
    <n v="45"/>
    <s v="Female"/>
    <x v="2"/>
    <x v="0"/>
    <n v="15.8"/>
    <n v="2"/>
    <n v="4.3"/>
    <n v="14.62"/>
    <n v="34.799999999999997"/>
    <s v="Comedy"/>
    <n v="3"/>
    <n v="2"/>
    <n v="0"/>
  </r>
  <r>
    <s v="U01776"/>
    <x v="9"/>
    <n v="35"/>
    <s v="Male"/>
    <x v="0"/>
    <x v="1"/>
    <n v="12.85"/>
    <n v="3"/>
    <n v="5.3"/>
    <n v="10.58"/>
    <n v="76.599999999999994"/>
    <s v="Drama"/>
    <n v="11"/>
    <n v="1"/>
    <n v="0"/>
  </r>
  <r>
    <s v="U01777"/>
    <x v="3"/>
    <n v="45"/>
    <s v="Male"/>
    <x v="2"/>
    <x v="0"/>
    <n v="8.64"/>
    <n v="2"/>
    <n v="6.1"/>
    <n v="20.25"/>
    <n v="49.4"/>
    <s v="Action"/>
    <n v="7"/>
    <n v="4"/>
    <n v="0"/>
  </r>
  <r>
    <s v="U01778"/>
    <x v="6"/>
    <n v="68"/>
    <s v="Female"/>
    <x v="0"/>
    <x v="4"/>
    <n v="17.03"/>
    <n v="4"/>
    <n v="7.2"/>
    <n v="7.17"/>
    <n v="68.7"/>
    <s v="Thriller"/>
    <n v="6"/>
    <n v="3"/>
    <n v="0"/>
  </r>
  <r>
    <s v="U01779"/>
    <x v="7"/>
    <n v="44"/>
    <s v="Male"/>
    <x v="0"/>
    <x v="0"/>
    <n v="21.58"/>
    <n v="5"/>
    <n v="1.5"/>
    <n v="3.8"/>
    <n v="46.6"/>
    <s v="Thriller"/>
    <n v="9"/>
    <n v="4"/>
    <n v="0"/>
  </r>
  <r>
    <s v="U01780"/>
    <x v="6"/>
    <n v="49"/>
    <s v="Male"/>
    <x v="0"/>
    <x v="3"/>
    <n v="17"/>
    <n v="4"/>
    <n v="6"/>
    <n v="18.36"/>
    <n v="73.8"/>
    <s v="Thriller"/>
    <n v="9"/>
    <n v="4"/>
    <n v="0"/>
  </r>
  <r>
    <s v="U01781"/>
    <x v="0"/>
    <n v="64"/>
    <s v="Male"/>
    <x v="0"/>
    <x v="1"/>
    <n v="17.21"/>
    <n v="2"/>
    <n v="4.9000000000000004"/>
    <n v="6.19"/>
    <n v="40.4"/>
    <s v="Drama"/>
    <n v="9"/>
    <n v="3"/>
    <n v="0"/>
  </r>
  <r>
    <s v="U01782"/>
    <x v="5"/>
    <n v="26"/>
    <s v="Male"/>
    <x v="2"/>
    <x v="3"/>
    <n v="15.24"/>
    <n v="1"/>
    <n v="2.2000000000000002"/>
    <n v="22.88"/>
    <n v="54"/>
    <s v="Family"/>
    <n v="4"/>
    <n v="1"/>
    <n v="1"/>
  </r>
  <r>
    <s v="U01783"/>
    <x v="11"/>
    <n v="57"/>
    <s v="Female"/>
    <x v="2"/>
    <x v="0"/>
    <n v="12.76"/>
    <n v="2"/>
    <n v="2.9"/>
    <n v="19.95"/>
    <n v="73.8"/>
    <s v="Comedy"/>
    <n v="3"/>
    <n v="4"/>
    <n v="0"/>
  </r>
  <r>
    <s v="U01784"/>
    <x v="8"/>
    <n v="49"/>
    <s v="Male"/>
    <x v="1"/>
    <x v="1"/>
    <n v="14.15"/>
    <n v="3"/>
    <n v="9"/>
    <n v="16.25"/>
    <n v="13.8"/>
    <s v="Thriller"/>
    <n v="4"/>
    <n v="1"/>
    <n v="1"/>
  </r>
  <r>
    <s v="U01785"/>
    <x v="9"/>
    <n v="37"/>
    <s v="Male"/>
    <x v="0"/>
    <x v="3"/>
    <n v="24.79"/>
    <n v="5"/>
    <n v="8.8000000000000007"/>
    <n v="9.91"/>
    <n v="39.5"/>
    <s v="Drama"/>
    <n v="3"/>
    <n v="4"/>
    <n v="0"/>
  </r>
  <r>
    <s v="U01786"/>
    <x v="9"/>
    <n v="45"/>
    <s v="Female"/>
    <x v="0"/>
    <x v="3"/>
    <n v="19.989999999999998"/>
    <n v="5"/>
    <n v="1.3"/>
    <n v="17.03"/>
    <n v="59.2"/>
    <s v="Thriller"/>
    <n v="7"/>
    <n v="2"/>
    <n v="1"/>
  </r>
  <r>
    <s v="U01787"/>
    <x v="4"/>
    <n v="50"/>
    <s v="Female"/>
    <x v="1"/>
    <x v="1"/>
    <n v="13.61"/>
    <n v="4"/>
    <n v="7.2"/>
    <n v="13.49"/>
    <n v="16.7"/>
    <s v="Family"/>
    <n v="11"/>
    <n v="3"/>
    <n v="0"/>
  </r>
  <r>
    <s v="U01788"/>
    <x v="7"/>
    <n v="21"/>
    <s v="Male"/>
    <x v="2"/>
    <x v="1"/>
    <n v="14.15"/>
    <n v="2"/>
    <n v="6"/>
    <n v="9.41"/>
    <n v="73.3"/>
    <s v="Action"/>
    <n v="3"/>
    <n v="0"/>
    <n v="1"/>
  </r>
  <r>
    <s v="U01789"/>
    <x v="1"/>
    <n v="63"/>
    <s v="Male"/>
    <x v="0"/>
    <x v="2"/>
    <n v="14.99"/>
    <n v="1"/>
    <n v="9.5"/>
    <n v="23.79"/>
    <n v="83.2"/>
    <s v="Action"/>
    <n v="1"/>
    <n v="3"/>
    <n v="1"/>
  </r>
  <r>
    <s v="U01790"/>
    <x v="1"/>
    <n v="51"/>
    <s v="Female"/>
    <x v="2"/>
    <x v="1"/>
    <n v="18.190000000000001"/>
    <n v="3"/>
    <n v="9.1999999999999993"/>
    <n v="6.56"/>
    <n v="24.7"/>
    <s v="Comedy"/>
    <n v="8"/>
    <n v="4"/>
    <n v="1"/>
  </r>
  <r>
    <s v="U01791"/>
    <x v="1"/>
    <n v="65"/>
    <s v="Male"/>
    <x v="1"/>
    <x v="0"/>
    <n v="14.32"/>
    <n v="4"/>
    <n v="6.2"/>
    <n v="19.57"/>
    <n v="76"/>
    <s v="Action"/>
    <n v="6"/>
    <n v="4"/>
    <n v="1"/>
  </r>
  <r>
    <s v="U01792"/>
    <x v="8"/>
    <n v="20"/>
    <s v="Female"/>
    <x v="0"/>
    <x v="4"/>
    <n v="18.72"/>
    <n v="2"/>
    <n v="2.2999999999999998"/>
    <n v="20.6"/>
    <n v="68.2"/>
    <s v="Action"/>
    <n v="5"/>
    <n v="2"/>
    <n v="0"/>
  </r>
  <r>
    <s v="U01793"/>
    <x v="1"/>
    <n v="43"/>
    <s v="Male"/>
    <x v="1"/>
    <x v="2"/>
    <n v="11.58"/>
    <n v="1"/>
    <n v="5.0999999999999996"/>
    <n v="23.94"/>
    <n v="47"/>
    <s v="Drama"/>
    <n v="8"/>
    <n v="2"/>
    <n v="0"/>
  </r>
  <r>
    <s v="U01794"/>
    <x v="2"/>
    <n v="25"/>
    <s v="Female"/>
    <x v="0"/>
    <x v="1"/>
    <n v="13.21"/>
    <n v="2"/>
    <n v="7.5"/>
    <n v="15.09"/>
    <n v="24.8"/>
    <s v="Drama"/>
    <n v="11"/>
    <n v="3"/>
    <n v="1"/>
  </r>
  <r>
    <s v="U01795"/>
    <x v="10"/>
    <n v="23"/>
    <s v="Female"/>
    <x v="2"/>
    <x v="4"/>
    <n v="22.28"/>
    <n v="1"/>
    <n v="9.6"/>
    <n v="14.77"/>
    <n v="95.9"/>
    <s v="Comedy"/>
    <n v="8"/>
    <n v="0"/>
    <n v="0"/>
  </r>
  <r>
    <s v="U01796"/>
    <x v="9"/>
    <n v="33"/>
    <s v="Female"/>
    <x v="0"/>
    <x v="2"/>
    <n v="11.58"/>
    <n v="2"/>
    <n v="4.3"/>
    <n v="23.25"/>
    <n v="51.8"/>
    <s v="Comedy"/>
    <n v="3"/>
    <n v="3"/>
    <n v="0"/>
  </r>
  <r>
    <s v="U01797"/>
    <x v="7"/>
    <n v="41"/>
    <s v="Male"/>
    <x v="2"/>
    <x v="0"/>
    <n v="24.29"/>
    <n v="2"/>
    <n v="8.1"/>
    <n v="20.62"/>
    <n v="26.5"/>
    <s v="Drama"/>
    <n v="3"/>
    <n v="0"/>
    <n v="0"/>
  </r>
  <r>
    <s v="U01798"/>
    <x v="10"/>
    <n v="65"/>
    <s v="Male"/>
    <x v="0"/>
    <x v="4"/>
    <n v="8.4499999999999993"/>
    <n v="4"/>
    <n v="7.2"/>
    <n v="19.8"/>
    <n v="74.599999999999994"/>
    <s v="Action"/>
    <n v="10"/>
    <n v="1"/>
    <n v="0"/>
  </r>
  <r>
    <s v="U01799"/>
    <x v="5"/>
    <n v="56"/>
    <s v="Male"/>
    <x v="2"/>
    <x v="1"/>
    <n v="9.83"/>
    <n v="2"/>
    <n v="1.7"/>
    <n v="20.36"/>
    <n v="64.7"/>
    <s v="Family"/>
    <n v="7"/>
    <n v="4"/>
    <n v="0"/>
  </r>
  <r>
    <s v="U01800"/>
    <x v="7"/>
    <n v="47"/>
    <s v="Male"/>
    <x v="0"/>
    <x v="1"/>
    <n v="14.27"/>
    <n v="2"/>
    <n v="6"/>
    <n v="13.85"/>
    <n v="83.5"/>
    <s v="Action"/>
    <n v="3"/>
    <n v="1"/>
    <n v="1"/>
  </r>
  <r>
    <s v="U01801"/>
    <x v="10"/>
    <n v="62"/>
    <s v="Female"/>
    <x v="2"/>
    <x v="0"/>
    <n v="20.95"/>
    <n v="4"/>
    <n v="2.7"/>
    <n v="3.91"/>
    <n v="99.6"/>
    <s v="Action"/>
    <n v="9"/>
    <n v="3"/>
    <n v="1"/>
  </r>
  <r>
    <s v="U01802"/>
    <x v="7"/>
    <n v="30"/>
    <s v="Female"/>
    <x v="2"/>
    <x v="2"/>
    <n v="19.63"/>
    <n v="4"/>
    <n v="7.2"/>
    <n v="7.36"/>
    <n v="14"/>
    <s v="Family"/>
    <n v="8"/>
    <n v="0"/>
    <n v="0"/>
  </r>
  <r>
    <s v="U01803"/>
    <x v="5"/>
    <n v="22"/>
    <s v="Female"/>
    <x v="2"/>
    <x v="4"/>
    <n v="8.49"/>
    <n v="5"/>
    <n v="6.5"/>
    <n v="17.149999999999999"/>
    <n v="76.5"/>
    <s v="Comedy"/>
    <n v="8"/>
    <n v="0"/>
    <n v="0"/>
  </r>
  <r>
    <s v="U01804"/>
    <x v="3"/>
    <n v="42"/>
    <s v="Male"/>
    <x v="1"/>
    <x v="0"/>
    <n v="9.73"/>
    <n v="5"/>
    <n v="9.8000000000000007"/>
    <n v="11.72"/>
    <n v="99"/>
    <s v="Drama"/>
    <n v="9"/>
    <n v="1"/>
    <n v="0"/>
  </r>
  <r>
    <s v="U01805"/>
    <x v="2"/>
    <n v="37"/>
    <s v="Male"/>
    <x v="2"/>
    <x v="2"/>
    <n v="16.510000000000002"/>
    <n v="4"/>
    <n v="9.4"/>
    <n v="16.350000000000001"/>
    <n v="58.4"/>
    <s v="Comedy"/>
    <n v="8"/>
    <n v="2"/>
    <n v="0"/>
  </r>
  <r>
    <s v="U01806"/>
    <x v="8"/>
    <n v="35"/>
    <s v="Male"/>
    <x v="1"/>
    <x v="3"/>
    <n v="10.9"/>
    <n v="3"/>
    <n v="1.1000000000000001"/>
    <n v="15.14"/>
    <n v="74.400000000000006"/>
    <s v="Comedy"/>
    <n v="4"/>
    <n v="2"/>
    <n v="1"/>
  </r>
  <r>
    <s v="U01807"/>
    <x v="8"/>
    <n v="64"/>
    <s v="Female"/>
    <x v="0"/>
    <x v="3"/>
    <n v="13.45"/>
    <n v="1"/>
    <n v="1.7"/>
    <n v="12.65"/>
    <n v="49.7"/>
    <s v="Comedy"/>
    <n v="7"/>
    <n v="1"/>
    <n v="0"/>
  </r>
  <r>
    <s v="U01808"/>
    <x v="9"/>
    <n v="35"/>
    <s v="Male"/>
    <x v="1"/>
    <x v="2"/>
    <n v="14.73"/>
    <n v="4"/>
    <n v="7.9"/>
    <n v="8.16"/>
    <n v="42.1"/>
    <s v="Drama"/>
    <n v="6"/>
    <n v="2"/>
    <n v="0"/>
  </r>
  <r>
    <s v="U01809"/>
    <x v="1"/>
    <n v="19"/>
    <s v="Male"/>
    <x v="0"/>
    <x v="1"/>
    <n v="16.88"/>
    <n v="5"/>
    <n v="7.2"/>
    <n v="18.82"/>
    <n v="72.7"/>
    <s v="Comedy"/>
    <n v="1"/>
    <n v="0"/>
    <n v="0"/>
  </r>
  <r>
    <s v="U01810"/>
    <x v="2"/>
    <n v="27"/>
    <s v="Female"/>
    <x v="2"/>
    <x v="1"/>
    <n v="10.02"/>
    <n v="2"/>
    <n v="8.1999999999999993"/>
    <n v="23"/>
    <n v="98.9"/>
    <s v="Comedy"/>
    <n v="5"/>
    <n v="3"/>
    <n v="0"/>
  </r>
  <r>
    <s v="U01811"/>
    <x v="6"/>
    <n v="62"/>
    <s v="Female"/>
    <x v="0"/>
    <x v="3"/>
    <n v="8.26"/>
    <n v="4"/>
    <n v="3.4"/>
    <n v="19.940000000000001"/>
    <n v="18.2"/>
    <s v="Thriller"/>
    <n v="2"/>
    <n v="2"/>
    <n v="0"/>
  </r>
  <r>
    <s v="U01812"/>
    <x v="1"/>
    <n v="67"/>
    <s v="Male"/>
    <x v="1"/>
    <x v="1"/>
    <n v="12.97"/>
    <n v="4"/>
    <n v="8.6"/>
    <n v="5.64"/>
    <n v="48"/>
    <s v="Action"/>
    <n v="9"/>
    <n v="0"/>
    <n v="0"/>
  </r>
  <r>
    <s v="U01813"/>
    <x v="9"/>
    <n v="64"/>
    <s v="Female"/>
    <x v="1"/>
    <x v="1"/>
    <n v="6.64"/>
    <n v="5"/>
    <n v="5"/>
    <n v="14.83"/>
    <n v="94.7"/>
    <s v="Thriller"/>
    <n v="11"/>
    <n v="3"/>
    <n v="1"/>
  </r>
  <r>
    <s v="U01814"/>
    <x v="0"/>
    <n v="29"/>
    <s v="Male"/>
    <x v="1"/>
    <x v="2"/>
    <n v="15.54"/>
    <n v="5"/>
    <n v="3.4"/>
    <n v="21.38"/>
    <n v="20.2"/>
    <s v="Drama"/>
    <n v="3"/>
    <n v="0"/>
    <n v="0"/>
  </r>
  <r>
    <s v="U01815"/>
    <x v="2"/>
    <n v="64"/>
    <s v="Female"/>
    <x v="1"/>
    <x v="2"/>
    <n v="21.79"/>
    <n v="3"/>
    <n v="1.1000000000000001"/>
    <n v="16"/>
    <n v="68.599999999999994"/>
    <s v="Family"/>
    <n v="7"/>
    <n v="4"/>
    <n v="0"/>
  </r>
  <r>
    <s v="U01816"/>
    <x v="10"/>
    <n v="30"/>
    <s v="Female"/>
    <x v="0"/>
    <x v="1"/>
    <n v="7.38"/>
    <n v="5"/>
    <n v="8.8000000000000007"/>
    <n v="12.67"/>
    <n v="48.7"/>
    <s v="Family"/>
    <n v="2"/>
    <n v="3"/>
    <n v="1"/>
  </r>
  <r>
    <s v="U01817"/>
    <x v="7"/>
    <n v="67"/>
    <s v="Female"/>
    <x v="1"/>
    <x v="2"/>
    <n v="7.25"/>
    <n v="5"/>
    <n v="5.8"/>
    <n v="9.26"/>
    <n v="43.9"/>
    <s v="Thriller"/>
    <n v="7"/>
    <n v="4"/>
    <n v="1"/>
  </r>
  <r>
    <s v="U01818"/>
    <x v="6"/>
    <n v="64"/>
    <s v="Male"/>
    <x v="0"/>
    <x v="4"/>
    <n v="6.6"/>
    <n v="5"/>
    <n v="9.8000000000000007"/>
    <n v="10.27"/>
    <n v="28.8"/>
    <s v="Thriller"/>
    <n v="4"/>
    <n v="2"/>
    <n v="1"/>
  </r>
  <r>
    <s v="U01819"/>
    <x v="2"/>
    <n v="28"/>
    <s v="Male"/>
    <x v="2"/>
    <x v="3"/>
    <n v="21.96"/>
    <n v="2"/>
    <n v="7.4"/>
    <n v="8.33"/>
    <n v="25.9"/>
    <s v="Thriller"/>
    <n v="11"/>
    <n v="2"/>
    <n v="1"/>
  </r>
  <r>
    <s v="U01820"/>
    <x v="5"/>
    <n v="36"/>
    <s v="Male"/>
    <x v="2"/>
    <x v="4"/>
    <n v="6.61"/>
    <n v="4"/>
    <n v="1.7"/>
    <n v="7.31"/>
    <n v="56.5"/>
    <s v="Action"/>
    <n v="6"/>
    <n v="0"/>
    <n v="0"/>
  </r>
  <r>
    <s v="U01821"/>
    <x v="0"/>
    <n v="52"/>
    <s v="Female"/>
    <x v="2"/>
    <x v="4"/>
    <n v="24.67"/>
    <n v="4"/>
    <n v="6.3"/>
    <n v="15.96"/>
    <n v="44"/>
    <s v="Drama"/>
    <n v="9"/>
    <n v="1"/>
    <n v="1"/>
  </r>
  <r>
    <s v="U01822"/>
    <x v="5"/>
    <n v="56"/>
    <s v="Female"/>
    <x v="0"/>
    <x v="1"/>
    <n v="12.17"/>
    <n v="5"/>
    <n v="1.2"/>
    <n v="14.21"/>
    <n v="54.2"/>
    <s v="Comedy"/>
    <n v="8"/>
    <n v="0"/>
    <n v="0"/>
  </r>
  <r>
    <s v="U01823"/>
    <x v="8"/>
    <n v="43"/>
    <s v="Female"/>
    <x v="0"/>
    <x v="1"/>
    <n v="11.58"/>
    <n v="3"/>
    <n v="6"/>
    <n v="19.170000000000002"/>
    <n v="27.6"/>
    <s v="Thriller"/>
    <n v="9"/>
    <n v="4"/>
    <n v="0"/>
  </r>
  <r>
    <s v="U01824"/>
    <x v="8"/>
    <n v="63"/>
    <s v="Female"/>
    <x v="0"/>
    <x v="4"/>
    <n v="6.83"/>
    <n v="5"/>
    <n v="4.2"/>
    <n v="9.77"/>
    <n v="41.5"/>
    <s v="Action"/>
    <n v="5"/>
    <n v="3"/>
    <n v="0"/>
  </r>
  <r>
    <s v="U01825"/>
    <x v="1"/>
    <n v="31"/>
    <s v="Male"/>
    <x v="0"/>
    <x v="4"/>
    <n v="16.71"/>
    <n v="3"/>
    <n v="6.8"/>
    <n v="13.14"/>
    <n v="99.7"/>
    <s v="Family"/>
    <n v="5"/>
    <n v="1"/>
    <n v="1"/>
  </r>
  <r>
    <s v="U01826"/>
    <x v="10"/>
    <n v="62"/>
    <s v="Male"/>
    <x v="0"/>
    <x v="0"/>
    <n v="16.72"/>
    <n v="4"/>
    <n v="5.9"/>
    <n v="17.97"/>
    <n v="43.1"/>
    <s v="Family"/>
    <n v="4"/>
    <n v="0"/>
    <n v="0"/>
  </r>
  <r>
    <s v="U01827"/>
    <x v="6"/>
    <n v="61"/>
    <s v="Male"/>
    <x v="1"/>
    <x v="0"/>
    <n v="14.88"/>
    <n v="3"/>
    <n v="3.4"/>
    <n v="24.19"/>
    <n v="47.1"/>
    <s v="Family"/>
    <n v="9"/>
    <n v="4"/>
    <n v="0"/>
  </r>
  <r>
    <s v="U01828"/>
    <x v="11"/>
    <n v="41"/>
    <s v="Female"/>
    <x v="0"/>
    <x v="3"/>
    <n v="11.22"/>
    <n v="3"/>
    <n v="2.5"/>
    <n v="10.68"/>
    <n v="11.8"/>
    <s v="Thriller"/>
    <n v="10"/>
    <n v="4"/>
    <n v="0"/>
  </r>
  <r>
    <s v="U01829"/>
    <x v="0"/>
    <n v="58"/>
    <s v="Female"/>
    <x v="1"/>
    <x v="4"/>
    <n v="12.37"/>
    <n v="1"/>
    <n v="4.5999999999999996"/>
    <n v="9.56"/>
    <n v="44.3"/>
    <s v="Family"/>
    <n v="8"/>
    <n v="2"/>
    <n v="0"/>
  </r>
  <r>
    <s v="U01830"/>
    <x v="0"/>
    <n v="18"/>
    <s v="Male"/>
    <x v="2"/>
    <x v="2"/>
    <n v="11.41"/>
    <n v="3"/>
    <n v="9.9"/>
    <n v="12.88"/>
    <n v="78.7"/>
    <s v="Family"/>
    <n v="6"/>
    <n v="0"/>
    <n v="0"/>
  </r>
  <r>
    <s v="U01831"/>
    <x v="2"/>
    <n v="68"/>
    <s v="Female"/>
    <x v="1"/>
    <x v="0"/>
    <n v="13.52"/>
    <n v="3"/>
    <n v="4.9000000000000004"/>
    <n v="18.93"/>
    <n v="56.4"/>
    <s v="Family"/>
    <n v="10"/>
    <n v="0"/>
    <n v="0"/>
  </r>
  <r>
    <s v="U01832"/>
    <x v="1"/>
    <n v="60"/>
    <s v="Male"/>
    <x v="1"/>
    <x v="1"/>
    <n v="11.84"/>
    <n v="2"/>
    <n v="7.7"/>
    <n v="24.15"/>
    <n v="69.099999999999994"/>
    <s v="Comedy"/>
    <n v="6"/>
    <n v="4"/>
    <n v="0"/>
  </r>
  <r>
    <s v="U01833"/>
    <x v="8"/>
    <n v="39"/>
    <s v="Female"/>
    <x v="1"/>
    <x v="4"/>
    <n v="18.510000000000002"/>
    <n v="4"/>
    <n v="1.5"/>
    <n v="14.8"/>
    <n v="60.1"/>
    <s v="Family"/>
    <n v="6"/>
    <n v="0"/>
    <n v="1"/>
  </r>
  <r>
    <s v="U01834"/>
    <x v="1"/>
    <n v="40"/>
    <s v="Female"/>
    <x v="1"/>
    <x v="2"/>
    <n v="10.92"/>
    <n v="5"/>
    <n v="4.4000000000000004"/>
    <n v="20.87"/>
    <n v="19.5"/>
    <s v="Action"/>
    <n v="6"/>
    <n v="2"/>
    <n v="0"/>
  </r>
  <r>
    <s v="U01835"/>
    <x v="7"/>
    <n v="36"/>
    <s v="Male"/>
    <x v="0"/>
    <x v="2"/>
    <n v="12.02"/>
    <n v="1"/>
    <n v="6.2"/>
    <n v="13.22"/>
    <n v="39.9"/>
    <s v="Thriller"/>
    <n v="7"/>
    <n v="1"/>
    <n v="1"/>
  </r>
  <r>
    <s v="U01836"/>
    <x v="2"/>
    <n v="35"/>
    <s v="Male"/>
    <x v="1"/>
    <x v="2"/>
    <n v="13.71"/>
    <n v="3"/>
    <n v="7.8"/>
    <n v="3.88"/>
    <n v="72.5"/>
    <s v="Comedy"/>
    <n v="6"/>
    <n v="4"/>
    <n v="0"/>
  </r>
  <r>
    <s v="U01837"/>
    <x v="2"/>
    <n v="29"/>
    <s v="Female"/>
    <x v="1"/>
    <x v="1"/>
    <n v="5.08"/>
    <n v="2"/>
    <n v="5.8"/>
    <n v="22.67"/>
    <n v="59.3"/>
    <s v="Comedy"/>
    <n v="8"/>
    <n v="2"/>
    <n v="0"/>
  </r>
  <r>
    <s v="U01838"/>
    <x v="6"/>
    <n v="45"/>
    <s v="Male"/>
    <x v="2"/>
    <x v="0"/>
    <n v="14.84"/>
    <n v="2"/>
    <n v="5.6"/>
    <n v="9.3800000000000008"/>
    <n v="70.7"/>
    <s v="Thriller"/>
    <n v="7"/>
    <n v="2"/>
    <n v="0"/>
  </r>
  <r>
    <s v="U01839"/>
    <x v="10"/>
    <n v="45"/>
    <s v="Male"/>
    <x v="2"/>
    <x v="2"/>
    <n v="10.119999999999999"/>
    <n v="5"/>
    <n v="7.9"/>
    <n v="6.05"/>
    <n v="42.4"/>
    <s v="Family"/>
    <n v="2"/>
    <n v="3"/>
    <n v="1"/>
  </r>
  <r>
    <s v="U01840"/>
    <x v="9"/>
    <n v="50"/>
    <s v="Female"/>
    <x v="1"/>
    <x v="0"/>
    <n v="6.12"/>
    <n v="5"/>
    <n v="3.8"/>
    <n v="24.92"/>
    <n v="27.4"/>
    <s v="Family"/>
    <n v="10"/>
    <n v="1"/>
    <n v="0"/>
  </r>
  <r>
    <s v="U01841"/>
    <x v="3"/>
    <n v="36"/>
    <s v="Female"/>
    <x v="1"/>
    <x v="3"/>
    <n v="23.22"/>
    <n v="4"/>
    <n v="1.8"/>
    <n v="10.64"/>
    <n v="84.7"/>
    <s v="Drama"/>
    <n v="4"/>
    <n v="2"/>
    <n v="1"/>
  </r>
  <r>
    <s v="U01842"/>
    <x v="9"/>
    <n v="45"/>
    <s v="Female"/>
    <x v="0"/>
    <x v="1"/>
    <n v="11.45"/>
    <n v="3"/>
    <n v="4.0999999999999996"/>
    <n v="6"/>
    <n v="43.9"/>
    <s v="Family"/>
    <n v="11"/>
    <n v="3"/>
    <n v="0"/>
  </r>
  <r>
    <s v="U01843"/>
    <x v="4"/>
    <n v="69"/>
    <s v="Male"/>
    <x v="2"/>
    <x v="0"/>
    <n v="13.52"/>
    <n v="2"/>
    <n v="2.4"/>
    <n v="9.85"/>
    <n v="69"/>
    <s v="Action"/>
    <n v="7"/>
    <n v="3"/>
    <n v="0"/>
  </r>
  <r>
    <s v="U01844"/>
    <x v="4"/>
    <n v="66"/>
    <s v="Female"/>
    <x v="1"/>
    <x v="0"/>
    <n v="21.55"/>
    <n v="1"/>
    <n v="9.6999999999999993"/>
    <n v="14.3"/>
    <n v="44.3"/>
    <s v="Family"/>
    <n v="2"/>
    <n v="0"/>
    <n v="0"/>
  </r>
  <r>
    <s v="U01845"/>
    <x v="2"/>
    <n v="54"/>
    <s v="Female"/>
    <x v="0"/>
    <x v="2"/>
    <n v="8.34"/>
    <n v="4"/>
    <n v="6.2"/>
    <n v="4.9400000000000004"/>
    <n v="93.5"/>
    <s v="Thriller"/>
    <n v="4"/>
    <n v="2"/>
    <n v="0"/>
  </r>
  <r>
    <s v="U01846"/>
    <x v="1"/>
    <n v="43"/>
    <s v="Female"/>
    <x v="0"/>
    <x v="2"/>
    <n v="22.01"/>
    <n v="3"/>
    <n v="5"/>
    <n v="10.76"/>
    <n v="99.3"/>
    <s v="Family"/>
    <n v="2"/>
    <n v="4"/>
    <n v="0"/>
  </r>
  <r>
    <s v="U01847"/>
    <x v="7"/>
    <n v="52"/>
    <s v="Female"/>
    <x v="0"/>
    <x v="1"/>
    <n v="9.83"/>
    <n v="5"/>
    <n v="9.1999999999999993"/>
    <n v="17.71"/>
    <n v="68.400000000000006"/>
    <s v="Thriller"/>
    <n v="2"/>
    <n v="0"/>
    <n v="0"/>
  </r>
  <r>
    <s v="U01848"/>
    <x v="6"/>
    <n v="51"/>
    <s v="Female"/>
    <x v="2"/>
    <x v="0"/>
    <n v="16.78"/>
    <n v="3"/>
    <n v="9.1"/>
    <n v="23.15"/>
    <n v="64.2"/>
    <s v="Comedy"/>
    <n v="7"/>
    <n v="1"/>
    <n v="0"/>
  </r>
  <r>
    <s v="U01849"/>
    <x v="11"/>
    <n v="52"/>
    <s v="Male"/>
    <x v="0"/>
    <x v="4"/>
    <n v="18.71"/>
    <n v="5"/>
    <n v="4.7"/>
    <n v="11.74"/>
    <n v="85.7"/>
    <s v="Drama"/>
    <n v="11"/>
    <n v="4"/>
    <n v="1"/>
  </r>
  <r>
    <s v="U01850"/>
    <x v="4"/>
    <n v="57"/>
    <s v="Female"/>
    <x v="1"/>
    <x v="2"/>
    <n v="23.1"/>
    <n v="3"/>
    <n v="8.9"/>
    <n v="15.42"/>
    <n v="56.5"/>
    <s v="Comedy"/>
    <n v="2"/>
    <n v="4"/>
    <n v="0"/>
  </r>
  <r>
    <s v="U01851"/>
    <x v="6"/>
    <n v="33"/>
    <s v="Female"/>
    <x v="1"/>
    <x v="2"/>
    <n v="17.149999999999999"/>
    <n v="1"/>
    <n v="1.6"/>
    <n v="16.989999999999998"/>
    <n v="88.3"/>
    <s v="Thriller"/>
    <n v="4"/>
    <n v="3"/>
    <n v="0"/>
  </r>
  <r>
    <s v="U01852"/>
    <x v="2"/>
    <n v="55"/>
    <s v="Male"/>
    <x v="1"/>
    <x v="3"/>
    <n v="14.06"/>
    <n v="4"/>
    <n v="9"/>
    <n v="4.5599999999999996"/>
    <n v="47.2"/>
    <s v="Drama"/>
    <n v="7"/>
    <n v="2"/>
    <n v="1"/>
  </r>
  <r>
    <s v="U01853"/>
    <x v="10"/>
    <n v="30"/>
    <s v="Female"/>
    <x v="2"/>
    <x v="1"/>
    <n v="16.45"/>
    <n v="5"/>
    <n v="3.8"/>
    <n v="10.53"/>
    <n v="12.9"/>
    <s v="Comedy"/>
    <n v="6"/>
    <n v="3"/>
    <n v="0"/>
  </r>
  <r>
    <s v="U01854"/>
    <x v="5"/>
    <n v="40"/>
    <s v="Female"/>
    <x v="2"/>
    <x v="0"/>
    <n v="9.0399999999999991"/>
    <n v="1"/>
    <n v="6.1"/>
    <n v="18.05"/>
    <n v="93.4"/>
    <s v="Family"/>
    <n v="4"/>
    <n v="3"/>
    <n v="0"/>
  </r>
  <r>
    <s v="U01855"/>
    <x v="9"/>
    <n v="39"/>
    <s v="Male"/>
    <x v="1"/>
    <x v="0"/>
    <n v="18.78"/>
    <n v="2"/>
    <n v="3.4"/>
    <n v="19.18"/>
    <n v="74.900000000000006"/>
    <s v="Family"/>
    <n v="9"/>
    <n v="2"/>
    <n v="1"/>
  </r>
  <r>
    <s v="U01856"/>
    <x v="7"/>
    <n v="33"/>
    <s v="Female"/>
    <x v="0"/>
    <x v="0"/>
    <n v="8.74"/>
    <n v="1"/>
    <n v="9.9"/>
    <n v="10.83"/>
    <n v="56"/>
    <s v="Drama"/>
    <n v="5"/>
    <n v="2"/>
    <n v="0"/>
  </r>
  <r>
    <s v="U01857"/>
    <x v="8"/>
    <n v="45"/>
    <s v="Male"/>
    <x v="1"/>
    <x v="2"/>
    <n v="16.14"/>
    <n v="1"/>
    <n v="1.6"/>
    <n v="3.15"/>
    <n v="95"/>
    <s v="Comedy"/>
    <n v="2"/>
    <n v="2"/>
    <n v="0"/>
  </r>
  <r>
    <s v="U01858"/>
    <x v="6"/>
    <n v="65"/>
    <s v="Female"/>
    <x v="1"/>
    <x v="1"/>
    <n v="17.95"/>
    <n v="1"/>
    <n v="5"/>
    <n v="3.15"/>
    <n v="89.8"/>
    <s v="Action"/>
    <n v="7"/>
    <n v="3"/>
    <n v="0"/>
  </r>
  <r>
    <s v="U01859"/>
    <x v="10"/>
    <n v="52"/>
    <s v="Male"/>
    <x v="1"/>
    <x v="0"/>
    <n v="22.97"/>
    <n v="5"/>
    <n v="6.6"/>
    <n v="14.84"/>
    <n v="19.8"/>
    <s v="Action"/>
    <n v="10"/>
    <n v="2"/>
    <n v="1"/>
  </r>
  <r>
    <s v="U01860"/>
    <x v="11"/>
    <n v="62"/>
    <s v="Male"/>
    <x v="1"/>
    <x v="4"/>
    <n v="14"/>
    <n v="2"/>
    <n v="6.5"/>
    <n v="15.13"/>
    <n v="66.2"/>
    <s v="Action"/>
    <n v="2"/>
    <n v="2"/>
    <n v="1"/>
  </r>
  <r>
    <s v="U01861"/>
    <x v="3"/>
    <n v="63"/>
    <s v="Female"/>
    <x v="0"/>
    <x v="3"/>
    <n v="20.51"/>
    <n v="4"/>
    <n v="7.6"/>
    <n v="15.23"/>
    <n v="58.4"/>
    <s v="Comedy"/>
    <n v="8"/>
    <n v="4"/>
    <n v="0"/>
  </r>
  <r>
    <s v="U01862"/>
    <x v="9"/>
    <n v="25"/>
    <s v="Male"/>
    <x v="1"/>
    <x v="3"/>
    <n v="8.35"/>
    <n v="1"/>
    <n v="7.5"/>
    <n v="18.88"/>
    <n v="79.900000000000006"/>
    <s v="Comedy"/>
    <n v="7"/>
    <n v="3"/>
    <n v="0"/>
  </r>
  <r>
    <s v="U01863"/>
    <x v="8"/>
    <n v="61"/>
    <s v="Male"/>
    <x v="0"/>
    <x v="0"/>
    <n v="8.1199999999999992"/>
    <n v="5"/>
    <n v="8.1"/>
    <n v="23.27"/>
    <n v="37.1"/>
    <s v="Comedy"/>
    <n v="9"/>
    <n v="2"/>
    <n v="0"/>
  </r>
  <r>
    <s v="U01864"/>
    <x v="9"/>
    <n v="39"/>
    <s v="Female"/>
    <x v="2"/>
    <x v="2"/>
    <n v="15.5"/>
    <n v="5"/>
    <n v="3.1"/>
    <n v="24.78"/>
    <n v="10.7"/>
    <s v="Thriller"/>
    <n v="6"/>
    <n v="3"/>
    <n v="0"/>
  </r>
  <r>
    <s v="U01865"/>
    <x v="2"/>
    <n v="38"/>
    <s v="Female"/>
    <x v="1"/>
    <x v="3"/>
    <n v="16.93"/>
    <n v="4"/>
    <n v="4.3"/>
    <n v="18.420000000000002"/>
    <n v="26.7"/>
    <s v="Action"/>
    <n v="7"/>
    <n v="1"/>
    <n v="0"/>
  </r>
  <r>
    <s v="U01866"/>
    <x v="3"/>
    <n v="43"/>
    <s v="Male"/>
    <x v="2"/>
    <x v="3"/>
    <n v="17.649999999999999"/>
    <n v="3"/>
    <n v="4.4000000000000004"/>
    <n v="14.31"/>
    <n v="29"/>
    <s v="Action"/>
    <n v="10"/>
    <n v="0"/>
    <n v="1"/>
  </r>
  <r>
    <s v="U01867"/>
    <x v="9"/>
    <n v="57"/>
    <s v="Female"/>
    <x v="0"/>
    <x v="3"/>
    <n v="19.91"/>
    <n v="2"/>
    <n v="9.6"/>
    <n v="6.1"/>
    <n v="36.200000000000003"/>
    <s v="Action"/>
    <n v="9"/>
    <n v="4"/>
    <n v="1"/>
  </r>
  <r>
    <s v="U01868"/>
    <x v="11"/>
    <n v="38"/>
    <s v="Male"/>
    <x v="1"/>
    <x v="3"/>
    <n v="10.9"/>
    <n v="2"/>
    <n v="4.7"/>
    <n v="11.45"/>
    <n v="43.3"/>
    <s v="Thriller"/>
    <n v="7"/>
    <n v="4"/>
    <n v="0"/>
  </r>
  <r>
    <s v="U01869"/>
    <x v="10"/>
    <n v="42"/>
    <s v="Male"/>
    <x v="2"/>
    <x v="0"/>
    <n v="17.45"/>
    <n v="1"/>
    <n v="3"/>
    <n v="15.59"/>
    <n v="73.599999999999994"/>
    <s v="Thriller"/>
    <n v="9"/>
    <n v="3"/>
    <n v="1"/>
  </r>
  <r>
    <s v="U01870"/>
    <x v="4"/>
    <n v="58"/>
    <s v="Female"/>
    <x v="0"/>
    <x v="1"/>
    <n v="8.76"/>
    <n v="3"/>
    <n v="6.7"/>
    <n v="25"/>
    <n v="16.7"/>
    <s v="Comedy"/>
    <n v="8"/>
    <n v="2"/>
    <n v="0"/>
  </r>
  <r>
    <s v="U01871"/>
    <x v="3"/>
    <n v="18"/>
    <s v="Female"/>
    <x v="2"/>
    <x v="1"/>
    <n v="9.3800000000000008"/>
    <n v="2"/>
    <n v="4.8"/>
    <n v="5.79"/>
    <n v="53.8"/>
    <s v="Action"/>
    <n v="5"/>
    <n v="3"/>
    <n v="1"/>
  </r>
  <r>
    <s v="U01872"/>
    <x v="2"/>
    <n v="23"/>
    <s v="Male"/>
    <x v="1"/>
    <x v="2"/>
    <n v="6.35"/>
    <n v="1"/>
    <n v="3.3"/>
    <n v="20.45"/>
    <n v="54.9"/>
    <s v="Action"/>
    <n v="7"/>
    <n v="0"/>
    <n v="0"/>
  </r>
  <r>
    <s v="U01873"/>
    <x v="8"/>
    <n v="40"/>
    <s v="Female"/>
    <x v="1"/>
    <x v="4"/>
    <n v="19.940000000000001"/>
    <n v="3"/>
    <n v="7.4"/>
    <n v="24.98"/>
    <n v="65.400000000000006"/>
    <s v="Family"/>
    <n v="7"/>
    <n v="4"/>
    <n v="0"/>
  </r>
  <r>
    <s v="U01874"/>
    <x v="1"/>
    <n v="68"/>
    <s v="Female"/>
    <x v="1"/>
    <x v="1"/>
    <n v="15.14"/>
    <n v="5"/>
    <n v="2.7"/>
    <n v="20.72"/>
    <n v="37.9"/>
    <s v="Family"/>
    <n v="1"/>
    <n v="4"/>
    <n v="0"/>
  </r>
  <r>
    <s v="U01875"/>
    <x v="0"/>
    <n v="40"/>
    <s v="Male"/>
    <x v="1"/>
    <x v="4"/>
    <n v="9.76"/>
    <n v="1"/>
    <n v="6.7"/>
    <n v="19.88"/>
    <n v="33.4"/>
    <s v="Family"/>
    <n v="4"/>
    <n v="0"/>
    <n v="0"/>
  </r>
  <r>
    <s v="U01876"/>
    <x v="6"/>
    <n v="60"/>
    <s v="Male"/>
    <x v="1"/>
    <x v="1"/>
    <n v="16.12"/>
    <n v="3"/>
    <n v="4.9000000000000004"/>
    <n v="8.69"/>
    <n v="53.5"/>
    <s v="Thriller"/>
    <n v="5"/>
    <n v="3"/>
    <n v="1"/>
  </r>
  <r>
    <s v="U01877"/>
    <x v="9"/>
    <n v="60"/>
    <s v="Male"/>
    <x v="1"/>
    <x v="1"/>
    <n v="12.08"/>
    <n v="4"/>
    <n v="3.9"/>
    <n v="3.07"/>
    <n v="69.400000000000006"/>
    <s v="Comedy"/>
    <n v="6"/>
    <n v="4"/>
    <n v="1"/>
  </r>
  <r>
    <s v="U01878"/>
    <x v="4"/>
    <n v="40"/>
    <s v="Male"/>
    <x v="1"/>
    <x v="2"/>
    <n v="21.74"/>
    <n v="2"/>
    <n v="9.5"/>
    <n v="7.97"/>
    <n v="14"/>
    <s v="Drama"/>
    <n v="7"/>
    <n v="2"/>
    <n v="0"/>
  </r>
  <r>
    <s v="U01879"/>
    <x v="3"/>
    <n v="49"/>
    <s v="Male"/>
    <x v="1"/>
    <x v="3"/>
    <n v="15.56"/>
    <n v="1"/>
    <n v="3.9"/>
    <n v="20.38"/>
    <n v="36.4"/>
    <s v="Action"/>
    <n v="5"/>
    <n v="3"/>
    <n v="0"/>
  </r>
  <r>
    <s v="U01880"/>
    <x v="9"/>
    <n v="47"/>
    <s v="Male"/>
    <x v="0"/>
    <x v="2"/>
    <n v="5.6"/>
    <n v="5"/>
    <n v="4.0999999999999996"/>
    <n v="5.36"/>
    <n v="80.900000000000006"/>
    <s v="Family"/>
    <n v="2"/>
    <n v="2"/>
    <n v="0"/>
  </r>
  <r>
    <s v="U01881"/>
    <x v="5"/>
    <n v="30"/>
    <s v="Female"/>
    <x v="0"/>
    <x v="1"/>
    <n v="24.7"/>
    <n v="1"/>
    <n v="8.8000000000000007"/>
    <n v="9.51"/>
    <n v="53.6"/>
    <s v="Action"/>
    <n v="5"/>
    <n v="1"/>
    <n v="0"/>
  </r>
  <r>
    <s v="U01882"/>
    <x v="6"/>
    <n v="60"/>
    <s v="Male"/>
    <x v="0"/>
    <x v="3"/>
    <n v="6.49"/>
    <n v="2"/>
    <n v="2.2000000000000002"/>
    <n v="15.38"/>
    <n v="95.7"/>
    <s v="Action"/>
    <n v="5"/>
    <n v="0"/>
    <n v="0"/>
  </r>
  <r>
    <s v="U01883"/>
    <x v="1"/>
    <n v="35"/>
    <s v="Female"/>
    <x v="1"/>
    <x v="3"/>
    <n v="18.920000000000002"/>
    <n v="2"/>
    <n v="2"/>
    <n v="15.76"/>
    <n v="88.1"/>
    <s v="Action"/>
    <n v="7"/>
    <n v="4"/>
    <n v="0"/>
  </r>
  <r>
    <s v="U01884"/>
    <x v="11"/>
    <n v="40"/>
    <s v="Female"/>
    <x v="2"/>
    <x v="3"/>
    <n v="13.75"/>
    <n v="3"/>
    <n v="3.5"/>
    <n v="14.95"/>
    <n v="41"/>
    <s v="Comedy"/>
    <n v="3"/>
    <n v="0"/>
    <n v="1"/>
  </r>
  <r>
    <s v="U01885"/>
    <x v="0"/>
    <n v="32"/>
    <s v="Male"/>
    <x v="2"/>
    <x v="4"/>
    <n v="9.99"/>
    <n v="5"/>
    <n v="6.3"/>
    <n v="24.58"/>
    <n v="75.400000000000006"/>
    <s v="Action"/>
    <n v="1"/>
    <n v="0"/>
    <n v="0"/>
  </r>
  <r>
    <s v="U01886"/>
    <x v="10"/>
    <n v="50"/>
    <s v="Female"/>
    <x v="0"/>
    <x v="1"/>
    <n v="18.53"/>
    <n v="3"/>
    <n v="4.5"/>
    <n v="3.27"/>
    <n v="34.700000000000003"/>
    <s v="Comedy"/>
    <n v="6"/>
    <n v="2"/>
    <n v="1"/>
  </r>
  <r>
    <s v="U01887"/>
    <x v="9"/>
    <n v="38"/>
    <s v="Male"/>
    <x v="2"/>
    <x v="0"/>
    <n v="7.52"/>
    <n v="5"/>
    <n v="6.5"/>
    <n v="13.73"/>
    <n v="25.8"/>
    <s v="Drama"/>
    <n v="7"/>
    <n v="4"/>
    <n v="0"/>
  </r>
  <r>
    <s v="U01888"/>
    <x v="1"/>
    <n v="56"/>
    <s v="Female"/>
    <x v="1"/>
    <x v="2"/>
    <n v="22.16"/>
    <n v="1"/>
    <n v="2.4"/>
    <n v="14.1"/>
    <n v="89.3"/>
    <s v="Drama"/>
    <n v="11"/>
    <n v="1"/>
    <n v="1"/>
  </r>
  <r>
    <s v="U01889"/>
    <x v="1"/>
    <n v="40"/>
    <s v="Male"/>
    <x v="2"/>
    <x v="4"/>
    <n v="10.01"/>
    <n v="1"/>
    <n v="3.4"/>
    <n v="9.4499999999999993"/>
    <n v="41.5"/>
    <s v="Thriller"/>
    <n v="10"/>
    <n v="0"/>
    <n v="0"/>
  </r>
  <r>
    <s v="U01890"/>
    <x v="11"/>
    <n v="44"/>
    <s v="Male"/>
    <x v="2"/>
    <x v="2"/>
    <n v="12.23"/>
    <n v="3"/>
    <n v="6.1"/>
    <n v="14.55"/>
    <n v="28.3"/>
    <s v="Action"/>
    <n v="8"/>
    <n v="2"/>
    <n v="0"/>
  </r>
  <r>
    <s v="U01891"/>
    <x v="7"/>
    <n v="62"/>
    <s v="Male"/>
    <x v="2"/>
    <x v="0"/>
    <n v="17.649999999999999"/>
    <n v="4"/>
    <n v="3"/>
    <n v="17.809999999999999"/>
    <n v="96.8"/>
    <s v="Family"/>
    <n v="7"/>
    <n v="2"/>
    <n v="0"/>
  </r>
  <r>
    <s v="U01892"/>
    <x v="11"/>
    <n v="61"/>
    <s v="Male"/>
    <x v="0"/>
    <x v="3"/>
    <n v="5.0199999999999996"/>
    <n v="2"/>
    <n v="4.8"/>
    <n v="17.8"/>
    <n v="12.8"/>
    <s v="Thriller"/>
    <n v="7"/>
    <n v="4"/>
    <n v="0"/>
  </r>
  <r>
    <s v="U01893"/>
    <x v="9"/>
    <n v="35"/>
    <s v="Female"/>
    <x v="0"/>
    <x v="0"/>
    <n v="14.45"/>
    <n v="3"/>
    <n v="6.2"/>
    <n v="4.93"/>
    <n v="43"/>
    <s v="Thriller"/>
    <n v="7"/>
    <n v="3"/>
    <n v="0"/>
  </r>
  <r>
    <s v="U01894"/>
    <x v="7"/>
    <n v="41"/>
    <s v="Female"/>
    <x v="0"/>
    <x v="2"/>
    <n v="22.88"/>
    <n v="3"/>
    <n v="9.8000000000000007"/>
    <n v="20.65"/>
    <n v="13.5"/>
    <s v="Drama"/>
    <n v="1"/>
    <n v="3"/>
    <n v="0"/>
  </r>
  <r>
    <s v="U01895"/>
    <x v="7"/>
    <n v="68"/>
    <s v="Female"/>
    <x v="2"/>
    <x v="0"/>
    <n v="18.61"/>
    <n v="1"/>
    <n v="1.7"/>
    <n v="23.48"/>
    <n v="55.4"/>
    <s v="Family"/>
    <n v="9"/>
    <n v="1"/>
    <n v="1"/>
  </r>
  <r>
    <s v="U01896"/>
    <x v="4"/>
    <n v="64"/>
    <s v="Female"/>
    <x v="1"/>
    <x v="1"/>
    <n v="12.76"/>
    <n v="2"/>
    <n v="5.0999999999999996"/>
    <n v="5.72"/>
    <n v="46.1"/>
    <s v="Action"/>
    <n v="9"/>
    <n v="2"/>
    <n v="0"/>
  </r>
  <r>
    <s v="U01897"/>
    <x v="4"/>
    <n v="57"/>
    <s v="Female"/>
    <x v="2"/>
    <x v="0"/>
    <n v="18.21"/>
    <n v="3"/>
    <n v="4.5999999999999996"/>
    <n v="12.17"/>
    <n v="74.900000000000006"/>
    <s v="Action"/>
    <n v="7"/>
    <n v="3"/>
    <n v="0"/>
  </r>
  <r>
    <s v="U01898"/>
    <x v="8"/>
    <n v="68"/>
    <s v="Male"/>
    <x v="1"/>
    <x v="1"/>
    <n v="23.73"/>
    <n v="1"/>
    <n v="8.4"/>
    <n v="14.26"/>
    <n v="95.9"/>
    <s v="Drama"/>
    <n v="9"/>
    <n v="0"/>
    <n v="1"/>
  </r>
  <r>
    <s v="U01899"/>
    <x v="3"/>
    <n v="59"/>
    <s v="Male"/>
    <x v="2"/>
    <x v="0"/>
    <n v="8.76"/>
    <n v="1"/>
    <n v="9.1"/>
    <n v="5.97"/>
    <n v="56.8"/>
    <s v="Comedy"/>
    <n v="11"/>
    <n v="1"/>
    <n v="1"/>
  </r>
  <r>
    <s v="U01900"/>
    <x v="3"/>
    <n v="24"/>
    <s v="Male"/>
    <x v="0"/>
    <x v="1"/>
    <n v="15.64"/>
    <n v="3"/>
    <n v="9.1999999999999993"/>
    <n v="14.07"/>
    <n v="35.700000000000003"/>
    <s v="Drama"/>
    <n v="4"/>
    <n v="0"/>
    <n v="0"/>
  </r>
  <r>
    <s v="U01901"/>
    <x v="2"/>
    <n v="67"/>
    <s v="Male"/>
    <x v="0"/>
    <x v="1"/>
    <n v="9.69"/>
    <n v="3"/>
    <n v="4.4000000000000004"/>
    <n v="7.55"/>
    <n v="88.5"/>
    <s v="Family"/>
    <n v="7"/>
    <n v="3"/>
    <n v="0"/>
  </r>
  <r>
    <s v="U01902"/>
    <x v="10"/>
    <n v="65"/>
    <s v="Male"/>
    <x v="1"/>
    <x v="0"/>
    <n v="22.08"/>
    <n v="1"/>
    <n v="3.7"/>
    <n v="23.58"/>
    <n v="64.400000000000006"/>
    <s v="Comedy"/>
    <n v="2"/>
    <n v="2"/>
    <n v="0"/>
  </r>
  <r>
    <s v="U01903"/>
    <x v="3"/>
    <n v="37"/>
    <s v="Female"/>
    <x v="1"/>
    <x v="4"/>
    <n v="19.420000000000002"/>
    <n v="3"/>
    <n v="5"/>
    <n v="12.87"/>
    <n v="59.8"/>
    <s v="Family"/>
    <n v="6"/>
    <n v="3"/>
    <n v="0"/>
  </r>
  <r>
    <s v="U01904"/>
    <x v="4"/>
    <n v="44"/>
    <s v="Male"/>
    <x v="1"/>
    <x v="3"/>
    <n v="21.02"/>
    <n v="2"/>
    <n v="4.0999999999999996"/>
    <n v="24.89"/>
    <n v="27"/>
    <s v="Action"/>
    <n v="2"/>
    <n v="1"/>
    <n v="0"/>
  </r>
  <r>
    <s v="U01905"/>
    <x v="8"/>
    <n v="23"/>
    <s v="Male"/>
    <x v="2"/>
    <x v="3"/>
    <n v="23.86"/>
    <n v="1"/>
    <n v="7.5"/>
    <n v="4.0199999999999996"/>
    <n v="13.7"/>
    <s v="Comedy"/>
    <n v="10"/>
    <n v="1"/>
    <n v="0"/>
  </r>
  <r>
    <s v="U01906"/>
    <x v="8"/>
    <n v="44"/>
    <s v="Female"/>
    <x v="0"/>
    <x v="3"/>
    <n v="9.65"/>
    <n v="1"/>
    <n v="2.9"/>
    <n v="5.81"/>
    <n v="51.5"/>
    <s v="Family"/>
    <n v="3"/>
    <n v="0"/>
    <n v="0"/>
  </r>
  <r>
    <s v="U01907"/>
    <x v="7"/>
    <n v="26"/>
    <s v="Female"/>
    <x v="1"/>
    <x v="1"/>
    <n v="5.97"/>
    <n v="3"/>
    <n v="6.9"/>
    <n v="12.75"/>
    <n v="57.5"/>
    <s v="Action"/>
    <n v="11"/>
    <n v="0"/>
    <n v="0"/>
  </r>
  <r>
    <s v="U01908"/>
    <x v="2"/>
    <n v="62"/>
    <s v="Male"/>
    <x v="2"/>
    <x v="3"/>
    <n v="10.82"/>
    <n v="3"/>
    <n v="9.3000000000000007"/>
    <n v="22.24"/>
    <n v="21.4"/>
    <s v="Family"/>
    <n v="11"/>
    <n v="1"/>
    <n v="0"/>
  </r>
  <r>
    <s v="U01909"/>
    <x v="11"/>
    <n v="48"/>
    <s v="Male"/>
    <x v="0"/>
    <x v="1"/>
    <n v="12.98"/>
    <n v="3"/>
    <n v="3.5"/>
    <n v="15.21"/>
    <n v="15.3"/>
    <s v="Comedy"/>
    <n v="1"/>
    <n v="0"/>
    <n v="0"/>
  </r>
  <r>
    <s v="U01910"/>
    <x v="10"/>
    <n v="38"/>
    <s v="Female"/>
    <x v="2"/>
    <x v="4"/>
    <n v="17.5"/>
    <n v="2"/>
    <n v="7.1"/>
    <n v="19.11"/>
    <n v="29.4"/>
    <s v="Action"/>
    <n v="7"/>
    <n v="4"/>
    <n v="1"/>
  </r>
  <r>
    <s v="U01911"/>
    <x v="9"/>
    <n v="43"/>
    <s v="Male"/>
    <x v="2"/>
    <x v="0"/>
    <n v="20.95"/>
    <n v="1"/>
    <n v="2.2999999999999998"/>
    <n v="12.32"/>
    <n v="15.7"/>
    <s v="Family"/>
    <n v="2"/>
    <n v="1"/>
    <n v="1"/>
  </r>
  <r>
    <s v="U01912"/>
    <x v="7"/>
    <n v="57"/>
    <s v="Male"/>
    <x v="0"/>
    <x v="0"/>
    <n v="12"/>
    <n v="4"/>
    <n v="2.1"/>
    <n v="3.89"/>
    <n v="15.1"/>
    <s v="Thriller"/>
    <n v="3"/>
    <n v="0"/>
    <n v="0"/>
  </r>
  <r>
    <s v="U01913"/>
    <x v="11"/>
    <n v="65"/>
    <s v="Male"/>
    <x v="0"/>
    <x v="1"/>
    <n v="14.47"/>
    <n v="2"/>
    <n v="2"/>
    <n v="17.25"/>
    <n v="50"/>
    <s v="Comedy"/>
    <n v="1"/>
    <n v="3"/>
    <n v="0"/>
  </r>
  <r>
    <s v="U01914"/>
    <x v="3"/>
    <n v="62"/>
    <s v="Female"/>
    <x v="1"/>
    <x v="1"/>
    <n v="20.71"/>
    <n v="2"/>
    <n v="2.2000000000000002"/>
    <n v="16.95"/>
    <n v="82.9"/>
    <s v="Comedy"/>
    <n v="3"/>
    <n v="2"/>
    <n v="0"/>
  </r>
  <r>
    <s v="U01915"/>
    <x v="2"/>
    <n v="30"/>
    <s v="Male"/>
    <x v="2"/>
    <x v="4"/>
    <n v="9.51"/>
    <n v="1"/>
    <n v="2.9"/>
    <n v="4.57"/>
    <n v="69.8"/>
    <s v="Comedy"/>
    <n v="11"/>
    <n v="4"/>
    <n v="0"/>
  </r>
  <r>
    <s v="U01916"/>
    <x v="7"/>
    <n v="66"/>
    <s v="Male"/>
    <x v="1"/>
    <x v="3"/>
    <n v="9.34"/>
    <n v="4"/>
    <n v="6.1"/>
    <n v="6.76"/>
    <n v="71.099999999999994"/>
    <s v="Action"/>
    <n v="4"/>
    <n v="4"/>
    <n v="0"/>
  </r>
  <r>
    <s v="U01917"/>
    <x v="6"/>
    <n v="40"/>
    <s v="Female"/>
    <x v="1"/>
    <x v="4"/>
    <n v="16.78"/>
    <n v="1"/>
    <n v="7.9"/>
    <n v="13.48"/>
    <n v="33.6"/>
    <s v="Comedy"/>
    <n v="7"/>
    <n v="2"/>
    <n v="0"/>
  </r>
  <r>
    <s v="U01918"/>
    <x v="3"/>
    <n v="37"/>
    <s v="Female"/>
    <x v="2"/>
    <x v="0"/>
    <n v="13.72"/>
    <n v="2"/>
    <n v="2.1"/>
    <n v="12.83"/>
    <n v="11"/>
    <s v="Family"/>
    <n v="6"/>
    <n v="2"/>
    <n v="0"/>
  </r>
  <r>
    <s v="U01919"/>
    <x v="11"/>
    <n v="54"/>
    <s v="Female"/>
    <x v="0"/>
    <x v="0"/>
    <n v="23.98"/>
    <n v="3"/>
    <n v="8.8000000000000007"/>
    <n v="19.55"/>
    <n v="50.6"/>
    <s v="Thriller"/>
    <n v="1"/>
    <n v="3"/>
    <n v="1"/>
  </r>
  <r>
    <s v="U01920"/>
    <x v="10"/>
    <n v="45"/>
    <s v="Male"/>
    <x v="2"/>
    <x v="3"/>
    <n v="12.14"/>
    <n v="1"/>
    <n v="8.6"/>
    <n v="11.52"/>
    <n v="43.9"/>
    <s v="Family"/>
    <n v="11"/>
    <n v="2"/>
    <n v="0"/>
  </r>
  <r>
    <s v="U01921"/>
    <x v="9"/>
    <n v="34"/>
    <s v="Female"/>
    <x v="2"/>
    <x v="0"/>
    <n v="20.190000000000001"/>
    <n v="1"/>
    <n v="7.5"/>
    <n v="17.59"/>
    <n v="95.3"/>
    <s v="Family"/>
    <n v="4"/>
    <n v="4"/>
    <n v="0"/>
  </r>
  <r>
    <s v="U01922"/>
    <x v="11"/>
    <n v="45"/>
    <s v="Male"/>
    <x v="1"/>
    <x v="1"/>
    <n v="16.66"/>
    <n v="3"/>
    <n v="4.8"/>
    <n v="18.5"/>
    <n v="16.5"/>
    <s v="Comedy"/>
    <n v="9"/>
    <n v="3"/>
    <n v="0"/>
  </r>
  <r>
    <s v="U01923"/>
    <x v="7"/>
    <n v="58"/>
    <s v="Female"/>
    <x v="2"/>
    <x v="0"/>
    <n v="6.09"/>
    <n v="4"/>
    <n v="1"/>
    <n v="17.190000000000001"/>
    <n v="79.900000000000006"/>
    <s v="Thriller"/>
    <n v="3"/>
    <n v="2"/>
    <n v="1"/>
  </r>
  <r>
    <s v="U01924"/>
    <x v="7"/>
    <n v="19"/>
    <s v="Male"/>
    <x v="2"/>
    <x v="2"/>
    <n v="6.69"/>
    <n v="4"/>
    <n v="7.6"/>
    <n v="16.11"/>
    <n v="44.7"/>
    <s v="Thriller"/>
    <n v="6"/>
    <n v="3"/>
    <n v="0"/>
  </r>
  <r>
    <s v="U01925"/>
    <x v="9"/>
    <n v="42"/>
    <s v="Female"/>
    <x v="0"/>
    <x v="3"/>
    <n v="9.06"/>
    <n v="1"/>
    <n v="8.9"/>
    <n v="20.73"/>
    <n v="84.7"/>
    <s v="Thriller"/>
    <n v="11"/>
    <n v="3"/>
    <n v="0"/>
  </r>
  <r>
    <s v="U01926"/>
    <x v="1"/>
    <n v="67"/>
    <s v="Male"/>
    <x v="1"/>
    <x v="3"/>
    <n v="7.86"/>
    <n v="3"/>
    <n v="4"/>
    <n v="17.46"/>
    <n v="54.5"/>
    <s v="Thriller"/>
    <n v="2"/>
    <n v="0"/>
    <n v="0"/>
  </r>
  <r>
    <s v="U01927"/>
    <x v="10"/>
    <n v="58"/>
    <s v="Male"/>
    <x v="1"/>
    <x v="3"/>
    <n v="11.59"/>
    <n v="1"/>
    <n v="7.5"/>
    <n v="21.35"/>
    <n v="83.8"/>
    <s v="Drama"/>
    <n v="5"/>
    <n v="2"/>
    <n v="0"/>
  </r>
  <r>
    <s v="U01928"/>
    <x v="5"/>
    <n v="23"/>
    <s v="Female"/>
    <x v="0"/>
    <x v="2"/>
    <n v="16.579999999999998"/>
    <n v="3"/>
    <n v="1.6"/>
    <n v="17.010000000000002"/>
    <n v="52"/>
    <s v="Thriller"/>
    <n v="9"/>
    <n v="0"/>
    <n v="0"/>
  </r>
  <r>
    <s v="U01929"/>
    <x v="3"/>
    <n v="28"/>
    <s v="Female"/>
    <x v="2"/>
    <x v="4"/>
    <n v="17.05"/>
    <n v="2"/>
    <n v="7.4"/>
    <n v="6.5"/>
    <n v="46.2"/>
    <s v="Comedy"/>
    <n v="2"/>
    <n v="4"/>
    <n v="0"/>
  </r>
  <r>
    <s v="U01930"/>
    <x v="8"/>
    <n v="55"/>
    <s v="Male"/>
    <x v="0"/>
    <x v="1"/>
    <n v="16.760000000000002"/>
    <n v="3"/>
    <n v="1.6"/>
    <n v="9.81"/>
    <n v="96.7"/>
    <s v="Thriller"/>
    <n v="3"/>
    <n v="3"/>
    <n v="1"/>
  </r>
  <r>
    <s v="U01931"/>
    <x v="9"/>
    <n v="23"/>
    <s v="Female"/>
    <x v="1"/>
    <x v="3"/>
    <n v="7.35"/>
    <n v="1"/>
    <n v="6.3"/>
    <n v="10.27"/>
    <n v="43.2"/>
    <s v="Family"/>
    <n v="2"/>
    <n v="4"/>
    <n v="0"/>
  </r>
  <r>
    <s v="U01932"/>
    <x v="10"/>
    <n v="62"/>
    <s v="Male"/>
    <x v="1"/>
    <x v="0"/>
    <n v="17"/>
    <n v="5"/>
    <n v="6.4"/>
    <n v="5.07"/>
    <n v="82.5"/>
    <s v="Drama"/>
    <n v="2"/>
    <n v="3"/>
    <n v="1"/>
  </r>
  <r>
    <s v="U01933"/>
    <x v="8"/>
    <n v="28"/>
    <s v="Female"/>
    <x v="0"/>
    <x v="1"/>
    <n v="13.19"/>
    <n v="4"/>
    <n v="3.7"/>
    <n v="18.23"/>
    <n v="16"/>
    <s v="Family"/>
    <n v="6"/>
    <n v="2"/>
    <n v="0"/>
  </r>
  <r>
    <s v="U01934"/>
    <x v="10"/>
    <n v="31"/>
    <s v="Female"/>
    <x v="2"/>
    <x v="0"/>
    <n v="23.06"/>
    <n v="1"/>
    <n v="1.7"/>
    <n v="16.09"/>
    <n v="15.6"/>
    <s v="Comedy"/>
    <n v="6"/>
    <n v="1"/>
    <n v="0"/>
  </r>
  <r>
    <s v="U01935"/>
    <x v="10"/>
    <n v="19"/>
    <s v="Male"/>
    <x v="2"/>
    <x v="1"/>
    <n v="23.24"/>
    <n v="3"/>
    <n v="9.5"/>
    <n v="15.97"/>
    <n v="49.4"/>
    <s v="Comedy"/>
    <n v="5"/>
    <n v="2"/>
    <n v="0"/>
  </r>
  <r>
    <s v="U01936"/>
    <x v="11"/>
    <n v="57"/>
    <s v="Female"/>
    <x v="1"/>
    <x v="1"/>
    <n v="20.36"/>
    <n v="3"/>
    <n v="5.8"/>
    <n v="13.53"/>
    <n v="62.7"/>
    <s v="Thriller"/>
    <n v="2"/>
    <n v="3"/>
    <n v="0"/>
  </r>
  <r>
    <s v="U01937"/>
    <x v="10"/>
    <n v="20"/>
    <s v="Female"/>
    <x v="0"/>
    <x v="0"/>
    <n v="19.059999999999999"/>
    <n v="4"/>
    <n v="6.2"/>
    <n v="14.95"/>
    <n v="64.8"/>
    <s v="Comedy"/>
    <n v="1"/>
    <n v="1"/>
    <n v="0"/>
  </r>
  <r>
    <s v="U01938"/>
    <x v="1"/>
    <n v="52"/>
    <s v="Male"/>
    <x v="0"/>
    <x v="0"/>
    <n v="7.3"/>
    <n v="1"/>
    <n v="6.5"/>
    <n v="3.18"/>
    <n v="13.3"/>
    <s v="Drama"/>
    <n v="3"/>
    <n v="1"/>
    <n v="0"/>
  </r>
  <r>
    <s v="U01939"/>
    <x v="5"/>
    <n v="50"/>
    <s v="Male"/>
    <x v="1"/>
    <x v="1"/>
    <n v="6.69"/>
    <n v="5"/>
    <n v="9"/>
    <n v="5.12"/>
    <n v="72.7"/>
    <s v="Family"/>
    <n v="3"/>
    <n v="2"/>
    <n v="1"/>
  </r>
  <r>
    <s v="U01940"/>
    <x v="7"/>
    <n v="41"/>
    <s v="Female"/>
    <x v="0"/>
    <x v="3"/>
    <n v="21.82"/>
    <n v="2"/>
    <n v="1.5"/>
    <n v="18.03"/>
    <n v="21.7"/>
    <s v="Comedy"/>
    <n v="9"/>
    <n v="4"/>
    <n v="0"/>
  </r>
  <r>
    <s v="U01941"/>
    <x v="0"/>
    <n v="36"/>
    <s v="Male"/>
    <x v="1"/>
    <x v="0"/>
    <n v="13.54"/>
    <n v="5"/>
    <n v="9"/>
    <n v="8.75"/>
    <n v="96"/>
    <s v="Comedy"/>
    <n v="4"/>
    <n v="2"/>
    <n v="0"/>
  </r>
  <r>
    <s v="U01942"/>
    <x v="8"/>
    <n v="35"/>
    <s v="Female"/>
    <x v="2"/>
    <x v="2"/>
    <n v="14.03"/>
    <n v="2"/>
    <n v="3.2"/>
    <n v="5.37"/>
    <n v="40"/>
    <s v="Drama"/>
    <n v="9"/>
    <n v="3"/>
    <n v="0"/>
  </r>
  <r>
    <s v="U01943"/>
    <x v="7"/>
    <n v="66"/>
    <s v="Female"/>
    <x v="1"/>
    <x v="2"/>
    <n v="21.96"/>
    <n v="2"/>
    <n v="1.7"/>
    <n v="10.23"/>
    <n v="33.5"/>
    <s v="Action"/>
    <n v="11"/>
    <n v="4"/>
    <n v="1"/>
  </r>
  <r>
    <s v="U01944"/>
    <x v="0"/>
    <n v="69"/>
    <s v="Male"/>
    <x v="2"/>
    <x v="1"/>
    <n v="17.43"/>
    <n v="1"/>
    <n v="6.9"/>
    <n v="8.6"/>
    <n v="36.200000000000003"/>
    <s v="Action"/>
    <n v="1"/>
    <n v="3"/>
    <n v="0"/>
  </r>
  <r>
    <s v="U01945"/>
    <x v="5"/>
    <n v="41"/>
    <s v="Male"/>
    <x v="1"/>
    <x v="4"/>
    <n v="8.59"/>
    <n v="2"/>
    <n v="9.8000000000000007"/>
    <n v="3.65"/>
    <n v="94.4"/>
    <s v="Drama"/>
    <n v="3"/>
    <n v="4"/>
    <n v="0"/>
  </r>
  <r>
    <s v="U01946"/>
    <x v="5"/>
    <n v="62"/>
    <s v="Male"/>
    <x v="1"/>
    <x v="1"/>
    <n v="9.2200000000000006"/>
    <n v="3"/>
    <n v="1.5"/>
    <n v="12.03"/>
    <n v="53.5"/>
    <s v="Comedy"/>
    <n v="1"/>
    <n v="0"/>
    <n v="0"/>
  </r>
  <r>
    <s v="U01947"/>
    <x v="8"/>
    <n v="52"/>
    <s v="Male"/>
    <x v="2"/>
    <x v="1"/>
    <n v="5.13"/>
    <n v="2"/>
    <n v="4.8"/>
    <n v="3.59"/>
    <n v="49.1"/>
    <s v="Drama"/>
    <n v="6"/>
    <n v="4"/>
    <n v="0"/>
  </r>
  <r>
    <s v="U01948"/>
    <x v="8"/>
    <n v="18"/>
    <s v="Male"/>
    <x v="1"/>
    <x v="3"/>
    <n v="19.21"/>
    <n v="2"/>
    <n v="5.8"/>
    <n v="3.01"/>
    <n v="60.9"/>
    <s v="Drama"/>
    <n v="1"/>
    <n v="0"/>
    <n v="1"/>
  </r>
  <r>
    <s v="U01949"/>
    <x v="5"/>
    <n v="53"/>
    <s v="Male"/>
    <x v="2"/>
    <x v="3"/>
    <n v="14.71"/>
    <n v="4"/>
    <n v="3.3"/>
    <n v="20.43"/>
    <n v="93.8"/>
    <s v="Action"/>
    <n v="2"/>
    <n v="3"/>
    <n v="0"/>
  </r>
  <r>
    <s v="U01950"/>
    <x v="0"/>
    <n v="42"/>
    <s v="Female"/>
    <x v="0"/>
    <x v="4"/>
    <n v="24"/>
    <n v="4"/>
    <n v="9.8000000000000007"/>
    <n v="9.93"/>
    <n v="37.799999999999997"/>
    <s v="Thriller"/>
    <n v="9"/>
    <n v="2"/>
    <n v="0"/>
  </r>
  <r>
    <s v="U01951"/>
    <x v="9"/>
    <n v="62"/>
    <s v="Female"/>
    <x v="0"/>
    <x v="4"/>
    <n v="19.28"/>
    <n v="1"/>
    <n v="6.8"/>
    <n v="15.49"/>
    <n v="26.3"/>
    <s v="Comedy"/>
    <n v="11"/>
    <n v="3"/>
    <n v="0"/>
  </r>
  <r>
    <s v="U01952"/>
    <x v="10"/>
    <n v="66"/>
    <s v="Male"/>
    <x v="2"/>
    <x v="4"/>
    <n v="7.06"/>
    <n v="1"/>
    <n v="8.6"/>
    <n v="9.5500000000000007"/>
    <n v="63.6"/>
    <s v="Family"/>
    <n v="1"/>
    <n v="2"/>
    <n v="1"/>
  </r>
  <r>
    <s v="U01953"/>
    <x v="3"/>
    <n v="60"/>
    <s v="Female"/>
    <x v="1"/>
    <x v="4"/>
    <n v="8.23"/>
    <n v="3"/>
    <n v="4.7"/>
    <n v="23.46"/>
    <n v="54.3"/>
    <s v="Drama"/>
    <n v="4"/>
    <n v="0"/>
    <n v="0"/>
  </r>
  <r>
    <s v="U01954"/>
    <x v="2"/>
    <n v="51"/>
    <s v="Female"/>
    <x v="2"/>
    <x v="4"/>
    <n v="15.03"/>
    <n v="4"/>
    <n v="4.2"/>
    <n v="19.04"/>
    <n v="15.6"/>
    <s v="Action"/>
    <n v="6"/>
    <n v="2"/>
    <n v="0"/>
  </r>
  <r>
    <s v="U01955"/>
    <x v="6"/>
    <n v="42"/>
    <s v="Female"/>
    <x v="2"/>
    <x v="1"/>
    <n v="23.5"/>
    <n v="5"/>
    <n v="6"/>
    <n v="11.12"/>
    <n v="57"/>
    <s v="Thriller"/>
    <n v="2"/>
    <n v="3"/>
    <n v="1"/>
  </r>
  <r>
    <s v="U01956"/>
    <x v="2"/>
    <n v="33"/>
    <s v="Female"/>
    <x v="0"/>
    <x v="1"/>
    <n v="9.9499999999999993"/>
    <n v="1"/>
    <n v="4.9000000000000004"/>
    <n v="7.63"/>
    <n v="60.6"/>
    <s v="Comedy"/>
    <n v="1"/>
    <n v="3"/>
    <n v="0"/>
  </r>
  <r>
    <s v="U01957"/>
    <x v="7"/>
    <n v="51"/>
    <s v="Male"/>
    <x v="1"/>
    <x v="2"/>
    <n v="21.51"/>
    <n v="1"/>
    <n v="7.4"/>
    <n v="6.03"/>
    <n v="72.5"/>
    <s v="Drama"/>
    <n v="4"/>
    <n v="3"/>
    <n v="0"/>
  </r>
  <r>
    <s v="U01958"/>
    <x v="11"/>
    <n v="46"/>
    <s v="Female"/>
    <x v="1"/>
    <x v="2"/>
    <n v="11.25"/>
    <n v="4"/>
    <n v="3.4"/>
    <n v="19.77"/>
    <n v="99.6"/>
    <s v="Action"/>
    <n v="3"/>
    <n v="4"/>
    <n v="0"/>
  </r>
  <r>
    <s v="U01959"/>
    <x v="7"/>
    <n v="36"/>
    <s v="Female"/>
    <x v="1"/>
    <x v="0"/>
    <n v="10.4"/>
    <n v="4"/>
    <n v="5"/>
    <n v="12.97"/>
    <n v="47.9"/>
    <s v="Drama"/>
    <n v="7"/>
    <n v="3"/>
    <n v="0"/>
  </r>
  <r>
    <s v="U01960"/>
    <x v="11"/>
    <n v="40"/>
    <s v="Male"/>
    <x v="2"/>
    <x v="1"/>
    <n v="23.03"/>
    <n v="3"/>
    <n v="9.1"/>
    <n v="8.1"/>
    <n v="55.9"/>
    <s v="Family"/>
    <n v="7"/>
    <n v="4"/>
    <n v="0"/>
  </r>
  <r>
    <s v="U01961"/>
    <x v="0"/>
    <n v="36"/>
    <s v="Male"/>
    <x v="0"/>
    <x v="4"/>
    <n v="5.94"/>
    <n v="4"/>
    <n v="7.8"/>
    <n v="23.23"/>
    <n v="16.8"/>
    <s v="Comedy"/>
    <n v="10"/>
    <n v="1"/>
    <n v="1"/>
  </r>
  <r>
    <s v="U01962"/>
    <x v="11"/>
    <n v="42"/>
    <s v="Male"/>
    <x v="1"/>
    <x v="0"/>
    <n v="18.21"/>
    <n v="2"/>
    <n v="2.5"/>
    <n v="11.58"/>
    <n v="84.8"/>
    <s v="Comedy"/>
    <n v="11"/>
    <n v="0"/>
    <n v="0"/>
  </r>
  <r>
    <s v="U01963"/>
    <x v="8"/>
    <n v="33"/>
    <s v="Male"/>
    <x v="2"/>
    <x v="3"/>
    <n v="5.86"/>
    <n v="5"/>
    <n v="9"/>
    <n v="14.96"/>
    <n v="18.8"/>
    <s v="Comedy"/>
    <n v="7"/>
    <n v="1"/>
    <n v="0"/>
  </r>
  <r>
    <s v="U01964"/>
    <x v="9"/>
    <n v="68"/>
    <s v="Female"/>
    <x v="0"/>
    <x v="1"/>
    <n v="21.02"/>
    <n v="2"/>
    <n v="6.3"/>
    <n v="21.87"/>
    <n v="94"/>
    <s v="Comedy"/>
    <n v="9"/>
    <n v="1"/>
    <n v="0"/>
  </r>
  <r>
    <s v="U01965"/>
    <x v="3"/>
    <n v="26"/>
    <s v="Male"/>
    <x v="2"/>
    <x v="2"/>
    <n v="21.59"/>
    <n v="2"/>
    <n v="7.1"/>
    <n v="21.33"/>
    <n v="41.4"/>
    <s v="Action"/>
    <n v="9"/>
    <n v="4"/>
    <n v="1"/>
  </r>
  <r>
    <s v="U01966"/>
    <x v="3"/>
    <n v="18"/>
    <s v="Female"/>
    <x v="1"/>
    <x v="1"/>
    <n v="22.87"/>
    <n v="2"/>
    <n v="3.6"/>
    <n v="17.03"/>
    <n v="40.4"/>
    <s v="Family"/>
    <n v="4"/>
    <n v="4"/>
    <n v="0"/>
  </r>
  <r>
    <s v="U01967"/>
    <x v="8"/>
    <n v="59"/>
    <s v="Female"/>
    <x v="2"/>
    <x v="1"/>
    <n v="8.7200000000000006"/>
    <n v="1"/>
    <n v="5"/>
    <n v="22.55"/>
    <n v="39.6"/>
    <s v="Drama"/>
    <n v="9"/>
    <n v="0"/>
    <n v="0"/>
  </r>
  <r>
    <s v="U01968"/>
    <x v="9"/>
    <n v="36"/>
    <s v="Male"/>
    <x v="1"/>
    <x v="1"/>
    <n v="7.49"/>
    <n v="2"/>
    <n v="8.3000000000000007"/>
    <n v="23.95"/>
    <n v="95.5"/>
    <s v="Action"/>
    <n v="11"/>
    <n v="0"/>
    <n v="1"/>
  </r>
  <r>
    <s v="U01969"/>
    <x v="1"/>
    <n v="50"/>
    <s v="Male"/>
    <x v="0"/>
    <x v="1"/>
    <n v="15.07"/>
    <n v="1"/>
    <n v="4"/>
    <n v="23.57"/>
    <n v="98.2"/>
    <s v="Thriller"/>
    <n v="7"/>
    <n v="0"/>
    <n v="1"/>
  </r>
  <r>
    <s v="U01970"/>
    <x v="2"/>
    <n v="51"/>
    <s v="Male"/>
    <x v="1"/>
    <x v="3"/>
    <n v="10.43"/>
    <n v="4"/>
    <n v="2.5"/>
    <n v="10.68"/>
    <n v="97.6"/>
    <s v="Comedy"/>
    <n v="6"/>
    <n v="3"/>
    <n v="0"/>
  </r>
  <r>
    <s v="U01971"/>
    <x v="0"/>
    <n v="33"/>
    <s v="Male"/>
    <x v="0"/>
    <x v="2"/>
    <n v="17.13"/>
    <n v="5"/>
    <n v="4.4000000000000004"/>
    <n v="11.74"/>
    <n v="73.400000000000006"/>
    <s v="Comedy"/>
    <n v="11"/>
    <n v="3"/>
    <n v="0"/>
  </r>
  <r>
    <s v="U01972"/>
    <x v="2"/>
    <n v="61"/>
    <s v="Male"/>
    <x v="2"/>
    <x v="1"/>
    <n v="15.27"/>
    <n v="5"/>
    <n v="1.6"/>
    <n v="8.2899999999999991"/>
    <n v="20"/>
    <s v="Drama"/>
    <n v="9"/>
    <n v="0"/>
    <n v="0"/>
  </r>
  <r>
    <s v="U01973"/>
    <x v="1"/>
    <n v="57"/>
    <s v="Male"/>
    <x v="0"/>
    <x v="3"/>
    <n v="7.9"/>
    <n v="2"/>
    <n v="7.5"/>
    <n v="21.41"/>
    <n v="44.8"/>
    <s v="Comedy"/>
    <n v="4"/>
    <n v="4"/>
    <n v="0"/>
  </r>
  <r>
    <s v="U01974"/>
    <x v="1"/>
    <n v="35"/>
    <s v="Female"/>
    <x v="2"/>
    <x v="0"/>
    <n v="19.79"/>
    <n v="5"/>
    <n v="2.2999999999999998"/>
    <n v="5.68"/>
    <n v="36"/>
    <s v="Comedy"/>
    <n v="1"/>
    <n v="1"/>
    <n v="0"/>
  </r>
  <r>
    <s v="U01975"/>
    <x v="7"/>
    <n v="51"/>
    <s v="Female"/>
    <x v="1"/>
    <x v="1"/>
    <n v="21.08"/>
    <n v="1"/>
    <n v="3.6"/>
    <n v="10.81"/>
    <n v="73.8"/>
    <s v="Drama"/>
    <n v="6"/>
    <n v="0"/>
    <n v="0"/>
  </r>
  <r>
    <s v="U01976"/>
    <x v="5"/>
    <n v="42"/>
    <s v="Female"/>
    <x v="1"/>
    <x v="3"/>
    <n v="24.26"/>
    <n v="4"/>
    <n v="8.9"/>
    <n v="3.21"/>
    <n v="54.3"/>
    <s v="Family"/>
    <n v="1"/>
    <n v="0"/>
    <n v="0"/>
  </r>
  <r>
    <s v="U01977"/>
    <x v="7"/>
    <n v="62"/>
    <s v="Female"/>
    <x v="0"/>
    <x v="4"/>
    <n v="12.91"/>
    <n v="2"/>
    <n v="5.9"/>
    <n v="16.079999999999998"/>
    <n v="65.5"/>
    <s v="Action"/>
    <n v="10"/>
    <n v="1"/>
    <n v="0"/>
  </r>
  <r>
    <s v="U01978"/>
    <x v="5"/>
    <n v="23"/>
    <s v="Male"/>
    <x v="1"/>
    <x v="0"/>
    <n v="11.75"/>
    <n v="3"/>
    <n v="3.9"/>
    <n v="17.48"/>
    <n v="10.8"/>
    <s v="Family"/>
    <n v="9"/>
    <n v="2"/>
    <n v="1"/>
  </r>
  <r>
    <s v="U01979"/>
    <x v="6"/>
    <n v="38"/>
    <s v="Male"/>
    <x v="1"/>
    <x v="2"/>
    <n v="8.85"/>
    <n v="5"/>
    <n v="5.9"/>
    <n v="8.48"/>
    <n v="80.5"/>
    <s v="Drama"/>
    <n v="5"/>
    <n v="0"/>
    <n v="1"/>
  </r>
  <r>
    <s v="U01980"/>
    <x v="11"/>
    <n v="23"/>
    <s v="Female"/>
    <x v="0"/>
    <x v="1"/>
    <n v="8.6199999999999992"/>
    <n v="5"/>
    <n v="3"/>
    <n v="19.21"/>
    <n v="95.7"/>
    <s v="Comedy"/>
    <n v="2"/>
    <n v="0"/>
    <n v="0"/>
  </r>
  <r>
    <s v="U01981"/>
    <x v="9"/>
    <n v="49"/>
    <s v="Female"/>
    <x v="2"/>
    <x v="1"/>
    <n v="11.42"/>
    <n v="2"/>
    <n v="1.2"/>
    <n v="11.39"/>
    <n v="70.2"/>
    <s v="Comedy"/>
    <n v="8"/>
    <n v="3"/>
    <n v="0"/>
  </r>
  <r>
    <s v="U01982"/>
    <x v="5"/>
    <n v="58"/>
    <s v="Female"/>
    <x v="1"/>
    <x v="3"/>
    <n v="24.64"/>
    <n v="5"/>
    <n v="6.4"/>
    <n v="9.86"/>
    <n v="86.7"/>
    <s v="Family"/>
    <n v="10"/>
    <n v="1"/>
    <n v="1"/>
  </r>
  <r>
    <s v="U01983"/>
    <x v="2"/>
    <n v="65"/>
    <s v="Male"/>
    <x v="1"/>
    <x v="2"/>
    <n v="6.85"/>
    <n v="5"/>
    <n v="7.4"/>
    <n v="24.04"/>
    <n v="53"/>
    <s v="Thriller"/>
    <n v="11"/>
    <n v="0"/>
    <n v="0"/>
  </r>
  <r>
    <s v="U01984"/>
    <x v="8"/>
    <n v="60"/>
    <s v="Male"/>
    <x v="1"/>
    <x v="4"/>
    <n v="10.19"/>
    <n v="3"/>
    <n v="8.9"/>
    <n v="15.95"/>
    <n v="11.8"/>
    <s v="Action"/>
    <n v="6"/>
    <n v="0"/>
    <n v="0"/>
  </r>
  <r>
    <s v="U01985"/>
    <x v="7"/>
    <n v="56"/>
    <s v="Male"/>
    <x v="0"/>
    <x v="0"/>
    <n v="6.72"/>
    <n v="1"/>
    <n v="7.9"/>
    <n v="8.5500000000000007"/>
    <n v="99.1"/>
    <s v="Comedy"/>
    <n v="3"/>
    <n v="2"/>
    <n v="1"/>
  </r>
  <r>
    <s v="U01986"/>
    <x v="9"/>
    <n v="48"/>
    <s v="Female"/>
    <x v="2"/>
    <x v="2"/>
    <n v="10.47"/>
    <n v="2"/>
    <n v="9.3000000000000007"/>
    <n v="24.63"/>
    <n v="15.3"/>
    <s v="Drama"/>
    <n v="11"/>
    <n v="1"/>
    <n v="0"/>
  </r>
  <r>
    <s v="U01987"/>
    <x v="0"/>
    <n v="59"/>
    <s v="Female"/>
    <x v="1"/>
    <x v="1"/>
    <n v="6.85"/>
    <n v="2"/>
    <n v="9.9"/>
    <n v="11.53"/>
    <n v="27.3"/>
    <s v="Family"/>
    <n v="2"/>
    <n v="0"/>
    <n v="0"/>
  </r>
  <r>
    <s v="U01988"/>
    <x v="9"/>
    <n v="27"/>
    <s v="Male"/>
    <x v="0"/>
    <x v="3"/>
    <n v="15.17"/>
    <n v="3"/>
    <n v="7.7"/>
    <n v="17.25"/>
    <n v="14.7"/>
    <s v="Action"/>
    <n v="10"/>
    <n v="2"/>
    <n v="1"/>
  </r>
  <r>
    <s v="U01989"/>
    <x v="11"/>
    <n v="47"/>
    <s v="Male"/>
    <x v="1"/>
    <x v="4"/>
    <n v="13.77"/>
    <n v="3"/>
    <n v="8.8000000000000007"/>
    <n v="18.920000000000002"/>
    <n v="66.2"/>
    <s v="Thriller"/>
    <n v="11"/>
    <n v="0"/>
    <n v="0"/>
  </r>
  <r>
    <s v="U01990"/>
    <x v="6"/>
    <n v="69"/>
    <s v="Female"/>
    <x v="1"/>
    <x v="3"/>
    <n v="8.48"/>
    <n v="1"/>
    <n v="7.1"/>
    <n v="12.29"/>
    <n v="62.5"/>
    <s v="Comedy"/>
    <n v="4"/>
    <n v="4"/>
    <n v="0"/>
  </r>
  <r>
    <s v="U01991"/>
    <x v="5"/>
    <n v="35"/>
    <s v="Female"/>
    <x v="1"/>
    <x v="0"/>
    <n v="8.5"/>
    <n v="4"/>
    <n v="2.5"/>
    <n v="14.79"/>
    <n v="28.9"/>
    <s v="Family"/>
    <n v="1"/>
    <n v="2"/>
    <n v="1"/>
  </r>
  <r>
    <s v="U01992"/>
    <x v="6"/>
    <n v="41"/>
    <s v="Male"/>
    <x v="1"/>
    <x v="2"/>
    <n v="17.52"/>
    <n v="2"/>
    <n v="2.6"/>
    <n v="8.2799999999999994"/>
    <n v="96.1"/>
    <s v="Comedy"/>
    <n v="1"/>
    <n v="4"/>
    <n v="0"/>
  </r>
  <r>
    <s v="U01993"/>
    <x v="0"/>
    <n v="69"/>
    <s v="Female"/>
    <x v="0"/>
    <x v="3"/>
    <n v="12.74"/>
    <n v="5"/>
    <n v="2"/>
    <n v="13.25"/>
    <n v="92.2"/>
    <s v="Family"/>
    <n v="5"/>
    <n v="0"/>
    <n v="0"/>
  </r>
  <r>
    <s v="U01994"/>
    <x v="1"/>
    <n v="26"/>
    <s v="Male"/>
    <x v="0"/>
    <x v="3"/>
    <n v="6.12"/>
    <n v="1"/>
    <n v="9.5"/>
    <n v="9.84"/>
    <n v="35.200000000000003"/>
    <s v="Thriller"/>
    <n v="10"/>
    <n v="2"/>
    <n v="0"/>
  </r>
  <r>
    <s v="U01995"/>
    <x v="3"/>
    <n v="48"/>
    <s v="Male"/>
    <x v="2"/>
    <x v="1"/>
    <n v="23.4"/>
    <n v="2"/>
    <n v="7.1"/>
    <n v="15.04"/>
    <n v="69.3"/>
    <s v="Drama"/>
    <n v="9"/>
    <n v="1"/>
    <n v="0"/>
  </r>
  <r>
    <s v="U01996"/>
    <x v="0"/>
    <n v="32"/>
    <s v="Female"/>
    <x v="0"/>
    <x v="3"/>
    <n v="13.1"/>
    <n v="1"/>
    <n v="8.1"/>
    <n v="17.739999999999998"/>
    <n v="87"/>
    <s v="Drama"/>
    <n v="5"/>
    <n v="3"/>
    <n v="0"/>
  </r>
  <r>
    <s v="U01997"/>
    <x v="4"/>
    <n v="21"/>
    <s v="Female"/>
    <x v="2"/>
    <x v="4"/>
    <n v="16.82"/>
    <n v="4"/>
    <n v="4"/>
    <n v="16.510000000000002"/>
    <n v="42.4"/>
    <s v="Action"/>
    <n v="6"/>
    <n v="0"/>
    <n v="0"/>
  </r>
  <r>
    <s v="U01998"/>
    <x v="0"/>
    <n v="57"/>
    <s v="Female"/>
    <x v="0"/>
    <x v="2"/>
    <n v="22.71"/>
    <n v="2"/>
    <n v="5.0999999999999996"/>
    <n v="20.09"/>
    <n v="32.799999999999997"/>
    <s v="Comedy"/>
    <n v="10"/>
    <n v="2"/>
    <n v="0"/>
  </r>
  <r>
    <s v="U01999"/>
    <x v="6"/>
    <n v="26"/>
    <s v="Male"/>
    <x v="2"/>
    <x v="0"/>
    <n v="13.04"/>
    <n v="5"/>
    <n v="1.4"/>
    <n v="3.91"/>
    <n v="33.1"/>
    <s v="Comedy"/>
    <n v="9"/>
    <n v="4"/>
    <n v="1"/>
  </r>
  <r>
    <s v="U02000"/>
    <x v="9"/>
    <n v="62"/>
    <s v="Female"/>
    <x v="1"/>
    <x v="3"/>
    <n v="21.41"/>
    <n v="2"/>
    <n v="9"/>
    <n v="4.7300000000000004"/>
    <n v="83.8"/>
    <s v="Comedy"/>
    <n v="3"/>
    <n v="2"/>
    <n v="1"/>
  </r>
  <r>
    <s v="U02001"/>
    <x v="8"/>
    <n v="26"/>
    <s v="Female"/>
    <x v="1"/>
    <x v="4"/>
    <n v="23.3"/>
    <n v="1"/>
    <n v="8.6999999999999993"/>
    <n v="7.52"/>
    <n v="51.7"/>
    <s v="Drama"/>
    <n v="4"/>
    <n v="1"/>
    <n v="0"/>
  </r>
  <r>
    <s v="U02002"/>
    <x v="7"/>
    <n v="43"/>
    <s v="Male"/>
    <x v="0"/>
    <x v="0"/>
    <n v="8.48"/>
    <n v="4"/>
    <n v="8.1"/>
    <n v="24.69"/>
    <n v="74.400000000000006"/>
    <s v="Action"/>
    <n v="2"/>
    <n v="2"/>
    <n v="0"/>
  </r>
  <r>
    <s v="U02003"/>
    <x v="8"/>
    <n v="21"/>
    <s v="Male"/>
    <x v="0"/>
    <x v="4"/>
    <n v="22.85"/>
    <n v="1"/>
    <n v="1.5"/>
    <n v="20.61"/>
    <n v="68.5"/>
    <s v="Drama"/>
    <n v="4"/>
    <n v="4"/>
    <n v="0"/>
  </r>
  <r>
    <s v="U02004"/>
    <x v="6"/>
    <n v="34"/>
    <s v="Female"/>
    <x v="0"/>
    <x v="3"/>
    <n v="7.4"/>
    <n v="1"/>
    <n v="2.6"/>
    <n v="23.33"/>
    <n v="37.6"/>
    <s v="Family"/>
    <n v="8"/>
    <n v="0"/>
    <n v="0"/>
  </r>
  <r>
    <s v="U02005"/>
    <x v="7"/>
    <n v="33"/>
    <s v="Male"/>
    <x v="0"/>
    <x v="3"/>
    <n v="10.5"/>
    <n v="3"/>
    <n v="4"/>
    <n v="8.99"/>
    <n v="28.7"/>
    <s v="Comedy"/>
    <n v="2"/>
    <n v="4"/>
    <n v="0"/>
  </r>
  <r>
    <s v="U02006"/>
    <x v="4"/>
    <n v="32"/>
    <s v="Male"/>
    <x v="1"/>
    <x v="2"/>
    <n v="21.16"/>
    <n v="1"/>
    <n v="3.4"/>
    <n v="15.62"/>
    <n v="21.3"/>
    <s v="Family"/>
    <n v="4"/>
    <n v="4"/>
    <n v="0"/>
  </r>
  <r>
    <s v="U02007"/>
    <x v="3"/>
    <n v="52"/>
    <s v="Male"/>
    <x v="1"/>
    <x v="1"/>
    <n v="23.01"/>
    <n v="4"/>
    <n v="8.5"/>
    <n v="15.21"/>
    <n v="12.1"/>
    <s v="Thriller"/>
    <n v="8"/>
    <n v="4"/>
    <n v="1"/>
  </r>
  <r>
    <s v="U02008"/>
    <x v="11"/>
    <n v="69"/>
    <s v="Female"/>
    <x v="1"/>
    <x v="4"/>
    <n v="18.68"/>
    <n v="5"/>
    <n v="2.8"/>
    <n v="15.53"/>
    <n v="17.3"/>
    <s v="Family"/>
    <n v="7"/>
    <n v="3"/>
    <n v="0"/>
  </r>
  <r>
    <s v="U02009"/>
    <x v="2"/>
    <n v="22"/>
    <s v="Female"/>
    <x v="2"/>
    <x v="1"/>
    <n v="7.1"/>
    <n v="3"/>
    <n v="5.8"/>
    <n v="18.79"/>
    <n v="33.1"/>
    <s v="Family"/>
    <n v="9"/>
    <n v="0"/>
    <n v="1"/>
  </r>
  <r>
    <s v="U02010"/>
    <x v="6"/>
    <n v="22"/>
    <s v="Male"/>
    <x v="1"/>
    <x v="1"/>
    <n v="15.46"/>
    <n v="1"/>
    <n v="6.1"/>
    <n v="11.67"/>
    <n v="74.2"/>
    <s v="Family"/>
    <n v="2"/>
    <n v="3"/>
    <n v="0"/>
  </r>
  <r>
    <s v="U02011"/>
    <x v="9"/>
    <n v="37"/>
    <s v="Male"/>
    <x v="1"/>
    <x v="0"/>
    <n v="16.45"/>
    <n v="2"/>
    <n v="4.8"/>
    <n v="17.899999999999999"/>
    <n v="23.9"/>
    <s v="Drama"/>
    <n v="4"/>
    <n v="2"/>
    <n v="1"/>
  </r>
  <r>
    <s v="U02012"/>
    <x v="5"/>
    <n v="32"/>
    <s v="Male"/>
    <x v="1"/>
    <x v="0"/>
    <n v="10.64"/>
    <n v="3"/>
    <n v="3.2"/>
    <n v="20.350000000000001"/>
    <n v="57.1"/>
    <s v="Family"/>
    <n v="9"/>
    <n v="0"/>
    <n v="1"/>
  </r>
  <r>
    <s v="U02013"/>
    <x v="6"/>
    <n v="35"/>
    <s v="Female"/>
    <x v="1"/>
    <x v="4"/>
    <n v="24.83"/>
    <n v="4"/>
    <n v="9.6"/>
    <n v="9.36"/>
    <n v="32.1"/>
    <s v="Comedy"/>
    <n v="6"/>
    <n v="0"/>
    <n v="0"/>
  </r>
  <r>
    <s v="U02014"/>
    <x v="6"/>
    <n v="64"/>
    <s v="Male"/>
    <x v="1"/>
    <x v="1"/>
    <n v="11.71"/>
    <n v="2"/>
    <n v="4.7"/>
    <n v="23.81"/>
    <n v="56.1"/>
    <s v="Action"/>
    <n v="9"/>
    <n v="2"/>
    <n v="0"/>
  </r>
  <r>
    <s v="U02015"/>
    <x v="7"/>
    <n v="19"/>
    <s v="Male"/>
    <x v="2"/>
    <x v="2"/>
    <n v="9.2100000000000009"/>
    <n v="4"/>
    <n v="7.5"/>
    <n v="14.4"/>
    <n v="77.5"/>
    <s v="Thriller"/>
    <n v="9"/>
    <n v="2"/>
    <n v="0"/>
  </r>
  <r>
    <s v="U02016"/>
    <x v="10"/>
    <n v="46"/>
    <s v="Female"/>
    <x v="0"/>
    <x v="1"/>
    <n v="7.2"/>
    <n v="2"/>
    <n v="2.7"/>
    <n v="19.12"/>
    <n v="33.9"/>
    <s v="Comedy"/>
    <n v="7"/>
    <n v="4"/>
    <n v="0"/>
  </r>
  <r>
    <s v="U02017"/>
    <x v="0"/>
    <n v="30"/>
    <s v="Male"/>
    <x v="0"/>
    <x v="0"/>
    <n v="12.57"/>
    <n v="5"/>
    <n v="8.4"/>
    <n v="19.04"/>
    <n v="41.3"/>
    <s v="Action"/>
    <n v="7"/>
    <n v="0"/>
    <n v="0"/>
  </r>
  <r>
    <s v="U02018"/>
    <x v="9"/>
    <n v="21"/>
    <s v="Female"/>
    <x v="1"/>
    <x v="1"/>
    <n v="18.850000000000001"/>
    <n v="4"/>
    <n v="2.9"/>
    <n v="15.44"/>
    <n v="75.099999999999994"/>
    <s v="Comedy"/>
    <n v="8"/>
    <n v="1"/>
    <n v="0"/>
  </r>
  <r>
    <s v="U02019"/>
    <x v="10"/>
    <n v="59"/>
    <s v="Female"/>
    <x v="0"/>
    <x v="3"/>
    <n v="9.6300000000000008"/>
    <n v="2"/>
    <n v="7.1"/>
    <n v="10.1"/>
    <n v="59.2"/>
    <s v="Family"/>
    <n v="2"/>
    <n v="4"/>
    <n v="0"/>
  </r>
  <r>
    <s v="U02020"/>
    <x v="4"/>
    <n v="62"/>
    <s v="Female"/>
    <x v="2"/>
    <x v="3"/>
    <n v="20.39"/>
    <n v="4"/>
    <n v="5.6"/>
    <n v="17.670000000000002"/>
    <n v="18.5"/>
    <s v="Thriller"/>
    <n v="10"/>
    <n v="0"/>
    <n v="0"/>
  </r>
  <r>
    <s v="U02021"/>
    <x v="5"/>
    <n v="27"/>
    <s v="Male"/>
    <x v="2"/>
    <x v="2"/>
    <n v="7.71"/>
    <n v="3"/>
    <n v="2.2999999999999998"/>
    <n v="4.92"/>
    <n v="78.2"/>
    <s v="Comedy"/>
    <n v="7"/>
    <n v="2"/>
    <n v="0"/>
  </r>
  <r>
    <s v="U02022"/>
    <x v="3"/>
    <n v="48"/>
    <s v="Male"/>
    <x v="0"/>
    <x v="4"/>
    <n v="13.81"/>
    <n v="4"/>
    <n v="1.2"/>
    <n v="24.59"/>
    <n v="35"/>
    <s v="Thriller"/>
    <n v="6"/>
    <n v="2"/>
    <n v="1"/>
  </r>
  <r>
    <s v="U02023"/>
    <x v="1"/>
    <n v="58"/>
    <s v="Female"/>
    <x v="0"/>
    <x v="1"/>
    <n v="19.05"/>
    <n v="4"/>
    <n v="9.4"/>
    <n v="7.05"/>
    <n v="44.7"/>
    <s v="Drama"/>
    <n v="7"/>
    <n v="1"/>
    <n v="0"/>
  </r>
  <r>
    <s v="U02024"/>
    <x v="4"/>
    <n v="25"/>
    <s v="Male"/>
    <x v="1"/>
    <x v="3"/>
    <n v="7.71"/>
    <n v="2"/>
    <n v="2.1"/>
    <n v="9.06"/>
    <n v="32.1"/>
    <s v="Drama"/>
    <n v="6"/>
    <n v="0"/>
    <n v="0"/>
  </r>
  <r>
    <s v="U02025"/>
    <x v="1"/>
    <n v="20"/>
    <s v="Female"/>
    <x v="1"/>
    <x v="4"/>
    <n v="16.96"/>
    <n v="4"/>
    <n v="7.3"/>
    <n v="24"/>
    <n v="58.9"/>
    <s v="Family"/>
    <n v="11"/>
    <n v="3"/>
    <n v="0"/>
  </r>
  <r>
    <s v="U02026"/>
    <x v="9"/>
    <n v="65"/>
    <s v="Male"/>
    <x v="0"/>
    <x v="3"/>
    <n v="20.98"/>
    <n v="5"/>
    <n v="6.9"/>
    <n v="7.1"/>
    <n v="73.7"/>
    <s v="Family"/>
    <n v="3"/>
    <n v="4"/>
    <n v="0"/>
  </r>
  <r>
    <s v="U02027"/>
    <x v="9"/>
    <n v="63"/>
    <s v="Female"/>
    <x v="2"/>
    <x v="4"/>
    <n v="16.91"/>
    <n v="1"/>
    <n v="4.0999999999999996"/>
    <n v="6.74"/>
    <n v="82.3"/>
    <s v="Drama"/>
    <n v="5"/>
    <n v="0"/>
    <n v="0"/>
  </r>
  <r>
    <s v="U02028"/>
    <x v="1"/>
    <n v="26"/>
    <s v="Female"/>
    <x v="1"/>
    <x v="4"/>
    <n v="15.23"/>
    <n v="3"/>
    <n v="2.7"/>
    <n v="20.7"/>
    <n v="93"/>
    <s v="Comedy"/>
    <n v="3"/>
    <n v="3"/>
    <n v="0"/>
  </r>
  <r>
    <s v="U02029"/>
    <x v="9"/>
    <n v="47"/>
    <s v="Male"/>
    <x v="1"/>
    <x v="3"/>
    <n v="21.77"/>
    <n v="2"/>
    <n v="2.6"/>
    <n v="8.5299999999999994"/>
    <n v="42.3"/>
    <s v="Action"/>
    <n v="6"/>
    <n v="2"/>
    <n v="0"/>
  </r>
  <r>
    <s v="U02030"/>
    <x v="3"/>
    <n v="28"/>
    <s v="Male"/>
    <x v="0"/>
    <x v="0"/>
    <n v="24.71"/>
    <n v="4"/>
    <n v="6.3"/>
    <n v="5.08"/>
    <n v="93.9"/>
    <s v="Action"/>
    <n v="3"/>
    <n v="2"/>
    <n v="0"/>
  </r>
  <r>
    <s v="U02031"/>
    <x v="8"/>
    <n v="52"/>
    <s v="Male"/>
    <x v="2"/>
    <x v="4"/>
    <n v="8.6300000000000008"/>
    <n v="4"/>
    <n v="5.9"/>
    <n v="7.99"/>
    <n v="65.5"/>
    <s v="Drama"/>
    <n v="2"/>
    <n v="3"/>
    <n v="0"/>
  </r>
  <r>
    <s v="U02032"/>
    <x v="10"/>
    <n v="54"/>
    <s v="Male"/>
    <x v="0"/>
    <x v="1"/>
    <n v="18.829999999999998"/>
    <n v="4"/>
    <n v="8.9"/>
    <n v="22.54"/>
    <n v="45.1"/>
    <s v="Action"/>
    <n v="11"/>
    <n v="3"/>
    <n v="0"/>
  </r>
  <r>
    <s v="U02033"/>
    <x v="6"/>
    <n v="59"/>
    <s v="Female"/>
    <x v="2"/>
    <x v="3"/>
    <n v="6.61"/>
    <n v="3"/>
    <n v="6.8"/>
    <n v="9.17"/>
    <n v="89.9"/>
    <s v="Comedy"/>
    <n v="4"/>
    <n v="1"/>
    <n v="0"/>
  </r>
  <r>
    <s v="U02034"/>
    <x v="11"/>
    <n v="30"/>
    <s v="Female"/>
    <x v="1"/>
    <x v="0"/>
    <n v="5.86"/>
    <n v="1"/>
    <n v="8.4"/>
    <n v="18.29"/>
    <n v="62.2"/>
    <s v="Action"/>
    <n v="9"/>
    <n v="0"/>
    <n v="0"/>
  </r>
  <r>
    <s v="U02035"/>
    <x v="1"/>
    <n v="53"/>
    <s v="Male"/>
    <x v="1"/>
    <x v="3"/>
    <n v="10.62"/>
    <n v="5"/>
    <n v="1.3"/>
    <n v="11.69"/>
    <n v="50.9"/>
    <s v="Action"/>
    <n v="1"/>
    <n v="2"/>
    <n v="0"/>
  </r>
  <r>
    <s v="U02036"/>
    <x v="5"/>
    <n v="30"/>
    <s v="Male"/>
    <x v="2"/>
    <x v="2"/>
    <n v="24.42"/>
    <n v="5"/>
    <n v="7"/>
    <n v="8.77"/>
    <n v="11"/>
    <s v="Drama"/>
    <n v="8"/>
    <n v="4"/>
    <n v="0"/>
  </r>
  <r>
    <s v="U02037"/>
    <x v="4"/>
    <n v="29"/>
    <s v="Female"/>
    <x v="2"/>
    <x v="1"/>
    <n v="16.04"/>
    <n v="2"/>
    <n v="3.1"/>
    <n v="6.17"/>
    <n v="74.599999999999994"/>
    <s v="Thriller"/>
    <n v="5"/>
    <n v="2"/>
    <n v="0"/>
  </r>
  <r>
    <s v="U02038"/>
    <x v="8"/>
    <n v="54"/>
    <s v="Male"/>
    <x v="1"/>
    <x v="2"/>
    <n v="10.37"/>
    <n v="1"/>
    <n v="3.3"/>
    <n v="24.39"/>
    <n v="17"/>
    <s v="Thriller"/>
    <n v="2"/>
    <n v="0"/>
    <n v="0"/>
  </r>
  <r>
    <s v="U02039"/>
    <x v="1"/>
    <n v="27"/>
    <s v="Male"/>
    <x v="0"/>
    <x v="4"/>
    <n v="7.65"/>
    <n v="1"/>
    <n v="7.5"/>
    <n v="14.46"/>
    <n v="36"/>
    <s v="Comedy"/>
    <n v="9"/>
    <n v="3"/>
    <n v="0"/>
  </r>
  <r>
    <s v="U02040"/>
    <x v="8"/>
    <n v="26"/>
    <s v="Male"/>
    <x v="2"/>
    <x v="4"/>
    <n v="23.4"/>
    <n v="3"/>
    <n v="8.1"/>
    <n v="5.52"/>
    <n v="96.6"/>
    <s v="Thriller"/>
    <n v="2"/>
    <n v="1"/>
    <n v="0"/>
  </r>
  <r>
    <s v="U02041"/>
    <x v="8"/>
    <n v="69"/>
    <s v="Male"/>
    <x v="1"/>
    <x v="2"/>
    <n v="12.25"/>
    <n v="4"/>
    <n v="4.3"/>
    <n v="7.37"/>
    <n v="24"/>
    <s v="Family"/>
    <n v="11"/>
    <n v="2"/>
    <n v="0"/>
  </r>
  <r>
    <s v="U02042"/>
    <x v="1"/>
    <n v="24"/>
    <s v="Female"/>
    <x v="0"/>
    <x v="2"/>
    <n v="11.13"/>
    <n v="1"/>
    <n v="8.1"/>
    <n v="11.96"/>
    <n v="38.1"/>
    <s v="Drama"/>
    <n v="11"/>
    <n v="1"/>
    <n v="1"/>
  </r>
  <r>
    <s v="U02043"/>
    <x v="7"/>
    <n v="19"/>
    <s v="Female"/>
    <x v="2"/>
    <x v="4"/>
    <n v="22.16"/>
    <n v="4"/>
    <n v="5"/>
    <n v="14.97"/>
    <n v="93.9"/>
    <s v="Thriller"/>
    <n v="3"/>
    <n v="3"/>
    <n v="0"/>
  </r>
  <r>
    <s v="U02044"/>
    <x v="0"/>
    <n v="40"/>
    <s v="Male"/>
    <x v="0"/>
    <x v="0"/>
    <n v="17.09"/>
    <n v="3"/>
    <n v="8.6999999999999993"/>
    <n v="7"/>
    <n v="40.4"/>
    <s v="Action"/>
    <n v="1"/>
    <n v="0"/>
    <n v="0"/>
  </r>
  <r>
    <s v="U02045"/>
    <x v="5"/>
    <n v="56"/>
    <s v="Female"/>
    <x v="0"/>
    <x v="1"/>
    <n v="8.3699999999999992"/>
    <n v="2"/>
    <n v="1.2"/>
    <n v="9.11"/>
    <n v="39.6"/>
    <s v="Thriller"/>
    <n v="1"/>
    <n v="2"/>
    <n v="0"/>
  </r>
  <r>
    <s v="U02046"/>
    <x v="6"/>
    <n v="57"/>
    <s v="Male"/>
    <x v="0"/>
    <x v="3"/>
    <n v="13.43"/>
    <n v="2"/>
    <n v="1.8"/>
    <n v="20.239999999999998"/>
    <n v="68.3"/>
    <s v="Drama"/>
    <n v="2"/>
    <n v="0"/>
    <n v="0"/>
  </r>
  <r>
    <s v="U02047"/>
    <x v="6"/>
    <n v="56"/>
    <s v="Male"/>
    <x v="1"/>
    <x v="2"/>
    <n v="23.56"/>
    <n v="4"/>
    <n v="8"/>
    <n v="12.18"/>
    <n v="21.8"/>
    <s v="Action"/>
    <n v="2"/>
    <n v="4"/>
    <n v="0"/>
  </r>
  <r>
    <s v="U02048"/>
    <x v="5"/>
    <n v="38"/>
    <s v="Male"/>
    <x v="1"/>
    <x v="1"/>
    <n v="23.02"/>
    <n v="4"/>
    <n v="6.6"/>
    <n v="3.03"/>
    <n v="97.5"/>
    <s v="Action"/>
    <n v="6"/>
    <n v="0"/>
    <n v="1"/>
  </r>
  <r>
    <s v="U02049"/>
    <x v="7"/>
    <n v="40"/>
    <s v="Female"/>
    <x v="1"/>
    <x v="3"/>
    <n v="6.4"/>
    <n v="1"/>
    <n v="6"/>
    <n v="4.1900000000000004"/>
    <n v="34.799999999999997"/>
    <s v="Drama"/>
    <n v="11"/>
    <n v="3"/>
    <n v="0"/>
  </r>
  <r>
    <s v="U02050"/>
    <x v="9"/>
    <n v="46"/>
    <s v="Female"/>
    <x v="1"/>
    <x v="3"/>
    <n v="10.37"/>
    <n v="3"/>
    <n v="6.5"/>
    <n v="12.67"/>
    <n v="80.7"/>
    <s v="Comedy"/>
    <n v="8"/>
    <n v="3"/>
    <n v="0"/>
  </r>
  <r>
    <s v="U02051"/>
    <x v="6"/>
    <n v="31"/>
    <s v="Female"/>
    <x v="1"/>
    <x v="2"/>
    <n v="8.09"/>
    <n v="2"/>
    <n v="9.4"/>
    <n v="4.32"/>
    <n v="35.9"/>
    <s v="Comedy"/>
    <n v="4"/>
    <n v="4"/>
    <n v="1"/>
  </r>
  <r>
    <s v="U02052"/>
    <x v="8"/>
    <n v="43"/>
    <s v="Female"/>
    <x v="1"/>
    <x v="0"/>
    <n v="15.68"/>
    <n v="1"/>
    <n v="6.9"/>
    <n v="6.83"/>
    <n v="34.799999999999997"/>
    <s v="Drama"/>
    <n v="3"/>
    <n v="0"/>
    <n v="1"/>
  </r>
  <r>
    <s v="U02053"/>
    <x v="3"/>
    <n v="68"/>
    <s v="Female"/>
    <x v="0"/>
    <x v="0"/>
    <n v="20"/>
    <n v="5"/>
    <n v="6.8"/>
    <n v="19.010000000000002"/>
    <n v="15.2"/>
    <s v="Drama"/>
    <n v="2"/>
    <n v="3"/>
    <n v="0"/>
  </r>
  <r>
    <s v="U02054"/>
    <x v="4"/>
    <n v="22"/>
    <s v="Male"/>
    <x v="2"/>
    <x v="1"/>
    <n v="10.91"/>
    <n v="1"/>
    <n v="7.8"/>
    <n v="13.57"/>
    <n v="20.7"/>
    <s v="Drama"/>
    <n v="1"/>
    <n v="3"/>
    <n v="0"/>
  </r>
  <r>
    <s v="U02055"/>
    <x v="10"/>
    <n v="48"/>
    <s v="Male"/>
    <x v="0"/>
    <x v="1"/>
    <n v="20.16"/>
    <n v="4"/>
    <n v="8.8000000000000007"/>
    <n v="13.61"/>
    <n v="57"/>
    <s v="Action"/>
    <n v="8"/>
    <n v="3"/>
    <n v="1"/>
  </r>
  <r>
    <s v="U02056"/>
    <x v="6"/>
    <n v="42"/>
    <s v="Female"/>
    <x v="2"/>
    <x v="4"/>
    <n v="18.37"/>
    <n v="5"/>
    <n v="3.4"/>
    <n v="16.16"/>
    <n v="61.9"/>
    <s v="Action"/>
    <n v="7"/>
    <n v="3"/>
    <n v="0"/>
  </r>
  <r>
    <s v="U02057"/>
    <x v="5"/>
    <n v="48"/>
    <s v="Female"/>
    <x v="0"/>
    <x v="0"/>
    <n v="19.559999999999999"/>
    <n v="1"/>
    <n v="6.6"/>
    <n v="20.350000000000001"/>
    <n v="83.4"/>
    <s v="Drama"/>
    <n v="11"/>
    <n v="1"/>
    <n v="0"/>
  </r>
  <r>
    <s v="U02058"/>
    <x v="3"/>
    <n v="67"/>
    <s v="Female"/>
    <x v="2"/>
    <x v="1"/>
    <n v="23.96"/>
    <n v="3"/>
    <n v="6.3"/>
    <n v="6.49"/>
    <n v="15.4"/>
    <s v="Action"/>
    <n v="2"/>
    <n v="2"/>
    <n v="1"/>
  </r>
  <r>
    <s v="U02059"/>
    <x v="1"/>
    <n v="37"/>
    <s v="Male"/>
    <x v="0"/>
    <x v="4"/>
    <n v="13.49"/>
    <n v="2"/>
    <n v="2.2000000000000002"/>
    <n v="6.81"/>
    <n v="42.1"/>
    <s v="Family"/>
    <n v="7"/>
    <n v="1"/>
    <n v="1"/>
  </r>
  <r>
    <s v="U02060"/>
    <x v="0"/>
    <n v="61"/>
    <s v="Female"/>
    <x v="0"/>
    <x v="3"/>
    <n v="11.85"/>
    <n v="5"/>
    <n v="5.7"/>
    <n v="5.67"/>
    <n v="28"/>
    <s v="Drama"/>
    <n v="6"/>
    <n v="3"/>
    <n v="0"/>
  </r>
  <r>
    <s v="U02061"/>
    <x v="5"/>
    <n v="34"/>
    <s v="Male"/>
    <x v="2"/>
    <x v="1"/>
    <n v="18.68"/>
    <n v="3"/>
    <n v="1.6"/>
    <n v="23.61"/>
    <n v="42.2"/>
    <s v="Action"/>
    <n v="8"/>
    <n v="0"/>
    <n v="0"/>
  </r>
  <r>
    <s v="U02062"/>
    <x v="9"/>
    <n v="62"/>
    <s v="Male"/>
    <x v="2"/>
    <x v="4"/>
    <n v="21.15"/>
    <n v="1"/>
    <n v="2.7"/>
    <n v="15.7"/>
    <n v="41.9"/>
    <s v="Comedy"/>
    <n v="6"/>
    <n v="1"/>
    <n v="0"/>
  </r>
  <r>
    <s v="U02063"/>
    <x v="8"/>
    <n v="19"/>
    <s v="Female"/>
    <x v="1"/>
    <x v="0"/>
    <n v="8.83"/>
    <n v="4"/>
    <n v="9.1999999999999993"/>
    <n v="5.04"/>
    <n v="41.9"/>
    <s v="Drama"/>
    <n v="4"/>
    <n v="4"/>
    <n v="0"/>
  </r>
  <r>
    <s v="U02064"/>
    <x v="0"/>
    <n v="42"/>
    <s v="Male"/>
    <x v="2"/>
    <x v="3"/>
    <n v="21.94"/>
    <n v="4"/>
    <n v="2.1"/>
    <n v="7.85"/>
    <n v="37.9"/>
    <s v="Drama"/>
    <n v="8"/>
    <n v="2"/>
    <n v="0"/>
  </r>
  <r>
    <s v="U02065"/>
    <x v="4"/>
    <n v="30"/>
    <s v="Male"/>
    <x v="1"/>
    <x v="1"/>
    <n v="6.16"/>
    <n v="3"/>
    <n v="6.2"/>
    <n v="18.96"/>
    <n v="78.8"/>
    <s v="Drama"/>
    <n v="1"/>
    <n v="0"/>
    <n v="1"/>
  </r>
  <r>
    <s v="U02066"/>
    <x v="4"/>
    <n v="56"/>
    <s v="Female"/>
    <x v="2"/>
    <x v="0"/>
    <n v="5.13"/>
    <n v="4"/>
    <n v="3.9"/>
    <n v="3.64"/>
    <n v="72.099999999999994"/>
    <s v="Thriller"/>
    <n v="10"/>
    <n v="1"/>
    <n v="0"/>
  </r>
  <r>
    <s v="U02067"/>
    <x v="7"/>
    <n v="45"/>
    <s v="Male"/>
    <x v="1"/>
    <x v="3"/>
    <n v="8.17"/>
    <n v="2"/>
    <n v="6"/>
    <n v="18.96"/>
    <n v="40.700000000000003"/>
    <s v="Drama"/>
    <n v="1"/>
    <n v="2"/>
    <n v="1"/>
  </r>
  <r>
    <s v="U02068"/>
    <x v="11"/>
    <n v="59"/>
    <s v="Female"/>
    <x v="1"/>
    <x v="2"/>
    <n v="24.57"/>
    <n v="3"/>
    <n v="3.1"/>
    <n v="23.05"/>
    <n v="23.2"/>
    <s v="Comedy"/>
    <n v="4"/>
    <n v="1"/>
    <n v="0"/>
  </r>
  <r>
    <s v="U02069"/>
    <x v="7"/>
    <n v="23"/>
    <s v="Male"/>
    <x v="1"/>
    <x v="0"/>
    <n v="15.47"/>
    <n v="3"/>
    <n v="5"/>
    <n v="4.24"/>
    <n v="56.6"/>
    <s v="Action"/>
    <n v="1"/>
    <n v="4"/>
    <n v="1"/>
  </r>
  <r>
    <s v="U02070"/>
    <x v="9"/>
    <n v="20"/>
    <s v="Female"/>
    <x v="1"/>
    <x v="2"/>
    <n v="5.93"/>
    <n v="4"/>
    <n v="8.8000000000000007"/>
    <n v="7.1"/>
    <n v="92.7"/>
    <s v="Drama"/>
    <n v="5"/>
    <n v="3"/>
    <n v="1"/>
  </r>
  <r>
    <s v="U02071"/>
    <x v="3"/>
    <n v="52"/>
    <s v="Female"/>
    <x v="2"/>
    <x v="1"/>
    <n v="24.94"/>
    <n v="3"/>
    <n v="4.4000000000000004"/>
    <n v="3.05"/>
    <n v="21.1"/>
    <s v="Family"/>
    <n v="11"/>
    <n v="4"/>
    <n v="0"/>
  </r>
  <r>
    <s v="U02072"/>
    <x v="0"/>
    <n v="35"/>
    <s v="Male"/>
    <x v="0"/>
    <x v="4"/>
    <n v="19.899999999999999"/>
    <n v="1"/>
    <n v="4.2"/>
    <n v="5.4"/>
    <n v="77.8"/>
    <s v="Action"/>
    <n v="9"/>
    <n v="3"/>
    <n v="1"/>
  </r>
  <r>
    <s v="U02073"/>
    <x v="11"/>
    <n v="28"/>
    <s v="Female"/>
    <x v="0"/>
    <x v="1"/>
    <n v="21.76"/>
    <n v="5"/>
    <n v="5"/>
    <n v="16.57"/>
    <n v="63.9"/>
    <s v="Comedy"/>
    <n v="9"/>
    <n v="2"/>
    <n v="1"/>
  </r>
  <r>
    <s v="U02074"/>
    <x v="1"/>
    <n v="37"/>
    <s v="Male"/>
    <x v="1"/>
    <x v="0"/>
    <n v="9.26"/>
    <n v="5"/>
    <n v="1.9"/>
    <n v="3.99"/>
    <n v="63"/>
    <s v="Thriller"/>
    <n v="9"/>
    <n v="1"/>
    <n v="1"/>
  </r>
  <r>
    <s v="U02075"/>
    <x v="8"/>
    <n v="22"/>
    <s v="Male"/>
    <x v="1"/>
    <x v="2"/>
    <n v="7.11"/>
    <n v="4"/>
    <n v="4.5"/>
    <n v="12.37"/>
    <n v="94.1"/>
    <s v="Comedy"/>
    <n v="6"/>
    <n v="1"/>
    <n v="0"/>
  </r>
  <r>
    <s v="U02076"/>
    <x v="0"/>
    <n v="36"/>
    <s v="Female"/>
    <x v="0"/>
    <x v="2"/>
    <n v="15.3"/>
    <n v="2"/>
    <n v="1.1000000000000001"/>
    <n v="14.07"/>
    <n v="96"/>
    <s v="Thriller"/>
    <n v="1"/>
    <n v="4"/>
    <n v="1"/>
  </r>
  <r>
    <s v="U02077"/>
    <x v="7"/>
    <n v="39"/>
    <s v="Male"/>
    <x v="1"/>
    <x v="3"/>
    <n v="20.440000000000001"/>
    <n v="2"/>
    <n v="5.5"/>
    <n v="22.95"/>
    <n v="31.9"/>
    <s v="Action"/>
    <n v="10"/>
    <n v="0"/>
    <n v="0"/>
  </r>
  <r>
    <s v="U02078"/>
    <x v="10"/>
    <n v="36"/>
    <s v="Female"/>
    <x v="2"/>
    <x v="1"/>
    <n v="17.760000000000002"/>
    <n v="4"/>
    <n v="8.6"/>
    <n v="13.43"/>
    <n v="82.8"/>
    <s v="Thriller"/>
    <n v="5"/>
    <n v="2"/>
    <n v="0"/>
  </r>
  <r>
    <s v="U02079"/>
    <x v="2"/>
    <n v="64"/>
    <s v="Male"/>
    <x v="0"/>
    <x v="1"/>
    <n v="17.62"/>
    <n v="4"/>
    <n v="6"/>
    <n v="6.14"/>
    <n v="65.900000000000006"/>
    <s v="Action"/>
    <n v="10"/>
    <n v="3"/>
    <n v="0"/>
  </r>
  <r>
    <s v="U02080"/>
    <x v="11"/>
    <n v="33"/>
    <s v="Male"/>
    <x v="1"/>
    <x v="0"/>
    <n v="20.14"/>
    <n v="3"/>
    <n v="6.5"/>
    <n v="9.36"/>
    <n v="46.8"/>
    <s v="Comedy"/>
    <n v="2"/>
    <n v="2"/>
    <n v="0"/>
  </r>
  <r>
    <s v="U02081"/>
    <x v="11"/>
    <n v="41"/>
    <s v="Female"/>
    <x v="2"/>
    <x v="2"/>
    <n v="9.5399999999999991"/>
    <n v="2"/>
    <n v="1.3"/>
    <n v="17.79"/>
    <n v="69.900000000000006"/>
    <s v="Comedy"/>
    <n v="1"/>
    <n v="4"/>
    <n v="0"/>
  </r>
  <r>
    <s v="U02082"/>
    <x v="9"/>
    <n v="58"/>
    <s v="Male"/>
    <x v="1"/>
    <x v="0"/>
    <n v="18.23"/>
    <n v="5"/>
    <n v="8.6999999999999993"/>
    <n v="5.47"/>
    <n v="96"/>
    <s v="Thriller"/>
    <n v="5"/>
    <n v="1"/>
    <n v="0"/>
  </r>
  <r>
    <s v="U02083"/>
    <x v="8"/>
    <n v="21"/>
    <s v="Male"/>
    <x v="2"/>
    <x v="0"/>
    <n v="12.84"/>
    <n v="4"/>
    <n v="4.5"/>
    <n v="8.1"/>
    <n v="56.5"/>
    <s v="Family"/>
    <n v="5"/>
    <n v="3"/>
    <n v="1"/>
  </r>
  <r>
    <s v="U02084"/>
    <x v="6"/>
    <n v="32"/>
    <s v="Male"/>
    <x v="2"/>
    <x v="2"/>
    <n v="6.4"/>
    <n v="5"/>
    <n v="9.8000000000000007"/>
    <n v="24.91"/>
    <n v="94.6"/>
    <s v="Comedy"/>
    <n v="1"/>
    <n v="3"/>
    <n v="0"/>
  </r>
  <r>
    <s v="U02085"/>
    <x v="4"/>
    <n v="42"/>
    <s v="Male"/>
    <x v="1"/>
    <x v="0"/>
    <n v="9.0399999999999991"/>
    <n v="5"/>
    <n v="2.1"/>
    <n v="3.12"/>
    <n v="67.900000000000006"/>
    <s v="Thriller"/>
    <n v="7"/>
    <n v="3"/>
    <n v="0"/>
  </r>
  <r>
    <s v="U02086"/>
    <x v="4"/>
    <n v="61"/>
    <s v="Male"/>
    <x v="1"/>
    <x v="2"/>
    <n v="20.88"/>
    <n v="2"/>
    <n v="9.5"/>
    <n v="6.35"/>
    <n v="53.5"/>
    <s v="Drama"/>
    <n v="3"/>
    <n v="3"/>
    <n v="1"/>
  </r>
  <r>
    <s v="U02087"/>
    <x v="10"/>
    <n v="52"/>
    <s v="Male"/>
    <x v="1"/>
    <x v="0"/>
    <n v="22.92"/>
    <n v="5"/>
    <n v="6.7"/>
    <n v="21.56"/>
    <n v="68"/>
    <s v="Action"/>
    <n v="11"/>
    <n v="2"/>
    <n v="0"/>
  </r>
  <r>
    <s v="U02088"/>
    <x v="3"/>
    <n v="31"/>
    <s v="Male"/>
    <x v="1"/>
    <x v="4"/>
    <n v="10.66"/>
    <n v="3"/>
    <n v="1.5"/>
    <n v="5.23"/>
    <n v="64.2"/>
    <s v="Drama"/>
    <n v="6"/>
    <n v="2"/>
    <n v="0"/>
  </r>
  <r>
    <s v="U02089"/>
    <x v="9"/>
    <n v="66"/>
    <s v="Male"/>
    <x v="2"/>
    <x v="0"/>
    <n v="8.81"/>
    <n v="3"/>
    <n v="9.6999999999999993"/>
    <n v="3.74"/>
    <n v="48"/>
    <s v="Drama"/>
    <n v="2"/>
    <n v="4"/>
    <n v="0"/>
  </r>
  <r>
    <s v="U02090"/>
    <x v="3"/>
    <n v="36"/>
    <s v="Female"/>
    <x v="1"/>
    <x v="0"/>
    <n v="5.53"/>
    <n v="2"/>
    <n v="1.1000000000000001"/>
    <n v="5.67"/>
    <n v="60.6"/>
    <s v="Drama"/>
    <n v="9"/>
    <n v="1"/>
    <n v="0"/>
  </r>
  <r>
    <s v="U02091"/>
    <x v="1"/>
    <n v="55"/>
    <s v="Male"/>
    <x v="0"/>
    <x v="4"/>
    <n v="23.95"/>
    <n v="3"/>
    <n v="7.6"/>
    <n v="18.260000000000002"/>
    <n v="73.3"/>
    <s v="Thriller"/>
    <n v="2"/>
    <n v="1"/>
    <n v="1"/>
  </r>
  <r>
    <s v="U02092"/>
    <x v="0"/>
    <n v="53"/>
    <s v="Male"/>
    <x v="0"/>
    <x v="1"/>
    <n v="18.68"/>
    <n v="4"/>
    <n v="9"/>
    <n v="24.85"/>
    <n v="85.5"/>
    <s v="Comedy"/>
    <n v="2"/>
    <n v="2"/>
    <n v="1"/>
  </r>
  <r>
    <s v="U02093"/>
    <x v="2"/>
    <n v="24"/>
    <s v="Female"/>
    <x v="0"/>
    <x v="2"/>
    <n v="24.14"/>
    <n v="2"/>
    <n v="2.6"/>
    <n v="15.99"/>
    <n v="37.4"/>
    <s v="Drama"/>
    <n v="1"/>
    <n v="4"/>
    <n v="1"/>
  </r>
  <r>
    <s v="U02094"/>
    <x v="5"/>
    <n v="47"/>
    <s v="Female"/>
    <x v="0"/>
    <x v="3"/>
    <n v="22.28"/>
    <n v="5"/>
    <n v="4.0999999999999996"/>
    <n v="5.73"/>
    <n v="11.3"/>
    <s v="Thriller"/>
    <n v="1"/>
    <n v="0"/>
    <n v="1"/>
  </r>
  <r>
    <s v="U02095"/>
    <x v="6"/>
    <n v="36"/>
    <s v="Female"/>
    <x v="2"/>
    <x v="4"/>
    <n v="11.81"/>
    <n v="4"/>
    <n v="6.1"/>
    <n v="7.04"/>
    <n v="59.6"/>
    <s v="Comedy"/>
    <n v="4"/>
    <n v="3"/>
    <n v="0"/>
  </r>
  <r>
    <s v="U02096"/>
    <x v="7"/>
    <n v="66"/>
    <s v="Male"/>
    <x v="1"/>
    <x v="1"/>
    <n v="7.25"/>
    <n v="2"/>
    <n v="7.1"/>
    <n v="14.83"/>
    <n v="54"/>
    <s v="Action"/>
    <n v="7"/>
    <n v="1"/>
    <n v="1"/>
  </r>
  <r>
    <s v="U02097"/>
    <x v="5"/>
    <n v="42"/>
    <s v="Female"/>
    <x v="1"/>
    <x v="0"/>
    <n v="14.98"/>
    <n v="5"/>
    <n v="8.8000000000000007"/>
    <n v="18.739999999999998"/>
    <n v="14.9"/>
    <s v="Comedy"/>
    <n v="4"/>
    <n v="3"/>
    <n v="0"/>
  </r>
  <r>
    <s v="U02098"/>
    <x v="5"/>
    <n v="33"/>
    <s v="Female"/>
    <x v="1"/>
    <x v="1"/>
    <n v="5.54"/>
    <n v="5"/>
    <n v="7.8"/>
    <n v="17.579999999999998"/>
    <n v="66.900000000000006"/>
    <s v="Comedy"/>
    <n v="5"/>
    <n v="1"/>
    <n v="1"/>
  </r>
  <r>
    <s v="U02099"/>
    <x v="9"/>
    <n v="64"/>
    <s v="Male"/>
    <x v="2"/>
    <x v="4"/>
    <n v="8"/>
    <n v="5"/>
    <n v="4.3"/>
    <n v="15.64"/>
    <n v="94.7"/>
    <s v="Drama"/>
    <n v="6"/>
    <n v="0"/>
    <n v="0"/>
  </r>
  <r>
    <s v="U02100"/>
    <x v="11"/>
    <n v="57"/>
    <s v="Male"/>
    <x v="1"/>
    <x v="0"/>
    <n v="9.67"/>
    <n v="5"/>
    <n v="8.4"/>
    <n v="24.7"/>
    <n v="46.2"/>
    <s v="Thriller"/>
    <n v="5"/>
    <n v="1"/>
    <n v="0"/>
  </r>
  <r>
    <s v="U02101"/>
    <x v="10"/>
    <n v="68"/>
    <s v="Female"/>
    <x v="2"/>
    <x v="1"/>
    <n v="18.309999999999999"/>
    <n v="5"/>
    <n v="9.6999999999999993"/>
    <n v="7.36"/>
    <n v="90.5"/>
    <s v="Family"/>
    <n v="5"/>
    <n v="0"/>
    <n v="0"/>
  </r>
  <r>
    <s v="U02102"/>
    <x v="4"/>
    <n v="25"/>
    <s v="Female"/>
    <x v="1"/>
    <x v="3"/>
    <n v="15.2"/>
    <n v="2"/>
    <n v="3"/>
    <n v="6.8"/>
    <n v="83.2"/>
    <s v="Action"/>
    <n v="4"/>
    <n v="1"/>
    <n v="0"/>
  </r>
  <r>
    <s v="U02103"/>
    <x v="1"/>
    <n v="35"/>
    <s v="Male"/>
    <x v="2"/>
    <x v="2"/>
    <n v="11.05"/>
    <n v="3"/>
    <n v="1.7"/>
    <n v="21.9"/>
    <n v="24.6"/>
    <s v="Thriller"/>
    <n v="9"/>
    <n v="2"/>
    <n v="0"/>
  </r>
  <r>
    <s v="U02104"/>
    <x v="3"/>
    <n v="45"/>
    <s v="Male"/>
    <x v="1"/>
    <x v="2"/>
    <n v="16.3"/>
    <n v="5"/>
    <n v="4.8"/>
    <n v="9.4"/>
    <n v="80.900000000000006"/>
    <s v="Drama"/>
    <n v="5"/>
    <n v="3"/>
    <n v="0"/>
  </r>
  <r>
    <s v="U02105"/>
    <x v="2"/>
    <n v="33"/>
    <s v="Male"/>
    <x v="0"/>
    <x v="4"/>
    <n v="7.5"/>
    <n v="4"/>
    <n v="8.9"/>
    <n v="10.32"/>
    <n v="56.5"/>
    <s v="Thriller"/>
    <n v="9"/>
    <n v="4"/>
    <n v="0"/>
  </r>
  <r>
    <s v="U02106"/>
    <x v="9"/>
    <n v="69"/>
    <s v="Male"/>
    <x v="1"/>
    <x v="0"/>
    <n v="20.11"/>
    <n v="2"/>
    <n v="2.4"/>
    <n v="15.07"/>
    <n v="92.7"/>
    <s v="Family"/>
    <n v="4"/>
    <n v="4"/>
    <n v="0"/>
  </r>
  <r>
    <s v="U02107"/>
    <x v="10"/>
    <n v="36"/>
    <s v="Male"/>
    <x v="1"/>
    <x v="0"/>
    <n v="19.239999999999998"/>
    <n v="1"/>
    <n v="9"/>
    <n v="11.39"/>
    <n v="27"/>
    <s v="Action"/>
    <n v="9"/>
    <n v="1"/>
    <n v="0"/>
  </r>
  <r>
    <s v="U02108"/>
    <x v="11"/>
    <n v="59"/>
    <s v="Female"/>
    <x v="0"/>
    <x v="2"/>
    <n v="9.33"/>
    <n v="3"/>
    <n v="9.9"/>
    <n v="9.33"/>
    <n v="21.3"/>
    <s v="Comedy"/>
    <n v="5"/>
    <n v="4"/>
    <n v="0"/>
  </r>
  <r>
    <s v="U02109"/>
    <x v="7"/>
    <n v="34"/>
    <s v="Male"/>
    <x v="1"/>
    <x v="1"/>
    <n v="17.13"/>
    <n v="4"/>
    <n v="1.5"/>
    <n v="23.18"/>
    <n v="31.7"/>
    <s v="Action"/>
    <n v="8"/>
    <n v="3"/>
    <n v="1"/>
  </r>
  <r>
    <s v="U02110"/>
    <x v="1"/>
    <n v="62"/>
    <s v="Male"/>
    <x v="1"/>
    <x v="0"/>
    <n v="15.07"/>
    <n v="5"/>
    <n v="5.5"/>
    <n v="5.84"/>
    <n v="15.4"/>
    <s v="Family"/>
    <n v="1"/>
    <n v="2"/>
    <n v="1"/>
  </r>
  <r>
    <s v="U02111"/>
    <x v="9"/>
    <n v="30"/>
    <s v="Male"/>
    <x v="0"/>
    <x v="3"/>
    <n v="6.22"/>
    <n v="2"/>
    <n v="4"/>
    <n v="11.89"/>
    <n v="38.799999999999997"/>
    <s v="Action"/>
    <n v="4"/>
    <n v="2"/>
    <n v="0"/>
  </r>
  <r>
    <s v="U02112"/>
    <x v="11"/>
    <n v="24"/>
    <s v="Male"/>
    <x v="2"/>
    <x v="3"/>
    <n v="10.56"/>
    <n v="2"/>
    <n v="4.5"/>
    <n v="3.07"/>
    <n v="35.5"/>
    <s v="Action"/>
    <n v="4"/>
    <n v="0"/>
    <n v="1"/>
  </r>
  <r>
    <s v="U02113"/>
    <x v="2"/>
    <n v="44"/>
    <s v="Male"/>
    <x v="1"/>
    <x v="0"/>
    <n v="24.99"/>
    <n v="5"/>
    <n v="5.0999999999999996"/>
    <n v="20.76"/>
    <n v="47.5"/>
    <s v="Drama"/>
    <n v="2"/>
    <n v="4"/>
    <n v="0"/>
  </r>
  <r>
    <s v="U02114"/>
    <x v="4"/>
    <n v="27"/>
    <s v="Female"/>
    <x v="2"/>
    <x v="0"/>
    <n v="6.99"/>
    <n v="4"/>
    <n v="7.7"/>
    <n v="6.71"/>
    <n v="51.7"/>
    <s v="Comedy"/>
    <n v="3"/>
    <n v="3"/>
    <n v="0"/>
  </r>
  <r>
    <s v="U02115"/>
    <x v="4"/>
    <n v="51"/>
    <s v="Male"/>
    <x v="1"/>
    <x v="2"/>
    <n v="15.13"/>
    <n v="2"/>
    <n v="6.3"/>
    <n v="20.010000000000002"/>
    <n v="23"/>
    <s v="Family"/>
    <n v="8"/>
    <n v="4"/>
    <n v="0"/>
  </r>
  <r>
    <s v="U02116"/>
    <x v="9"/>
    <n v="53"/>
    <s v="Female"/>
    <x v="1"/>
    <x v="4"/>
    <n v="21.99"/>
    <n v="3"/>
    <n v="9.6999999999999993"/>
    <n v="6.27"/>
    <n v="65.7"/>
    <s v="Drama"/>
    <n v="8"/>
    <n v="3"/>
    <n v="0"/>
  </r>
  <r>
    <s v="U02117"/>
    <x v="4"/>
    <n v="42"/>
    <s v="Male"/>
    <x v="1"/>
    <x v="2"/>
    <n v="11.01"/>
    <n v="4"/>
    <n v="4"/>
    <n v="12.17"/>
    <n v="30.1"/>
    <s v="Action"/>
    <n v="1"/>
    <n v="0"/>
    <n v="0"/>
  </r>
  <r>
    <s v="U02118"/>
    <x v="10"/>
    <n v="23"/>
    <s v="Female"/>
    <x v="1"/>
    <x v="4"/>
    <n v="10.210000000000001"/>
    <n v="5"/>
    <n v="5.9"/>
    <n v="19.02"/>
    <n v="21"/>
    <s v="Action"/>
    <n v="2"/>
    <n v="4"/>
    <n v="0"/>
  </r>
  <r>
    <s v="U02119"/>
    <x v="10"/>
    <n v="41"/>
    <s v="Female"/>
    <x v="2"/>
    <x v="3"/>
    <n v="22.82"/>
    <n v="4"/>
    <n v="8.3000000000000007"/>
    <n v="8.9600000000000009"/>
    <n v="73.8"/>
    <s v="Thriller"/>
    <n v="4"/>
    <n v="2"/>
    <n v="0"/>
  </r>
  <r>
    <s v="U02120"/>
    <x v="3"/>
    <n v="35"/>
    <s v="Male"/>
    <x v="0"/>
    <x v="4"/>
    <n v="11.1"/>
    <n v="4"/>
    <n v="4.4000000000000004"/>
    <n v="9.91"/>
    <n v="12"/>
    <s v="Drama"/>
    <n v="11"/>
    <n v="0"/>
    <n v="1"/>
  </r>
  <r>
    <s v="U02121"/>
    <x v="9"/>
    <n v="40"/>
    <s v="Male"/>
    <x v="2"/>
    <x v="2"/>
    <n v="18.03"/>
    <n v="1"/>
    <n v="5.2"/>
    <n v="17.68"/>
    <n v="43.2"/>
    <s v="Family"/>
    <n v="6"/>
    <n v="4"/>
    <n v="0"/>
  </r>
  <r>
    <s v="U02122"/>
    <x v="3"/>
    <n v="23"/>
    <s v="Male"/>
    <x v="2"/>
    <x v="0"/>
    <n v="19.809999999999999"/>
    <n v="5"/>
    <n v="7.2"/>
    <n v="7.13"/>
    <n v="23"/>
    <s v="Family"/>
    <n v="3"/>
    <n v="2"/>
    <n v="1"/>
  </r>
  <r>
    <s v="U02123"/>
    <x v="9"/>
    <n v="46"/>
    <s v="Male"/>
    <x v="1"/>
    <x v="4"/>
    <n v="20.77"/>
    <n v="3"/>
    <n v="8.6999999999999993"/>
    <n v="23.94"/>
    <n v="89.5"/>
    <s v="Family"/>
    <n v="7"/>
    <n v="2"/>
    <n v="0"/>
  </r>
  <r>
    <s v="U02124"/>
    <x v="7"/>
    <n v="42"/>
    <s v="Male"/>
    <x v="2"/>
    <x v="2"/>
    <n v="24.9"/>
    <n v="5"/>
    <n v="4.7"/>
    <n v="7.15"/>
    <n v="84.2"/>
    <s v="Family"/>
    <n v="3"/>
    <n v="3"/>
    <n v="0"/>
  </r>
  <r>
    <s v="U02125"/>
    <x v="9"/>
    <n v="34"/>
    <s v="Female"/>
    <x v="1"/>
    <x v="3"/>
    <n v="21.06"/>
    <n v="1"/>
    <n v="5.8"/>
    <n v="19.5"/>
    <n v="15.4"/>
    <s v="Action"/>
    <n v="8"/>
    <n v="2"/>
    <n v="1"/>
  </r>
  <r>
    <s v="U02126"/>
    <x v="2"/>
    <n v="63"/>
    <s v="Male"/>
    <x v="2"/>
    <x v="4"/>
    <n v="18.14"/>
    <n v="5"/>
    <n v="9.8000000000000007"/>
    <n v="20.66"/>
    <n v="59.5"/>
    <s v="Action"/>
    <n v="6"/>
    <n v="1"/>
    <n v="1"/>
  </r>
  <r>
    <s v="U02127"/>
    <x v="1"/>
    <n v="41"/>
    <s v="Male"/>
    <x v="2"/>
    <x v="3"/>
    <n v="22.91"/>
    <n v="5"/>
    <n v="1.4"/>
    <n v="11.24"/>
    <n v="36.6"/>
    <s v="Drama"/>
    <n v="8"/>
    <n v="4"/>
    <n v="0"/>
  </r>
  <r>
    <s v="U02128"/>
    <x v="8"/>
    <n v="28"/>
    <s v="Female"/>
    <x v="0"/>
    <x v="3"/>
    <n v="23.11"/>
    <n v="3"/>
    <n v="5"/>
    <n v="6.44"/>
    <n v="27.3"/>
    <s v="Comedy"/>
    <n v="7"/>
    <n v="4"/>
    <n v="0"/>
  </r>
  <r>
    <s v="U02129"/>
    <x v="8"/>
    <n v="43"/>
    <s v="Male"/>
    <x v="2"/>
    <x v="1"/>
    <n v="24.46"/>
    <n v="1"/>
    <n v="6.7"/>
    <n v="6.65"/>
    <n v="38"/>
    <s v="Family"/>
    <n v="5"/>
    <n v="3"/>
    <n v="0"/>
  </r>
  <r>
    <s v="U02130"/>
    <x v="11"/>
    <n v="68"/>
    <s v="Female"/>
    <x v="1"/>
    <x v="4"/>
    <n v="20.53"/>
    <n v="5"/>
    <n v="1.1000000000000001"/>
    <n v="24.68"/>
    <n v="83.4"/>
    <s v="Action"/>
    <n v="5"/>
    <n v="2"/>
    <n v="0"/>
  </r>
  <r>
    <s v="U02131"/>
    <x v="4"/>
    <n v="51"/>
    <s v="Male"/>
    <x v="1"/>
    <x v="2"/>
    <n v="8.9"/>
    <n v="5"/>
    <n v="6.4"/>
    <n v="18.96"/>
    <n v="15.2"/>
    <s v="Drama"/>
    <n v="3"/>
    <n v="3"/>
    <n v="0"/>
  </r>
  <r>
    <s v="U02132"/>
    <x v="1"/>
    <n v="45"/>
    <s v="Female"/>
    <x v="1"/>
    <x v="4"/>
    <n v="19.2"/>
    <n v="2"/>
    <n v="1.5"/>
    <n v="12.9"/>
    <n v="68.3"/>
    <s v="Family"/>
    <n v="4"/>
    <n v="1"/>
    <n v="0"/>
  </r>
  <r>
    <s v="U02133"/>
    <x v="5"/>
    <n v="20"/>
    <s v="Male"/>
    <x v="0"/>
    <x v="4"/>
    <n v="6.5"/>
    <n v="5"/>
    <n v="8.6999999999999993"/>
    <n v="8.66"/>
    <n v="92.2"/>
    <s v="Comedy"/>
    <n v="8"/>
    <n v="3"/>
    <n v="0"/>
  </r>
  <r>
    <s v="U02134"/>
    <x v="10"/>
    <n v="28"/>
    <s v="Female"/>
    <x v="1"/>
    <x v="3"/>
    <n v="11.36"/>
    <n v="3"/>
    <n v="8.3000000000000007"/>
    <n v="3.42"/>
    <n v="50.3"/>
    <s v="Family"/>
    <n v="5"/>
    <n v="4"/>
    <n v="0"/>
  </r>
  <r>
    <s v="U02135"/>
    <x v="0"/>
    <n v="55"/>
    <s v="Female"/>
    <x v="2"/>
    <x v="3"/>
    <n v="7.32"/>
    <n v="2"/>
    <n v="1.3"/>
    <n v="17.75"/>
    <n v="91.1"/>
    <s v="Thriller"/>
    <n v="9"/>
    <n v="3"/>
    <n v="0"/>
  </r>
  <r>
    <s v="U02136"/>
    <x v="6"/>
    <n v="31"/>
    <s v="Male"/>
    <x v="0"/>
    <x v="3"/>
    <n v="24"/>
    <n v="1"/>
    <n v="1.4"/>
    <n v="24.05"/>
    <n v="91.6"/>
    <s v="Family"/>
    <n v="3"/>
    <n v="4"/>
    <n v="1"/>
  </r>
  <r>
    <s v="U02137"/>
    <x v="7"/>
    <n v="68"/>
    <s v="Male"/>
    <x v="0"/>
    <x v="3"/>
    <n v="11.78"/>
    <n v="4"/>
    <n v="7.8"/>
    <n v="5.35"/>
    <n v="64.900000000000006"/>
    <s v="Thriller"/>
    <n v="10"/>
    <n v="0"/>
    <n v="1"/>
  </r>
  <r>
    <s v="U02138"/>
    <x v="4"/>
    <n v="43"/>
    <s v="Male"/>
    <x v="0"/>
    <x v="2"/>
    <n v="19.260000000000002"/>
    <n v="3"/>
    <n v="4.3"/>
    <n v="19.600000000000001"/>
    <n v="51"/>
    <s v="Comedy"/>
    <n v="3"/>
    <n v="1"/>
    <n v="0"/>
  </r>
  <r>
    <s v="U02139"/>
    <x v="4"/>
    <n v="65"/>
    <s v="Female"/>
    <x v="1"/>
    <x v="0"/>
    <n v="16.43"/>
    <n v="1"/>
    <n v="6.2"/>
    <n v="6.37"/>
    <n v="76.400000000000006"/>
    <s v="Thriller"/>
    <n v="8"/>
    <n v="1"/>
    <n v="0"/>
  </r>
  <r>
    <s v="U02140"/>
    <x v="2"/>
    <n v="38"/>
    <s v="Female"/>
    <x v="2"/>
    <x v="1"/>
    <n v="7.15"/>
    <n v="2"/>
    <n v="3.4"/>
    <n v="20.43"/>
    <n v="92.5"/>
    <s v="Comedy"/>
    <n v="8"/>
    <n v="4"/>
    <n v="0"/>
  </r>
  <r>
    <s v="U02141"/>
    <x v="4"/>
    <n v="56"/>
    <s v="Female"/>
    <x v="2"/>
    <x v="3"/>
    <n v="16.23"/>
    <n v="4"/>
    <n v="2.6"/>
    <n v="11.15"/>
    <n v="71.2"/>
    <s v="Drama"/>
    <n v="7"/>
    <n v="0"/>
    <n v="0"/>
  </r>
  <r>
    <s v="U02142"/>
    <x v="10"/>
    <n v="47"/>
    <s v="Male"/>
    <x v="2"/>
    <x v="3"/>
    <n v="18.22"/>
    <n v="1"/>
    <n v="3.7"/>
    <n v="18.670000000000002"/>
    <n v="28.9"/>
    <s v="Thriller"/>
    <n v="6"/>
    <n v="2"/>
    <n v="0"/>
  </r>
  <r>
    <s v="U02143"/>
    <x v="10"/>
    <n v="25"/>
    <s v="Male"/>
    <x v="1"/>
    <x v="1"/>
    <n v="22.63"/>
    <n v="3"/>
    <n v="3.2"/>
    <n v="23.38"/>
    <n v="83.8"/>
    <s v="Family"/>
    <n v="7"/>
    <n v="3"/>
    <n v="0"/>
  </r>
  <r>
    <s v="U02144"/>
    <x v="6"/>
    <n v="68"/>
    <s v="Female"/>
    <x v="0"/>
    <x v="3"/>
    <n v="6.4"/>
    <n v="2"/>
    <n v="5"/>
    <n v="16.64"/>
    <n v="95.6"/>
    <s v="Family"/>
    <n v="7"/>
    <n v="2"/>
    <n v="0"/>
  </r>
  <r>
    <s v="U02145"/>
    <x v="9"/>
    <n v="37"/>
    <s v="Male"/>
    <x v="2"/>
    <x v="0"/>
    <n v="10.91"/>
    <n v="3"/>
    <n v="7.7"/>
    <n v="23.26"/>
    <n v="46.9"/>
    <s v="Drama"/>
    <n v="6"/>
    <n v="0"/>
    <n v="0"/>
  </r>
  <r>
    <s v="U02146"/>
    <x v="5"/>
    <n v="65"/>
    <s v="Female"/>
    <x v="2"/>
    <x v="4"/>
    <n v="18.850000000000001"/>
    <n v="3"/>
    <n v="6"/>
    <n v="8.17"/>
    <n v="72.8"/>
    <s v="Action"/>
    <n v="9"/>
    <n v="1"/>
    <n v="0"/>
  </r>
  <r>
    <s v="U02147"/>
    <x v="1"/>
    <n v="49"/>
    <s v="Male"/>
    <x v="1"/>
    <x v="1"/>
    <n v="5.69"/>
    <n v="2"/>
    <n v="6.5"/>
    <n v="24.52"/>
    <n v="56.6"/>
    <s v="Comedy"/>
    <n v="5"/>
    <n v="2"/>
    <n v="0"/>
  </r>
  <r>
    <s v="U02148"/>
    <x v="4"/>
    <n v="39"/>
    <s v="Male"/>
    <x v="1"/>
    <x v="2"/>
    <n v="9.07"/>
    <n v="5"/>
    <n v="5.2"/>
    <n v="22.2"/>
    <n v="20.100000000000001"/>
    <s v="Action"/>
    <n v="5"/>
    <n v="0"/>
    <n v="0"/>
  </r>
  <r>
    <s v="U02149"/>
    <x v="8"/>
    <n v="24"/>
    <s v="Female"/>
    <x v="2"/>
    <x v="1"/>
    <n v="9.3699999999999992"/>
    <n v="3"/>
    <n v="3.9"/>
    <n v="5.37"/>
    <n v="41.5"/>
    <s v="Action"/>
    <n v="6"/>
    <n v="1"/>
    <n v="1"/>
  </r>
  <r>
    <s v="U02150"/>
    <x v="3"/>
    <n v="26"/>
    <s v="Male"/>
    <x v="2"/>
    <x v="0"/>
    <n v="18.39"/>
    <n v="2"/>
    <n v="2.2999999999999998"/>
    <n v="12.1"/>
    <n v="24.7"/>
    <s v="Drama"/>
    <n v="10"/>
    <n v="2"/>
    <n v="0"/>
  </r>
  <r>
    <s v="U02151"/>
    <x v="2"/>
    <n v="62"/>
    <s v="Male"/>
    <x v="1"/>
    <x v="2"/>
    <n v="10.72"/>
    <n v="3"/>
    <n v="4.2"/>
    <n v="23.39"/>
    <n v="70.599999999999994"/>
    <s v="Drama"/>
    <n v="11"/>
    <n v="1"/>
    <n v="0"/>
  </r>
  <r>
    <s v="U02152"/>
    <x v="2"/>
    <n v="18"/>
    <s v="Male"/>
    <x v="2"/>
    <x v="4"/>
    <n v="16.989999999999998"/>
    <n v="5"/>
    <n v="7"/>
    <n v="4.72"/>
    <n v="62.4"/>
    <s v="Thriller"/>
    <n v="4"/>
    <n v="4"/>
    <n v="0"/>
  </r>
  <r>
    <s v="U02153"/>
    <x v="8"/>
    <n v="46"/>
    <s v="Male"/>
    <x v="0"/>
    <x v="3"/>
    <n v="24.31"/>
    <n v="2"/>
    <n v="7.6"/>
    <n v="12.98"/>
    <n v="13"/>
    <s v="Thriller"/>
    <n v="10"/>
    <n v="1"/>
    <n v="0"/>
  </r>
  <r>
    <s v="U02154"/>
    <x v="11"/>
    <n v="25"/>
    <s v="Male"/>
    <x v="1"/>
    <x v="1"/>
    <n v="20.86"/>
    <n v="1"/>
    <n v="5.2"/>
    <n v="18.920000000000002"/>
    <n v="15.5"/>
    <s v="Thriller"/>
    <n v="10"/>
    <n v="1"/>
    <n v="0"/>
  </r>
  <r>
    <s v="U02155"/>
    <x v="8"/>
    <n v="21"/>
    <s v="Female"/>
    <x v="1"/>
    <x v="2"/>
    <n v="11.66"/>
    <n v="1"/>
    <n v="6.8"/>
    <n v="3.74"/>
    <n v="33.5"/>
    <s v="Thriller"/>
    <n v="9"/>
    <n v="0"/>
    <n v="0"/>
  </r>
  <r>
    <s v="U02156"/>
    <x v="11"/>
    <n v="52"/>
    <s v="Male"/>
    <x v="0"/>
    <x v="1"/>
    <n v="14.45"/>
    <n v="1"/>
    <n v="2.9"/>
    <n v="19.559999999999999"/>
    <n v="77"/>
    <s v="Thriller"/>
    <n v="2"/>
    <n v="0"/>
    <n v="0"/>
  </r>
  <r>
    <s v="U02157"/>
    <x v="0"/>
    <n v="20"/>
    <s v="Female"/>
    <x v="0"/>
    <x v="4"/>
    <n v="9.01"/>
    <n v="4"/>
    <n v="8.6999999999999993"/>
    <n v="10.95"/>
    <n v="21.4"/>
    <s v="Family"/>
    <n v="11"/>
    <n v="3"/>
    <n v="0"/>
  </r>
  <r>
    <s v="U02158"/>
    <x v="3"/>
    <n v="62"/>
    <s v="Male"/>
    <x v="0"/>
    <x v="1"/>
    <n v="5.31"/>
    <n v="3"/>
    <n v="8.8000000000000007"/>
    <n v="8.49"/>
    <n v="28.4"/>
    <s v="Drama"/>
    <n v="3"/>
    <n v="0"/>
    <n v="1"/>
  </r>
  <r>
    <s v="U02159"/>
    <x v="2"/>
    <n v="57"/>
    <s v="Male"/>
    <x v="1"/>
    <x v="2"/>
    <n v="10.79"/>
    <n v="3"/>
    <n v="3.9"/>
    <n v="15.67"/>
    <n v="91.7"/>
    <s v="Comedy"/>
    <n v="9"/>
    <n v="4"/>
    <n v="0"/>
  </r>
  <r>
    <s v="U02160"/>
    <x v="8"/>
    <n v="24"/>
    <s v="Female"/>
    <x v="2"/>
    <x v="0"/>
    <n v="12.39"/>
    <n v="2"/>
    <n v="5.9"/>
    <n v="14.98"/>
    <n v="59.2"/>
    <s v="Comedy"/>
    <n v="1"/>
    <n v="4"/>
    <n v="0"/>
  </r>
  <r>
    <s v="U02161"/>
    <x v="0"/>
    <n v="44"/>
    <s v="Female"/>
    <x v="2"/>
    <x v="2"/>
    <n v="16.29"/>
    <n v="4"/>
    <n v="6.5"/>
    <n v="22.23"/>
    <n v="65.900000000000006"/>
    <s v="Comedy"/>
    <n v="5"/>
    <n v="1"/>
    <n v="1"/>
  </r>
  <r>
    <s v="U02162"/>
    <x v="9"/>
    <n v="18"/>
    <s v="Male"/>
    <x v="1"/>
    <x v="1"/>
    <n v="23.88"/>
    <n v="3"/>
    <n v="5.3"/>
    <n v="17.87"/>
    <n v="51"/>
    <s v="Comedy"/>
    <n v="3"/>
    <n v="0"/>
    <n v="0"/>
  </r>
  <r>
    <s v="U02163"/>
    <x v="7"/>
    <n v="44"/>
    <s v="Male"/>
    <x v="1"/>
    <x v="4"/>
    <n v="23.96"/>
    <n v="2"/>
    <n v="9.1999999999999993"/>
    <n v="12.28"/>
    <n v="37"/>
    <s v="Comedy"/>
    <n v="3"/>
    <n v="3"/>
    <n v="1"/>
  </r>
  <r>
    <s v="U02164"/>
    <x v="1"/>
    <n v="33"/>
    <s v="Female"/>
    <x v="2"/>
    <x v="3"/>
    <n v="6.4"/>
    <n v="5"/>
    <n v="7.7"/>
    <n v="17.3"/>
    <n v="32.4"/>
    <s v="Family"/>
    <n v="1"/>
    <n v="0"/>
    <n v="0"/>
  </r>
  <r>
    <s v="U02165"/>
    <x v="0"/>
    <n v="55"/>
    <s v="Female"/>
    <x v="0"/>
    <x v="3"/>
    <n v="17.29"/>
    <n v="3"/>
    <n v="7.1"/>
    <n v="19.5"/>
    <n v="63"/>
    <s v="Drama"/>
    <n v="8"/>
    <n v="3"/>
    <n v="0"/>
  </r>
  <r>
    <s v="U02166"/>
    <x v="1"/>
    <n v="24"/>
    <s v="Female"/>
    <x v="2"/>
    <x v="4"/>
    <n v="5.85"/>
    <n v="3"/>
    <n v="5.7"/>
    <n v="23.62"/>
    <n v="52.4"/>
    <s v="Thriller"/>
    <n v="3"/>
    <n v="1"/>
    <n v="0"/>
  </r>
  <r>
    <s v="U02167"/>
    <x v="8"/>
    <n v="61"/>
    <s v="Female"/>
    <x v="2"/>
    <x v="1"/>
    <n v="17.96"/>
    <n v="5"/>
    <n v="1.8"/>
    <n v="18.489999999999998"/>
    <n v="46.3"/>
    <s v="Thriller"/>
    <n v="4"/>
    <n v="4"/>
    <n v="0"/>
  </r>
  <r>
    <s v="U02168"/>
    <x v="5"/>
    <n v="40"/>
    <s v="Male"/>
    <x v="0"/>
    <x v="4"/>
    <n v="7.35"/>
    <n v="5"/>
    <n v="2"/>
    <n v="14.97"/>
    <n v="72.5"/>
    <s v="Thriller"/>
    <n v="5"/>
    <n v="0"/>
    <n v="0"/>
  </r>
  <r>
    <s v="U02169"/>
    <x v="9"/>
    <n v="58"/>
    <s v="Male"/>
    <x v="2"/>
    <x v="1"/>
    <n v="23.93"/>
    <n v="3"/>
    <n v="3.7"/>
    <n v="11.21"/>
    <n v="46.4"/>
    <s v="Drama"/>
    <n v="5"/>
    <n v="0"/>
    <n v="0"/>
  </r>
  <r>
    <s v="U02170"/>
    <x v="0"/>
    <n v="28"/>
    <s v="Male"/>
    <x v="2"/>
    <x v="2"/>
    <n v="22.29"/>
    <n v="5"/>
    <n v="2.9"/>
    <n v="22.61"/>
    <n v="13.3"/>
    <s v="Drama"/>
    <n v="2"/>
    <n v="4"/>
    <n v="0"/>
  </r>
  <r>
    <s v="U02171"/>
    <x v="3"/>
    <n v="59"/>
    <s v="Male"/>
    <x v="0"/>
    <x v="0"/>
    <n v="5.45"/>
    <n v="2"/>
    <n v="9.6"/>
    <n v="20.440000000000001"/>
    <n v="85.6"/>
    <s v="Family"/>
    <n v="7"/>
    <n v="4"/>
    <n v="1"/>
  </r>
  <r>
    <s v="U02172"/>
    <x v="8"/>
    <n v="50"/>
    <s v="Male"/>
    <x v="0"/>
    <x v="1"/>
    <n v="20.64"/>
    <n v="3"/>
    <n v="4.7"/>
    <n v="4.7"/>
    <n v="38.700000000000003"/>
    <s v="Family"/>
    <n v="6"/>
    <n v="2"/>
    <n v="0"/>
  </r>
  <r>
    <s v="U02173"/>
    <x v="4"/>
    <n v="67"/>
    <s v="Female"/>
    <x v="0"/>
    <x v="3"/>
    <n v="17.72"/>
    <n v="3"/>
    <n v="8.9"/>
    <n v="18.39"/>
    <n v="95.2"/>
    <s v="Thriller"/>
    <n v="11"/>
    <n v="2"/>
    <n v="0"/>
  </r>
  <r>
    <s v="U02174"/>
    <x v="10"/>
    <n v="53"/>
    <s v="Female"/>
    <x v="1"/>
    <x v="3"/>
    <n v="14.91"/>
    <n v="1"/>
    <n v="8.4"/>
    <n v="14.85"/>
    <n v="89.2"/>
    <s v="Drama"/>
    <n v="7"/>
    <n v="2"/>
    <n v="1"/>
  </r>
  <r>
    <s v="U02175"/>
    <x v="0"/>
    <n v="54"/>
    <s v="Female"/>
    <x v="1"/>
    <x v="0"/>
    <n v="17.05"/>
    <n v="3"/>
    <n v="8.3000000000000007"/>
    <n v="5.28"/>
    <n v="31.1"/>
    <s v="Thriller"/>
    <n v="10"/>
    <n v="4"/>
    <n v="0"/>
  </r>
  <r>
    <s v="U02176"/>
    <x v="3"/>
    <n v="58"/>
    <s v="Male"/>
    <x v="1"/>
    <x v="1"/>
    <n v="18.57"/>
    <n v="1"/>
    <n v="2.9"/>
    <n v="15.43"/>
    <n v="96.9"/>
    <s v="Family"/>
    <n v="10"/>
    <n v="2"/>
    <n v="0"/>
  </r>
  <r>
    <s v="U02177"/>
    <x v="7"/>
    <n v="34"/>
    <s v="Female"/>
    <x v="0"/>
    <x v="0"/>
    <n v="22.69"/>
    <n v="5"/>
    <n v="5"/>
    <n v="7.24"/>
    <n v="86.8"/>
    <s v="Thriller"/>
    <n v="3"/>
    <n v="0"/>
    <n v="1"/>
  </r>
  <r>
    <s v="U02178"/>
    <x v="4"/>
    <n v="52"/>
    <s v="Male"/>
    <x v="2"/>
    <x v="2"/>
    <n v="20.350000000000001"/>
    <n v="5"/>
    <n v="3.9"/>
    <n v="18.579999999999998"/>
    <n v="98.7"/>
    <s v="Family"/>
    <n v="8"/>
    <n v="4"/>
    <n v="0"/>
  </r>
  <r>
    <s v="U02179"/>
    <x v="7"/>
    <n v="65"/>
    <s v="Male"/>
    <x v="1"/>
    <x v="0"/>
    <n v="16.510000000000002"/>
    <n v="2"/>
    <n v="9.6999999999999993"/>
    <n v="9.1300000000000008"/>
    <n v="71"/>
    <s v="Action"/>
    <n v="6"/>
    <n v="0"/>
    <n v="1"/>
  </r>
  <r>
    <s v="U02180"/>
    <x v="8"/>
    <n v="22"/>
    <s v="Male"/>
    <x v="0"/>
    <x v="2"/>
    <n v="21.49"/>
    <n v="1"/>
    <n v="8.9"/>
    <n v="6.31"/>
    <n v="93.8"/>
    <s v="Comedy"/>
    <n v="7"/>
    <n v="4"/>
    <n v="0"/>
  </r>
  <r>
    <s v="U02181"/>
    <x v="10"/>
    <n v="65"/>
    <s v="Female"/>
    <x v="1"/>
    <x v="3"/>
    <n v="24.74"/>
    <n v="3"/>
    <n v="3.2"/>
    <n v="4.8"/>
    <n v="72.099999999999994"/>
    <s v="Action"/>
    <n v="9"/>
    <n v="1"/>
    <n v="0"/>
  </r>
  <r>
    <s v="U02182"/>
    <x v="0"/>
    <n v="49"/>
    <s v="Male"/>
    <x v="1"/>
    <x v="2"/>
    <n v="11"/>
    <n v="1"/>
    <n v="3.8"/>
    <n v="13.8"/>
    <n v="87"/>
    <s v="Thriller"/>
    <n v="8"/>
    <n v="0"/>
    <n v="1"/>
  </r>
  <r>
    <s v="U02183"/>
    <x v="0"/>
    <n v="20"/>
    <s v="Male"/>
    <x v="1"/>
    <x v="1"/>
    <n v="7.37"/>
    <n v="5"/>
    <n v="5.8"/>
    <n v="7.39"/>
    <n v="64.900000000000006"/>
    <s v="Thriller"/>
    <n v="8"/>
    <n v="4"/>
    <n v="0"/>
  </r>
  <r>
    <s v="U02184"/>
    <x v="5"/>
    <n v="69"/>
    <s v="Female"/>
    <x v="0"/>
    <x v="1"/>
    <n v="19.63"/>
    <n v="5"/>
    <n v="3.5"/>
    <n v="21.81"/>
    <n v="93.6"/>
    <s v="Drama"/>
    <n v="3"/>
    <n v="3"/>
    <n v="0"/>
  </r>
  <r>
    <s v="U02185"/>
    <x v="2"/>
    <n v="64"/>
    <s v="Male"/>
    <x v="0"/>
    <x v="1"/>
    <n v="24.57"/>
    <n v="2"/>
    <n v="8.4"/>
    <n v="3.07"/>
    <n v="56.6"/>
    <s v="Comedy"/>
    <n v="1"/>
    <n v="4"/>
    <n v="0"/>
  </r>
  <r>
    <s v="U02186"/>
    <x v="5"/>
    <n v="52"/>
    <s v="Female"/>
    <x v="2"/>
    <x v="1"/>
    <n v="7.33"/>
    <n v="5"/>
    <n v="8.4"/>
    <n v="21.56"/>
    <n v="76.3"/>
    <s v="Family"/>
    <n v="1"/>
    <n v="1"/>
    <n v="0"/>
  </r>
  <r>
    <s v="U02187"/>
    <x v="8"/>
    <n v="69"/>
    <s v="Male"/>
    <x v="2"/>
    <x v="4"/>
    <n v="13.63"/>
    <n v="1"/>
    <n v="7.5"/>
    <n v="14.46"/>
    <n v="92.5"/>
    <s v="Thriller"/>
    <n v="10"/>
    <n v="4"/>
    <n v="0"/>
  </r>
  <r>
    <s v="U02188"/>
    <x v="8"/>
    <n v="31"/>
    <s v="Female"/>
    <x v="1"/>
    <x v="2"/>
    <n v="6.25"/>
    <n v="3"/>
    <n v="7.2"/>
    <n v="23.29"/>
    <n v="48"/>
    <s v="Family"/>
    <n v="2"/>
    <n v="1"/>
    <n v="0"/>
  </r>
  <r>
    <s v="U02189"/>
    <x v="10"/>
    <n v="65"/>
    <s v="Male"/>
    <x v="1"/>
    <x v="1"/>
    <n v="20.53"/>
    <n v="3"/>
    <n v="5.9"/>
    <n v="7.5"/>
    <n v="12.4"/>
    <s v="Family"/>
    <n v="8"/>
    <n v="2"/>
    <n v="0"/>
  </r>
  <r>
    <s v="U02190"/>
    <x v="5"/>
    <n v="48"/>
    <s v="Male"/>
    <x v="1"/>
    <x v="0"/>
    <n v="23.97"/>
    <n v="1"/>
    <n v="4.0999999999999996"/>
    <n v="5.25"/>
    <n v="20.2"/>
    <s v="Family"/>
    <n v="10"/>
    <n v="0"/>
    <n v="0"/>
  </r>
  <r>
    <s v="U02191"/>
    <x v="3"/>
    <n v="48"/>
    <s v="Female"/>
    <x v="2"/>
    <x v="0"/>
    <n v="14.98"/>
    <n v="2"/>
    <n v="8.5"/>
    <n v="16.75"/>
    <n v="97.5"/>
    <s v="Action"/>
    <n v="6"/>
    <n v="1"/>
    <n v="0"/>
  </r>
  <r>
    <s v="U02192"/>
    <x v="3"/>
    <n v="34"/>
    <s v="Male"/>
    <x v="1"/>
    <x v="4"/>
    <n v="13.19"/>
    <n v="3"/>
    <n v="8.6999999999999993"/>
    <n v="18.55"/>
    <n v="88.6"/>
    <s v="Family"/>
    <n v="6"/>
    <n v="3"/>
    <n v="0"/>
  </r>
  <r>
    <s v="U02193"/>
    <x v="10"/>
    <n v="41"/>
    <s v="Female"/>
    <x v="2"/>
    <x v="2"/>
    <n v="23.15"/>
    <n v="1"/>
    <n v="1.4"/>
    <n v="11.2"/>
    <n v="53.5"/>
    <s v="Drama"/>
    <n v="1"/>
    <n v="0"/>
    <n v="0"/>
  </r>
  <r>
    <s v="U02194"/>
    <x v="9"/>
    <n v="69"/>
    <s v="Male"/>
    <x v="1"/>
    <x v="2"/>
    <n v="7.67"/>
    <n v="1"/>
    <n v="4.5999999999999996"/>
    <n v="3.3"/>
    <n v="96.5"/>
    <s v="Action"/>
    <n v="2"/>
    <n v="4"/>
    <n v="0"/>
  </r>
  <r>
    <s v="U02195"/>
    <x v="2"/>
    <n v="40"/>
    <s v="Female"/>
    <x v="1"/>
    <x v="2"/>
    <n v="22.83"/>
    <n v="5"/>
    <n v="1.2"/>
    <n v="11.95"/>
    <n v="26.7"/>
    <s v="Action"/>
    <n v="5"/>
    <n v="4"/>
    <n v="0"/>
  </r>
  <r>
    <s v="U02196"/>
    <x v="3"/>
    <n v="35"/>
    <s v="Male"/>
    <x v="1"/>
    <x v="4"/>
    <n v="12.84"/>
    <n v="5"/>
    <n v="8.6"/>
    <n v="8.14"/>
    <n v="20"/>
    <s v="Thriller"/>
    <n v="3"/>
    <n v="1"/>
    <n v="0"/>
  </r>
  <r>
    <s v="U02197"/>
    <x v="11"/>
    <n v="67"/>
    <s v="Male"/>
    <x v="2"/>
    <x v="2"/>
    <n v="16.190000000000001"/>
    <n v="2"/>
    <n v="2.6"/>
    <n v="10.64"/>
    <n v="64.099999999999994"/>
    <s v="Comedy"/>
    <n v="2"/>
    <n v="3"/>
    <n v="0"/>
  </r>
  <r>
    <s v="U02198"/>
    <x v="1"/>
    <n v="31"/>
    <s v="Male"/>
    <x v="2"/>
    <x v="2"/>
    <n v="15.57"/>
    <n v="2"/>
    <n v="7.1"/>
    <n v="14.15"/>
    <n v="44.4"/>
    <s v="Comedy"/>
    <n v="9"/>
    <n v="1"/>
    <n v="1"/>
  </r>
  <r>
    <s v="U02199"/>
    <x v="10"/>
    <n v="67"/>
    <s v="Female"/>
    <x v="0"/>
    <x v="1"/>
    <n v="17.32"/>
    <n v="2"/>
    <n v="4.2"/>
    <n v="18.45"/>
    <n v="40.6"/>
    <s v="Thriller"/>
    <n v="10"/>
    <n v="3"/>
    <n v="0"/>
  </r>
  <r>
    <s v="U02200"/>
    <x v="10"/>
    <n v="32"/>
    <s v="Female"/>
    <x v="1"/>
    <x v="2"/>
    <n v="23.84"/>
    <n v="1"/>
    <n v="8.3000000000000007"/>
    <n v="24.19"/>
    <n v="76.099999999999994"/>
    <s v="Comedy"/>
    <n v="7"/>
    <n v="1"/>
    <n v="1"/>
  </r>
  <r>
    <s v="U02201"/>
    <x v="6"/>
    <n v="32"/>
    <s v="Female"/>
    <x v="1"/>
    <x v="1"/>
    <n v="24.02"/>
    <n v="1"/>
    <n v="5.6"/>
    <n v="6.17"/>
    <n v="23.5"/>
    <s v="Family"/>
    <n v="1"/>
    <n v="2"/>
    <n v="0"/>
  </r>
  <r>
    <s v="U02202"/>
    <x v="4"/>
    <n v="23"/>
    <s v="Female"/>
    <x v="1"/>
    <x v="1"/>
    <n v="21.62"/>
    <n v="5"/>
    <n v="3.9"/>
    <n v="17.96"/>
    <n v="80.099999999999994"/>
    <s v="Drama"/>
    <n v="11"/>
    <n v="2"/>
    <n v="0"/>
  </r>
  <r>
    <s v="U02203"/>
    <x v="4"/>
    <n v="44"/>
    <s v="Female"/>
    <x v="2"/>
    <x v="2"/>
    <n v="8.83"/>
    <n v="3"/>
    <n v="3.9"/>
    <n v="8.1300000000000008"/>
    <n v="42.4"/>
    <s v="Family"/>
    <n v="1"/>
    <n v="2"/>
    <n v="0"/>
  </r>
  <r>
    <s v="U02204"/>
    <x v="11"/>
    <n v="32"/>
    <s v="Male"/>
    <x v="2"/>
    <x v="0"/>
    <n v="11.67"/>
    <n v="2"/>
    <n v="3.9"/>
    <n v="7.86"/>
    <n v="98.8"/>
    <s v="Comedy"/>
    <n v="3"/>
    <n v="1"/>
    <n v="0"/>
  </r>
  <r>
    <s v="U02205"/>
    <x v="5"/>
    <n v="67"/>
    <s v="Male"/>
    <x v="2"/>
    <x v="3"/>
    <n v="14.76"/>
    <n v="4"/>
    <n v="8.1"/>
    <n v="16.940000000000001"/>
    <n v="82.8"/>
    <s v="Comedy"/>
    <n v="10"/>
    <n v="0"/>
    <n v="0"/>
  </r>
  <r>
    <s v="U02206"/>
    <x v="9"/>
    <n v="53"/>
    <s v="Male"/>
    <x v="2"/>
    <x v="0"/>
    <n v="23.11"/>
    <n v="2"/>
    <n v="7.4"/>
    <n v="20.07"/>
    <n v="68.2"/>
    <s v="Drama"/>
    <n v="6"/>
    <n v="4"/>
    <n v="0"/>
  </r>
  <r>
    <s v="U02207"/>
    <x v="8"/>
    <n v="25"/>
    <s v="Male"/>
    <x v="0"/>
    <x v="2"/>
    <n v="15.42"/>
    <n v="5"/>
    <n v="3.9"/>
    <n v="24.51"/>
    <n v="30.7"/>
    <s v="Action"/>
    <n v="2"/>
    <n v="0"/>
    <n v="0"/>
  </r>
  <r>
    <s v="U02208"/>
    <x v="8"/>
    <n v="32"/>
    <s v="Male"/>
    <x v="2"/>
    <x v="2"/>
    <n v="24.55"/>
    <n v="1"/>
    <n v="5.4"/>
    <n v="19.91"/>
    <n v="96.1"/>
    <s v="Action"/>
    <n v="11"/>
    <n v="4"/>
    <n v="0"/>
  </r>
  <r>
    <s v="U02209"/>
    <x v="7"/>
    <n v="20"/>
    <s v="Female"/>
    <x v="2"/>
    <x v="0"/>
    <n v="24.68"/>
    <n v="5"/>
    <n v="1.7"/>
    <n v="6.46"/>
    <n v="13"/>
    <s v="Drama"/>
    <n v="8"/>
    <n v="3"/>
    <n v="1"/>
  </r>
  <r>
    <s v="U02210"/>
    <x v="11"/>
    <n v="64"/>
    <s v="Male"/>
    <x v="1"/>
    <x v="2"/>
    <n v="16.97"/>
    <n v="5"/>
    <n v="8.4"/>
    <n v="7.96"/>
    <n v="30.1"/>
    <s v="Action"/>
    <n v="4"/>
    <n v="2"/>
    <n v="0"/>
  </r>
  <r>
    <s v="U02211"/>
    <x v="10"/>
    <n v="30"/>
    <s v="Female"/>
    <x v="2"/>
    <x v="1"/>
    <n v="22.55"/>
    <n v="5"/>
    <n v="3.4"/>
    <n v="19.75"/>
    <n v="13.3"/>
    <s v="Comedy"/>
    <n v="8"/>
    <n v="2"/>
    <n v="0"/>
  </r>
  <r>
    <s v="U02212"/>
    <x v="11"/>
    <n v="58"/>
    <s v="Male"/>
    <x v="0"/>
    <x v="4"/>
    <n v="24.98"/>
    <n v="4"/>
    <n v="9"/>
    <n v="14.59"/>
    <n v="97"/>
    <s v="Action"/>
    <n v="7"/>
    <n v="4"/>
    <n v="1"/>
  </r>
  <r>
    <s v="U02213"/>
    <x v="11"/>
    <n v="51"/>
    <s v="Female"/>
    <x v="2"/>
    <x v="2"/>
    <n v="21.99"/>
    <n v="4"/>
    <n v="6.4"/>
    <n v="9.5"/>
    <n v="88.4"/>
    <s v="Comedy"/>
    <n v="2"/>
    <n v="2"/>
    <n v="1"/>
  </r>
  <r>
    <s v="U02214"/>
    <x v="11"/>
    <n v="41"/>
    <s v="Female"/>
    <x v="1"/>
    <x v="2"/>
    <n v="18.14"/>
    <n v="2"/>
    <n v="6.1"/>
    <n v="13.38"/>
    <n v="95.7"/>
    <s v="Thriller"/>
    <n v="9"/>
    <n v="0"/>
    <n v="0"/>
  </r>
  <r>
    <s v="U02215"/>
    <x v="4"/>
    <n v="57"/>
    <s v="Female"/>
    <x v="0"/>
    <x v="0"/>
    <n v="21.9"/>
    <n v="1"/>
    <n v="2.5"/>
    <n v="23.13"/>
    <n v="74.400000000000006"/>
    <s v="Family"/>
    <n v="5"/>
    <n v="1"/>
    <n v="1"/>
  </r>
  <r>
    <s v="U02216"/>
    <x v="11"/>
    <n v="49"/>
    <s v="Male"/>
    <x v="1"/>
    <x v="1"/>
    <n v="6.65"/>
    <n v="5"/>
    <n v="1.6"/>
    <n v="19.62"/>
    <n v="12.5"/>
    <s v="Action"/>
    <n v="6"/>
    <n v="2"/>
    <n v="0"/>
  </r>
  <r>
    <s v="U02217"/>
    <x v="2"/>
    <n v="49"/>
    <s v="Male"/>
    <x v="1"/>
    <x v="0"/>
    <n v="17.7"/>
    <n v="3"/>
    <n v="6"/>
    <n v="12.92"/>
    <n v="93.8"/>
    <s v="Thriller"/>
    <n v="2"/>
    <n v="2"/>
    <n v="0"/>
  </r>
  <r>
    <s v="U02218"/>
    <x v="1"/>
    <n v="47"/>
    <s v="Male"/>
    <x v="0"/>
    <x v="0"/>
    <n v="9.33"/>
    <n v="2"/>
    <n v="5.2"/>
    <n v="24.57"/>
    <n v="47.9"/>
    <s v="Action"/>
    <n v="3"/>
    <n v="3"/>
    <n v="1"/>
  </r>
  <r>
    <s v="U02219"/>
    <x v="8"/>
    <n v="69"/>
    <s v="Male"/>
    <x v="0"/>
    <x v="2"/>
    <n v="7.32"/>
    <n v="2"/>
    <n v="2.1"/>
    <n v="20.49"/>
    <n v="43.1"/>
    <s v="Thriller"/>
    <n v="10"/>
    <n v="1"/>
    <n v="0"/>
  </r>
  <r>
    <s v="U02220"/>
    <x v="7"/>
    <n v="66"/>
    <s v="Female"/>
    <x v="1"/>
    <x v="1"/>
    <n v="22.86"/>
    <n v="5"/>
    <n v="8.5"/>
    <n v="3.13"/>
    <n v="35.6"/>
    <s v="Drama"/>
    <n v="8"/>
    <n v="4"/>
    <n v="0"/>
  </r>
  <r>
    <s v="U02221"/>
    <x v="1"/>
    <n v="30"/>
    <s v="Female"/>
    <x v="1"/>
    <x v="2"/>
    <n v="17.79"/>
    <n v="2"/>
    <n v="4.8"/>
    <n v="5.47"/>
    <n v="35.799999999999997"/>
    <s v="Thriller"/>
    <n v="11"/>
    <n v="1"/>
    <n v="0"/>
  </r>
  <r>
    <s v="U02222"/>
    <x v="7"/>
    <n v="18"/>
    <s v="Female"/>
    <x v="2"/>
    <x v="2"/>
    <n v="9.8699999999999992"/>
    <n v="5"/>
    <n v="3.3"/>
    <n v="15.19"/>
    <n v="82.1"/>
    <s v="Comedy"/>
    <n v="5"/>
    <n v="1"/>
    <n v="0"/>
  </r>
  <r>
    <s v="U02223"/>
    <x v="6"/>
    <n v="51"/>
    <s v="Female"/>
    <x v="2"/>
    <x v="2"/>
    <n v="12.74"/>
    <n v="2"/>
    <n v="8.1"/>
    <n v="10.7"/>
    <n v="33.1"/>
    <s v="Drama"/>
    <n v="10"/>
    <n v="4"/>
    <n v="0"/>
  </r>
  <r>
    <s v="U02224"/>
    <x v="7"/>
    <n v="32"/>
    <s v="Male"/>
    <x v="1"/>
    <x v="2"/>
    <n v="24.47"/>
    <n v="1"/>
    <n v="9.1999999999999993"/>
    <n v="20.88"/>
    <n v="30"/>
    <s v="Drama"/>
    <n v="1"/>
    <n v="1"/>
    <n v="0"/>
  </r>
  <r>
    <s v="U02225"/>
    <x v="8"/>
    <n v="61"/>
    <s v="Female"/>
    <x v="2"/>
    <x v="4"/>
    <n v="22.24"/>
    <n v="2"/>
    <n v="3.8"/>
    <n v="22.71"/>
    <n v="72.8"/>
    <s v="Comedy"/>
    <n v="9"/>
    <n v="3"/>
    <n v="0"/>
  </r>
  <r>
    <s v="U02226"/>
    <x v="8"/>
    <n v="31"/>
    <s v="Male"/>
    <x v="1"/>
    <x v="3"/>
    <n v="5.31"/>
    <n v="2"/>
    <n v="8"/>
    <n v="8.2899999999999991"/>
    <n v="35.9"/>
    <s v="Action"/>
    <n v="11"/>
    <n v="0"/>
    <n v="0"/>
  </r>
  <r>
    <s v="U02227"/>
    <x v="11"/>
    <n v="46"/>
    <s v="Female"/>
    <x v="2"/>
    <x v="1"/>
    <n v="24.6"/>
    <n v="3"/>
    <n v="6.9"/>
    <n v="19.79"/>
    <n v="11.2"/>
    <s v="Drama"/>
    <n v="1"/>
    <n v="1"/>
    <n v="1"/>
  </r>
  <r>
    <s v="U02228"/>
    <x v="0"/>
    <n v="51"/>
    <s v="Female"/>
    <x v="0"/>
    <x v="4"/>
    <n v="12.37"/>
    <n v="1"/>
    <n v="9.9"/>
    <n v="14.78"/>
    <n v="93.9"/>
    <s v="Action"/>
    <n v="9"/>
    <n v="0"/>
    <n v="0"/>
  </r>
  <r>
    <s v="U02229"/>
    <x v="6"/>
    <n v="35"/>
    <s v="Female"/>
    <x v="1"/>
    <x v="3"/>
    <n v="18.91"/>
    <n v="1"/>
    <n v="2.8"/>
    <n v="11.62"/>
    <n v="38.200000000000003"/>
    <s v="Family"/>
    <n v="10"/>
    <n v="3"/>
    <n v="0"/>
  </r>
  <r>
    <s v="U02230"/>
    <x v="2"/>
    <n v="24"/>
    <s v="Male"/>
    <x v="1"/>
    <x v="3"/>
    <n v="19.25"/>
    <n v="1"/>
    <n v="9.6"/>
    <n v="20.309999999999999"/>
    <n v="78.8"/>
    <s v="Thriller"/>
    <n v="6"/>
    <n v="3"/>
    <n v="0"/>
  </r>
  <r>
    <s v="U02231"/>
    <x v="10"/>
    <n v="46"/>
    <s v="Male"/>
    <x v="0"/>
    <x v="3"/>
    <n v="23.23"/>
    <n v="2"/>
    <n v="3.8"/>
    <n v="15.43"/>
    <n v="52.2"/>
    <s v="Thriller"/>
    <n v="7"/>
    <n v="1"/>
    <n v="0"/>
  </r>
  <r>
    <s v="U02232"/>
    <x v="3"/>
    <n v="48"/>
    <s v="Female"/>
    <x v="2"/>
    <x v="4"/>
    <n v="22.7"/>
    <n v="4"/>
    <n v="4.7"/>
    <n v="16.98"/>
    <n v="22.1"/>
    <s v="Comedy"/>
    <n v="1"/>
    <n v="2"/>
    <n v="1"/>
  </r>
  <r>
    <s v="U02233"/>
    <x v="7"/>
    <n v="42"/>
    <s v="Female"/>
    <x v="2"/>
    <x v="1"/>
    <n v="10.63"/>
    <n v="2"/>
    <n v="4.2"/>
    <n v="4.37"/>
    <n v="69.599999999999994"/>
    <s v="Comedy"/>
    <n v="10"/>
    <n v="1"/>
    <n v="1"/>
  </r>
  <r>
    <s v="U02234"/>
    <x v="0"/>
    <n v="55"/>
    <s v="Female"/>
    <x v="1"/>
    <x v="0"/>
    <n v="17.87"/>
    <n v="5"/>
    <n v="3.4"/>
    <n v="15.89"/>
    <n v="30.8"/>
    <s v="Thriller"/>
    <n v="11"/>
    <n v="0"/>
    <n v="0"/>
  </r>
  <r>
    <s v="U02235"/>
    <x v="11"/>
    <n v="31"/>
    <s v="Male"/>
    <x v="1"/>
    <x v="3"/>
    <n v="12.87"/>
    <n v="3"/>
    <n v="7.2"/>
    <n v="9.6199999999999992"/>
    <n v="35.9"/>
    <s v="Family"/>
    <n v="1"/>
    <n v="3"/>
    <n v="0"/>
  </r>
  <r>
    <s v="U02236"/>
    <x v="4"/>
    <n v="25"/>
    <s v="Male"/>
    <x v="2"/>
    <x v="0"/>
    <n v="15.51"/>
    <n v="1"/>
    <n v="6.3"/>
    <n v="13.85"/>
    <n v="12.9"/>
    <s v="Comedy"/>
    <n v="5"/>
    <n v="0"/>
    <n v="0"/>
  </r>
  <r>
    <s v="U02237"/>
    <x v="10"/>
    <n v="44"/>
    <s v="Male"/>
    <x v="2"/>
    <x v="0"/>
    <n v="16.09"/>
    <n v="5"/>
    <n v="3.8"/>
    <n v="7.88"/>
    <n v="11.5"/>
    <s v="Family"/>
    <n v="2"/>
    <n v="0"/>
    <n v="0"/>
  </r>
  <r>
    <s v="U02238"/>
    <x v="9"/>
    <n v="19"/>
    <s v="Female"/>
    <x v="0"/>
    <x v="2"/>
    <n v="12.93"/>
    <n v="5"/>
    <n v="2.2000000000000002"/>
    <n v="16.52"/>
    <n v="56.2"/>
    <s v="Comedy"/>
    <n v="11"/>
    <n v="4"/>
    <n v="0"/>
  </r>
  <r>
    <s v="U02239"/>
    <x v="5"/>
    <n v="34"/>
    <s v="Male"/>
    <x v="1"/>
    <x v="0"/>
    <n v="14.28"/>
    <n v="4"/>
    <n v="3.9"/>
    <n v="6.24"/>
    <n v="15.2"/>
    <s v="Drama"/>
    <n v="10"/>
    <n v="3"/>
    <n v="1"/>
  </r>
  <r>
    <s v="U02240"/>
    <x v="0"/>
    <n v="54"/>
    <s v="Female"/>
    <x v="1"/>
    <x v="2"/>
    <n v="9.17"/>
    <n v="1"/>
    <n v="4.4000000000000004"/>
    <n v="5.7"/>
    <n v="28.8"/>
    <s v="Action"/>
    <n v="5"/>
    <n v="3"/>
    <n v="0"/>
  </r>
  <r>
    <s v="U02241"/>
    <x v="4"/>
    <n v="31"/>
    <s v="Male"/>
    <x v="1"/>
    <x v="1"/>
    <n v="17.149999999999999"/>
    <n v="2"/>
    <n v="4.4000000000000004"/>
    <n v="7.15"/>
    <n v="93.1"/>
    <s v="Thriller"/>
    <n v="5"/>
    <n v="0"/>
    <n v="0"/>
  </r>
  <r>
    <s v="U02242"/>
    <x v="6"/>
    <n v="42"/>
    <s v="Female"/>
    <x v="0"/>
    <x v="1"/>
    <n v="20.18"/>
    <n v="1"/>
    <n v="4.2"/>
    <n v="20.98"/>
    <n v="17.5"/>
    <s v="Action"/>
    <n v="6"/>
    <n v="3"/>
    <n v="0"/>
  </r>
  <r>
    <s v="U02243"/>
    <x v="9"/>
    <n v="47"/>
    <s v="Female"/>
    <x v="1"/>
    <x v="2"/>
    <n v="13.59"/>
    <n v="3"/>
    <n v="1.4"/>
    <n v="3.74"/>
    <n v="36.200000000000003"/>
    <s v="Thriller"/>
    <n v="9"/>
    <n v="1"/>
    <n v="0"/>
  </r>
  <r>
    <s v="U02244"/>
    <x v="11"/>
    <n v="46"/>
    <s v="Male"/>
    <x v="2"/>
    <x v="1"/>
    <n v="24.55"/>
    <n v="1"/>
    <n v="5.2"/>
    <n v="19.05"/>
    <n v="75.400000000000006"/>
    <s v="Comedy"/>
    <n v="6"/>
    <n v="4"/>
    <n v="0"/>
  </r>
  <r>
    <s v="U02245"/>
    <x v="10"/>
    <n v="37"/>
    <s v="Female"/>
    <x v="1"/>
    <x v="3"/>
    <n v="6.14"/>
    <n v="5"/>
    <n v="8.5"/>
    <n v="4.24"/>
    <n v="89.6"/>
    <s v="Action"/>
    <n v="10"/>
    <n v="1"/>
    <n v="0"/>
  </r>
  <r>
    <s v="U02246"/>
    <x v="10"/>
    <n v="38"/>
    <s v="Female"/>
    <x v="2"/>
    <x v="1"/>
    <n v="16.78"/>
    <n v="5"/>
    <n v="2.6"/>
    <n v="16.02"/>
    <n v="14.2"/>
    <s v="Family"/>
    <n v="11"/>
    <n v="2"/>
    <n v="0"/>
  </r>
  <r>
    <s v="U02247"/>
    <x v="10"/>
    <n v="39"/>
    <s v="Female"/>
    <x v="2"/>
    <x v="2"/>
    <n v="16.670000000000002"/>
    <n v="2"/>
    <n v="2.2999999999999998"/>
    <n v="20.02"/>
    <n v="26.7"/>
    <s v="Comedy"/>
    <n v="1"/>
    <n v="2"/>
    <n v="0"/>
  </r>
  <r>
    <s v="U02248"/>
    <x v="6"/>
    <n v="52"/>
    <s v="Male"/>
    <x v="2"/>
    <x v="3"/>
    <n v="5.73"/>
    <n v="2"/>
    <n v="5.2"/>
    <n v="8.08"/>
    <n v="44.9"/>
    <s v="Drama"/>
    <n v="5"/>
    <n v="0"/>
    <n v="0"/>
  </r>
  <r>
    <s v="U02249"/>
    <x v="9"/>
    <n v="54"/>
    <s v="Female"/>
    <x v="0"/>
    <x v="0"/>
    <n v="9.49"/>
    <n v="2"/>
    <n v="4.3"/>
    <n v="7.31"/>
    <n v="42.5"/>
    <s v="Action"/>
    <n v="2"/>
    <n v="2"/>
    <n v="0"/>
  </r>
  <r>
    <s v="U02250"/>
    <x v="7"/>
    <n v="33"/>
    <s v="Male"/>
    <x v="2"/>
    <x v="0"/>
    <n v="23.11"/>
    <n v="3"/>
    <n v="6.1"/>
    <n v="9.36"/>
    <n v="36"/>
    <s v="Action"/>
    <n v="11"/>
    <n v="1"/>
    <n v="0"/>
  </r>
  <r>
    <s v="U02251"/>
    <x v="5"/>
    <n v="67"/>
    <s v="Male"/>
    <x v="0"/>
    <x v="0"/>
    <n v="15.89"/>
    <n v="1"/>
    <n v="9.5"/>
    <n v="18.39"/>
    <n v="31.8"/>
    <s v="Drama"/>
    <n v="8"/>
    <n v="2"/>
    <n v="1"/>
  </r>
  <r>
    <s v="U02252"/>
    <x v="2"/>
    <n v="66"/>
    <s v="Female"/>
    <x v="1"/>
    <x v="2"/>
    <n v="13.73"/>
    <n v="4"/>
    <n v="7.8"/>
    <n v="8.61"/>
    <n v="34.200000000000003"/>
    <s v="Thriller"/>
    <n v="7"/>
    <n v="0"/>
    <n v="1"/>
  </r>
  <r>
    <s v="U02253"/>
    <x v="6"/>
    <n v="60"/>
    <s v="Male"/>
    <x v="1"/>
    <x v="0"/>
    <n v="13.31"/>
    <n v="1"/>
    <n v="7.2"/>
    <n v="14.04"/>
    <n v="22"/>
    <s v="Comedy"/>
    <n v="11"/>
    <n v="3"/>
    <n v="0"/>
  </r>
  <r>
    <s v="U02254"/>
    <x v="3"/>
    <n v="34"/>
    <s v="Female"/>
    <x v="1"/>
    <x v="1"/>
    <n v="22.76"/>
    <n v="2"/>
    <n v="4.7"/>
    <n v="5.96"/>
    <n v="24.7"/>
    <s v="Drama"/>
    <n v="6"/>
    <n v="4"/>
    <n v="0"/>
  </r>
  <r>
    <s v="U02255"/>
    <x v="5"/>
    <n v="33"/>
    <s v="Male"/>
    <x v="2"/>
    <x v="0"/>
    <n v="12.34"/>
    <n v="3"/>
    <n v="3.6"/>
    <n v="13.15"/>
    <n v="64.599999999999994"/>
    <s v="Family"/>
    <n v="2"/>
    <n v="0"/>
    <n v="0"/>
  </r>
  <r>
    <s v="U02256"/>
    <x v="8"/>
    <n v="19"/>
    <s v="Female"/>
    <x v="2"/>
    <x v="4"/>
    <n v="22.18"/>
    <n v="1"/>
    <n v="5.9"/>
    <n v="16.739999999999998"/>
    <n v="36.299999999999997"/>
    <s v="Comedy"/>
    <n v="3"/>
    <n v="0"/>
    <n v="0"/>
  </r>
  <r>
    <s v="U02257"/>
    <x v="11"/>
    <n v="21"/>
    <s v="Male"/>
    <x v="0"/>
    <x v="4"/>
    <n v="11.18"/>
    <n v="5"/>
    <n v="9"/>
    <n v="4.58"/>
    <n v="46"/>
    <s v="Drama"/>
    <n v="9"/>
    <n v="0"/>
    <n v="0"/>
  </r>
  <r>
    <s v="U02258"/>
    <x v="6"/>
    <n v="38"/>
    <s v="Female"/>
    <x v="1"/>
    <x v="0"/>
    <n v="15.63"/>
    <n v="1"/>
    <n v="8.9"/>
    <n v="20.94"/>
    <n v="47.1"/>
    <s v="Drama"/>
    <n v="9"/>
    <n v="1"/>
    <n v="0"/>
  </r>
  <r>
    <s v="U02259"/>
    <x v="4"/>
    <n v="56"/>
    <s v="Female"/>
    <x v="1"/>
    <x v="0"/>
    <n v="7.88"/>
    <n v="5"/>
    <n v="5"/>
    <n v="23.62"/>
    <n v="19.899999999999999"/>
    <s v="Action"/>
    <n v="7"/>
    <n v="3"/>
    <n v="0"/>
  </r>
  <r>
    <s v="U02260"/>
    <x v="5"/>
    <n v="51"/>
    <s v="Female"/>
    <x v="1"/>
    <x v="4"/>
    <n v="21.5"/>
    <n v="1"/>
    <n v="3.2"/>
    <n v="7.26"/>
    <n v="83.8"/>
    <s v="Action"/>
    <n v="2"/>
    <n v="0"/>
    <n v="1"/>
  </r>
  <r>
    <s v="U02261"/>
    <x v="3"/>
    <n v="47"/>
    <s v="Female"/>
    <x v="2"/>
    <x v="0"/>
    <n v="19.72"/>
    <n v="1"/>
    <n v="3"/>
    <n v="19.71"/>
    <n v="96.1"/>
    <s v="Action"/>
    <n v="7"/>
    <n v="3"/>
    <n v="0"/>
  </r>
  <r>
    <s v="U02262"/>
    <x v="8"/>
    <n v="23"/>
    <s v="Male"/>
    <x v="1"/>
    <x v="3"/>
    <n v="15.6"/>
    <n v="1"/>
    <n v="1.3"/>
    <n v="9.9"/>
    <n v="33.700000000000003"/>
    <s v="Comedy"/>
    <n v="1"/>
    <n v="0"/>
    <n v="0"/>
  </r>
  <r>
    <s v="U02263"/>
    <x v="7"/>
    <n v="34"/>
    <s v="Male"/>
    <x v="2"/>
    <x v="4"/>
    <n v="5.52"/>
    <n v="2"/>
    <n v="8.6"/>
    <n v="17.89"/>
    <n v="36.5"/>
    <s v="Thriller"/>
    <n v="9"/>
    <n v="1"/>
    <n v="1"/>
  </r>
  <r>
    <s v="U02264"/>
    <x v="9"/>
    <n v="56"/>
    <s v="Female"/>
    <x v="0"/>
    <x v="2"/>
    <n v="14.63"/>
    <n v="5"/>
    <n v="3.4"/>
    <n v="9.75"/>
    <n v="72.400000000000006"/>
    <s v="Comedy"/>
    <n v="9"/>
    <n v="0"/>
    <n v="0"/>
  </r>
  <r>
    <s v="U02265"/>
    <x v="4"/>
    <n v="42"/>
    <s v="Male"/>
    <x v="1"/>
    <x v="4"/>
    <n v="9.5"/>
    <n v="3"/>
    <n v="4.2"/>
    <n v="21.97"/>
    <n v="17.3"/>
    <s v="Action"/>
    <n v="6"/>
    <n v="2"/>
    <n v="0"/>
  </r>
  <r>
    <s v="U02266"/>
    <x v="5"/>
    <n v="22"/>
    <s v="Female"/>
    <x v="1"/>
    <x v="1"/>
    <n v="13.27"/>
    <n v="4"/>
    <n v="8.3000000000000007"/>
    <n v="10.64"/>
    <n v="91.7"/>
    <s v="Action"/>
    <n v="10"/>
    <n v="1"/>
    <n v="1"/>
  </r>
  <r>
    <s v="U02267"/>
    <x v="11"/>
    <n v="22"/>
    <s v="Female"/>
    <x v="0"/>
    <x v="3"/>
    <n v="22.13"/>
    <n v="5"/>
    <n v="2.1"/>
    <n v="21.67"/>
    <n v="20.9"/>
    <s v="Comedy"/>
    <n v="1"/>
    <n v="0"/>
    <n v="0"/>
  </r>
  <r>
    <s v="U02268"/>
    <x v="9"/>
    <n v="37"/>
    <s v="Male"/>
    <x v="1"/>
    <x v="2"/>
    <n v="20.39"/>
    <n v="2"/>
    <n v="5.2"/>
    <n v="19.86"/>
    <n v="75.900000000000006"/>
    <s v="Drama"/>
    <n v="8"/>
    <n v="0"/>
    <n v="0"/>
  </r>
  <r>
    <s v="U02269"/>
    <x v="4"/>
    <n v="33"/>
    <s v="Male"/>
    <x v="2"/>
    <x v="0"/>
    <n v="9.84"/>
    <n v="5"/>
    <n v="2.1"/>
    <n v="7.32"/>
    <n v="36.200000000000003"/>
    <s v="Drama"/>
    <n v="6"/>
    <n v="0"/>
    <n v="0"/>
  </r>
  <r>
    <s v="U02270"/>
    <x v="8"/>
    <n v="68"/>
    <s v="Female"/>
    <x v="2"/>
    <x v="1"/>
    <n v="24.7"/>
    <n v="3"/>
    <n v="5"/>
    <n v="6.45"/>
    <n v="39.1"/>
    <s v="Action"/>
    <n v="9"/>
    <n v="2"/>
    <n v="0"/>
  </r>
  <r>
    <s v="U02271"/>
    <x v="4"/>
    <n v="58"/>
    <s v="Male"/>
    <x v="1"/>
    <x v="1"/>
    <n v="23.06"/>
    <n v="5"/>
    <n v="1.4"/>
    <n v="20.149999999999999"/>
    <n v="22.7"/>
    <s v="Action"/>
    <n v="9"/>
    <n v="2"/>
    <n v="0"/>
  </r>
  <r>
    <s v="U02272"/>
    <x v="9"/>
    <n v="54"/>
    <s v="Female"/>
    <x v="1"/>
    <x v="3"/>
    <n v="15.57"/>
    <n v="2"/>
    <n v="5.7"/>
    <n v="11.59"/>
    <n v="68.2"/>
    <s v="Thriller"/>
    <n v="7"/>
    <n v="0"/>
    <n v="0"/>
  </r>
  <r>
    <s v="U02273"/>
    <x v="1"/>
    <n v="57"/>
    <s v="Male"/>
    <x v="0"/>
    <x v="2"/>
    <n v="15.6"/>
    <n v="2"/>
    <n v="8.1999999999999993"/>
    <n v="23.89"/>
    <n v="81.5"/>
    <s v="Drama"/>
    <n v="4"/>
    <n v="2"/>
    <n v="0"/>
  </r>
  <r>
    <s v="U02274"/>
    <x v="2"/>
    <n v="26"/>
    <s v="Male"/>
    <x v="0"/>
    <x v="1"/>
    <n v="23.03"/>
    <n v="4"/>
    <n v="7.1"/>
    <n v="23.74"/>
    <n v="95.5"/>
    <s v="Thriller"/>
    <n v="11"/>
    <n v="0"/>
    <n v="0"/>
  </r>
  <r>
    <s v="U02275"/>
    <x v="0"/>
    <n v="22"/>
    <s v="Male"/>
    <x v="1"/>
    <x v="2"/>
    <n v="17.72"/>
    <n v="3"/>
    <n v="5.6"/>
    <n v="18.260000000000002"/>
    <n v="39.799999999999997"/>
    <s v="Action"/>
    <n v="1"/>
    <n v="2"/>
    <n v="0"/>
  </r>
  <r>
    <s v="U02276"/>
    <x v="7"/>
    <n v="59"/>
    <s v="Male"/>
    <x v="0"/>
    <x v="2"/>
    <n v="15.73"/>
    <n v="4"/>
    <n v="8.5"/>
    <n v="14.01"/>
    <n v="65.900000000000006"/>
    <s v="Action"/>
    <n v="3"/>
    <n v="3"/>
    <n v="0"/>
  </r>
  <r>
    <s v="U02277"/>
    <x v="8"/>
    <n v="19"/>
    <s v="Male"/>
    <x v="2"/>
    <x v="1"/>
    <n v="19.98"/>
    <n v="1"/>
    <n v="3.1"/>
    <n v="7.29"/>
    <n v="47.3"/>
    <s v="Thriller"/>
    <n v="6"/>
    <n v="0"/>
    <n v="0"/>
  </r>
  <r>
    <s v="U02278"/>
    <x v="9"/>
    <n v="26"/>
    <s v="Female"/>
    <x v="2"/>
    <x v="2"/>
    <n v="9.6999999999999993"/>
    <n v="2"/>
    <n v="8.5"/>
    <n v="22.41"/>
    <n v="60.2"/>
    <s v="Thriller"/>
    <n v="1"/>
    <n v="0"/>
    <n v="0"/>
  </r>
  <r>
    <s v="U02279"/>
    <x v="2"/>
    <n v="60"/>
    <s v="Male"/>
    <x v="2"/>
    <x v="3"/>
    <n v="22.57"/>
    <n v="4"/>
    <n v="3.5"/>
    <n v="4.8"/>
    <n v="24.7"/>
    <s v="Action"/>
    <n v="4"/>
    <n v="4"/>
    <n v="1"/>
  </r>
  <r>
    <s v="U02280"/>
    <x v="2"/>
    <n v="53"/>
    <s v="Male"/>
    <x v="1"/>
    <x v="1"/>
    <n v="15.63"/>
    <n v="2"/>
    <n v="4.3"/>
    <n v="11.15"/>
    <n v="62.4"/>
    <s v="Family"/>
    <n v="8"/>
    <n v="4"/>
    <n v="0"/>
  </r>
  <r>
    <s v="U02281"/>
    <x v="4"/>
    <n v="39"/>
    <s v="Female"/>
    <x v="2"/>
    <x v="3"/>
    <n v="17.07"/>
    <n v="2"/>
    <n v="2.2000000000000002"/>
    <n v="10.02"/>
    <n v="86.4"/>
    <s v="Action"/>
    <n v="8"/>
    <n v="1"/>
    <n v="1"/>
  </r>
  <r>
    <s v="U02282"/>
    <x v="0"/>
    <n v="39"/>
    <s v="Female"/>
    <x v="1"/>
    <x v="3"/>
    <n v="6.8"/>
    <n v="1"/>
    <n v="1.9"/>
    <n v="24.09"/>
    <n v="87.7"/>
    <s v="Drama"/>
    <n v="6"/>
    <n v="3"/>
    <n v="1"/>
  </r>
  <r>
    <s v="U02283"/>
    <x v="2"/>
    <n v="39"/>
    <s v="Female"/>
    <x v="1"/>
    <x v="2"/>
    <n v="11.19"/>
    <n v="2"/>
    <n v="9.4"/>
    <n v="5.6"/>
    <n v="53.5"/>
    <s v="Action"/>
    <n v="6"/>
    <n v="3"/>
    <n v="0"/>
  </r>
  <r>
    <s v="U02284"/>
    <x v="0"/>
    <n v="51"/>
    <s v="Male"/>
    <x v="2"/>
    <x v="2"/>
    <n v="13.53"/>
    <n v="4"/>
    <n v="2.7"/>
    <n v="22.58"/>
    <n v="31.2"/>
    <s v="Comedy"/>
    <n v="3"/>
    <n v="1"/>
    <n v="0"/>
  </r>
  <r>
    <s v="U02285"/>
    <x v="4"/>
    <n v="46"/>
    <s v="Male"/>
    <x v="1"/>
    <x v="1"/>
    <n v="13.28"/>
    <n v="3"/>
    <n v="4"/>
    <n v="13.04"/>
    <n v="85.3"/>
    <s v="Action"/>
    <n v="7"/>
    <n v="4"/>
    <n v="0"/>
  </r>
  <r>
    <s v="U02286"/>
    <x v="9"/>
    <n v="55"/>
    <s v="Female"/>
    <x v="0"/>
    <x v="0"/>
    <n v="20.57"/>
    <n v="5"/>
    <n v="5.8"/>
    <n v="4.04"/>
    <n v="99.9"/>
    <s v="Family"/>
    <n v="8"/>
    <n v="1"/>
    <n v="0"/>
  </r>
  <r>
    <s v="U02287"/>
    <x v="11"/>
    <n v="63"/>
    <s v="Female"/>
    <x v="2"/>
    <x v="1"/>
    <n v="10.65"/>
    <n v="4"/>
    <n v="4.0999999999999996"/>
    <n v="19.04"/>
    <n v="43.9"/>
    <s v="Drama"/>
    <n v="2"/>
    <n v="4"/>
    <n v="1"/>
  </r>
  <r>
    <s v="U02288"/>
    <x v="1"/>
    <n v="50"/>
    <s v="Female"/>
    <x v="2"/>
    <x v="3"/>
    <n v="8.64"/>
    <n v="1"/>
    <n v="8.8000000000000007"/>
    <n v="5.22"/>
    <n v="93.2"/>
    <s v="Action"/>
    <n v="5"/>
    <n v="0"/>
    <n v="0"/>
  </r>
  <r>
    <s v="U02289"/>
    <x v="2"/>
    <n v="35"/>
    <s v="Female"/>
    <x v="2"/>
    <x v="2"/>
    <n v="16.649999999999999"/>
    <n v="5"/>
    <n v="9.1"/>
    <n v="8.2100000000000009"/>
    <n v="98.5"/>
    <s v="Thriller"/>
    <n v="6"/>
    <n v="1"/>
    <n v="0"/>
  </r>
  <r>
    <s v="U02290"/>
    <x v="6"/>
    <n v="24"/>
    <s v="Male"/>
    <x v="1"/>
    <x v="3"/>
    <n v="17.3"/>
    <n v="2"/>
    <n v="3.9"/>
    <n v="20.59"/>
    <n v="45.6"/>
    <s v="Drama"/>
    <n v="1"/>
    <n v="2"/>
    <n v="1"/>
  </r>
  <r>
    <s v="U02291"/>
    <x v="1"/>
    <n v="18"/>
    <s v="Male"/>
    <x v="1"/>
    <x v="4"/>
    <n v="7.43"/>
    <n v="4"/>
    <n v="1.8"/>
    <n v="6.4"/>
    <n v="74.5"/>
    <s v="Drama"/>
    <n v="5"/>
    <n v="4"/>
    <n v="0"/>
  </r>
  <r>
    <s v="U02292"/>
    <x v="4"/>
    <n v="50"/>
    <s v="Male"/>
    <x v="2"/>
    <x v="4"/>
    <n v="5.05"/>
    <n v="5"/>
    <n v="2.9"/>
    <n v="10.16"/>
    <n v="62.3"/>
    <s v="Family"/>
    <n v="3"/>
    <n v="0"/>
    <n v="0"/>
  </r>
  <r>
    <s v="U02293"/>
    <x v="7"/>
    <n v="18"/>
    <s v="Male"/>
    <x v="0"/>
    <x v="3"/>
    <n v="23.35"/>
    <n v="4"/>
    <n v="5.3"/>
    <n v="10.94"/>
    <n v="75"/>
    <s v="Thriller"/>
    <n v="3"/>
    <n v="2"/>
    <n v="0"/>
  </r>
  <r>
    <s v="U02294"/>
    <x v="6"/>
    <n v="41"/>
    <s v="Male"/>
    <x v="1"/>
    <x v="0"/>
    <n v="6.59"/>
    <n v="2"/>
    <n v="3.6"/>
    <n v="15.95"/>
    <n v="23.9"/>
    <s v="Comedy"/>
    <n v="6"/>
    <n v="2"/>
    <n v="0"/>
  </r>
  <r>
    <s v="U02295"/>
    <x v="8"/>
    <n v="21"/>
    <s v="Female"/>
    <x v="0"/>
    <x v="0"/>
    <n v="22.96"/>
    <n v="4"/>
    <n v="5.0999999999999996"/>
    <n v="20.38"/>
    <n v="43"/>
    <s v="Action"/>
    <n v="11"/>
    <n v="3"/>
    <n v="0"/>
  </r>
  <r>
    <s v="U02296"/>
    <x v="1"/>
    <n v="21"/>
    <s v="Male"/>
    <x v="1"/>
    <x v="1"/>
    <n v="12.98"/>
    <n v="1"/>
    <n v="7.8"/>
    <n v="8.08"/>
    <n v="15.7"/>
    <s v="Comedy"/>
    <n v="1"/>
    <n v="4"/>
    <n v="0"/>
  </r>
  <r>
    <s v="U02297"/>
    <x v="4"/>
    <n v="35"/>
    <s v="Female"/>
    <x v="1"/>
    <x v="1"/>
    <n v="18.059999999999999"/>
    <n v="5"/>
    <n v="4.8"/>
    <n v="7.53"/>
    <n v="65.2"/>
    <s v="Thriller"/>
    <n v="5"/>
    <n v="0"/>
    <n v="1"/>
  </r>
  <r>
    <s v="U02298"/>
    <x v="1"/>
    <n v="44"/>
    <s v="Female"/>
    <x v="0"/>
    <x v="1"/>
    <n v="8.7100000000000009"/>
    <n v="5"/>
    <n v="2.8"/>
    <n v="7.88"/>
    <n v="93.4"/>
    <s v="Drama"/>
    <n v="5"/>
    <n v="4"/>
    <n v="0"/>
  </r>
  <r>
    <s v="U02299"/>
    <x v="2"/>
    <n v="60"/>
    <s v="Female"/>
    <x v="0"/>
    <x v="2"/>
    <n v="21.48"/>
    <n v="5"/>
    <n v="4.2"/>
    <n v="11.4"/>
    <n v="60.4"/>
    <s v="Family"/>
    <n v="5"/>
    <n v="0"/>
    <n v="1"/>
  </r>
  <r>
    <s v="U02300"/>
    <x v="9"/>
    <n v="49"/>
    <s v="Male"/>
    <x v="1"/>
    <x v="0"/>
    <n v="8.6"/>
    <n v="4"/>
    <n v="7.7"/>
    <n v="14.77"/>
    <n v="16.3"/>
    <s v="Family"/>
    <n v="3"/>
    <n v="4"/>
    <n v="0"/>
  </r>
  <r>
    <s v="U02301"/>
    <x v="6"/>
    <n v="50"/>
    <s v="Female"/>
    <x v="0"/>
    <x v="3"/>
    <n v="12.73"/>
    <n v="2"/>
    <n v="4.8"/>
    <n v="3.3"/>
    <n v="93.7"/>
    <s v="Drama"/>
    <n v="6"/>
    <n v="2"/>
    <n v="0"/>
  </r>
  <r>
    <s v="U02302"/>
    <x v="3"/>
    <n v="45"/>
    <s v="Male"/>
    <x v="0"/>
    <x v="4"/>
    <n v="9.76"/>
    <n v="4"/>
    <n v="3.2"/>
    <n v="20.170000000000002"/>
    <n v="22"/>
    <s v="Family"/>
    <n v="11"/>
    <n v="3"/>
    <n v="1"/>
  </r>
  <r>
    <s v="U02303"/>
    <x v="5"/>
    <n v="59"/>
    <s v="Female"/>
    <x v="2"/>
    <x v="0"/>
    <n v="21.75"/>
    <n v="4"/>
    <n v="4.8"/>
    <n v="23.39"/>
    <n v="89.5"/>
    <s v="Comedy"/>
    <n v="1"/>
    <n v="1"/>
    <n v="0"/>
  </r>
  <r>
    <s v="U02304"/>
    <x v="1"/>
    <n v="58"/>
    <s v="Male"/>
    <x v="1"/>
    <x v="0"/>
    <n v="22.17"/>
    <n v="5"/>
    <n v="5.0999999999999996"/>
    <n v="21.56"/>
    <n v="74.3"/>
    <s v="Drama"/>
    <n v="10"/>
    <n v="4"/>
    <n v="0"/>
  </r>
  <r>
    <s v="U02305"/>
    <x v="8"/>
    <n v="53"/>
    <s v="Female"/>
    <x v="1"/>
    <x v="0"/>
    <n v="12.44"/>
    <n v="2"/>
    <n v="3.7"/>
    <n v="3.82"/>
    <n v="67.3"/>
    <s v="Action"/>
    <n v="1"/>
    <n v="2"/>
    <n v="0"/>
  </r>
  <r>
    <s v="U02306"/>
    <x v="8"/>
    <n v="23"/>
    <s v="Male"/>
    <x v="2"/>
    <x v="1"/>
    <n v="11.15"/>
    <n v="3"/>
    <n v="10"/>
    <n v="14.54"/>
    <n v="62.8"/>
    <s v="Action"/>
    <n v="11"/>
    <n v="1"/>
    <n v="0"/>
  </r>
  <r>
    <s v="U02307"/>
    <x v="10"/>
    <n v="33"/>
    <s v="Female"/>
    <x v="0"/>
    <x v="2"/>
    <n v="20.47"/>
    <n v="2"/>
    <n v="7.9"/>
    <n v="20.91"/>
    <n v="21.8"/>
    <s v="Thriller"/>
    <n v="2"/>
    <n v="1"/>
    <n v="0"/>
  </r>
  <r>
    <s v="U02308"/>
    <x v="1"/>
    <n v="51"/>
    <s v="Female"/>
    <x v="1"/>
    <x v="3"/>
    <n v="22.57"/>
    <n v="4"/>
    <n v="7.2"/>
    <n v="10.57"/>
    <n v="55.1"/>
    <s v="Drama"/>
    <n v="4"/>
    <n v="1"/>
    <n v="0"/>
  </r>
  <r>
    <s v="U02309"/>
    <x v="5"/>
    <n v="40"/>
    <s v="Female"/>
    <x v="1"/>
    <x v="1"/>
    <n v="17.48"/>
    <n v="1"/>
    <n v="8.6999999999999993"/>
    <n v="22.73"/>
    <n v="27.7"/>
    <s v="Comedy"/>
    <n v="10"/>
    <n v="2"/>
    <n v="0"/>
  </r>
  <r>
    <s v="U02310"/>
    <x v="11"/>
    <n v="67"/>
    <s v="Female"/>
    <x v="2"/>
    <x v="2"/>
    <n v="23.55"/>
    <n v="2"/>
    <n v="7"/>
    <n v="22.51"/>
    <n v="61.5"/>
    <s v="Drama"/>
    <n v="9"/>
    <n v="0"/>
    <n v="0"/>
  </r>
  <r>
    <s v="U02311"/>
    <x v="2"/>
    <n v="59"/>
    <s v="Male"/>
    <x v="2"/>
    <x v="0"/>
    <n v="12.66"/>
    <n v="5"/>
    <n v="8.1"/>
    <n v="6.12"/>
    <n v="50.3"/>
    <s v="Drama"/>
    <n v="10"/>
    <n v="1"/>
    <n v="0"/>
  </r>
  <r>
    <s v="U02312"/>
    <x v="0"/>
    <n v="41"/>
    <s v="Male"/>
    <x v="2"/>
    <x v="2"/>
    <n v="8.0399999999999991"/>
    <n v="1"/>
    <n v="4.7"/>
    <n v="13.86"/>
    <n v="71.2"/>
    <s v="Comedy"/>
    <n v="8"/>
    <n v="3"/>
    <n v="1"/>
  </r>
  <r>
    <s v="U02313"/>
    <x v="9"/>
    <n v="66"/>
    <s v="Male"/>
    <x v="2"/>
    <x v="1"/>
    <n v="8.59"/>
    <n v="3"/>
    <n v="5.5"/>
    <n v="3.56"/>
    <n v="98.4"/>
    <s v="Family"/>
    <n v="11"/>
    <n v="0"/>
    <n v="0"/>
  </r>
  <r>
    <s v="U02314"/>
    <x v="5"/>
    <n v="30"/>
    <s v="Female"/>
    <x v="0"/>
    <x v="0"/>
    <n v="18.399999999999999"/>
    <n v="3"/>
    <n v="1.4"/>
    <n v="9.1999999999999993"/>
    <n v="42.5"/>
    <s v="Comedy"/>
    <n v="10"/>
    <n v="2"/>
    <n v="0"/>
  </r>
  <r>
    <s v="U02315"/>
    <x v="0"/>
    <n v="35"/>
    <s v="Female"/>
    <x v="0"/>
    <x v="1"/>
    <n v="13.15"/>
    <n v="1"/>
    <n v="3.5"/>
    <n v="20.86"/>
    <n v="65.5"/>
    <s v="Drama"/>
    <n v="11"/>
    <n v="1"/>
    <n v="0"/>
  </r>
  <r>
    <s v="U02316"/>
    <x v="0"/>
    <n v="30"/>
    <s v="Female"/>
    <x v="1"/>
    <x v="3"/>
    <n v="8.1300000000000008"/>
    <n v="3"/>
    <n v="4.3"/>
    <n v="24.45"/>
    <n v="87.8"/>
    <s v="Drama"/>
    <n v="2"/>
    <n v="2"/>
    <n v="0"/>
  </r>
  <r>
    <s v="U02317"/>
    <x v="3"/>
    <n v="66"/>
    <s v="Female"/>
    <x v="0"/>
    <x v="0"/>
    <n v="10.84"/>
    <n v="1"/>
    <n v="6.6"/>
    <n v="23.09"/>
    <n v="18.399999999999999"/>
    <s v="Drama"/>
    <n v="1"/>
    <n v="2"/>
    <n v="1"/>
  </r>
  <r>
    <s v="U02318"/>
    <x v="10"/>
    <n v="54"/>
    <s v="Female"/>
    <x v="2"/>
    <x v="2"/>
    <n v="15.61"/>
    <n v="4"/>
    <n v="5.2"/>
    <n v="3.94"/>
    <n v="82"/>
    <s v="Drama"/>
    <n v="4"/>
    <n v="1"/>
    <n v="0"/>
  </r>
  <r>
    <s v="U02319"/>
    <x v="5"/>
    <n v="60"/>
    <s v="Female"/>
    <x v="1"/>
    <x v="1"/>
    <n v="7.43"/>
    <n v="1"/>
    <n v="6.5"/>
    <n v="23.39"/>
    <n v="31.5"/>
    <s v="Thriller"/>
    <n v="5"/>
    <n v="2"/>
    <n v="0"/>
  </r>
  <r>
    <s v="U02320"/>
    <x v="5"/>
    <n v="56"/>
    <s v="Male"/>
    <x v="0"/>
    <x v="4"/>
    <n v="5.07"/>
    <n v="4"/>
    <n v="7.4"/>
    <n v="21.1"/>
    <n v="58.6"/>
    <s v="Family"/>
    <n v="2"/>
    <n v="3"/>
    <n v="0"/>
  </r>
  <r>
    <s v="U02321"/>
    <x v="3"/>
    <n v="59"/>
    <s v="Male"/>
    <x v="2"/>
    <x v="2"/>
    <n v="23.35"/>
    <n v="5"/>
    <n v="1.4"/>
    <n v="22.09"/>
    <n v="99.2"/>
    <s v="Drama"/>
    <n v="10"/>
    <n v="3"/>
    <n v="0"/>
  </r>
  <r>
    <s v="U02322"/>
    <x v="1"/>
    <n v="34"/>
    <s v="Male"/>
    <x v="0"/>
    <x v="2"/>
    <n v="11.1"/>
    <n v="5"/>
    <n v="3.3"/>
    <n v="23.13"/>
    <n v="98.6"/>
    <s v="Thriller"/>
    <n v="6"/>
    <n v="4"/>
    <n v="1"/>
  </r>
  <r>
    <s v="U02323"/>
    <x v="1"/>
    <n v="32"/>
    <s v="Male"/>
    <x v="1"/>
    <x v="0"/>
    <n v="9.43"/>
    <n v="3"/>
    <n v="2.5"/>
    <n v="13.74"/>
    <n v="38.4"/>
    <s v="Drama"/>
    <n v="8"/>
    <n v="1"/>
    <n v="1"/>
  </r>
  <r>
    <s v="U02324"/>
    <x v="1"/>
    <n v="35"/>
    <s v="Male"/>
    <x v="1"/>
    <x v="2"/>
    <n v="18.97"/>
    <n v="1"/>
    <n v="2.7"/>
    <n v="7.65"/>
    <n v="21.9"/>
    <s v="Family"/>
    <n v="11"/>
    <n v="1"/>
    <n v="0"/>
  </r>
  <r>
    <s v="U02325"/>
    <x v="7"/>
    <n v="40"/>
    <s v="Male"/>
    <x v="1"/>
    <x v="1"/>
    <n v="22.07"/>
    <n v="4"/>
    <n v="5.5"/>
    <n v="3.46"/>
    <n v="94.4"/>
    <s v="Family"/>
    <n v="5"/>
    <n v="1"/>
    <n v="0"/>
  </r>
  <r>
    <s v="U02326"/>
    <x v="0"/>
    <n v="68"/>
    <s v="Male"/>
    <x v="1"/>
    <x v="4"/>
    <n v="17.649999999999999"/>
    <n v="5"/>
    <n v="7.7"/>
    <n v="3.52"/>
    <n v="90.4"/>
    <s v="Comedy"/>
    <n v="4"/>
    <n v="4"/>
    <n v="0"/>
  </r>
  <r>
    <s v="U02327"/>
    <x v="7"/>
    <n v="47"/>
    <s v="Male"/>
    <x v="0"/>
    <x v="3"/>
    <n v="10.09"/>
    <n v="5"/>
    <n v="3.5"/>
    <n v="17.14"/>
    <n v="65.400000000000006"/>
    <s v="Thriller"/>
    <n v="7"/>
    <n v="3"/>
    <n v="1"/>
  </r>
  <r>
    <s v="U02328"/>
    <x v="10"/>
    <n v="51"/>
    <s v="Female"/>
    <x v="1"/>
    <x v="4"/>
    <n v="22.23"/>
    <n v="5"/>
    <n v="8.4"/>
    <n v="10.42"/>
    <n v="12.9"/>
    <s v="Family"/>
    <n v="5"/>
    <n v="3"/>
    <n v="0"/>
  </r>
  <r>
    <s v="U02329"/>
    <x v="9"/>
    <n v="21"/>
    <s v="Female"/>
    <x v="2"/>
    <x v="1"/>
    <n v="15.21"/>
    <n v="3"/>
    <n v="9"/>
    <n v="13.91"/>
    <n v="77.599999999999994"/>
    <s v="Action"/>
    <n v="8"/>
    <n v="1"/>
    <n v="0"/>
  </r>
  <r>
    <s v="U02330"/>
    <x v="3"/>
    <n v="20"/>
    <s v="Female"/>
    <x v="2"/>
    <x v="0"/>
    <n v="12.62"/>
    <n v="5"/>
    <n v="4.2"/>
    <n v="5.89"/>
    <n v="24.5"/>
    <s v="Drama"/>
    <n v="7"/>
    <n v="2"/>
    <n v="0"/>
  </r>
  <r>
    <s v="U02331"/>
    <x v="5"/>
    <n v="24"/>
    <s v="Female"/>
    <x v="1"/>
    <x v="1"/>
    <n v="17.09"/>
    <n v="2"/>
    <n v="7.1"/>
    <n v="24.46"/>
    <n v="94.9"/>
    <s v="Family"/>
    <n v="5"/>
    <n v="0"/>
    <n v="0"/>
  </r>
  <r>
    <s v="U02332"/>
    <x v="2"/>
    <n v="35"/>
    <s v="Female"/>
    <x v="1"/>
    <x v="2"/>
    <n v="19.010000000000002"/>
    <n v="3"/>
    <n v="2.1"/>
    <n v="5.86"/>
    <n v="49.2"/>
    <s v="Thriller"/>
    <n v="11"/>
    <n v="0"/>
    <n v="0"/>
  </r>
  <r>
    <s v="U02333"/>
    <x v="0"/>
    <n v="59"/>
    <s v="Female"/>
    <x v="2"/>
    <x v="0"/>
    <n v="16.88"/>
    <n v="1"/>
    <n v="7.7"/>
    <n v="12.79"/>
    <n v="65.400000000000006"/>
    <s v="Thriller"/>
    <n v="8"/>
    <n v="1"/>
    <n v="0"/>
  </r>
  <r>
    <s v="U02334"/>
    <x v="7"/>
    <n v="24"/>
    <s v="Female"/>
    <x v="2"/>
    <x v="3"/>
    <n v="23.4"/>
    <n v="2"/>
    <n v="2.5"/>
    <n v="12.75"/>
    <n v="35.299999999999997"/>
    <s v="Thriller"/>
    <n v="1"/>
    <n v="1"/>
    <n v="0"/>
  </r>
  <r>
    <s v="U02335"/>
    <x v="7"/>
    <n v="57"/>
    <s v="Male"/>
    <x v="0"/>
    <x v="3"/>
    <n v="17.559999999999999"/>
    <n v="3"/>
    <n v="7.2"/>
    <n v="3.19"/>
    <n v="52.8"/>
    <s v="Comedy"/>
    <n v="8"/>
    <n v="3"/>
    <n v="1"/>
  </r>
  <r>
    <s v="U02336"/>
    <x v="4"/>
    <n v="23"/>
    <s v="Male"/>
    <x v="1"/>
    <x v="1"/>
    <n v="22.57"/>
    <n v="3"/>
    <n v="4.8"/>
    <n v="17.690000000000001"/>
    <n v="77.900000000000006"/>
    <s v="Drama"/>
    <n v="3"/>
    <n v="3"/>
    <n v="0"/>
  </r>
  <r>
    <s v="U02337"/>
    <x v="7"/>
    <n v="39"/>
    <s v="Female"/>
    <x v="2"/>
    <x v="2"/>
    <n v="16.739999999999998"/>
    <n v="4"/>
    <n v="9.4"/>
    <n v="14.84"/>
    <n v="54.3"/>
    <s v="Action"/>
    <n v="1"/>
    <n v="2"/>
    <n v="0"/>
  </r>
  <r>
    <s v="U02338"/>
    <x v="9"/>
    <n v="18"/>
    <s v="Male"/>
    <x v="1"/>
    <x v="3"/>
    <n v="11.59"/>
    <n v="2"/>
    <n v="5.2"/>
    <n v="13.94"/>
    <n v="86.2"/>
    <s v="Thriller"/>
    <n v="9"/>
    <n v="3"/>
    <n v="0"/>
  </r>
  <r>
    <s v="U02339"/>
    <x v="11"/>
    <n v="21"/>
    <s v="Male"/>
    <x v="0"/>
    <x v="4"/>
    <n v="15.65"/>
    <n v="2"/>
    <n v="1.3"/>
    <n v="21"/>
    <n v="74.2"/>
    <s v="Drama"/>
    <n v="11"/>
    <n v="0"/>
    <n v="0"/>
  </r>
  <r>
    <s v="U02340"/>
    <x v="5"/>
    <n v="63"/>
    <s v="Male"/>
    <x v="1"/>
    <x v="0"/>
    <n v="6.73"/>
    <n v="2"/>
    <n v="5.3"/>
    <n v="8.31"/>
    <n v="17"/>
    <s v="Thriller"/>
    <n v="6"/>
    <n v="0"/>
    <n v="0"/>
  </r>
  <r>
    <s v="U02341"/>
    <x v="11"/>
    <n v="66"/>
    <s v="Male"/>
    <x v="0"/>
    <x v="4"/>
    <n v="9.6"/>
    <n v="5"/>
    <n v="8.1999999999999993"/>
    <n v="21.94"/>
    <n v="64.599999999999994"/>
    <s v="Thriller"/>
    <n v="11"/>
    <n v="3"/>
    <n v="1"/>
  </r>
  <r>
    <s v="U02342"/>
    <x v="5"/>
    <n v="69"/>
    <s v="Male"/>
    <x v="1"/>
    <x v="3"/>
    <n v="20.32"/>
    <n v="5"/>
    <n v="6.8"/>
    <n v="22.03"/>
    <n v="65.099999999999994"/>
    <s v="Action"/>
    <n v="11"/>
    <n v="0"/>
    <n v="0"/>
  </r>
  <r>
    <s v="U02343"/>
    <x v="3"/>
    <n v="67"/>
    <s v="Female"/>
    <x v="1"/>
    <x v="3"/>
    <n v="18.23"/>
    <n v="1"/>
    <n v="9.6999999999999993"/>
    <n v="21.19"/>
    <n v="44.3"/>
    <s v="Drama"/>
    <n v="8"/>
    <n v="0"/>
    <n v="0"/>
  </r>
  <r>
    <s v="U02344"/>
    <x v="5"/>
    <n v="60"/>
    <s v="Male"/>
    <x v="2"/>
    <x v="1"/>
    <n v="8.33"/>
    <n v="1"/>
    <n v="8.6"/>
    <n v="10.51"/>
    <n v="39"/>
    <s v="Thriller"/>
    <n v="11"/>
    <n v="0"/>
    <n v="0"/>
  </r>
  <r>
    <s v="U02345"/>
    <x v="11"/>
    <n v="46"/>
    <s v="Female"/>
    <x v="1"/>
    <x v="1"/>
    <n v="13.76"/>
    <n v="1"/>
    <n v="5.7"/>
    <n v="6.58"/>
    <n v="15.7"/>
    <s v="Comedy"/>
    <n v="10"/>
    <n v="0"/>
    <n v="0"/>
  </r>
  <r>
    <s v="U02346"/>
    <x v="5"/>
    <n v="38"/>
    <s v="Female"/>
    <x v="0"/>
    <x v="0"/>
    <n v="7.84"/>
    <n v="5"/>
    <n v="2.9"/>
    <n v="13.45"/>
    <n v="50.2"/>
    <s v="Thriller"/>
    <n v="11"/>
    <n v="4"/>
    <n v="0"/>
  </r>
  <r>
    <s v="U02347"/>
    <x v="3"/>
    <n v="43"/>
    <s v="Female"/>
    <x v="0"/>
    <x v="1"/>
    <n v="22.12"/>
    <n v="4"/>
    <n v="1"/>
    <n v="8.7200000000000006"/>
    <n v="40.299999999999997"/>
    <s v="Drama"/>
    <n v="4"/>
    <n v="1"/>
    <n v="0"/>
  </r>
  <r>
    <s v="U02348"/>
    <x v="3"/>
    <n v="31"/>
    <s v="Male"/>
    <x v="2"/>
    <x v="2"/>
    <n v="7.18"/>
    <n v="1"/>
    <n v="9.8000000000000007"/>
    <n v="4.1500000000000004"/>
    <n v="95.6"/>
    <s v="Family"/>
    <n v="2"/>
    <n v="2"/>
    <n v="0"/>
  </r>
  <r>
    <s v="U02349"/>
    <x v="10"/>
    <n v="26"/>
    <s v="Female"/>
    <x v="0"/>
    <x v="0"/>
    <n v="18.079999999999998"/>
    <n v="3"/>
    <n v="9.4"/>
    <n v="9.15"/>
    <n v="70.7"/>
    <s v="Thriller"/>
    <n v="6"/>
    <n v="4"/>
    <n v="0"/>
  </r>
  <r>
    <s v="U02350"/>
    <x v="5"/>
    <n v="64"/>
    <s v="Female"/>
    <x v="1"/>
    <x v="2"/>
    <n v="17.14"/>
    <n v="5"/>
    <n v="3.5"/>
    <n v="13.32"/>
    <n v="51.4"/>
    <s v="Comedy"/>
    <n v="2"/>
    <n v="2"/>
    <n v="1"/>
  </r>
  <r>
    <s v="U02351"/>
    <x v="2"/>
    <n v="29"/>
    <s v="Female"/>
    <x v="0"/>
    <x v="1"/>
    <n v="14.46"/>
    <n v="4"/>
    <n v="6.7"/>
    <n v="5.48"/>
    <n v="77.900000000000006"/>
    <s v="Comedy"/>
    <n v="1"/>
    <n v="4"/>
    <n v="0"/>
  </r>
  <r>
    <s v="U02352"/>
    <x v="4"/>
    <n v="59"/>
    <s v="Female"/>
    <x v="2"/>
    <x v="0"/>
    <n v="10.56"/>
    <n v="3"/>
    <n v="7.6"/>
    <n v="23.78"/>
    <n v="80.099999999999994"/>
    <s v="Thriller"/>
    <n v="7"/>
    <n v="4"/>
    <n v="0"/>
  </r>
  <r>
    <s v="U02353"/>
    <x v="1"/>
    <n v="68"/>
    <s v="Male"/>
    <x v="1"/>
    <x v="3"/>
    <n v="13.08"/>
    <n v="3"/>
    <n v="6.2"/>
    <n v="17.43"/>
    <n v="53.2"/>
    <s v="Drama"/>
    <n v="7"/>
    <n v="2"/>
    <n v="0"/>
  </r>
  <r>
    <s v="U02354"/>
    <x v="8"/>
    <n v="68"/>
    <s v="Female"/>
    <x v="1"/>
    <x v="4"/>
    <n v="21.13"/>
    <n v="5"/>
    <n v="8.6"/>
    <n v="6"/>
    <n v="16.8"/>
    <s v="Thriller"/>
    <n v="6"/>
    <n v="1"/>
    <n v="0"/>
  </r>
  <r>
    <s v="U02355"/>
    <x v="3"/>
    <n v="23"/>
    <s v="Female"/>
    <x v="1"/>
    <x v="3"/>
    <n v="20.23"/>
    <n v="2"/>
    <n v="1.7"/>
    <n v="20.87"/>
    <n v="80.2"/>
    <s v="Comedy"/>
    <n v="2"/>
    <n v="3"/>
    <n v="0"/>
  </r>
  <r>
    <s v="U02356"/>
    <x v="6"/>
    <n v="37"/>
    <s v="Female"/>
    <x v="2"/>
    <x v="2"/>
    <n v="19.78"/>
    <n v="4"/>
    <n v="9.1"/>
    <n v="23.42"/>
    <n v="18.100000000000001"/>
    <s v="Thriller"/>
    <n v="5"/>
    <n v="4"/>
    <n v="1"/>
  </r>
  <r>
    <s v="U02357"/>
    <x v="1"/>
    <n v="41"/>
    <s v="Female"/>
    <x v="1"/>
    <x v="3"/>
    <n v="20"/>
    <n v="5"/>
    <n v="4.5"/>
    <n v="8.7799999999999994"/>
    <n v="86.3"/>
    <s v="Comedy"/>
    <n v="1"/>
    <n v="1"/>
    <n v="0"/>
  </r>
  <r>
    <s v="U02358"/>
    <x v="9"/>
    <n v="44"/>
    <s v="Male"/>
    <x v="2"/>
    <x v="3"/>
    <n v="7.88"/>
    <n v="2"/>
    <n v="5.3"/>
    <n v="6.15"/>
    <n v="40.1"/>
    <s v="Family"/>
    <n v="2"/>
    <n v="3"/>
    <n v="0"/>
  </r>
  <r>
    <s v="U02359"/>
    <x v="0"/>
    <n v="55"/>
    <s v="Female"/>
    <x v="2"/>
    <x v="4"/>
    <n v="6.98"/>
    <n v="5"/>
    <n v="5"/>
    <n v="10.09"/>
    <n v="67.400000000000006"/>
    <s v="Thriller"/>
    <n v="5"/>
    <n v="2"/>
    <n v="1"/>
  </r>
  <r>
    <s v="U02360"/>
    <x v="5"/>
    <n v="25"/>
    <s v="Female"/>
    <x v="2"/>
    <x v="4"/>
    <n v="22.23"/>
    <n v="5"/>
    <n v="5.8"/>
    <n v="21.31"/>
    <n v="76.599999999999994"/>
    <s v="Action"/>
    <n v="5"/>
    <n v="4"/>
    <n v="0"/>
  </r>
  <r>
    <s v="U02361"/>
    <x v="11"/>
    <n v="18"/>
    <s v="Female"/>
    <x v="1"/>
    <x v="3"/>
    <n v="21.74"/>
    <n v="3"/>
    <n v="6.4"/>
    <n v="6.85"/>
    <n v="13.2"/>
    <s v="Thriller"/>
    <n v="7"/>
    <n v="3"/>
    <n v="0"/>
  </r>
  <r>
    <s v="U02362"/>
    <x v="8"/>
    <n v="66"/>
    <s v="Female"/>
    <x v="2"/>
    <x v="4"/>
    <n v="18.63"/>
    <n v="5"/>
    <n v="7.4"/>
    <n v="20.149999999999999"/>
    <n v="44.6"/>
    <s v="Comedy"/>
    <n v="5"/>
    <n v="1"/>
    <n v="0"/>
  </r>
  <r>
    <s v="U02363"/>
    <x v="6"/>
    <n v="66"/>
    <s v="Female"/>
    <x v="0"/>
    <x v="3"/>
    <n v="17.12"/>
    <n v="2"/>
    <n v="5.7"/>
    <n v="18.760000000000002"/>
    <n v="64.400000000000006"/>
    <s v="Drama"/>
    <n v="11"/>
    <n v="3"/>
    <n v="1"/>
  </r>
  <r>
    <s v="U02364"/>
    <x v="1"/>
    <n v="41"/>
    <s v="Female"/>
    <x v="1"/>
    <x v="0"/>
    <n v="12.34"/>
    <n v="3"/>
    <n v="7.2"/>
    <n v="17.329999999999998"/>
    <n v="86.3"/>
    <s v="Comedy"/>
    <n v="6"/>
    <n v="2"/>
    <n v="0"/>
  </r>
  <r>
    <s v="U02365"/>
    <x v="5"/>
    <n v="64"/>
    <s v="Male"/>
    <x v="2"/>
    <x v="3"/>
    <n v="9.48"/>
    <n v="2"/>
    <n v="4"/>
    <n v="12.53"/>
    <n v="74.599999999999994"/>
    <s v="Family"/>
    <n v="2"/>
    <n v="3"/>
    <n v="0"/>
  </r>
  <r>
    <s v="U02366"/>
    <x v="10"/>
    <n v="24"/>
    <s v="Female"/>
    <x v="0"/>
    <x v="1"/>
    <n v="18.350000000000001"/>
    <n v="2"/>
    <n v="9.4"/>
    <n v="11.07"/>
    <n v="90.7"/>
    <s v="Drama"/>
    <n v="5"/>
    <n v="0"/>
    <n v="0"/>
  </r>
  <r>
    <s v="U02367"/>
    <x v="0"/>
    <n v="36"/>
    <s v="Male"/>
    <x v="0"/>
    <x v="4"/>
    <n v="23.26"/>
    <n v="3"/>
    <n v="1.6"/>
    <n v="4.88"/>
    <n v="17.399999999999999"/>
    <s v="Action"/>
    <n v="8"/>
    <n v="4"/>
    <n v="0"/>
  </r>
  <r>
    <s v="U02368"/>
    <x v="8"/>
    <n v="39"/>
    <s v="Male"/>
    <x v="1"/>
    <x v="4"/>
    <n v="13.74"/>
    <n v="2"/>
    <n v="5.9"/>
    <n v="10.86"/>
    <n v="16.5"/>
    <s v="Action"/>
    <n v="1"/>
    <n v="1"/>
    <n v="0"/>
  </r>
  <r>
    <s v="U02369"/>
    <x v="4"/>
    <n v="52"/>
    <s v="Female"/>
    <x v="1"/>
    <x v="2"/>
    <n v="11.06"/>
    <n v="1"/>
    <n v="1.8"/>
    <n v="16.239999999999998"/>
    <n v="74.2"/>
    <s v="Family"/>
    <n v="11"/>
    <n v="1"/>
    <n v="0"/>
  </r>
  <r>
    <s v="U02370"/>
    <x v="10"/>
    <n v="47"/>
    <s v="Male"/>
    <x v="1"/>
    <x v="2"/>
    <n v="10.41"/>
    <n v="5"/>
    <n v="5"/>
    <n v="22.76"/>
    <n v="45.9"/>
    <s v="Family"/>
    <n v="10"/>
    <n v="4"/>
    <n v="0"/>
  </r>
  <r>
    <s v="U02371"/>
    <x v="6"/>
    <n v="46"/>
    <s v="Female"/>
    <x v="2"/>
    <x v="1"/>
    <n v="5.47"/>
    <n v="3"/>
    <n v="3.3"/>
    <n v="21.33"/>
    <n v="53.3"/>
    <s v="Family"/>
    <n v="7"/>
    <n v="4"/>
    <n v="0"/>
  </r>
  <r>
    <s v="U02372"/>
    <x v="9"/>
    <n v="39"/>
    <s v="Male"/>
    <x v="2"/>
    <x v="4"/>
    <n v="15.41"/>
    <n v="3"/>
    <n v="9.4"/>
    <n v="3.71"/>
    <n v="64.400000000000006"/>
    <s v="Family"/>
    <n v="8"/>
    <n v="0"/>
    <n v="0"/>
  </r>
  <r>
    <s v="U02373"/>
    <x v="8"/>
    <n v="28"/>
    <s v="Female"/>
    <x v="1"/>
    <x v="4"/>
    <n v="24.76"/>
    <n v="1"/>
    <n v="1.1000000000000001"/>
    <n v="6.05"/>
    <n v="98.7"/>
    <s v="Thriller"/>
    <n v="11"/>
    <n v="0"/>
    <n v="0"/>
  </r>
  <r>
    <s v="U02374"/>
    <x v="10"/>
    <n v="37"/>
    <s v="Male"/>
    <x v="0"/>
    <x v="2"/>
    <n v="21.3"/>
    <n v="1"/>
    <n v="4.5"/>
    <n v="21.67"/>
    <n v="16"/>
    <s v="Comedy"/>
    <n v="5"/>
    <n v="1"/>
    <n v="0"/>
  </r>
  <r>
    <s v="U02375"/>
    <x v="0"/>
    <n v="46"/>
    <s v="Male"/>
    <x v="2"/>
    <x v="2"/>
    <n v="22.95"/>
    <n v="1"/>
    <n v="8"/>
    <n v="23.67"/>
    <n v="19.8"/>
    <s v="Thriller"/>
    <n v="4"/>
    <n v="3"/>
    <n v="1"/>
  </r>
  <r>
    <s v="U02376"/>
    <x v="4"/>
    <n v="68"/>
    <s v="Female"/>
    <x v="0"/>
    <x v="3"/>
    <n v="17.420000000000002"/>
    <n v="1"/>
    <n v="2.7"/>
    <n v="4.2300000000000004"/>
    <n v="84.6"/>
    <s v="Drama"/>
    <n v="1"/>
    <n v="4"/>
    <n v="1"/>
  </r>
  <r>
    <s v="U02377"/>
    <x v="10"/>
    <n v="58"/>
    <s v="Male"/>
    <x v="0"/>
    <x v="4"/>
    <n v="14.63"/>
    <n v="4"/>
    <n v="8.3000000000000007"/>
    <n v="18.43"/>
    <n v="11.8"/>
    <s v="Action"/>
    <n v="9"/>
    <n v="0"/>
    <n v="0"/>
  </r>
  <r>
    <s v="U02378"/>
    <x v="7"/>
    <n v="59"/>
    <s v="Male"/>
    <x v="0"/>
    <x v="4"/>
    <n v="24.81"/>
    <n v="3"/>
    <n v="8.6999999999999993"/>
    <n v="11.05"/>
    <n v="50.5"/>
    <s v="Action"/>
    <n v="2"/>
    <n v="0"/>
    <n v="0"/>
  </r>
  <r>
    <s v="U02379"/>
    <x v="4"/>
    <n v="51"/>
    <s v="Male"/>
    <x v="1"/>
    <x v="3"/>
    <n v="13.94"/>
    <n v="2"/>
    <n v="7.4"/>
    <n v="11.01"/>
    <n v="79.7"/>
    <s v="Drama"/>
    <n v="11"/>
    <n v="0"/>
    <n v="0"/>
  </r>
  <r>
    <s v="U02380"/>
    <x v="6"/>
    <n v="18"/>
    <s v="Male"/>
    <x v="0"/>
    <x v="4"/>
    <n v="23.34"/>
    <n v="3"/>
    <n v="2.9"/>
    <n v="17.14"/>
    <n v="27.6"/>
    <s v="Action"/>
    <n v="5"/>
    <n v="3"/>
    <n v="0"/>
  </r>
  <r>
    <s v="U02381"/>
    <x v="9"/>
    <n v="48"/>
    <s v="Male"/>
    <x v="0"/>
    <x v="1"/>
    <n v="20.239999999999998"/>
    <n v="3"/>
    <n v="3.4"/>
    <n v="20.82"/>
    <n v="26.8"/>
    <s v="Family"/>
    <n v="7"/>
    <n v="1"/>
    <n v="0"/>
  </r>
  <r>
    <s v="U02382"/>
    <x v="0"/>
    <n v="47"/>
    <s v="Female"/>
    <x v="1"/>
    <x v="2"/>
    <n v="11.62"/>
    <n v="3"/>
    <n v="2.5"/>
    <n v="9.0500000000000007"/>
    <n v="37.9"/>
    <s v="Family"/>
    <n v="8"/>
    <n v="1"/>
    <n v="1"/>
  </r>
  <r>
    <s v="U02383"/>
    <x v="2"/>
    <n v="65"/>
    <s v="Male"/>
    <x v="0"/>
    <x v="2"/>
    <n v="15.06"/>
    <n v="1"/>
    <n v="2.7"/>
    <n v="18.52"/>
    <n v="23.5"/>
    <s v="Family"/>
    <n v="11"/>
    <n v="0"/>
    <n v="0"/>
  </r>
  <r>
    <s v="U02384"/>
    <x v="5"/>
    <n v="35"/>
    <s v="Male"/>
    <x v="1"/>
    <x v="2"/>
    <n v="12.69"/>
    <n v="1"/>
    <n v="1.3"/>
    <n v="16.989999999999998"/>
    <n v="71.099999999999994"/>
    <s v="Drama"/>
    <n v="10"/>
    <n v="3"/>
    <n v="1"/>
  </r>
  <r>
    <s v="U02385"/>
    <x v="11"/>
    <n v="34"/>
    <s v="Female"/>
    <x v="2"/>
    <x v="0"/>
    <n v="7.72"/>
    <n v="4"/>
    <n v="8.6999999999999993"/>
    <n v="14.38"/>
    <n v="28"/>
    <s v="Comedy"/>
    <n v="4"/>
    <n v="3"/>
    <n v="0"/>
  </r>
  <r>
    <s v="U02386"/>
    <x v="11"/>
    <n v="55"/>
    <s v="Female"/>
    <x v="2"/>
    <x v="1"/>
    <n v="12.14"/>
    <n v="3"/>
    <n v="5.8"/>
    <n v="16.25"/>
    <n v="30.4"/>
    <s v="Drama"/>
    <n v="10"/>
    <n v="1"/>
    <n v="1"/>
  </r>
  <r>
    <s v="U02387"/>
    <x v="11"/>
    <n v="31"/>
    <s v="Female"/>
    <x v="0"/>
    <x v="1"/>
    <n v="22.78"/>
    <n v="5"/>
    <n v="3.9"/>
    <n v="3.4"/>
    <n v="61.7"/>
    <s v="Comedy"/>
    <n v="1"/>
    <n v="4"/>
    <n v="1"/>
  </r>
  <r>
    <s v="U02388"/>
    <x v="8"/>
    <n v="40"/>
    <s v="Male"/>
    <x v="0"/>
    <x v="3"/>
    <n v="20.05"/>
    <n v="4"/>
    <n v="3.6"/>
    <n v="3.09"/>
    <n v="97.1"/>
    <s v="Action"/>
    <n v="7"/>
    <n v="0"/>
    <n v="0"/>
  </r>
  <r>
    <s v="U02389"/>
    <x v="6"/>
    <n v="42"/>
    <s v="Male"/>
    <x v="2"/>
    <x v="0"/>
    <n v="10.55"/>
    <n v="1"/>
    <n v="5.9"/>
    <n v="15.11"/>
    <n v="92.2"/>
    <s v="Action"/>
    <n v="10"/>
    <n v="3"/>
    <n v="1"/>
  </r>
  <r>
    <s v="U02390"/>
    <x v="0"/>
    <n v="32"/>
    <s v="Male"/>
    <x v="0"/>
    <x v="4"/>
    <n v="12.36"/>
    <n v="3"/>
    <n v="3.9"/>
    <n v="14.53"/>
    <n v="87.8"/>
    <s v="Action"/>
    <n v="11"/>
    <n v="4"/>
    <n v="0"/>
  </r>
  <r>
    <s v="U02391"/>
    <x v="4"/>
    <n v="63"/>
    <s v="Male"/>
    <x v="2"/>
    <x v="1"/>
    <n v="17.329999999999998"/>
    <n v="1"/>
    <n v="8.8000000000000007"/>
    <n v="4.57"/>
    <n v="57.8"/>
    <s v="Comedy"/>
    <n v="11"/>
    <n v="2"/>
    <n v="0"/>
  </r>
  <r>
    <s v="U02392"/>
    <x v="8"/>
    <n v="39"/>
    <s v="Female"/>
    <x v="0"/>
    <x v="0"/>
    <n v="13.32"/>
    <n v="2"/>
    <n v="2.9"/>
    <n v="13.82"/>
    <n v="36.799999999999997"/>
    <s v="Action"/>
    <n v="9"/>
    <n v="0"/>
    <n v="1"/>
  </r>
  <r>
    <s v="U02393"/>
    <x v="6"/>
    <n v="20"/>
    <s v="Female"/>
    <x v="2"/>
    <x v="0"/>
    <n v="15.06"/>
    <n v="1"/>
    <n v="8.9"/>
    <n v="19.670000000000002"/>
    <n v="73.5"/>
    <s v="Drama"/>
    <n v="1"/>
    <n v="2"/>
    <n v="0"/>
  </r>
  <r>
    <s v="U02394"/>
    <x v="5"/>
    <n v="36"/>
    <s v="Male"/>
    <x v="1"/>
    <x v="1"/>
    <n v="18.96"/>
    <n v="1"/>
    <n v="7"/>
    <n v="14.91"/>
    <n v="45.1"/>
    <s v="Comedy"/>
    <n v="1"/>
    <n v="1"/>
    <n v="1"/>
  </r>
  <r>
    <s v="U02395"/>
    <x v="7"/>
    <n v="61"/>
    <s v="Male"/>
    <x v="1"/>
    <x v="3"/>
    <n v="14.35"/>
    <n v="4"/>
    <n v="9.6"/>
    <n v="14.39"/>
    <n v="80"/>
    <s v="Family"/>
    <n v="7"/>
    <n v="1"/>
    <n v="0"/>
  </r>
  <r>
    <s v="U02396"/>
    <x v="0"/>
    <n v="51"/>
    <s v="Male"/>
    <x v="2"/>
    <x v="0"/>
    <n v="8.82"/>
    <n v="2"/>
    <n v="1.1000000000000001"/>
    <n v="18.79"/>
    <n v="11.5"/>
    <s v="Comedy"/>
    <n v="9"/>
    <n v="1"/>
    <n v="0"/>
  </r>
  <r>
    <s v="U02397"/>
    <x v="11"/>
    <n v="52"/>
    <s v="Male"/>
    <x v="1"/>
    <x v="2"/>
    <n v="15.41"/>
    <n v="5"/>
    <n v="1.5"/>
    <n v="6.78"/>
    <n v="57.7"/>
    <s v="Drama"/>
    <n v="5"/>
    <n v="3"/>
    <n v="0"/>
  </r>
  <r>
    <s v="U02398"/>
    <x v="10"/>
    <n v="67"/>
    <s v="Female"/>
    <x v="1"/>
    <x v="0"/>
    <n v="12.12"/>
    <n v="5"/>
    <n v="5.5"/>
    <n v="13.06"/>
    <n v="40.4"/>
    <s v="Drama"/>
    <n v="4"/>
    <n v="3"/>
    <n v="0"/>
  </r>
  <r>
    <s v="U02399"/>
    <x v="2"/>
    <n v="18"/>
    <s v="Female"/>
    <x v="1"/>
    <x v="4"/>
    <n v="10.81"/>
    <n v="5"/>
    <n v="9.1999999999999993"/>
    <n v="6.26"/>
    <n v="32.4"/>
    <s v="Drama"/>
    <n v="6"/>
    <n v="4"/>
    <n v="0"/>
  </r>
  <r>
    <s v="U02400"/>
    <x v="0"/>
    <n v="69"/>
    <s v="Male"/>
    <x v="2"/>
    <x v="1"/>
    <n v="11.56"/>
    <n v="3"/>
    <n v="7.6"/>
    <n v="14.52"/>
    <n v="69.599999999999994"/>
    <s v="Action"/>
    <n v="9"/>
    <n v="2"/>
    <n v="0"/>
  </r>
  <r>
    <s v="U02401"/>
    <x v="3"/>
    <n v="38"/>
    <s v="Female"/>
    <x v="0"/>
    <x v="4"/>
    <n v="13.78"/>
    <n v="5"/>
    <n v="6.6"/>
    <n v="16.02"/>
    <n v="69.3"/>
    <s v="Family"/>
    <n v="2"/>
    <n v="1"/>
    <n v="1"/>
  </r>
  <r>
    <s v="U02402"/>
    <x v="9"/>
    <n v="46"/>
    <s v="Male"/>
    <x v="0"/>
    <x v="3"/>
    <n v="22.73"/>
    <n v="3"/>
    <n v="1.3"/>
    <n v="5.68"/>
    <n v="13.3"/>
    <s v="Family"/>
    <n v="5"/>
    <n v="1"/>
    <n v="0"/>
  </r>
  <r>
    <s v="U02403"/>
    <x v="6"/>
    <n v="23"/>
    <s v="Male"/>
    <x v="1"/>
    <x v="2"/>
    <n v="19.68"/>
    <n v="1"/>
    <n v="4.2"/>
    <n v="4.66"/>
    <n v="95.3"/>
    <s v="Thriller"/>
    <n v="4"/>
    <n v="3"/>
    <n v="0"/>
  </r>
  <r>
    <s v="U02404"/>
    <x v="1"/>
    <n v="54"/>
    <s v="Female"/>
    <x v="0"/>
    <x v="1"/>
    <n v="18.36"/>
    <n v="5"/>
    <n v="4.0999999999999996"/>
    <n v="6.67"/>
    <n v="42.6"/>
    <s v="Drama"/>
    <n v="3"/>
    <n v="3"/>
    <n v="1"/>
  </r>
  <r>
    <s v="U02405"/>
    <x v="5"/>
    <n v="18"/>
    <s v="Male"/>
    <x v="1"/>
    <x v="0"/>
    <n v="14.43"/>
    <n v="4"/>
    <n v="5.9"/>
    <n v="15.9"/>
    <n v="92.6"/>
    <s v="Action"/>
    <n v="5"/>
    <n v="3"/>
    <n v="1"/>
  </r>
  <r>
    <s v="U02406"/>
    <x v="7"/>
    <n v="68"/>
    <s v="Female"/>
    <x v="0"/>
    <x v="2"/>
    <n v="5.04"/>
    <n v="2"/>
    <n v="3.3"/>
    <n v="7.17"/>
    <n v="62.5"/>
    <s v="Comedy"/>
    <n v="7"/>
    <n v="0"/>
    <n v="0"/>
  </r>
  <r>
    <s v="U02407"/>
    <x v="5"/>
    <n v="18"/>
    <s v="Male"/>
    <x v="1"/>
    <x v="0"/>
    <n v="11.81"/>
    <n v="2"/>
    <n v="3.4"/>
    <n v="9.06"/>
    <n v="68.7"/>
    <s v="Action"/>
    <n v="11"/>
    <n v="2"/>
    <n v="0"/>
  </r>
  <r>
    <s v="U02408"/>
    <x v="0"/>
    <n v="44"/>
    <s v="Female"/>
    <x v="0"/>
    <x v="3"/>
    <n v="21.26"/>
    <n v="1"/>
    <n v="6.6"/>
    <n v="18.46"/>
    <n v="96.4"/>
    <s v="Drama"/>
    <n v="3"/>
    <n v="2"/>
    <n v="1"/>
  </r>
  <r>
    <s v="U02409"/>
    <x v="1"/>
    <n v="38"/>
    <s v="Male"/>
    <x v="1"/>
    <x v="1"/>
    <n v="12.76"/>
    <n v="2"/>
    <n v="9.5"/>
    <n v="8.4600000000000009"/>
    <n v="84"/>
    <s v="Action"/>
    <n v="3"/>
    <n v="0"/>
    <n v="0"/>
  </r>
  <r>
    <s v="U02410"/>
    <x v="3"/>
    <n v="33"/>
    <s v="Female"/>
    <x v="0"/>
    <x v="3"/>
    <n v="16.28"/>
    <n v="2"/>
    <n v="6.9"/>
    <n v="11.75"/>
    <n v="22.6"/>
    <s v="Drama"/>
    <n v="6"/>
    <n v="1"/>
    <n v="1"/>
  </r>
  <r>
    <s v="U02411"/>
    <x v="4"/>
    <n v="61"/>
    <s v="Male"/>
    <x v="0"/>
    <x v="3"/>
    <n v="9.09"/>
    <n v="1"/>
    <n v="7"/>
    <n v="23.43"/>
    <n v="10.5"/>
    <s v="Comedy"/>
    <n v="5"/>
    <n v="4"/>
    <n v="0"/>
  </r>
  <r>
    <s v="U02412"/>
    <x v="10"/>
    <n v="57"/>
    <s v="Male"/>
    <x v="0"/>
    <x v="3"/>
    <n v="23.32"/>
    <n v="1"/>
    <n v="9.9"/>
    <n v="21.15"/>
    <n v="37.799999999999997"/>
    <s v="Comedy"/>
    <n v="3"/>
    <n v="4"/>
    <n v="1"/>
  </r>
  <r>
    <s v="U02413"/>
    <x v="1"/>
    <n v="43"/>
    <s v="Female"/>
    <x v="2"/>
    <x v="3"/>
    <n v="23.46"/>
    <n v="1"/>
    <n v="2.4"/>
    <n v="8.6199999999999992"/>
    <n v="54"/>
    <s v="Family"/>
    <n v="1"/>
    <n v="1"/>
    <n v="0"/>
  </r>
  <r>
    <s v="U02414"/>
    <x v="6"/>
    <n v="33"/>
    <s v="Male"/>
    <x v="0"/>
    <x v="0"/>
    <n v="7.92"/>
    <n v="4"/>
    <n v="1.3"/>
    <n v="16.149999999999999"/>
    <n v="75.900000000000006"/>
    <s v="Thriller"/>
    <n v="10"/>
    <n v="4"/>
    <n v="0"/>
  </r>
  <r>
    <s v="U02415"/>
    <x v="11"/>
    <n v="45"/>
    <s v="Female"/>
    <x v="2"/>
    <x v="4"/>
    <n v="19.48"/>
    <n v="1"/>
    <n v="7.7"/>
    <n v="17.649999999999999"/>
    <n v="69.5"/>
    <s v="Action"/>
    <n v="2"/>
    <n v="3"/>
    <n v="0"/>
  </r>
  <r>
    <s v="U02416"/>
    <x v="3"/>
    <n v="18"/>
    <s v="Female"/>
    <x v="0"/>
    <x v="0"/>
    <n v="6.5"/>
    <n v="1"/>
    <n v="4.9000000000000004"/>
    <n v="22.81"/>
    <n v="38.200000000000003"/>
    <s v="Thriller"/>
    <n v="3"/>
    <n v="2"/>
    <n v="0"/>
  </r>
  <r>
    <s v="U02417"/>
    <x v="10"/>
    <n v="53"/>
    <s v="Male"/>
    <x v="0"/>
    <x v="2"/>
    <n v="16.97"/>
    <n v="1"/>
    <n v="4.9000000000000004"/>
    <n v="15.04"/>
    <n v="58.8"/>
    <s v="Action"/>
    <n v="4"/>
    <n v="3"/>
    <n v="0"/>
  </r>
  <r>
    <s v="U02418"/>
    <x v="2"/>
    <n v="27"/>
    <s v="Male"/>
    <x v="1"/>
    <x v="3"/>
    <n v="8.57"/>
    <n v="5"/>
    <n v="3"/>
    <n v="15.35"/>
    <n v="68.599999999999994"/>
    <s v="Family"/>
    <n v="5"/>
    <n v="4"/>
    <n v="0"/>
  </r>
  <r>
    <s v="U02419"/>
    <x v="7"/>
    <n v="60"/>
    <s v="Male"/>
    <x v="1"/>
    <x v="2"/>
    <n v="7.91"/>
    <n v="5"/>
    <n v="5.6"/>
    <n v="22.55"/>
    <n v="56.2"/>
    <s v="Family"/>
    <n v="10"/>
    <n v="4"/>
    <n v="0"/>
  </r>
  <r>
    <s v="U02420"/>
    <x v="11"/>
    <n v="34"/>
    <s v="Male"/>
    <x v="2"/>
    <x v="0"/>
    <n v="5.08"/>
    <n v="4"/>
    <n v="5"/>
    <n v="4.2"/>
    <n v="72"/>
    <s v="Comedy"/>
    <n v="9"/>
    <n v="2"/>
    <n v="0"/>
  </r>
  <r>
    <s v="U02421"/>
    <x v="0"/>
    <n v="40"/>
    <s v="Female"/>
    <x v="2"/>
    <x v="3"/>
    <n v="23.82"/>
    <n v="4"/>
    <n v="4.0999999999999996"/>
    <n v="16.82"/>
    <n v="53.7"/>
    <s v="Comedy"/>
    <n v="4"/>
    <n v="3"/>
    <n v="0"/>
  </r>
  <r>
    <s v="U02422"/>
    <x v="1"/>
    <n v="24"/>
    <s v="Male"/>
    <x v="2"/>
    <x v="0"/>
    <n v="21.59"/>
    <n v="2"/>
    <n v="5"/>
    <n v="12.17"/>
    <n v="57.7"/>
    <s v="Comedy"/>
    <n v="9"/>
    <n v="2"/>
    <n v="0"/>
  </r>
  <r>
    <s v="U02423"/>
    <x v="10"/>
    <n v="61"/>
    <s v="Male"/>
    <x v="1"/>
    <x v="3"/>
    <n v="6.55"/>
    <n v="5"/>
    <n v="4.5"/>
    <n v="23.01"/>
    <n v="94.7"/>
    <s v="Action"/>
    <n v="5"/>
    <n v="4"/>
    <n v="1"/>
  </r>
  <r>
    <s v="U02424"/>
    <x v="9"/>
    <n v="24"/>
    <s v="Male"/>
    <x v="1"/>
    <x v="0"/>
    <n v="16.989999999999998"/>
    <n v="4"/>
    <n v="9.5"/>
    <n v="24.13"/>
    <n v="45"/>
    <s v="Thriller"/>
    <n v="3"/>
    <n v="2"/>
    <n v="0"/>
  </r>
  <r>
    <s v="U02425"/>
    <x v="8"/>
    <n v="61"/>
    <s v="Female"/>
    <x v="1"/>
    <x v="1"/>
    <n v="9.66"/>
    <n v="4"/>
    <n v="9.8000000000000007"/>
    <n v="6.75"/>
    <n v="78"/>
    <s v="Thriller"/>
    <n v="7"/>
    <n v="2"/>
    <n v="0"/>
  </r>
  <r>
    <s v="U02426"/>
    <x v="9"/>
    <n v="32"/>
    <s v="Male"/>
    <x v="2"/>
    <x v="4"/>
    <n v="10.28"/>
    <n v="2"/>
    <n v="8.6"/>
    <n v="9.19"/>
    <n v="40.1"/>
    <s v="Comedy"/>
    <n v="8"/>
    <n v="4"/>
    <n v="0"/>
  </r>
  <r>
    <s v="U02427"/>
    <x v="4"/>
    <n v="51"/>
    <s v="Female"/>
    <x v="1"/>
    <x v="4"/>
    <n v="22.48"/>
    <n v="1"/>
    <n v="9.9"/>
    <n v="9.02"/>
    <n v="39.9"/>
    <s v="Family"/>
    <n v="9"/>
    <n v="2"/>
    <n v="0"/>
  </r>
  <r>
    <s v="U02428"/>
    <x v="9"/>
    <n v="63"/>
    <s v="Male"/>
    <x v="1"/>
    <x v="3"/>
    <n v="7.29"/>
    <n v="3"/>
    <n v="3.4"/>
    <n v="5.21"/>
    <n v="93.4"/>
    <s v="Thriller"/>
    <n v="9"/>
    <n v="3"/>
    <n v="0"/>
  </r>
  <r>
    <s v="U02429"/>
    <x v="2"/>
    <n v="62"/>
    <s v="Female"/>
    <x v="0"/>
    <x v="1"/>
    <n v="17.03"/>
    <n v="2"/>
    <n v="8.6"/>
    <n v="13.62"/>
    <n v="72.900000000000006"/>
    <s v="Family"/>
    <n v="6"/>
    <n v="4"/>
    <n v="0"/>
  </r>
  <r>
    <s v="U02430"/>
    <x v="4"/>
    <n v="21"/>
    <s v="Male"/>
    <x v="0"/>
    <x v="2"/>
    <n v="13.03"/>
    <n v="3"/>
    <n v="4.7"/>
    <n v="14.29"/>
    <n v="93.6"/>
    <s v="Comedy"/>
    <n v="9"/>
    <n v="2"/>
    <n v="0"/>
  </r>
  <r>
    <s v="U02431"/>
    <x v="3"/>
    <n v="31"/>
    <s v="Male"/>
    <x v="2"/>
    <x v="1"/>
    <n v="8.82"/>
    <n v="2"/>
    <n v="7.7"/>
    <n v="15.61"/>
    <n v="99.5"/>
    <s v="Action"/>
    <n v="3"/>
    <n v="1"/>
    <n v="0"/>
  </r>
  <r>
    <s v="U02432"/>
    <x v="7"/>
    <n v="31"/>
    <s v="Female"/>
    <x v="1"/>
    <x v="3"/>
    <n v="14.04"/>
    <n v="2"/>
    <n v="2.8"/>
    <n v="17.59"/>
    <n v="10"/>
    <s v="Drama"/>
    <n v="2"/>
    <n v="3"/>
    <n v="0"/>
  </r>
  <r>
    <s v="U02433"/>
    <x v="3"/>
    <n v="33"/>
    <s v="Male"/>
    <x v="1"/>
    <x v="1"/>
    <n v="23.81"/>
    <n v="1"/>
    <n v="8.3000000000000007"/>
    <n v="4.38"/>
    <n v="98.5"/>
    <s v="Thriller"/>
    <n v="5"/>
    <n v="3"/>
    <n v="1"/>
  </r>
  <r>
    <s v="U02434"/>
    <x v="8"/>
    <n v="24"/>
    <s v="Male"/>
    <x v="0"/>
    <x v="2"/>
    <n v="20.63"/>
    <n v="4"/>
    <n v="1.8"/>
    <n v="16.690000000000001"/>
    <n v="19.100000000000001"/>
    <s v="Comedy"/>
    <n v="7"/>
    <n v="3"/>
    <n v="1"/>
  </r>
  <r>
    <s v="U02435"/>
    <x v="6"/>
    <n v="49"/>
    <s v="Male"/>
    <x v="2"/>
    <x v="3"/>
    <n v="7.64"/>
    <n v="5"/>
    <n v="3.4"/>
    <n v="23.1"/>
    <n v="16.3"/>
    <s v="Comedy"/>
    <n v="11"/>
    <n v="0"/>
    <n v="0"/>
  </r>
  <r>
    <s v="U02436"/>
    <x v="7"/>
    <n v="36"/>
    <s v="Female"/>
    <x v="0"/>
    <x v="4"/>
    <n v="21.99"/>
    <n v="2"/>
    <n v="8.4"/>
    <n v="13.01"/>
    <n v="79.099999999999994"/>
    <s v="Thriller"/>
    <n v="7"/>
    <n v="4"/>
    <n v="0"/>
  </r>
  <r>
    <s v="U02437"/>
    <x v="9"/>
    <n v="19"/>
    <s v="Male"/>
    <x v="2"/>
    <x v="1"/>
    <n v="23.75"/>
    <n v="1"/>
    <n v="7.7"/>
    <n v="5.35"/>
    <n v="41.5"/>
    <s v="Drama"/>
    <n v="11"/>
    <n v="0"/>
    <n v="1"/>
  </r>
  <r>
    <s v="U02438"/>
    <x v="5"/>
    <n v="27"/>
    <s v="Female"/>
    <x v="0"/>
    <x v="4"/>
    <n v="10.54"/>
    <n v="3"/>
    <n v="5.5"/>
    <n v="4.8899999999999997"/>
    <n v="92.6"/>
    <s v="Action"/>
    <n v="6"/>
    <n v="2"/>
    <n v="0"/>
  </r>
  <r>
    <s v="U02439"/>
    <x v="6"/>
    <n v="67"/>
    <s v="Female"/>
    <x v="2"/>
    <x v="4"/>
    <n v="11.67"/>
    <n v="4"/>
    <n v="7.1"/>
    <n v="9.1999999999999993"/>
    <n v="59"/>
    <s v="Thriller"/>
    <n v="3"/>
    <n v="4"/>
    <n v="0"/>
  </r>
  <r>
    <s v="U02440"/>
    <x v="7"/>
    <n v="34"/>
    <s v="Female"/>
    <x v="2"/>
    <x v="0"/>
    <n v="7.53"/>
    <n v="2"/>
    <n v="2.7"/>
    <n v="19.559999999999999"/>
    <n v="44.8"/>
    <s v="Action"/>
    <n v="6"/>
    <n v="3"/>
    <n v="0"/>
  </r>
  <r>
    <s v="U02441"/>
    <x v="7"/>
    <n v="54"/>
    <s v="Male"/>
    <x v="0"/>
    <x v="2"/>
    <n v="11.9"/>
    <n v="3"/>
    <n v="7"/>
    <n v="8.74"/>
    <n v="16.600000000000001"/>
    <s v="Comedy"/>
    <n v="1"/>
    <n v="3"/>
    <n v="0"/>
  </r>
  <r>
    <s v="U02442"/>
    <x v="8"/>
    <n v="29"/>
    <s v="Female"/>
    <x v="1"/>
    <x v="1"/>
    <n v="18.46"/>
    <n v="2"/>
    <n v="1.1000000000000001"/>
    <n v="20.92"/>
    <n v="51.8"/>
    <s v="Thriller"/>
    <n v="3"/>
    <n v="3"/>
    <n v="1"/>
  </r>
  <r>
    <s v="U02443"/>
    <x v="0"/>
    <n v="23"/>
    <s v="Female"/>
    <x v="1"/>
    <x v="4"/>
    <n v="10.44"/>
    <n v="5"/>
    <n v="8.5"/>
    <n v="21.03"/>
    <n v="35"/>
    <s v="Action"/>
    <n v="2"/>
    <n v="3"/>
    <n v="1"/>
  </r>
  <r>
    <s v="U02444"/>
    <x v="9"/>
    <n v="39"/>
    <s v="Male"/>
    <x v="0"/>
    <x v="4"/>
    <n v="5.14"/>
    <n v="5"/>
    <n v="5.6"/>
    <n v="13.06"/>
    <n v="16.899999999999999"/>
    <s v="Family"/>
    <n v="4"/>
    <n v="2"/>
    <n v="0"/>
  </r>
  <r>
    <s v="U02445"/>
    <x v="8"/>
    <n v="49"/>
    <s v="Female"/>
    <x v="2"/>
    <x v="2"/>
    <n v="11.77"/>
    <n v="4"/>
    <n v="9.5"/>
    <n v="9.6199999999999992"/>
    <n v="70.3"/>
    <s v="Family"/>
    <n v="8"/>
    <n v="1"/>
    <n v="0"/>
  </r>
  <r>
    <s v="U02446"/>
    <x v="7"/>
    <n v="58"/>
    <s v="Female"/>
    <x v="1"/>
    <x v="4"/>
    <n v="14.06"/>
    <n v="3"/>
    <n v="5.3"/>
    <n v="16.149999999999999"/>
    <n v="98"/>
    <s v="Family"/>
    <n v="3"/>
    <n v="4"/>
    <n v="0"/>
  </r>
  <r>
    <s v="U02447"/>
    <x v="10"/>
    <n v="37"/>
    <s v="Male"/>
    <x v="1"/>
    <x v="4"/>
    <n v="16.329999999999998"/>
    <n v="5"/>
    <n v="4.9000000000000004"/>
    <n v="20.83"/>
    <n v="44.1"/>
    <s v="Action"/>
    <n v="6"/>
    <n v="1"/>
    <n v="1"/>
  </r>
  <r>
    <s v="U02448"/>
    <x v="6"/>
    <n v="18"/>
    <s v="Male"/>
    <x v="0"/>
    <x v="4"/>
    <n v="18.68"/>
    <n v="1"/>
    <n v="5.0999999999999996"/>
    <n v="4.42"/>
    <n v="36.799999999999997"/>
    <s v="Family"/>
    <n v="10"/>
    <n v="4"/>
    <n v="0"/>
  </r>
  <r>
    <s v="U02449"/>
    <x v="8"/>
    <n v="64"/>
    <s v="Female"/>
    <x v="1"/>
    <x v="4"/>
    <n v="6.24"/>
    <n v="4"/>
    <n v="4.2"/>
    <n v="23.98"/>
    <n v="18.100000000000001"/>
    <s v="Comedy"/>
    <n v="1"/>
    <n v="3"/>
    <n v="0"/>
  </r>
  <r>
    <s v="U02450"/>
    <x v="0"/>
    <n v="23"/>
    <s v="Male"/>
    <x v="2"/>
    <x v="0"/>
    <n v="14.4"/>
    <n v="2"/>
    <n v="2.5"/>
    <n v="17.21"/>
    <n v="30.1"/>
    <s v="Action"/>
    <n v="4"/>
    <n v="0"/>
    <n v="0"/>
  </r>
  <r>
    <s v="U02451"/>
    <x v="1"/>
    <n v="36"/>
    <s v="Male"/>
    <x v="1"/>
    <x v="0"/>
    <n v="10.33"/>
    <n v="3"/>
    <n v="8.6"/>
    <n v="11.76"/>
    <n v="35.6"/>
    <s v="Comedy"/>
    <n v="5"/>
    <n v="2"/>
    <n v="0"/>
  </r>
  <r>
    <s v="U02452"/>
    <x v="3"/>
    <n v="35"/>
    <s v="Male"/>
    <x v="2"/>
    <x v="3"/>
    <n v="23.96"/>
    <n v="3"/>
    <n v="4.5"/>
    <n v="14.13"/>
    <n v="41"/>
    <s v="Drama"/>
    <n v="5"/>
    <n v="4"/>
    <n v="1"/>
  </r>
  <r>
    <s v="U02453"/>
    <x v="7"/>
    <n v="23"/>
    <s v="Female"/>
    <x v="2"/>
    <x v="1"/>
    <n v="12.2"/>
    <n v="1"/>
    <n v="5.8"/>
    <n v="11.48"/>
    <n v="67.099999999999994"/>
    <s v="Action"/>
    <n v="1"/>
    <n v="3"/>
    <n v="1"/>
  </r>
  <r>
    <s v="U02454"/>
    <x v="9"/>
    <n v="62"/>
    <s v="Female"/>
    <x v="0"/>
    <x v="2"/>
    <n v="7"/>
    <n v="5"/>
    <n v="1.2"/>
    <n v="12.08"/>
    <n v="20.3"/>
    <s v="Family"/>
    <n v="9"/>
    <n v="0"/>
    <n v="0"/>
  </r>
  <r>
    <s v="U02455"/>
    <x v="5"/>
    <n v="50"/>
    <s v="Male"/>
    <x v="0"/>
    <x v="3"/>
    <n v="5.83"/>
    <n v="3"/>
    <n v="1.5"/>
    <n v="16.100000000000001"/>
    <n v="15.3"/>
    <s v="Family"/>
    <n v="5"/>
    <n v="3"/>
    <n v="0"/>
  </r>
  <r>
    <s v="U02456"/>
    <x v="1"/>
    <n v="40"/>
    <s v="Female"/>
    <x v="2"/>
    <x v="0"/>
    <n v="10.31"/>
    <n v="1"/>
    <n v="6.4"/>
    <n v="4.33"/>
    <n v="93.8"/>
    <s v="Drama"/>
    <n v="9"/>
    <n v="2"/>
    <n v="0"/>
  </r>
  <r>
    <s v="U02457"/>
    <x v="4"/>
    <n v="40"/>
    <s v="Male"/>
    <x v="1"/>
    <x v="0"/>
    <n v="8.58"/>
    <n v="1"/>
    <n v="8.9"/>
    <n v="6.86"/>
    <n v="81.900000000000006"/>
    <s v="Thriller"/>
    <n v="7"/>
    <n v="0"/>
    <n v="1"/>
  </r>
  <r>
    <s v="U02458"/>
    <x v="11"/>
    <n v="43"/>
    <s v="Male"/>
    <x v="0"/>
    <x v="0"/>
    <n v="18"/>
    <n v="2"/>
    <n v="5.4"/>
    <n v="7.99"/>
    <n v="35"/>
    <s v="Drama"/>
    <n v="5"/>
    <n v="4"/>
    <n v="0"/>
  </r>
  <r>
    <s v="U02459"/>
    <x v="0"/>
    <n v="30"/>
    <s v="Male"/>
    <x v="0"/>
    <x v="3"/>
    <n v="21.94"/>
    <n v="1"/>
    <n v="2.5"/>
    <n v="11.97"/>
    <n v="67.5"/>
    <s v="Family"/>
    <n v="9"/>
    <n v="4"/>
    <n v="0"/>
  </r>
  <r>
    <s v="U02460"/>
    <x v="5"/>
    <n v="24"/>
    <s v="Male"/>
    <x v="1"/>
    <x v="0"/>
    <n v="11.25"/>
    <n v="4"/>
    <n v="2"/>
    <n v="11.16"/>
    <n v="63.3"/>
    <s v="Family"/>
    <n v="5"/>
    <n v="4"/>
    <n v="0"/>
  </r>
  <r>
    <s v="U02461"/>
    <x v="11"/>
    <n v="32"/>
    <s v="Male"/>
    <x v="2"/>
    <x v="3"/>
    <n v="16.559999999999999"/>
    <n v="3"/>
    <n v="9.1"/>
    <n v="18.89"/>
    <n v="76.900000000000006"/>
    <s v="Thriller"/>
    <n v="10"/>
    <n v="4"/>
    <n v="0"/>
  </r>
  <r>
    <s v="U02462"/>
    <x v="0"/>
    <n v="61"/>
    <s v="Female"/>
    <x v="0"/>
    <x v="0"/>
    <n v="19.61"/>
    <n v="4"/>
    <n v="7.3"/>
    <n v="8.6999999999999993"/>
    <n v="87.3"/>
    <s v="Drama"/>
    <n v="9"/>
    <n v="0"/>
    <n v="1"/>
  </r>
  <r>
    <s v="U02463"/>
    <x v="9"/>
    <n v="44"/>
    <s v="Female"/>
    <x v="0"/>
    <x v="4"/>
    <n v="12.97"/>
    <n v="1"/>
    <n v="9.6999999999999993"/>
    <n v="4.26"/>
    <n v="42.2"/>
    <s v="Comedy"/>
    <n v="5"/>
    <n v="2"/>
    <n v="0"/>
  </r>
  <r>
    <s v="U02464"/>
    <x v="10"/>
    <n v="43"/>
    <s v="Female"/>
    <x v="2"/>
    <x v="4"/>
    <n v="6.33"/>
    <n v="1"/>
    <n v="1.7"/>
    <n v="4.22"/>
    <n v="69.5"/>
    <s v="Drama"/>
    <n v="1"/>
    <n v="0"/>
    <n v="0"/>
  </r>
  <r>
    <s v="U02465"/>
    <x v="9"/>
    <n v="50"/>
    <s v="Female"/>
    <x v="2"/>
    <x v="1"/>
    <n v="9.58"/>
    <n v="4"/>
    <n v="9.1"/>
    <n v="3.25"/>
    <n v="82.2"/>
    <s v="Comedy"/>
    <n v="7"/>
    <n v="4"/>
    <n v="1"/>
  </r>
  <r>
    <s v="U02466"/>
    <x v="3"/>
    <n v="32"/>
    <s v="Male"/>
    <x v="1"/>
    <x v="0"/>
    <n v="22.66"/>
    <n v="2"/>
    <n v="8.6"/>
    <n v="3.84"/>
    <n v="72.900000000000006"/>
    <s v="Family"/>
    <n v="5"/>
    <n v="2"/>
    <n v="1"/>
  </r>
  <r>
    <s v="U02467"/>
    <x v="1"/>
    <n v="53"/>
    <s v="Male"/>
    <x v="2"/>
    <x v="1"/>
    <n v="21.49"/>
    <n v="1"/>
    <n v="9"/>
    <n v="21.89"/>
    <n v="93"/>
    <s v="Family"/>
    <n v="5"/>
    <n v="1"/>
    <n v="0"/>
  </r>
  <r>
    <s v="U02468"/>
    <x v="6"/>
    <n v="62"/>
    <s v="Female"/>
    <x v="1"/>
    <x v="3"/>
    <n v="6.73"/>
    <n v="4"/>
    <n v="1.1000000000000001"/>
    <n v="18.34"/>
    <n v="54.5"/>
    <s v="Drama"/>
    <n v="6"/>
    <n v="1"/>
    <n v="0"/>
  </r>
  <r>
    <s v="U02469"/>
    <x v="0"/>
    <n v="44"/>
    <s v="Female"/>
    <x v="2"/>
    <x v="1"/>
    <n v="9.48"/>
    <n v="4"/>
    <n v="7.7"/>
    <n v="24.91"/>
    <n v="82.2"/>
    <s v="Family"/>
    <n v="6"/>
    <n v="0"/>
    <n v="1"/>
  </r>
  <r>
    <s v="U02470"/>
    <x v="9"/>
    <n v="22"/>
    <s v="Male"/>
    <x v="1"/>
    <x v="0"/>
    <n v="20.38"/>
    <n v="3"/>
    <n v="5.9"/>
    <n v="3.45"/>
    <n v="91.9"/>
    <s v="Thriller"/>
    <n v="7"/>
    <n v="4"/>
    <n v="0"/>
  </r>
  <r>
    <s v="U02471"/>
    <x v="6"/>
    <n v="19"/>
    <s v="Male"/>
    <x v="0"/>
    <x v="3"/>
    <n v="14.72"/>
    <n v="2"/>
    <n v="6.2"/>
    <n v="21.68"/>
    <n v="60.1"/>
    <s v="Action"/>
    <n v="8"/>
    <n v="1"/>
    <n v="0"/>
  </r>
  <r>
    <s v="U02472"/>
    <x v="3"/>
    <n v="50"/>
    <s v="Male"/>
    <x v="2"/>
    <x v="3"/>
    <n v="20.2"/>
    <n v="5"/>
    <n v="5.2"/>
    <n v="18.309999999999999"/>
    <n v="11.6"/>
    <s v="Comedy"/>
    <n v="1"/>
    <n v="1"/>
    <n v="0"/>
  </r>
  <r>
    <s v="U02473"/>
    <x v="7"/>
    <n v="33"/>
    <s v="Female"/>
    <x v="1"/>
    <x v="4"/>
    <n v="9.2200000000000006"/>
    <n v="4"/>
    <n v="7.7"/>
    <n v="17.09"/>
    <n v="83.6"/>
    <s v="Family"/>
    <n v="10"/>
    <n v="3"/>
    <n v="0"/>
  </r>
  <r>
    <s v="U02474"/>
    <x v="4"/>
    <n v="40"/>
    <s v="Male"/>
    <x v="2"/>
    <x v="3"/>
    <n v="24.05"/>
    <n v="3"/>
    <n v="10"/>
    <n v="10.84"/>
    <n v="86.1"/>
    <s v="Comedy"/>
    <n v="11"/>
    <n v="3"/>
    <n v="0"/>
  </r>
  <r>
    <s v="U02475"/>
    <x v="1"/>
    <n v="55"/>
    <s v="Male"/>
    <x v="1"/>
    <x v="3"/>
    <n v="20.67"/>
    <n v="5"/>
    <n v="7.4"/>
    <n v="11.29"/>
    <n v="46"/>
    <s v="Drama"/>
    <n v="3"/>
    <n v="2"/>
    <n v="0"/>
  </r>
  <r>
    <s v="U02476"/>
    <x v="3"/>
    <n v="33"/>
    <s v="Female"/>
    <x v="2"/>
    <x v="1"/>
    <n v="8.9499999999999993"/>
    <n v="3"/>
    <n v="7.1"/>
    <n v="21.6"/>
    <n v="30.6"/>
    <s v="Thriller"/>
    <n v="6"/>
    <n v="2"/>
    <n v="0"/>
  </r>
  <r>
    <s v="U02477"/>
    <x v="3"/>
    <n v="31"/>
    <s v="Female"/>
    <x v="2"/>
    <x v="3"/>
    <n v="16.170000000000002"/>
    <n v="3"/>
    <n v="6.9"/>
    <n v="18.7"/>
    <n v="98"/>
    <s v="Comedy"/>
    <n v="1"/>
    <n v="4"/>
    <n v="1"/>
  </r>
  <r>
    <s v="U02478"/>
    <x v="9"/>
    <n v="46"/>
    <s v="Female"/>
    <x v="0"/>
    <x v="2"/>
    <n v="7.26"/>
    <n v="2"/>
    <n v="7.3"/>
    <n v="17.75"/>
    <n v="59.6"/>
    <s v="Family"/>
    <n v="5"/>
    <n v="1"/>
    <n v="0"/>
  </r>
  <r>
    <s v="U02479"/>
    <x v="10"/>
    <n v="43"/>
    <s v="Male"/>
    <x v="2"/>
    <x v="4"/>
    <n v="12.23"/>
    <n v="1"/>
    <n v="4.0999999999999996"/>
    <n v="3.67"/>
    <n v="56.5"/>
    <s v="Action"/>
    <n v="5"/>
    <n v="0"/>
    <n v="0"/>
  </r>
  <r>
    <s v="U02480"/>
    <x v="11"/>
    <n v="52"/>
    <s v="Male"/>
    <x v="1"/>
    <x v="4"/>
    <n v="18.190000000000001"/>
    <n v="2"/>
    <n v="3.9"/>
    <n v="7.06"/>
    <n v="95.1"/>
    <s v="Thriller"/>
    <n v="10"/>
    <n v="0"/>
    <n v="0"/>
  </r>
  <r>
    <s v="U02481"/>
    <x v="4"/>
    <n v="32"/>
    <s v="Female"/>
    <x v="2"/>
    <x v="3"/>
    <n v="11.6"/>
    <n v="5"/>
    <n v="8.1"/>
    <n v="24.18"/>
    <n v="46.7"/>
    <s v="Drama"/>
    <n v="9"/>
    <n v="3"/>
    <n v="0"/>
  </r>
  <r>
    <s v="U02482"/>
    <x v="1"/>
    <n v="20"/>
    <s v="Male"/>
    <x v="1"/>
    <x v="1"/>
    <n v="18.14"/>
    <n v="2"/>
    <n v="1.5"/>
    <n v="13"/>
    <n v="86.3"/>
    <s v="Family"/>
    <n v="11"/>
    <n v="2"/>
    <n v="1"/>
  </r>
  <r>
    <s v="U02483"/>
    <x v="7"/>
    <n v="40"/>
    <s v="Male"/>
    <x v="2"/>
    <x v="4"/>
    <n v="9.9"/>
    <n v="1"/>
    <n v="7.8"/>
    <n v="20.190000000000001"/>
    <n v="73.099999999999994"/>
    <s v="Thriller"/>
    <n v="2"/>
    <n v="4"/>
    <n v="1"/>
  </r>
  <r>
    <s v="U02484"/>
    <x v="7"/>
    <n v="46"/>
    <s v="Male"/>
    <x v="1"/>
    <x v="4"/>
    <n v="19.420000000000002"/>
    <n v="2"/>
    <n v="8.3000000000000007"/>
    <n v="11.57"/>
    <n v="97.1"/>
    <s v="Family"/>
    <n v="7"/>
    <n v="3"/>
    <n v="0"/>
  </r>
  <r>
    <s v="U02485"/>
    <x v="8"/>
    <n v="51"/>
    <s v="Female"/>
    <x v="0"/>
    <x v="2"/>
    <n v="12.19"/>
    <n v="2"/>
    <n v="5.7"/>
    <n v="19.82"/>
    <n v="48.6"/>
    <s v="Drama"/>
    <n v="9"/>
    <n v="3"/>
    <n v="0"/>
  </r>
  <r>
    <s v="U02486"/>
    <x v="3"/>
    <n v="50"/>
    <s v="Female"/>
    <x v="0"/>
    <x v="3"/>
    <n v="20.81"/>
    <n v="2"/>
    <n v="9.1999999999999993"/>
    <n v="5.62"/>
    <n v="91.7"/>
    <s v="Drama"/>
    <n v="8"/>
    <n v="4"/>
    <n v="1"/>
  </r>
  <r>
    <s v="U02487"/>
    <x v="0"/>
    <n v="58"/>
    <s v="Male"/>
    <x v="1"/>
    <x v="4"/>
    <n v="7.73"/>
    <n v="4"/>
    <n v="5.3"/>
    <n v="3.93"/>
    <n v="61.2"/>
    <s v="Action"/>
    <n v="1"/>
    <n v="4"/>
    <n v="0"/>
  </r>
  <r>
    <s v="U02488"/>
    <x v="10"/>
    <n v="58"/>
    <s v="Male"/>
    <x v="2"/>
    <x v="4"/>
    <n v="12.24"/>
    <n v="4"/>
    <n v="2.6"/>
    <n v="13.26"/>
    <n v="52.8"/>
    <s v="Thriller"/>
    <n v="1"/>
    <n v="1"/>
    <n v="0"/>
  </r>
  <r>
    <s v="U02489"/>
    <x v="4"/>
    <n v="40"/>
    <s v="Male"/>
    <x v="1"/>
    <x v="4"/>
    <n v="14.28"/>
    <n v="2"/>
    <n v="4.3"/>
    <n v="16.02"/>
    <n v="37.5"/>
    <s v="Action"/>
    <n v="2"/>
    <n v="4"/>
    <n v="1"/>
  </r>
  <r>
    <s v="U02490"/>
    <x v="9"/>
    <n v="24"/>
    <s v="Male"/>
    <x v="1"/>
    <x v="4"/>
    <n v="13.48"/>
    <n v="1"/>
    <n v="9.1999999999999993"/>
    <n v="10.119999999999999"/>
    <n v="59.7"/>
    <s v="Action"/>
    <n v="1"/>
    <n v="4"/>
    <n v="0"/>
  </r>
  <r>
    <s v="U02491"/>
    <x v="7"/>
    <n v="20"/>
    <s v="Female"/>
    <x v="0"/>
    <x v="1"/>
    <n v="13.66"/>
    <n v="1"/>
    <n v="9.9"/>
    <n v="18.75"/>
    <n v="61.5"/>
    <s v="Action"/>
    <n v="8"/>
    <n v="3"/>
    <n v="0"/>
  </r>
  <r>
    <s v="U02492"/>
    <x v="1"/>
    <n v="49"/>
    <s v="Female"/>
    <x v="1"/>
    <x v="0"/>
    <n v="13.9"/>
    <n v="1"/>
    <n v="4.8"/>
    <n v="13.91"/>
    <n v="90.9"/>
    <s v="Comedy"/>
    <n v="7"/>
    <n v="3"/>
    <n v="1"/>
  </r>
  <r>
    <s v="U02493"/>
    <x v="8"/>
    <n v="48"/>
    <s v="Male"/>
    <x v="0"/>
    <x v="2"/>
    <n v="24.78"/>
    <n v="1"/>
    <n v="2.5"/>
    <n v="23.42"/>
    <n v="73.400000000000006"/>
    <s v="Drama"/>
    <n v="6"/>
    <n v="0"/>
    <n v="0"/>
  </r>
  <r>
    <s v="U02494"/>
    <x v="1"/>
    <n v="35"/>
    <s v="Male"/>
    <x v="2"/>
    <x v="1"/>
    <n v="8.86"/>
    <n v="3"/>
    <n v="3.6"/>
    <n v="4.87"/>
    <n v="84.4"/>
    <s v="Action"/>
    <n v="2"/>
    <n v="0"/>
    <n v="1"/>
  </r>
  <r>
    <s v="U02495"/>
    <x v="10"/>
    <n v="60"/>
    <s v="Female"/>
    <x v="2"/>
    <x v="2"/>
    <n v="20.37"/>
    <n v="2"/>
    <n v="6"/>
    <n v="4.46"/>
    <n v="79.2"/>
    <s v="Comedy"/>
    <n v="11"/>
    <n v="0"/>
    <n v="0"/>
  </r>
  <r>
    <s v="U02496"/>
    <x v="0"/>
    <n v="24"/>
    <s v="Male"/>
    <x v="1"/>
    <x v="4"/>
    <n v="16.04"/>
    <n v="2"/>
    <n v="6.1"/>
    <n v="22.91"/>
    <n v="34.9"/>
    <s v="Comedy"/>
    <n v="9"/>
    <n v="4"/>
    <n v="1"/>
  </r>
  <r>
    <s v="U02497"/>
    <x v="8"/>
    <n v="58"/>
    <s v="Female"/>
    <x v="0"/>
    <x v="2"/>
    <n v="13.27"/>
    <n v="3"/>
    <n v="6.7"/>
    <n v="17.72"/>
    <n v="28.5"/>
    <s v="Comedy"/>
    <n v="1"/>
    <n v="1"/>
    <n v="0"/>
  </r>
  <r>
    <s v="U02498"/>
    <x v="8"/>
    <n v="18"/>
    <s v="Male"/>
    <x v="0"/>
    <x v="3"/>
    <n v="17.670000000000002"/>
    <n v="1"/>
    <n v="8.5"/>
    <n v="17.760000000000002"/>
    <n v="33.299999999999997"/>
    <s v="Action"/>
    <n v="1"/>
    <n v="3"/>
    <n v="0"/>
  </r>
  <r>
    <s v="U02499"/>
    <x v="11"/>
    <n v="31"/>
    <s v="Female"/>
    <x v="1"/>
    <x v="3"/>
    <n v="22.07"/>
    <n v="5"/>
    <n v="7.4"/>
    <n v="3.61"/>
    <n v="23.2"/>
    <s v="Comedy"/>
    <n v="2"/>
    <n v="2"/>
    <n v="0"/>
  </r>
  <r>
    <s v="U02500"/>
    <x v="4"/>
    <n v="69"/>
    <s v="Male"/>
    <x v="1"/>
    <x v="0"/>
    <n v="14.33"/>
    <n v="5"/>
    <n v="3.3"/>
    <n v="23.63"/>
    <n v="44.7"/>
    <s v="Action"/>
    <n v="7"/>
    <n v="1"/>
    <n v="0"/>
  </r>
  <r>
    <s v="U02501"/>
    <x v="8"/>
    <n v="49"/>
    <s v="Male"/>
    <x v="2"/>
    <x v="0"/>
    <n v="22.3"/>
    <n v="3"/>
    <n v="4.5999999999999996"/>
    <n v="19.98"/>
    <n v="68.900000000000006"/>
    <s v="Thriller"/>
    <n v="10"/>
    <n v="2"/>
    <n v="0"/>
  </r>
  <r>
    <s v="U02502"/>
    <x v="2"/>
    <n v="23"/>
    <s v="Female"/>
    <x v="0"/>
    <x v="2"/>
    <n v="6.88"/>
    <n v="5"/>
    <n v="8.6"/>
    <n v="19.809999999999999"/>
    <n v="58.3"/>
    <s v="Drama"/>
    <n v="1"/>
    <n v="4"/>
    <n v="0"/>
  </r>
  <r>
    <s v="U02503"/>
    <x v="11"/>
    <n v="56"/>
    <s v="Female"/>
    <x v="2"/>
    <x v="1"/>
    <n v="18.059999999999999"/>
    <n v="4"/>
    <n v="6.7"/>
    <n v="23.06"/>
    <n v="71.099999999999994"/>
    <s v="Family"/>
    <n v="3"/>
    <n v="2"/>
    <n v="0"/>
  </r>
  <r>
    <s v="U02504"/>
    <x v="11"/>
    <n v="27"/>
    <s v="Male"/>
    <x v="1"/>
    <x v="1"/>
    <n v="11.66"/>
    <n v="2"/>
    <n v="2.5"/>
    <n v="15.72"/>
    <n v="42"/>
    <s v="Action"/>
    <n v="10"/>
    <n v="0"/>
    <n v="0"/>
  </r>
  <r>
    <s v="U02505"/>
    <x v="10"/>
    <n v="24"/>
    <s v="Male"/>
    <x v="1"/>
    <x v="4"/>
    <n v="12.73"/>
    <n v="5"/>
    <n v="3.9"/>
    <n v="11.68"/>
    <n v="28.5"/>
    <s v="Drama"/>
    <n v="8"/>
    <n v="3"/>
    <n v="0"/>
  </r>
  <r>
    <s v="U02506"/>
    <x v="2"/>
    <n v="43"/>
    <s v="Female"/>
    <x v="1"/>
    <x v="1"/>
    <n v="16.420000000000002"/>
    <n v="4"/>
    <n v="8.1"/>
    <n v="13.57"/>
    <n v="28.2"/>
    <s v="Action"/>
    <n v="7"/>
    <n v="1"/>
    <n v="0"/>
  </r>
  <r>
    <s v="U02507"/>
    <x v="6"/>
    <n v="51"/>
    <s v="Female"/>
    <x v="0"/>
    <x v="0"/>
    <n v="14.6"/>
    <n v="2"/>
    <n v="2.5"/>
    <n v="20.100000000000001"/>
    <n v="64.099999999999994"/>
    <s v="Thriller"/>
    <n v="8"/>
    <n v="0"/>
    <n v="1"/>
  </r>
  <r>
    <s v="U02508"/>
    <x v="1"/>
    <n v="47"/>
    <s v="Male"/>
    <x v="1"/>
    <x v="1"/>
    <n v="12.64"/>
    <n v="4"/>
    <n v="7.2"/>
    <n v="19.91"/>
    <n v="24.8"/>
    <s v="Drama"/>
    <n v="6"/>
    <n v="3"/>
    <n v="0"/>
  </r>
  <r>
    <s v="U02509"/>
    <x v="0"/>
    <n v="53"/>
    <s v="Male"/>
    <x v="2"/>
    <x v="4"/>
    <n v="11.17"/>
    <n v="2"/>
    <n v="6.1"/>
    <n v="16.41"/>
    <n v="45.7"/>
    <s v="Drama"/>
    <n v="8"/>
    <n v="0"/>
    <n v="0"/>
  </r>
  <r>
    <s v="U02510"/>
    <x v="5"/>
    <n v="38"/>
    <s v="Female"/>
    <x v="1"/>
    <x v="3"/>
    <n v="17.37"/>
    <n v="2"/>
    <n v="2.2999999999999998"/>
    <n v="7.8"/>
    <n v="29.2"/>
    <s v="Comedy"/>
    <n v="5"/>
    <n v="1"/>
    <n v="0"/>
  </r>
  <r>
    <s v="U02511"/>
    <x v="1"/>
    <n v="34"/>
    <s v="Female"/>
    <x v="2"/>
    <x v="1"/>
    <n v="15.11"/>
    <n v="5"/>
    <n v="7.2"/>
    <n v="21.02"/>
    <n v="69.599999999999994"/>
    <s v="Action"/>
    <n v="9"/>
    <n v="4"/>
    <n v="0"/>
  </r>
  <r>
    <s v="U02512"/>
    <x v="8"/>
    <n v="50"/>
    <s v="Female"/>
    <x v="1"/>
    <x v="1"/>
    <n v="11.47"/>
    <n v="3"/>
    <n v="2.2999999999999998"/>
    <n v="17.239999999999998"/>
    <n v="65.400000000000006"/>
    <s v="Action"/>
    <n v="10"/>
    <n v="2"/>
    <n v="1"/>
  </r>
  <r>
    <s v="U02513"/>
    <x v="0"/>
    <n v="27"/>
    <s v="Female"/>
    <x v="0"/>
    <x v="0"/>
    <n v="9.1"/>
    <n v="5"/>
    <n v="4.5999999999999996"/>
    <n v="7.87"/>
    <n v="44.3"/>
    <s v="Family"/>
    <n v="11"/>
    <n v="4"/>
    <n v="0"/>
  </r>
  <r>
    <s v="U02514"/>
    <x v="7"/>
    <n v="68"/>
    <s v="Female"/>
    <x v="1"/>
    <x v="2"/>
    <n v="20.49"/>
    <n v="1"/>
    <n v="3.8"/>
    <n v="13.57"/>
    <n v="21.6"/>
    <s v="Comedy"/>
    <n v="1"/>
    <n v="2"/>
    <n v="0"/>
  </r>
  <r>
    <s v="U02515"/>
    <x v="6"/>
    <n v="64"/>
    <s v="Male"/>
    <x v="1"/>
    <x v="3"/>
    <n v="20.99"/>
    <n v="4"/>
    <n v="7.2"/>
    <n v="24.94"/>
    <n v="29.1"/>
    <s v="Comedy"/>
    <n v="7"/>
    <n v="2"/>
    <n v="0"/>
  </r>
  <r>
    <s v="U02516"/>
    <x v="7"/>
    <n v="59"/>
    <s v="Male"/>
    <x v="1"/>
    <x v="2"/>
    <n v="9.2799999999999994"/>
    <n v="1"/>
    <n v="8"/>
    <n v="10.220000000000001"/>
    <n v="52.5"/>
    <s v="Family"/>
    <n v="6"/>
    <n v="1"/>
    <n v="1"/>
  </r>
  <r>
    <s v="U02517"/>
    <x v="2"/>
    <n v="68"/>
    <s v="Female"/>
    <x v="0"/>
    <x v="4"/>
    <n v="10.23"/>
    <n v="2"/>
    <n v="2.5"/>
    <n v="5.56"/>
    <n v="97.5"/>
    <s v="Comedy"/>
    <n v="8"/>
    <n v="1"/>
    <n v="1"/>
  </r>
  <r>
    <s v="U02518"/>
    <x v="7"/>
    <n v="29"/>
    <s v="Male"/>
    <x v="1"/>
    <x v="4"/>
    <n v="9.7799999999999994"/>
    <n v="5"/>
    <n v="8.3000000000000007"/>
    <n v="3.48"/>
    <n v="34.4"/>
    <s v="Comedy"/>
    <n v="2"/>
    <n v="4"/>
    <n v="0"/>
  </r>
  <r>
    <s v="U02519"/>
    <x v="9"/>
    <n v="33"/>
    <s v="Male"/>
    <x v="0"/>
    <x v="2"/>
    <n v="22.69"/>
    <n v="1"/>
    <n v="1.1000000000000001"/>
    <n v="7.06"/>
    <n v="27.2"/>
    <s v="Thriller"/>
    <n v="1"/>
    <n v="3"/>
    <n v="0"/>
  </r>
  <r>
    <s v="U02520"/>
    <x v="4"/>
    <n v="58"/>
    <s v="Female"/>
    <x v="0"/>
    <x v="0"/>
    <n v="20.48"/>
    <n v="1"/>
    <n v="5.8"/>
    <n v="7.11"/>
    <n v="29.9"/>
    <s v="Drama"/>
    <n v="1"/>
    <n v="3"/>
    <n v="1"/>
  </r>
  <r>
    <s v="U02521"/>
    <x v="1"/>
    <n v="49"/>
    <s v="Male"/>
    <x v="1"/>
    <x v="0"/>
    <n v="6.49"/>
    <n v="1"/>
    <n v="5.7"/>
    <n v="21.88"/>
    <n v="73.7"/>
    <s v="Family"/>
    <n v="2"/>
    <n v="4"/>
    <n v="1"/>
  </r>
  <r>
    <s v="U02522"/>
    <x v="5"/>
    <n v="32"/>
    <s v="Male"/>
    <x v="1"/>
    <x v="0"/>
    <n v="21.65"/>
    <n v="2"/>
    <n v="6.6"/>
    <n v="6.44"/>
    <n v="92.3"/>
    <s v="Thriller"/>
    <n v="5"/>
    <n v="2"/>
    <n v="0"/>
  </r>
  <r>
    <s v="U02523"/>
    <x v="9"/>
    <n v="44"/>
    <s v="Male"/>
    <x v="2"/>
    <x v="3"/>
    <n v="5.74"/>
    <n v="2"/>
    <n v="3.2"/>
    <n v="21.98"/>
    <n v="16.8"/>
    <s v="Thriller"/>
    <n v="7"/>
    <n v="1"/>
    <n v="0"/>
  </r>
  <r>
    <s v="U02524"/>
    <x v="10"/>
    <n v="45"/>
    <s v="Female"/>
    <x v="1"/>
    <x v="4"/>
    <n v="10.06"/>
    <n v="2"/>
    <n v="1.1000000000000001"/>
    <n v="4.91"/>
    <n v="77.400000000000006"/>
    <s v="Thriller"/>
    <n v="9"/>
    <n v="4"/>
    <n v="1"/>
  </r>
  <r>
    <s v="U02525"/>
    <x v="5"/>
    <n v="34"/>
    <s v="Female"/>
    <x v="2"/>
    <x v="4"/>
    <n v="23.38"/>
    <n v="1"/>
    <n v="5.0999999999999996"/>
    <n v="22.95"/>
    <n v="54.5"/>
    <s v="Comedy"/>
    <n v="4"/>
    <n v="3"/>
    <n v="0"/>
  </r>
  <r>
    <s v="U02526"/>
    <x v="7"/>
    <n v="63"/>
    <s v="Male"/>
    <x v="1"/>
    <x v="4"/>
    <n v="22.29"/>
    <n v="4"/>
    <n v="1.6"/>
    <n v="8.64"/>
    <n v="84.3"/>
    <s v="Family"/>
    <n v="9"/>
    <n v="2"/>
    <n v="0"/>
  </r>
  <r>
    <s v="U02527"/>
    <x v="8"/>
    <n v="67"/>
    <s v="Male"/>
    <x v="2"/>
    <x v="3"/>
    <n v="20.63"/>
    <n v="5"/>
    <n v="9"/>
    <n v="16.45"/>
    <n v="47.9"/>
    <s v="Comedy"/>
    <n v="11"/>
    <n v="3"/>
    <n v="0"/>
  </r>
  <r>
    <s v="U02528"/>
    <x v="6"/>
    <n v="19"/>
    <s v="Male"/>
    <x v="0"/>
    <x v="4"/>
    <n v="14.15"/>
    <n v="5"/>
    <n v="2.6"/>
    <n v="6.51"/>
    <n v="10.5"/>
    <s v="Comedy"/>
    <n v="3"/>
    <n v="2"/>
    <n v="0"/>
  </r>
  <r>
    <s v="U02529"/>
    <x v="3"/>
    <n v="53"/>
    <s v="Male"/>
    <x v="2"/>
    <x v="2"/>
    <n v="11.43"/>
    <n v="2"/>
    <n v="4.8"/>
    <n v="11.58"/>
    <n v="71.5"/>
    <s v="Thriller"/>
    <n v="6"/>
    <n v="3"/>
    <n v="0"/>
  </r>
  <r>
    <s v="U02530"/>
    <x v="5"/>
    <n v="67"/>
    <s v="Male"/>
    <x v="1"/>
    <x v="1"/>
    <n v="22.63"/>
    <n v="1"/>
    <n v="4.9000000000000004"/>
    <n v="4.8899999999999997"/>
    <n v="82.7"/>
    <s v="Action"/>
    <n v="9"/>
    <n v="0"/>
    <n v="0"/>
  </r>
  <r>
    <s v="U02531"/>
    <x v="7"/>
    <n v="24"/>
    <s v="Male"/>
    <x v="2"/>
    <x v="3"/>
    <n v="18.14"/>
    <n v="4"/>
    <n v="6"/>
    <n v="15.75"/>
    <n v="91.2"/>
    <s v="Family"/>
    <n v="11"/>
    <n v="2"/>
    <n v="0"/>
  </r>
  <r>
    <s v="U02532"/>
    <x v="6"/>
    <n v="30"/>
    <s v="Female"/>
    <x v="1"/>
    <x v="1"/>
    <n v="10.91"/>
    <n v="3"/>
    <n v="8"/>
    <n v="10.61"/>
    <n v="61.2"/>
    <s v="Family"/>
    <n v="1"/>
    <n v="2"/>
    <n v="1"/>
  </r>
  <r>
    <s v="U02533"/>
    <x v="0"/>
    <n v="32"/>
    <s v="Male"/>
    <x v="0"/>
    <x v="2"/>
    <n v="14.26"/>
    <n v="2"/>
    <n v="5.2"/>
    <n v="21.75"/>
    <n v="21"/>
    <s v="Thriller"/>
    <n v="4"/>
    <n v="2"/>
    <n v="1"/>
  </r>
  <r>
    <s v="U02534"/>
    <x v="1"/>
    <n v="42"/>
    <s v="Male"/>
    <x v="1"/>
    <x v="0"/>
    <n v="22.63"/>
    <n v="3"/>
    <n v="1.2"/>
    <n v="7"/>
    <n v="43.3"/>
    <s v="Thriller"/>
    <n v="5"/>
    <n v="0"/>
    <n v="1"/>
  </r>
  <r>
    <s v="U02535"/>
    <x v="11"/>
    <n v="40"/>
    <s v="Female"/>
    <x v="0"/>
    <x v="0"/>
    <n v="23.07"/>
    <n v="5"/>
    <n v="7.9"/>
    <n v="9.16"/>
    <n v="80.599999999999994"/>
    <s v="Drama"/>
    <n v="11"/>
    <n v="0"/>
    <n v="0"/>
  </r>
  <r>
    <s v="U02536"/>
    <x v="4"/>
    <n v="39"/>
    <s v="Male"/>
    <x v="1"/>
    <x v="0"/>
    <n v="18.190000000000001"/>
    <n v="5"/>
    <n v="1.7"/>
    <n v="6.9"/>
    <n v="54.5"/>
    <s v="Thriller"/>
    <n v="6"/>
    <n v="3"/>
    <n v="1"/>
  </r>
  <r>
    <s v="U02537"/>
    <x v="6"/>
    <n v="43"/>
    <s v="Male"/>
    <x v="0"/>
    <x v="3"/>
    <n v="19.649999999999999"/>
    <n v="4"/>
    <n v="6.8"/>
    <n v="15.4"/>
    <n v="72.900000000000006"/>
    <s v="Comedy"/>
    <n v="11"/>
    <n v="1"/>
    <n v="0"/>
  </r>
  <r>
    <s v="U02538"/>
    <x v="8"/>
    <n v="50"/>
    <s v="Male"/>
    <x v="1"/>
    <x v="0"/>
    <n v="5.79"/>
    <n v="4"/>
    <n v="8.1999999999999993"/>
    <n v="5.46"/>
    <n v="10.4"/>
    <s v="Thriller"/>
    <n v="8"/>
    <n v="3"/>
    <n v="0"/>
  </r>
  <r>
    <s v="U02539"/>
    <x v="2"/>
    <n v="28"/>
    <s v="Male"/>
    <x v="2"/>
    <x v="3"/>
    <n v="17.09"/>
    <n v="3"/>
    <n v="3.5"/>
    <n v="7.17"/>
    <n v="16.600000000000001"/>
    <s v="Family"/>
    <n v="2"/>
    <n v="2"/>
    <n v="0"/>
  </r>
  <r>
    <s v="U02540"/>
    <x v="8"/>
    <n v="27"/>
    <s v="Female"/>
    <x v="1"/>
    <x v="3"/>
    <n v="18.78"/>
    <n v="5"/>
    <n v="5"/>
    <n v="17.93"/>
    <n v="71.3"/>
    <s v="Action"/>
    <n v="6"/>
    <n v="2"/>
    <n v="0"/>
  </r>
  <r>
    <s v="U02541"/>
    <x v="6"/>
    <n v="42"/>
    <s v="Male"/>
    <x v="2"/>
    <x v="1"/>
    <n v="5.41"/>
    <n v="4"/>
    <n v="1.1000000000000001"/>
    <n v="4.6399999999999997"/>
    <n v="36.1"/>
    <s v="Action"/>
    <n v="7"/>
    <n v="3"/>
    <n v="0"/>
  </r>
  <r>
    <s v="U02542"/>
    <x v="8"/>
    <n v="54"/>
    <s v="Female"/>
    <x v="1"/>
    <x v="0"/>
    <n v="21.88"/>
    <n v="4"/>
    <n v="8.1999999999999993"/>
    <n v="19.350000000000001"/>
    <n v="44.9"/>
    <s v="Comedy"/>
    <n v="6"/>
    <n v="4"/>
    <n v="1"/>
  </r>
  <r>
    <s v="U02543"/>
    <x v="1"/>
    <n v="65"/>
    <s v="Male"/>
    <x v="1"/>
    <x v="4"/>
    <n v="23.57"/>
    <n v="5"/>
    <n v="7.3"/>
    <n v="5.3"/>
    <n v="67.8"/>
    <s v="Action"/>
    <n v="4"/>
    <n v="1"/>
    <n v="1"/>
  </r>
  <r>
    <s v="U02544"/>
    <x v="8"/>
    <n v="60"/>
    <s v="Male"/>
    <x v="2"/>
    <x v="0"/>
    <n v="9.76"/>
    <n v="5"/>
    <n v="3.1"/>
    <n v="15.88"/>
    <n v="20.100000000000001"/>
    <s v="Thriller"/>
    <n v="6"/>
    <n v="0"/>
    <n v="0"/>
  </r>
  <r>
    <s v="U02545"/>
    <x v="5"/>
    <n v="55"/>
    <s v="Female"/>
    <x v="2"/>
    <x v="0"/>
    <n v="21.92"/>
    <n v="1"/>
    <n v="4.5"/>
    <n v="24.95"/>
    <n v="84.9"/>
    <s v="Action"/>
    <n v="4"/>
    <n v="1"/>
    <n v="0"/>
  </r>
  <r>
    <s v="U02546"/>
    <x v="11"/>
    <n v="58"/>
    <s v="Male"/>
    <x v="2"/>
    <x v="0"/>
    <n v="18.309999999999999"/>
    <n v="4"/>
    <n v="7.3"/>
    <n v="6.83"/>
    <n v="23"/>
    <s v="Thriller"/>
    <n v="9"/>
    <n v="4"/>
    <n v="0"/>
  </r>
  <r>
    <s v="U02547"/>
    <x v="8"/>
    <n v="62"/>
    <s v="Female"/>
    <x v="0"/>
    <x v="4"/>
    <n v="16.61"/>
    <n v="3"/>
    <n v="4.2"/>
    <n v="8.74"/>
    <n v="76"/>
    <s v="Drama"/>
    <n v="1"/>
    <n v="3"/>
    <n v="0"/>
  </r>
  <r>
    <s v="U02548"/>
    <x v="11"/>
    <n v="41"/>
    <s v="Female"/>
    <x v="1"/>
    <x v="4"/>
    <n v="21.86"/>
    <n v="2"/>
    <n v="2.5"/>
    <n v="22.77"/>
    <n v="36.299999999999997"/>
    <s v="Family"/>
    <n v="9"/>
    <n v="3"/>
    <n v="1"/>
  </r>
  <r>
    <s v="U02549"/>
    <x v="7"/>
    <n v="57"/>
    <s v="Female"/>
    <x v="0"/>
    <x v="3"/>
    <n v="10.71"/>
    <n v="2"/>
    <n v="5.7"/>
    <n v="16.78"/>
    <n v="33.4"/>
    <s v="Comedy"/>
    <n v="11"/>
    <n v="2"/>
    <n v="0"/>
  </r>
  <r>
    <s v="U02550"/>
    <x v="10"/>
    <n v="63"/>
    <s v="Male"/>
    <x v="1"/>
    <x v="4"/>
    <n v="20.82"/>
    <n v="5"/>
    <n v="7.5"/>
    <n v="13.84"/>
    <n v="83.9"/>
    <s v="Drama"/>
    <n v="4"/>
    <n v="3"/>
    <n v="1"/>
  </r>
  <r>
    <s v="U02551"/>
    <x v="1"/>
    <n v="50"/>
    <s v="Male"/>
    <x v="1"/>
    <x v="3"/>
    <n v="11.29"/>
    <n v="3"/>
    <n v="3.9"/>
    <n v="15.38"/>
    <n v="59.7"/>
    <s v="Action"/>
    <n v="3"/>
    <n v="4"/>
    <n v="0"/>
  </r>
  <r>
    <s v="U02552"/>
    <x v="10"/>
    <n v="34"/>
    <s v="Male"/>
    <x v="2"/>
    <x v="1"/>
    <n v="20.75"/>
    <n v="1"/>
    <n v="2.1"/>
    <n v="9.5"/>
    <n v="28.5"/>
    <s v="Comedy"/>
    <n v="11"/>
    <n v="3"/>
    <n v="0"/>
  </r>
  <r>
    <s v="U02553"/>
    <x v="7"/>
    <n v="41"/>
    <s v="Male"/>
    <x v="2"/>
    <x v="3"/>
    <n v="14.02"/>
    <n v="4"/>
    <n v="8.5"/>
    <n v="21.82"/>
    <n v="10.199999999999999"/>
    <s v="Thriller"/>
    <n v="5"/>
    <n v="3"/>
    <n v="0"/>
  </r>
  <r>
    <s v="U02554"/>
    <x v="1"/>
    <n v="54"/>
    <s v="Female"/>
    <x v="1"/>
    <x v="0"/>
    <n v="7.34"/>
    <n v="1"/>
    <n v="3.3"/>
    <n v="19.399999999999999"/>
    <n v="97.6"/>
    <s v="Drama"/>
    <n v="3"/>
    <n v="4"/>
    <n v="0"/>
  </r>
  <r>
    <s v="U02555"/>
    <x v="6"/>
    <n v="19"/>
    <s v="Male"/>
    <x v="0"/>
    <x v="2"/>
    <n v="12.63"/>
    <n v="3"/>
    <n v="5.6"/>
    <n v="17.13"/>
    <n v="48.8"/>
    <s v="Family"/>
    <n v="1"/>
    <n v="0"/>
    <n v="1"/>
  </r>
  <r>
    <s v="U02556"/>
    <x v="6"/>
    <n v="49"/>
    <s v="Male"/>
    <x v="2"/>
    <x v="2"/>
    <n v="9.67"/>
    <n v="1"/>
    <n v="7.2"/>
    <n v="23.5"/>
    <n v="45.8"/>
    <s v="Family"/>
    <n v="8"/>
    <n v="1"/>
    <n v="0"/>
  </r>
  <r>
    <s v="U02557"/>
    <x v="11"/>
    <n v="41"/>
    <s v="Female"/>
    <x v="0"/>
    <x v="0"/>
    <n v="7.01"/>
    <n v="5"/>
    <n v="3.9"/>
    <n v="15.72"/>
    <n v="14.5"/>
    <s v="Drama"/>
    <n v="9"/>
    <n v="3"/>
    <n v="0"/>
  </r>
  <r>
    <s v="U02558"/>
    <x v="7"/>
    <n v="26"/>
    <s v="Female"/>
    <x v="1"/>
    <x v="3"/>
    <n v="7.21"/>
    <n v="2"/>
    <n v="6.8"/>
    <n v="14.26"/>
    <n v="90.5"/>
    <s v="Drama"/>
    <n v="6"/>
    <n v="1"/>
    <n v="1"/>
  </r>
  <r>
    <s v="U02559"/>
    <x v="11"/>
    <n v="21"/>
    <s v="Male"/>
    <x v="0"/>
    <x v="0"/>
    <n v="20.6"/>
    <n v="5"/>
    <n v="5.0999999999999996"/>
    <n v="24.47"/>
    <n v="22.7"/>
    <s v="Drama"/>
    <n v="2"/>
    <n v="1"/>
    <n v="0"/>
  </r>
  <r>
    <s v="U02560"/>
    <x v="4"/>
    <n v="34"/>
    <s v="Female"/>
    <x v="1"/>
    <x v="4"/>
    <n v="22.63"/>
    <n v="4"/>
    <n v="6.1"/>
    <n v="7.53"/>
    <n v="40.200000000000003"/>
    <s v="Action"/>
    <n v="6"/>
    <n v="2"/>
    <n v="1"/>
  </r>
  <r>
    <s v="U02561"/>
    <x v="8"/>
    <n v="34"/>
    <s v="Female"/>
    <x v="2"/>
    <x v="3"/>
    <n v="23.54"/>
    <n v="5"/>
    <n v="6.3"/>
    <n v="6.12"/>
    <n v="47.9"/>
    <s v="Family"/>
    <n v="6"/>
    <n v="0"/>
    <n v="0"/>
  </r>
  <r>
    <s v="U02562"/>
    <x v="3"/>
    <n v="67"/>
    <s v="Female"/>
    <x v="0"/>
    <x v="0"/>
    <n v="22.08"/>
    <n v="3"/>
    <n v="8.4"/>
    <n v="6.57"/>
    <n v="82.9"/>
    <s v="Family"/>
    <n v="6"/>
    <n v="1"/>
    <n v="0"/>
  </r>
  <r>
    <s v="U02563"/>
    <x v="4"/>
    <n v="65"/>
    <s v="Female"/>
    <x v="1"/>
    <x v="4"/>
    <n v="21.6"/>
    <n v="3"/>
    <n v="6.9"/>
    <n v="24.77"/>
    <n v="42.4"/>
    <s v="Action"/>
    <n v="10"/>
    <n v="2"/>
    <n v="0"/>
  </r>
  <r>
    <s v="U02564"/>
    <x v="8"/>
    <n v="47"/>
    <s v="Female"/>
    <x v="1"/>
    <x v="4"/>
    <n v="6.38"/>
    <n v="4"/>
    <n v="3.4"/>
    <n v="17.350000000000001"/>
    <n v="57.8"/>
    <s v="Comedy"/>
    <n v="11"/>
    <n v="4"/>
    <n v="0"/>
  </r>
  <r>
    <s v="U02565"/>
    <x v="1"/>
    <n v="57"/>
    <s v="Male"/>
    <x v="2"/>
    <x v="3"/>
    <n v="20.8"/>
    <n v="4"/>
    <n v="1.5"/>
    <n v="9.73"/>
    <n v="48.6"/>
    <s v="Family"/>
    <n v="9"/>
    <n v="4"/>
    <n v="0"/>
  </r>
  <r>
    <s v="U02566"/>
    <x v="11"/>
    <n v="28"/>
    <s v="Male"/>
    <x v="2"/>
    <x v="1"/>
    <n v="20.67"/>
    <n v="2"/>
    <n v="1"/>
    <n v="8.48"/>
    <n v="38.1"/>
    <s v="Comedy"/>
    <n v="4"/>
    <n v="4"/>
    <n v="0"/>
  </r>
  <r>
    <s v="U02567"/>
    <x v="1"/>
    <n v="38"/>
    <s v="Male"/>
    <x v="0"/>
    <x v="1"/>
    <n v="7.63"/>
    <n v="1"/>
    <n v="9.1"/>
    <n v="4.25"/>
    <n v="95.2"/>
    <s v="Comedy"/>
    <n v="2"/>
    <n v="4"/>
    <n v="0"/>
  </r>
  <r>
    <s v="U02568"/>
    <x v="9"/>
    <n v="38"/>
    <s v="Male"/>
    <x v="0"/>
    <x v="4"/>
    <n v="18.239999999999998"/>
    <n v="2"/>
    <n v="9.5"/>
    <n v="5.9"/>
    <n v="81.7"/>
    <s v="Comedy"/>
    <n v="8"/>
    <n v="4"/>
    <n v="0"/>
  </r>
  <r>
    <s v="U02569"/>
    <x v="9"/>
    <n v="35"/>
    <s v="Male"/>
    <x v="1"/>
    <x v="1"/>
    <n v="14.05"/>
    <n v="5"/>
    <n v="1.8"/>
    <n v="22.98"/>
    <n v="25.7"/>
    <s v="Family"/>
    <n v="6"/>
    <n v="2"/>
    <n v="0"/>
  </r>
  <r>
    <s v="U02570"/>
    <x v="9"/>
    <n v="46"/>
    <s v="Male"/>
    <x v="1"/>
    <x v="4"/>
    <n v="23"/>
    <n v="1"/>
    <n v="5.4"/>
    <n v="19.440000000000001"/>
    <n v="59.9"/>
    <s v="Thriller"/>
    <n v="10"/>
    <n v="0"/>
    <n v="1"/>
  </r>
  <r>
    <s v="U02571"/>
    <x v="1"/>
    <n v="41"/>
    <s v="Male"/>
    <x v="1"/>
    <x v="1"/>
    <n v="18.91"/>
    <n v="4"/>
    <n v="2.4"/>
    <n v="23.71"/>
    <n v="81.7"/>
    <s v="Comedy"/>
    <n v="1"/>
    <n v="0"/>
    <n v="0"/>
  </r>
  <r>
    <s v="U02572"/>
    <x v="8"/>
    <n v="27"/>
    <s v="Female"/>
    <x v="0"/>
    <x v="4"/>
    <n v="24.02"/>
    <n v="3"/>
    <n v="9.5"/>
    <n v="12.32"/>
    <n v="62.2"/>
    <s v="Thriller"/>
    <n v="6"/>
    <n v="2"/>
    <n v="0"/>
  </r>
  <r>
    <s v="U02573"/>
    <x v="9"/>
    <n v="62"/>
    <s v="Male"/>
    <x v="0"/>
    <x v="4"/>
    <n v="7.1"/>
    <n v="5"/>
    <n v="3.2"/>
    <n v="16.23"/>
    <n v="54.4"/>
    <s v="Action"/>
    <n v="2"/>
    <n v="2"/>
    <n v="1"/>
  </r>
  <r>
    <s v="U02574"/>
    <x v="7"/>
    <n v="34"/>
    <s v="Male"/>
    <x v="1"/>
    <x v="4"/>
    <n v="5.81"/>
    <n v="2"/>
    <n v="5.5"/>
    <n v="13.64"/>
    <n v="16.5"/>
    <s v="Thriller"/>
    <n v="4"/>
    <n v="3"/>
    <n v="0"/>
  </r>
  <r>
    <s v="U02575"/>
    <x v="2"/>
    <n v="35"/>
    <s v="Male"/>
    <x v="0"/>
    <x v="4"/>
    <n v="24.47"/>
    <n v="4"/>
    <n v="2.5"/>
    <n v="22.39"/>
    <n v="19.5"/>
    <s v="Thriller"/>
    <n v="2"/>
    <n v="1"/>
    <n v="1"/>
  </r>
  <r>
    <s v="U02576"/>
    <x v="8"/>
    <n v="59"/>
    <s v="Female"/>
    <x v="2"/>
    <x v="2"/>
    <n v="6.6"/>
    <n v="1"/>
    <n v="4"/>
    <n v="24.81"/>
    <n v="32.1"/>
    <s v="Drama"/>
    <n v="4"/>
    <n v="4"/>
    <n v="0"/>
  </r>
  <r>
    <s v="U02577"/>
    <x v="9"/>
    <n v="65"/>
    <s v="Male"/>
    <x v="0"/>
    <x v="1"/>
    <n v="12.72"/>
    <n v="1"/>
    <n v="3.4"/>
    <n v="23.52"/>
    <n v="56.2"/>
    <s v="Comedy"/>
    <n v="7"/>
    <n v="1"/>
    <n v="0"/>
  </r>
  <r>
    <s v="U02578"/>
    <x v="0"/>
    <n v="37"/>
    <s v="Male"/>
    <x v="0"/>
    <x v="4"/>
    <n v="18"/>
    <n v="3"/>
    <n v="5.3"/>
    <n v="16.16"/>
    <n v="98.9"/>
    <s v="Family"/>
    <n v="8"/>
    <n v="3"/>
    <n v="0"/>
  </r>
  <r>
    <s v="U02579"/>
    <x v="6"/>
    <n v="54"/>
    <s v="Female"/>
    <x v="2"/>
    <x v="0"/>
    <n v="22.6"/>
    <n v="4"/>
    <n v="4.8"/>
    <n v="4.3600000000000003"/>
    <n v="82.2"/>
    <s v="Drama"/>
    <n v="3"/>
    <n v="0"/>
    <n v="0"/>
  </r>
  <r>
    <s v="U02580"/>
    <x v="6"/>
    <n v="62"/>
    <s v="Male"/>
    <x v="1"/>
    <x v="3"/>
    <n v="10.09"/>
    <n v="4"/>
    <n v="4"/>
    <n v="16.59"/>
    <n v="19.899999999999999"/>
    <s v="Thriller"/>
    <n v="1"/>
    <n v="4"/>
    <n v="0"/>
  </r>
  <r>
    <s v="U02581"/>
    <x v="4"/>
    <n v="35"/>
    <s v="Male"/>
    <x v="2"/>
    <x v="0"/>
    <n v="5.58"/>
    <n v="5"/>
    <n v="2"/>
    <n v="5.14"/>
    <n v="74.599999999999994"/>
    <s v="Action"/>
    <n v="10"/>
    <n v="0"/>
    <n v="1"/>
  </r>
  <r>
    <s v="U02582"/>
    <x v="6"/>
    <n v="34"/>
    <s v="Female"/>
    <x v="0"/>
    <x v="0"/>
    <n v="15.43"/>
    <n v="5"/>
    <n v="5.4"/>
    <n v="6.05"/>
    <n v="82.9"/>
    <s v="Family"/>
    <n v="1"/>
    <n v="2"/>
    <n v="0"/>
  </r>
  <r>
    <s v="U02583"/>
    <x v="8"/>
    <n v="26"/>
    <s v="Male"/>
    <x v="1"/>
    <x v="2"/>
    <n v="14.42"/>
    <n v="1"/>
    <n v="8.6999999999999993"/>
    <n v="7.21"/>
    <n v="47.3"/>
    <s v="Action"/>
    <n v="10"/>
    <n v="1"/>
    <n v="0"/>
  </r>
  <r>
    <s v="U02584"/>
    <x v="5"/>
    <n v="31"/>
    <s v="Female"/>
    <x v="2"/>
    <x v="1"/>
    <n v="11.14"/>
    <n v="2"/>
    <n v="7.6"/>
    <n v="11"/>
    <n v="39.700000000000003"/>
    <s v="Thriller"/>
    <n v="11"/>
    <n v="0"/>
    <n v="1"/>
  </r>
  <r>
    <s v="U02585"/>
    <x v="11"/>
    <n v="66"/>
    <s v="Male"/>
    <x v="1"/>
    <x v="2"/>
    <n v="22.48"/>
    <n v="1"/>
    <n v="7.5"/>
    <n v="16.02"/>
    <n v="62.6"/>
    <s v="Action"/>
    <n v="7"/>
    <n v="3"/>
    <n v="0"/>
  </r>
  <r>
    <s v="U02586"/>
    <x v="8"/>
    <n v="46"/>
    <s v="Male"/>
    <x v="2"/>
    <x v="1"/>
    <n v="19.989999999999998"/>
    <n v="5"/>
    <n v="4.3"/>
    <n v="10.34"/>
    <n v="56.7"/>
    <s v="Drama"/>
    <n v="1"/>
    <n v="0"/>
    <n v="1"/>
  </r>
  <r>
    <s v="U02587"/>
    <x v="2"/>
    <n v="48"/>
    <s v="Male"/>
    <x v="1"/>
    <x v="4"/>
    <n v="22.16"/>
    <n v="5"/>
    <n v="7.4"/>
    <n v="12.95"/>
    <n v="33.9"/>
    <s v="Action"/>
    <n v="3"/>
    <n v="4"/>
    <n v="0"/>
  </r>
  <r>
    <s v="U02588"/>
    <x v="8"/>
    <n v="21"/>
    <s v="Female"/>
    <x v="1"/>
    <x v="2"/>
    <n v="8.24"/>
    <n v="5"/>
    <n v="5.2"/>
    <n v="4.04"/>
    <n v="45.8"/>
    <s v="Drama"/>
    <n v="11"/>
    <n v="4"/>
    <n v="0"/>
  </r>
  <r>
    <s v="U02589"/>
    <x v="3"/>
    <n v="35"/>
    <s v="Female"/>
    <x v="1"/>
    <x v="3"/>
    <n v="18.850000000000001"/>
    <n v="1"/>
    <n v="2.4"/>
    <n v="16.63"/>
    <n v="59"/>
    <s v="Comedy"/>
    <n v="5"/>
    <n v="1"/>
    <n v="0"/>
  </r>
  <r>
    <s v="U02590"/>
    <x v="11"/>
    <n v="37"/>
    <s v="Female"/>
    <x v="1"/>
    <x v="1"/>
    <n v="24.5"/>
    <n v="4"/>
    <n v="4.8"/>
    <n v="17.45"/>
    <n v="62.2"/>
    <s v="Family"/>
    <n v="11"/>
    <n v="2"/>
    <n v="1"/>
  </r>
  <r>
    <s v="U02591"/>
    <x v="0"/>
    <n v="64"/>
    <s v="Male"/>
    <x v="0"/>
    <x v="2"/>
    <n v="17.239999999999998"/>
    <n v="2"/>
    <n v="2.2000000000000002"/>
    <n v="5.19"/>
    <n v="57.9"/>
    <s v="Action"/>
    <n v="5"/>
    <n v="4"/>
    <n v="0"/>
  </r>
  <r>
    <s v="U02592"/>
    <x v="6"/>
    <n v="60"/>
    <s v="Male"/>
    <x v="1"/>
    <x v="3"/>
    <n v="8.43"/>
    <n v="2"/>
    <n v="2"/>
    <n v="20.27"/>
    <n v="86.1"/>
    <s v="Drama"/>
    <n v="11"/>
    <n v="3"/>
    <n v="0"/>
  </r>
  <r>
    <s v="U02593"/>
    <x v="11"/>
    <n v="61"/>
    <s v="Female"/>
    <x v="1"/>
    <x v="0"/>
    <n v="24.92"/>
    <n v="5"/>
    <n v="1.2"/>
    <n v="17.239999999999998"/>
    <n v="12.9"/>
    <s v="Thriller"/>
    <n v="4"/>
    <n v="1"/>
    <n v="0"/>
  </r>
  <r>
    <s v="U02594"/>
    <x v="6"/>
    <n v="26"/>
    <s v="Female"/>
    <x v="1"/>
    <x v="4"/>
    <n v="15.57"/>
    <n v="3"/>
    <n v="3.5"/>
    <n v="13.77"/>
    <n v="40"/>
    <s v="Thriller"/>
    <n v="8"/>
    <n v="4"/>
    <n v="0"/>
  </r>
  <r>
    <s v="U02595"/>
    <x v="4"/>
    <n v="30"/>
    <s v="Male"/>
    <x v="2"/>
    <x v="4"/>
    <n v="21.8"/>
    <n v="1"/>
    <n v="4"/>
    <n v="15.16"/>
    <n v="77.5"/>
    <s v="Drama"/>
    <n v="3"/>
    <n v="3"/>
    <n v="0"/>
  </r>
  <r>
    <s v="U02596"/>
    <x v="11"/>
    <n v="32"/>
    <s v="Male"/>
    <x v="1"/>
    <x v="0"/>
    <n v="7.99"/>
    <n v="4"/>
    <n v="7.3"/>
    <n v="14.07"/>
    <n v="68.7"/>
    <s v="Family"/>
    <n v="8"/>
    <n v="0"/>
    <n v="0"/>
  </r>
  <r>
    <s v="U02597"/>
    <x v="9"/>
    <n v="44"/>
    <s v="Male"/>
    <x v="2"/>
    <x v="2"/>
    <n v="18.32"/>
    <n v="5"/>
    <n v="5.8"/>
    <n v="4.18"/>
    <n v="92.6"/>
    <s v="Comedy"/>
    <n v="6"/>
    <n v="3"/>
    <n v="1"/>
  </r>
  <r>
    <s v="U02598"/>
    <x v="6"/>
    <n v="32"/>
    <s v="Male"/>
    <x v="0"/>
    <x v="0"/>
    <n v="23.25"/>
    <n v="3"/>
    <n v="8.6999999999999993"/>
    <n v="19.170000000000002"/>
    <n v="62.9"/>
    <s v="Comedy"/>
    <n v="4"/>
    <n v="1"/>
    <n v="1"/>
  </r>
  <r>
    <s v="U02599"/>
    <x v="0"/>
    <n v="45"/>
    <s v="Female"/>
    <x v="1"/>
    <x v="3"/>
    <n v="15.64"/>
    <n v="5"/>
    <n v="2.6"/>
    <n v="14.26"/>
    <n v="67.400000000000006"/>
    <s v="Family"/>
    <n v="10"/>
    <n v="4"/>
    <n v="1"/>
  </r>
  <r>
    <s v="U02600"/>
    <x v="9"/>
    <n v="54"/>
    <s v="Male"/>
    <x v="2"/>
    <x v="1"/>
    <n v="10.77"/>
    <n v="3"/>
    <n v="3.4"/>
    <n v="6.8"/>
    <n v="73.400000000000006"/>
    <s v="Action"/>
    <n v="11"/>
    <n v="2"/>
    <n v="0"/>
  </r>
  <r>
    <s v="U02601"/>
    <x v="10"/>
    <n v="36"/>
    <s v="Male"/>
    <x v="1"/>
    <x v="2"/>
    <n v="7.55"/>
    <n v="2"/>
    <n v="9.5"/>
    <n v="17.98"/>
    <n v="26.8"/>
    <s v="Drama"/>
    <n v="3"/>
    <n v="2"/>
    <n v="1"/>
  </r>
  <r>
    <s v="U02602"/>
    <x v="1"/>
    <n v="43"/>
    <s v="Male"/>
    <x v="1"/>
    <x v="1"/>
    <n v="10.92"/>
    <n v="3"/>
    <n v="5"/>
    <n v="18.29"/>
    <n v="77.8"/>
    <s v="Comedy"/>
    <n v="10"/>
    <n v="3"/>
    <n v="0"/>
  </r>
  <r>
    <s v="U02603"/>
    <x v="1"/>
    <n v="69"/>
    <s v="Male"/>
    <x v="0"/>
    <x v="0"/>
    <n v="12.1"/>
    <n v="2"/>
    <n v="8.1"/>
    <n v="7.7"/>
    <n v="37"/>
    <s v="Family"/>
    <n v="10"/>
    <n v="3"/>
    <n v="0"/>
  </r>
  <r>
    <s v="U02604"/>
    <x v="0"/>
    <n v="43"/>
    <s v="Male"/>
    <x v="1"/>
    <x v="4"/>
    <n v="19.2"/>
    <n v="2"/>
    <n v="5.4"/>
    <n v="20.52"/>
    <n v="48.2"/>
    <s v="Comedy"/>
    <n v="2"/>
    <n v="3"/>
    <n v="0"/>
  </r>
  <r>
    <s v="U02605"/>
    <x v="3"/>
    <n v="42"/>
    <s v="Male"/>
    <x v="0"/>
    <x v="1"/>
    <n v="8.57"/>
    <n v="1"/>
    <n v="5.2"/>
    <n v="13.04"/>
    <n v="11.3"/>
    <s v="Comedy"/>
    <n v="6"/>
    <n v="4"/>
    <n v="1"/>
  </r>
  <r>
    <s v="U02606"/>
    <x v="10"/>
    <n v="43"/>
    <s v="Male"/>
    <x v="2"/>
    <x v="1"/>
    <n v="7.12"/>
    <n v="3"/>
    <n v="2.2999999999999998"/>
    <n v="6.97"/>
    <n v="85.9"/>
    <s v="Action"/>
    <n v="1"/>
    <n v="2"/>
    <n v="1"/>
  </r>
  <r>
    <s v="U02607"/>
    <x v="4"/>
    <n v="43"/>
    <s v="Female"/>
    <x v="1"/>
    <x v="4"/>
    <n v="12.74"/>
    <n v="4"/>
    <n v="8.6999999999999993"/>
    <n v="17.47"/>
    <n v="95.8"/>
    <s v="Comedy"/>
    <n v="10"/>
    <n v="2"/>
    <n v="1"/>
  </r>
  <r>
    <s v="U02608"/>
    <x v="0"/>
    <n v="63"/>
    <s v="Female"/>
    <x v="2"/>
    <x v="1"/>
    <n v="14.17"/>
    <n v="4"/>
    <n v="1.7"/>
    <n v="16.13"/>
    <n v="15.4"/>
    <s v="Drama"/>
    <n v="8"/>
    <n v="1"/>
    <n v="0"/>
  </r>
  <r>
    <s v="U02609"/>
    <x v="9"/>
    <n v="45"/>
    <s v="Female"/>
    <x v="1"/>
    <x v="1"/>
    <n v="17.57"/>
    <n v="3"/>
    <n v="3.8"/>
    <n v="6.75"/>
    <n v="67.2"/>
    <s v="Family"/>
    <n v="5"/>
    <n v="1"/>
    <n v="1"/>
  </r>
  <r>
    <s v="U02610"/>
    <x v="1"/>
    <n v="66"/>
    <s v="Male"/>
    <x v="1"/>
    <x v="4"/>
    <n v="19.149999999999999"/>
    <n v="1"/>
    <n v="7.1"/>
    <n v="22.19"/>
    <n v="96.5"/>
    <s v="Action"/>
    <n v="7"/>
    <n v="0"/>
    <n v="0"/>
  </r>
  <r>
    <s v="U02611"/>
    <x v="1"/>
    <n v="35"/>
    <s v="Female"/>
    <x v="1"/>
    <x v="4"/>
    <n v="22.79"/>
    <n v="4"/>
    <n v="5.6"/>
    <n v="21.8"/>
    <n v="64.599999999999994"/>
    <s v="Action"/>
    <n v="7"/>
    <n v="4"/>
    <n v="0"/>
  </r>
  <r>
    <s v="U02612"/>
    <x v="1"/>
    <n v="49"/>
    <s v="Male"/>
    <x v="2"/>
    <x v="0"/>
    <n v="10.78"/>
    <n v="5"/>
    <n v="8.9"/>
    <n v="21.4"/>
    <n v="81.8"/>
    <s v="Family"/>
    <n v="11"/>
    <n v="3"/>
    <n v="0"/>
  </r>
  <r>
    <s v="U02613"/>
    <x v="9"/>
    <n v="20"/>
    <s v="Male"/>
    <x v="2"/>
    <x v="0"/>
    <n v="15.57"/>
    <n v="4"/>
    <n v="1.4"/>
    <n v="11.78"/>
    <n v="20.6"/>
    <s v="Drama"/>
    <n v="10"/>
    <n v="1"/>
    <n v="0"/>
  </r>
  <r>
    <s v="U02614"/>
    <x v="7"/>
    <n v="19"/>
    <s v="Male"/>
    <x v="0"/>
    <x v="1"/>
    <n v="12.32"/>
    <n v="1"/>
    <n v="6.8"/>
    <n v="21.14"/>
    <n v="32"/>
    <s v="Comedy"/>
    <n v="6"/>
    <n v="0"/>
    <n v="1"/>
  </r>
  <r>
    <s v="U02615"/>
    <x v="0"/>
    <n v="50"/>
    <s v="Male"/>
    <x v="1"/>
    <x v="2"/>
    <n v="5.03"/>
    <n v="2"/>
    <n v="5.3"/>
    <n v="21.59"/>
    <n v="41.1"/>
    <s v="Comedy"/>
    <n v="5"/>
    <n v="0"/>
    <n v="1"/>
  </r>
  <r>
    <s v="U02616"/>
    <x v="8"/>
    <n v="59"/>
    <s v="Female"/>
    <x v="1"/>
    <x v="0"/>
    <n v="16.59"/>
    <n v="2"/>
    <n v="2.4"/>
    <n v="24.92"/>
    <n v="98.3"/>
    <s v="Drama"/>
    <n v="2"/>
    <n v="2"/>
    <n v="0"/>
  </r>
  <r>
    <s v="U02617"/>
    <x v="4"/>
    <n v="36"/>
    <s v="Male"/>
    <x v="0"/>
    <x v="0"/>
    <n v="21.32"/>
    <n v="2"/>
    <n v="7.7"/>
    <n v="24.07"/>
    <n v="80.400000000000006"/>
    <s v="Thriller"/>
    <n v="3"/>
    <n v="4"/>
    <n v="0"/>
  </r>
  <r>
    <s v="U02618"/>
    <x v="1"/>
    <n v="34"/>
    <s v="Male"/>
    <x v="1"/>
    <x v="2"/>
    <n v="5.73"/>
    <n v="1"/>
    <n v="4.7"/>
    <n v="11.42"/>
    <n v="89.7"/>
    <s v="Family"/>
    <n v="3"/>
    <n v="4"/>
    <n v="0"/>
  </r>
  <r>
    <s v="U02619"/>
    <x v="6"/>
    <n v="61"/>
    <s v="Female"/>
    <x v="2"/>
    <x v="2"/>
    <n v="5.07"/>
    <n v="2"/>
    <n v="5.8"/>
    <n v="7.36"/>
    <n v="53.8"/>
    <s v="Drama"/>
    <n v="5"/>
    <n v="3"/>
    <n v="1"/>
  </r>
  <r>
    <s v="U02620"/>
    <x v="0"/>
    <n v="50"/>
    <s v="Female"/>
    <x v="1"/>
    <x v="4"/>
    <n v="19.559999999999999"/>
    <n v="2"/>
    <n v="9.6999999999999993"/>
    <n v="9.43"/>
    <n v="74.5"/>
    <s v="Comedy"/>
    <n v="2"/>
    <n v="4"/>
    <n v="0"/>
  </r>
  <r>
    <s v="U02621"/>
    <x v="2"/>
    <n v="29"/>
    <s v="Female"/>
    <x v="2"/>
    <x v="0"/>
    <n v="18.68"/>
    <n v="1"/>
    <n v="5.4"/>
    <n v="13.89"/>
    <n v="75.8"/>
    <s v="Family"/>
    <n v="11"/>
    <n v="3"/>
    <n v="0"/>
  </r>
  <r>
    <s v="U02622"/>
    <x v="9"/>
    <n v="66"/>
    <s v="Male"/>
    <x v="1"/>
    <x v="3"/>
    <n v="13.12"/>
    <n v="5"/>
    <n v="8.4"/>
    <n v="20.72"/>
    <n v="61.2"/>
    <s v="Family"/>
    <n v="1"/>
    <n v="4"/>
    <n v="0"/>
  </r>
  <r>
    <s v="U02623"/>
    <x v="7"/>
    <n v="20"/>
    <s v="Female"/>
    <x v="1"/>
    <x v="3"/>
    <n v="18.23"/>
    <n v="4"/>
    <n v="7.9"/>
    <n v="18.91"/>
    <n v="89"/>
    <s v="Comedy"/>
    <n v="4"/>
    <n v="2"/>
    <n v="0"/>
  </r>
  <r>
    <s v="U02624"/>
    <x v="0"/>
    <n v="60"/>
    <s v="Male"/>
    <x v="0"/>
    <x v="1"/>
    <n v="24.07"/>
    <n v="1"/>
    <n v="7"/>
    <n v="20.329999999999998"/>
    <n v="24.2"/>
    <s v="Drama"/>
    <n v="10"/>
    <n v="0"/>
    <n v="0"/>
  </r>
  <r>
    <s v="U02625"/>
    <x v="4"/>
    <n v="66"/>
    <s v="Male"/>
    <x v="2"/>
    <x v="0"/>
    <n v="9.9600000000000009"/>
    <n v="1"/>
    <n v="9.1"/>
    <n v="11.36"/>
    <n v="15.2"/>
    <s v="Thriller"/>
    <n v="3"/>
    <n v="4"/>
    <n v="0"/>
  </r>
  <r>
    <s v="U02626"/>
    <x v="7"/>
    <n v="43"/>
    <s v="Female"/>
    <x v="2"/>
    <x v="3"/>
    <n v="9.92"/>
    <n v="3"/>
    <n v="3.3"/>
    <n v="8.43"/>
    <n v="37.4"/>
    <s v="Family"/>
    <n v="11"/>
    <n v="4"/>
    <n v="0"/>
  </r>
  <r>
    <s v="U02627"/>
    <x v="4"/>
    <n v="52"/>
    <s v="Female"/>
    <x v="1"/>
    <x v="0"/>
    <n v="8.7200000000000006"/>
    <n v="2"/>
    <n v="8.4"/>
    <n v="3.53"/>
    <n v="17.899999999999999"/>
    <s v="Family"/>
    <n v="3"/>
    <n v="2"/>
    <n v="1"/>
  </r>
  <r>
    <s v="U02628"/>
    <x v="0"/>
    <n v="25"/>
    <s v="Female"/>
    <x v="0"/>
    <x v="0"/>
    <n v="19.48"/>
    <n v="5"/>
    <n v="4.4000000000000004"/>
    <n v="16.78"/>
    <n v="15.4"/>
    <s v="Family"/>
    <n v="10"/>
    <n v="1"/>
    <n v="0"/>
  </r>
  <r>
    <s v="U02629"/>
    <x v="8"/>
    <n v="69"/>
    <s v="Male"/>
    <x v="0"/>
    <x v="3"/>
    <n v="12.06"/>
    <n v="3"/>
    <n v="8.3000000000000007"/>
    <n v="20.49"/>
    <n v="47.7"/>
    <s v="Drama"/>
    <n v="11"/>
    <n v="3"/>
    <n v="1"/>
  </r>
  <r>
    <s v="U02630"/>
    <x v="2"/>
    <n v="53"/>
    <s v="Male"/>
    <x v="0"/>
    <x v="0"/>
    <n v="24.77"/>
    <n v="5"/>
    <n v="5.4"/>
    <n v="22.56"/>
    <n v="28"/>
    <s v="Family"/>
    <n v="6"/>
    <n v="1"/>
    <n v="0"/>
  </r>
  <r>
    <s v="U02631"/>
    <x v="4"/>
    <n v="24"/>
    <s v="Male"/>
    <x v="1"/>
    <x v="2"/>
    <n v="19.29"/>
    <n v="2"/>
    <n v="8.6999999999999993"/>
    <n v="13.48"/>
    <n v="81.099999999999994"/>
    <s v="Comedy"/>
    <n v="9"/>
    <n v="0"/>
    <n v="0"/>
  </r>
  <r>
    <s v="U02632"/>
    <x v="7"/>
    <n v="63"/>
    <s v="Male"/>
    <x v="2"/>
    <x v="1"/>
    <n v="12.35"/>
    <n v="2"/>
    <n v="9.1"/>
    <n v="23.41"/>
    <n v="62.2"/>
    <s v="Comedy"/>
    <n v="10"/>
    <n v="1"/>
    <n v="1"/>
  </r>
  <r>
    <s v="U02633"/>
    <x v="7"/>
    <n v="63"/>
    <s v="Male"/>
    <x v="0"/>
    <x v="4"/>
    <n v="7.98"/>
    <n v="2"/>
    <n v="6.4"/>
    <n v="7.45"/>
    <n v="42.5"/>
    <s v="Action"/>
    <n v="10"/>
    <n v="0"/>
    <n v="0"/>
  </r>
  <r>
    <s v="U02634"/>
    <x v="4"/>
    <n v="53"/>
    <s v="Male"/>
    <x v="2"/>
    <x v="3"/>
    <n v="16.84"/>
    <n v="4"/>
    <n v="5.6"/>
    <n v="14.32"/>
    <n v="35.799999999999997"/>
    <s v="Family"/>
    <n v="11"/>
    <n v="3"/>
    <n v="0"/>
  </r>
  <r>
    <s v="U02635"/>
    <x v="5"/>
    <n v="33"/>
    <s v="Female"/>
    <x v="1"/>
    <x v="4"/>
    <n v="10.9"/>
    <n v="5"/>
    <n v="8"/>
    <n v="7.7"/>
    <n v="60.7"/>
    <s v="Thriller"/>
    <n v="2"/>
    <n v="2"/>
    <n v="0"/>
  </r>
  <r>
    <s v="U02636"/>
    <x v="0"/>
    <n v="41"/>
    <s v="Male"/>
    <x v="1"/>
    <x v="1"/>
    <n v="23.11"/>
    <n v="5"/>
    <n v="3.4"/>
    <n v="7.14"/>
    <n v="49.1"/>
    <s v="Action"/>
    <n v="5"/>
    <n v="0"/>
    <n v="0"/>
  </r>
  <r>
    <s v="U02637"/>
    <x v="5"/>
    <n v="18"/>
    <s v="Female"/>
    <x v="2"/>
    <x v="2"/>
    <n v="13.83"/>
    <n v="3"/>
    <n v="1.1000000000000001"/>
    <n v="23.97"/>
    <n v="15"/>
    <s v="Family"/>
    <n v="2"/>
    <n v="3"/>
    <n v="0"/>
  </r>
  <r>
    <s v="U02638"/>
    <x v="3"/>
    <n v="66"/>
    <s v="Female"/>
    <x v="0"/>
    <x v="2"/>
    <n v="10.85"/>
    <n v="1"/>
    <n v="4.7"/>
    <n v="20.99"/>
    <n v="69.900000000000006"/>
    <s v="Family"/>
    <n v="6"/>
    <n v="2"/>
    <n v="1"/>
  </r>
  <r>
    <s v="U02639"/>
    <x v="0"/>
    <n v="42"/>
    <s v="Female"/>
    <x v="2"/>
    <x v="2"/>
    <n v="16.77"/>
    <n v="2"/>
    <n v="5.6"/>
    <n v="3.26"/>
    <n v="55"/>
    <s v="Drama"/>
    <n v="1"/>
    <n v="1"/>
    <n v="1"/>
  </r>
  <r>
    <s v="U02640"/>
    <x v="4"/>
    <n v="27"/>
    <s v="Female"/>
    <x v="0"/>
    <x v="2"/>
    <n v="7.74"/>
    <n v="2"/>
    <n v="3.7"/>
    <n v="8.91"/>
    <n v="34.9"/>
    <s v="Drama"/>
    <n v="1"/>
    <n v="1"/>
    <n v="0"/>
  </r>
  <r>
    <s v="U02641"/>
    <x v="10"/>
    <n v="33"/>
    <s v="Female"/>
    <x v="1"/>
    <x v="3"/>
    <n v="16.23"/>
    <n v="3"/>
    <n v="4.5"/>
    <n v="7.51"/>
    <n v="36.1"/>
    <s v="Comedy"/>
    <n v="9"/>
    <n v="0"/>
    <n v="0"/>
  </r>
  <r>
    <s v="U02642"/>
    <x v="4"/>
    <n v="33"/>
    <s v="Male"/>
    <x v="2"/>
    <x v="3"/>
    <n v="6.12"/>
    <n v="5"/>
    <n v="2.2000000000000002"/>
    <n v="6.24"/>
    <n v="50.8"/>
    <s v="Action"/>
    <n v="10"/>
    <n v="4"/>
    <n v="0"/>
  </r>
  <r>
    <s v="U02643"/>
    <x v="5"/>
    <n v="25"/>
    <s v="Male"/>
    <x v="2"/>
    <x v="0"/>
    <n v="17.14"/>
    <n v="4"/>
    <n v="3.5"/>
    <n v="18.34"/>
    <n v="84.5"/>
    <s v="Action"/>
    <n v="5"/>
    <n v="4"/>
    <n v="0"/>
  </r>
  <r>
    <s v="U02644"/>
    <x v="8"/>
    <n v="46"/>
    <s v="Male"/>
    <x v="1"/>
    <x v="0"/>
    <n v="15.6"/>
    <n v="5"/>
    <n v="3.2"/>
    <n v="15.47"/>
    <n v="48.1"/>
    <s v="Action"/>
    <n v="9"/>
    <n v="2"/>
    <n v="0"/>
  </r>
  <r>
    <s v="U02645"/>
    <x v="4"/>
    <n v="56"/>
    <s v="Male"/>
    <x v="1"/>
    <x v="1"/>
    <n v="15.42"/>
    <n v="4"/>
    <n v="3.7"/>
    <n v="12.99"/>
    <n v="85.6"/>
    <s v="Comedy"/>
    <n v="8"/>
    <n v="1"/>
    <n v="0"/>
  </r>
  <r>
    <s v="U02646"/>
    <x v="4"/>
    <n v="45"/>
    <s v="Female"/>
    <x v="2"/>
    <x v="0"/>
    <n v="18.68"/>
    <n v="4"/>
    <n v="3.7"/>
    <n v="7.17"/>
    <n v="48.2"/>
    <s v="Thriller"/>
    <n v="9"/>
    <n v="3"/>
    <n v="0"/>
  </r>
  <r>
    <s v="U02647"/>
    <x v="8"/>
    <n v="23"/>
    <s v="Female"/>
    <x v="2"/>
    <x v="1"/>
    <n v="5.89"/>
    <n v="5"/>
    <n v="6"/>
    <n v="9.11"/>
    <n v="84.7"/>
    <s v="Thriller"/>
    <n v="9"/>
    <n v="2"/>
    <n v="1"/>
  </r>
  <r>
    <s v="U02648"/>
    <x v="4"/>
    <n v="33"/>
    <s v="Female"/>
    <x v="0"/>
    <x v="1"/>
    <n v="14.19"/>
    <n v="2"/>
    <n v="3.3"/>
    <n v="10.83"/>
    <n v="93.8"/>
    <s v="Thriller"/>
    <n v="8"/>
    <n v="0"/>
    <n v="0"/>
  </r>
  <r>
    <s v="U02649"/>
    <x v="1"/>
    <n v="37"/>
    <s v="Male"/>
    <x v="2"/>
    <x v="1"/>
    <n v="13.88"/>
    <n v="4"/>
    <n v="9.5"/>
    <n v="20.28"/>
    <n v="11.9"/>
    <s v="Action"/>
    <n v="3"/>
    <n v="0"/>
    <n v="0"/>
  </r>
  <r>
    <s v="U02650"/>
    <x v="10"/>
    <n v="33"/>
    <s v="Male"/>
    <x v="1"/>
    <x v="2"/>
    <n v="14.2"/>
    <n v="3"/>
    <n v="5.6"/>
    <n v="24.76"/>
    <n v="15.6"/>
    <s v="Family"/>
    <n v="7"/>
    <n v="2"/>
    <n v="0"/>
  </r>
  <r>
    <s v="U02651"/>
    <x v="6"/>
    <n v="24"/>
    <s v="Male"/>
    <x v="1"/>
    <x v="4"/>
    <n v="24.6"/>
    <n v="3"/>
    <n v="2.2000000000000002"/>
    <n v="7.05"/>
    <n v="22.1"/>
    <s v="Action"/>
    <n v="4"/>
    <n v="3"/>
    <n v="0"/>
  </r>
  <r>
    <s v="U02652"/>
    <x v="10"/>
    <n v="58"/>
    <s v="Male"/>
    <x v="1"/>
    <x v="4"/>
    <n v="7.79"/>
    <n v="4"/>
    <n v="3.5"/>
    <n v="10.51"/>
    <n v="21"/>
    <s v="Family"/>
    <n v="8"/>
    <n v="1"/>
    <n v="0"/>
  </r>
  <r>
    <s v="U02653"/>
    <x v="9"/>
    <n v="31"/>
    <s v="Female"/>
    <x v="1"/>
    <x v="3"/>
    <n v="18.809999999999999"/>
    <n v="2"/>
    <n v="7.6"/>
    <n v="9.16"/>
    <n v="50.9"/>
    <s v="Drama"/>
    <n v="7"/>
    <n v="1"/>
    <n v="0"/>
  </r>
  <r>
    <s v="U02654"/>
    <x v="2"/>
    <n v="60"/>
    <s v="Female"/>
    <x v="2"/>
    <x v="1"/>
    <n v="13.04"/>
    <n v="4"/>
    <n v="1.1000000000000001"/>
    <n v="3.97"/>
    <n v="78.8"/>
    <s v="Comedy"/>
    <n v="9"/>
    <n v="3"/>
    <n v="1"/>
  </r>
  <r>
    <s v="U02655"/>
    <x v="4"/>
    <n v="43"/>
    <s v="Male"/>
    <x v="1"/>
    <x v="2"/>
    <n v="15.23"/>
    <n v="3"/>
    <n v="9.4"/>
    <n v="7.82"/>
    <n v="96.5"/>
    <s v="Thriller"/>
    <n v="8"/>
    <n v="1"/>
    <n v="0"/>
  </r>
  <r>
    <s v="U02656"/>
    <x v="1"/>
    <n v="43"/>
    <s v="Male"/>
    <x v="2"/>
    <x v="0"/>
    <n v="20.25"/>
    <n v="3"/>
    <n v="5"/>
    <n v="22.84"/>
    <n v="47.6"/>
    <s v="Action"/>
    <n v="3"/>
    <n v="4"/>
    <n v="0"/>
  </r>
  <r>
    <s v="U02657"/>
    <x v="0"/>
    <n v="31"/>
    <s v="Female"/>
    <x v="0"/>
    <x v="0"/>
    <n v="8.15"/>
    <n v="5"/>
    <n v="5.7"/>
    <n v="21.54"/>
    <n v="72"/>
    <s v="Action"/>
    <n v="5"/>
    <n v="4"/>
    <n v="0"/>
  </r>
  <r>
    <s v="U02658"/>
    <x v="4"/>
    <n v="24"/>
    <s v="Female"/>
    <x v="2"/>
    <x v="3"/>
    <n v="20.27"/>
    <n v="2"/>
    <n v="9.9"/>
    <n v="6.69"/>
    <n v="67.2"/>
    <s v="Drama"/>
    <n v="3"/>
    <n v="3"/>
    <n v="0"/>
  </r>
  <r>
    <s v="U02659"/>
    <x v="5"/>
    <n v="50"/>
    <s v="Female"/>
    <x v="2"/>
    <x v="3"/>
    <n v="6.41"/>
    <n v="5"/>
    <n v="5.5"/>
    <n v="11.06"/>
    <n v="45.4"/>
    <s v="Family"/>
    <n v="11"/>
    <n v="4"/>
    <n v="1"/>
  </r>
  <r>
    <s v="U02660"/>
    <x v="1"/>
    <n v="43"/>
    <s v="Female"/>
    <x v="1"/>
    <x v="1"/>
    <n v="14.67"/>
    <n v="1"/>
    <n v="9.5"/>
    <n v="9.84"/>
    <n v="74.900000000000006"/>
    <s v="Thriller"/>
    <n v="9"/>
    <n v="2"/>
    <n v="0"/>
  </r>
  <r>
    <s v="U02661"/>
    <x v="8"/>
    <n v="62"/>
    <s v="Male"/>
    <x v="1"/>
    <x v="1"/>
    <n v="19.84"/>
    <n v="4"/>
    <n v="9.1999999999999993"/>
    <n v="6.25"/>
    <n v="63.3"/>
    <s v="Comedy"/>
    <n v="1"/>
    <n v="1"/>
    <n v="1"/>
  </r>
  <r>
    <s v="U02662"/>
    <x v="1"/>
    <n v="37"/>
    <s v="Female"/>
    <x v="1"/>
    <x v="0"/>
    <n v="8.85"/>
    <n v="5"/>
    <n v="9.5"/>
    <n v="16.690000000000001"/>
    <n v="78.400000000000006"/>
    <s v="Family"/>
    <n v="7"/>
    <n v="2"/>
    <n v="0"/>
  </r>
  <r>
    <s v="U02663"/>
    <x v="9"/>
    <n v="20"/>
    <s v="Female"/>
    <x v="2"/>
    <x v="0"/>
    <n v="20.420000000000002"/>
    <n v="2"/>
    <n v="8.3000000000000007"/>
    <n v="15.26"/>
    <n v="27.4"/>
    <s v="Family"/>
    <n v="9"/>
    <n v="3"/>
    <n v="1"/>
  </r>
  <r>
    <s v="U02664"/>
    <x v="8"/>
    <n v="69"/>
    <s v="Female"/>
    <x v="2"/>
    <x v="0"/>
    <n v="8.34"/>
    <n v="4"/>
    <n v="3.7"/>
    <n v="12.39"/>
    <n v="42.4"/>
    <s v="Thriller"/>
    <n v="3"/>
    <n v="4"/>
    <n v="0"/>
  </r>
  <r>
    <s v="U02665"/>
    <x v="3"/>
    <n v="21"/>
    <s v="Female"/>
    <x v="0"/>
    <x v="0"/>
    <n v="20.98"/>
    <n v="4"/>
    <n v="4.0999999999999996"/>
    <n v="21.82"/>
    <n v="70.400000000000006"/>
    <s v="Comedy"/>
    <n v="7"/>
    <n v="2"/>
    <n v="1"/>
  </r>
  <r>
    <s v="U02666"/>
    <x v="6"/>
    <n v="43"/>
    <s v="Male"/>
    <x v="2"/>
    <x v="4"/>
    <n v="14.38"/>
    <n v="4"/>
    <n v="4.3"/>
    <n v="16.63"/>
    <n v="21.2"/>
    <s v="Thriller"/>
    <n v="7"/>
    <n v="2"/>
    <n v="0"/>
  </r>
  <r>
    <s v="U02667"/>
    <x v="11"/>
    <n v="28"/>
    <s v="Male"/>
    <x v="1"/>
    <x v="1"/>
    <n v="18.690000000000001"/>
    <n v="4"/>
    <n v="9.8000000000000007"/>
    <n v="8.6999999999999993"/>
    <n v="79.3"/>
    <s v="Thriller"/>
    <n v="11"/>
    <n v="0"/>
    <n v="1"/>
  </r>
  <r>
    <s v="U02668"/>
    <x v="1"/>
    <n v="19"/>
    <s v="Male"/>
    <x v="0"/>
    <x v="1"/>
    <n v="23.35"/>
    <n v="4"/>
    <n v="4.2"/>
    <n v="11.22"/>
    <n v="22"/>
    <s v="Action"/>
    <n v="2"/>
    <n v="2"/>
    <n v="0"/>
  </r>
  <r>
    <s v="U02669"/>
    <x v="7"/>
    <n v="31"/>
    <s v="Male"/>
    <x v="2"/>
    <x v="0"/>
    <n v="13.17"/>
    <n v="2"/>
    <n v="2"/>
    <n v="6.3"/>
    <n v="39.200000000000003"/>
    <s v="Comedy"/>
    <n v="5"/>
    <n v="4"/>
    <n v="0"/>
  </r>
  <r>
    <s v="U02670"/>
    <x v="5"/>
    <n v="61"/>
    <s v="Male"/>
    <x v="1"/>
    <x v="2"/>
    <n v="9.66"/>
    <n v="1"/>
    <n v="8"/>
    <n v="16.010000000000002"/>
    <n v="31.4"/>
    <s v="Family"/>
    <n v="10"/>
    <n v="1"/>
    <n v="0"/>
  </r>
  <r>
    <s v="U02671"/>
    <x v="4"/>
    <n v="47"/>
    <s v="Male"/>
    <x v="2"/>
    <x v="0"/>
    <n v="22.34"/>
    <n v="3"/>
    <n v="4.3"/>
    <n v="15.91"/>
    <n v="15.5"/>
    <s v="Thriller"/>
    <n v="7"/>
    <n v="1"/>
    <n v="1"/>
  </r>
  <r>
    <s v="U02672"/>
    <x v="5"/>
    <n v="66"/>
    <s v="Female"/>
    <x v="0"/>
    <x v="3"/>
    <n v="8.23"/>
    <n v="1"/>
    <n v="6.6"/>
    <n v="22.14"/>
    <n v="34.4"/>
    <s v="Drama"/>
    <n v="2"/>
    <n v="1"/>
    <n v="1"/>
  </r>
  <r>
    <s v="U02673"/>
    <x v="10"/>
    <n v="29"/>
    <s v="Female"/>
    <x v="0"/>
    <x v="2"/>
    <n v="17.63"/>
    <n v="3"/>
    <n v="9.3000000000000007"/>
    <n v="21.83"/>
    <n v="92"/>
    <s v="Comedy"/>
    <n v="10"/>
    <n v="4"/>
    <n v="0"/>
  </r>
  <r>
    <s v="U02674"/>
    <x v="11"/>
    <n v="43"/>
    <s v="Female"/>
    <x v="1"/>
    <x v="3"/>
    <n v="23.47"/>
    <n v="5"/>
    <n v="6.2"/>
    <n v="21.41"/>
    <n v="12.4"/>
    <s v="Drama"/>
    <n v="10"/>
    <n v="1"/>
    <n v="0"/>
  </r>
  <r>
    <s v="U02675"/>
    <x v="10"/>
    <n v="61"/>
    <s v="Female"/>
    <x v="0"/>
    <x v="2"/>
    <n v="18.489999999999998"/>
    <n v="4"/>
    <n v="6.7"/>
    <n v="15.08"/>
    <n v="11.5"/>
    <s v="Family"/>
    <n v="2"/>
    <n v="1"/>
    <n v="0"/>
  </r>
  <r>
    <s v="U02676"/>
    <x v="3"/>
    <n v="50"/>
    <s v="Male"/>
    <x v="2"/>
    <x v="3"/>
    <n v="8.91"/>
    <n v="5"/>
    <n v="6.8"/>
    <n v="17.34"/>
    <n v="73.400000000000006"/>
    <s v="Comedy"/>
    <n v="11"/>
    <n v="3"/>
    <n v="1"/>
  </r>
  <r>
    <s v="U02677"/>
    <x v="11"/>
    <n v="30"/>
    <s v="Female"/>
    <x v="0"/>
    <x v="0"/>
    <n v="8.0500000000000007"/>
    <n v="5"/>
    <n v="6.5"/>
    <n v="20.059999999999999"/>
    <n v="43"/>
    <s v="Action"/>
    <n v="6"/>
    <n v="3"/>
    <n v="0"/>
  </r>
  <r>
    <s v="U02678"/>
    <x v="11"/>
    <n v="31"/>
    <s v="Male"/>
    <x v="1"/>
    <x v="0"/>
    <n v="10.050000000000001"/>
    <n v="3"/>
    <n v="2.4"/>
    <n v="5.0199999999999996"/>
    <n v="30.7"/>
    <s v="Comedy"/>
    <n v="2"/>
    <n v="0"/>
    <n v="1"/>
  </r>
  <r>
    <s v="U02679"/>
    <x v="10"/>
    <n v="41"/>
    <s v="Female"/>
    <x v="0"/>
    <x v="2"/>
    <n v="12.83"/>
    <n v="2"/>
    <n v="5.0999999999999996"/>
    <n v="9.61"/>
    <n v="55.8"/>
    <s v="Family"/>
    <n v="10"/>
    <n v="0"/>
    <n v="0"/>
  </r>
  <r>
    <s v="U02680"/>
    <x v="8"/>
    <n v="51"/>
    <s v="Female"/>
    <x v="0"/>
    <x v="3"/>
    <n v="8.18"/>
    <n v="4"/>
    <n v="1.1000000000000001"/>
    <n v="6.72"/>
    <n v="34"/>
    <s v="Action"/>
    <n v="1"/>
    <n v="2"/>
    <n v="0"/>
  </r>
  <r>
    <s v="U02681"/>
    <x v="9"/>
    <n v="61"/>
    <s v="Female"/>
    <x v="2"/>
    <x v="4"/>
    <n v="20.96"/>
    <n v="5"/>
    <n v="6.6"/>
    <n v="14.25"/>
    <n v="45.3"/>
    <s v="Family"/>
    <n v="3"/>
    <n v="2"/>
    <n v="1"/>
  </r>
  <r>
    <s v="U02682"/>
    <x v="10"/>
    <n v="43"/>
    <s v="Male"/>
    <x v="0"/>
    <x v="2"/>
    <n v="12.14"/>
    <n v="1"/>
    <n v="6.2"/>
    <n v="21.43"/>
    <n v="74.400000000000006"/>
    <s v="Comedy"/>
    <n v="1"/>
    <n v="2"/>
    <n v="0"/>
  </r>
  <r>
    <s v="U02683"/>
    <x v="5"/>
    <n v="38"/>
    <s v="Female"/>
    <x v="1"/>
    <x v="2"/>
    <n v="23.72"/>
    <n v="4"/>
    <n v="3.9"/>
    <n v="8.08"/>
    <n v="20.5"/>
    <s v="Family"/>
    <n v="6"/>
    <n v="0"/>
    <n v="0"/>
  </r>
  <r>
    <s v="U02684"/>
    <x v="8"/>
    <n v="45"/>
    <s v="Male"/>
    <x v="2"/>
    <x v="1"/>
    <n v="21.85"/>
    <n v="2"/>
    <n v="5.7"/>
    <n v="19.079999999999998"/>
    <n v="96.4"/>
    <s v="Comedy"/>
    <n v="4"/>
    <n v="1"/>
    <n v="0"/>
  </r>
  <r>
    <s v="U02685"/>
    <x v="5"/>
    <n v="65"/>
    <s v="Male"/>
    <x v="1"/>
    <x v="2"/>
    <n v="23.18"/>
    <n v="4"/>
    <n v="5.4"/>
    <n v="11.93"/>
    <n v="13.8"/>
    <s v="Action"/>
    <n v="2"/>
    <n v="2"/>
    <n v="0"/>
  </r>
  <r>
    <s v="U02686"/>
    <x v="9"/>
    <n v="53"/>
    <s v="Female"/>
    <x v="2"/>
    <x v="4"/>
    <n v="10.89"/>
    <n v="5"/>
    <n v="3.3"/>
    <n v="22.87"/>
    <n v="82.6"/>
    <s v="Comedy"/>
    <n v="7"/>
    <n v="1"/>
    <n v="0"/>
  </r>
  <r>
    <s v="U02687"/>
    <x v="3"/>
    <n v="57"/>
    <s v="Male"/>
    <x v="0"/>
    <x v="0"/>
    <n v="16.47"/>
    <n v="1"/>
    <n v="3.6"/>
    <n v="16.79"/>
    <n v="75.2"/>
    <s v="Family"/>
    <n v="7"/>
    <n v="1"/>
    <n v="0"/>
  </r>
  <r>
    <s v="U02688"/>
    <x v="4"/>
    <n v="19"/>
    <s v="Male"/>
    <x v="0"/>
    <x v="3"/>
    <n v="11.43"/>
    <n v="5"/>
    <n v="7.9"/>
    <n v="24.48"/>
    <n v="35.4"/>
    <s v="Family"/>
    <n v="8"/>
    <n v="0"/>
    <n v="0"/>
  </r>
  <r>
    <s v="U02689"/>
    <x v="9"/>
    <n v="59"/>
    <s v="Female"/>
    <x v="2"/>
    <x v="1"/>
    <n v="10.14"/>
    <n v="2"/>
    <n v="7.8"/>
    <n v="8.4"/>
    <n v="20.6"/>
    <s v="Family"/>
    <n v="7"/>
    <n v="3"/>
    <n v="0"/>
  </r>
  <r>
    <s v="U02690"/>
    <x v="2"/>
    <n v="26"/>
    <s v="Female"/>
    <x v="2"/>
    <x v="3"/>
    <n v="17.14"/>
    <n v="3"/>
    <n v="5.2"/>
    <n v="23.33"/>
    <n v="86.7"/>
    <s v="Drama"/>
    <n v="1"/>
    <n v="3"/>
    <n v="1"/>
  </r>
  <r>
    <s v="U02691"/>
    <x v="0"/>
    <n v="40"/>
    <s v="Female"/>
    <x v="1"/>
    <x v="0"/>
    <n v="21.36"/>
    <n v="1"/>
    <n v="7.5"/>
    <n v="10.86"/>
    <n v="71.2"/>
    <s v="Drama"/>
    <n v="3"/>
    <n v="4"/>
    <n v="0"/>
  </r>
  <r>
    <s v="U02692"/>
    <x v="8"/>
    <n v="32"/>
    <s v="Female"/>
    <x v="1"/>
    <x v="2"/>
    <n v="6.87"/>
    <n v="2"/>
    <n v="5.0999999999999996"/>
    <n v="16.68"/>
    <n v="36.200000000000003"/>
    <s v="Drama"/>
    <n v="1"/>
    <n v="3"/>
    <n v="1"/>
  </r>
  <r>
    <s v="U02693"/>
    <x v="3"/>
    <n v="30"/>
    <s v="Female"/>
    <x v="1"/>
    <x v="4"/>
    <n v="10.52"/>
    <n v="2"/>
    <n v="8.6999999999999993"/>
    <n v="6.84"/>
    <n v="11.5"/>
    <s v="Thriller"/>
    <n v="2"/>
    <n v="2"/>
    <n v="0"/>
  </r>
  <r>
    <s v="U02694"/>
    <x v="2"/>
    <n v="40"/>
    <s v="Female"/>
    <x v="0"/>
    <x v="1"/>
    <n v="9.1"/>
    <n v="5"/>
    <n v="4"/>
    <n v="19.72"/>
    <n v="94.5"/>
    <s v="Comedy"/>
    <n v="1"/>
    <n v="0"/>
    <n v="1"/>
  </r>
  <r>
    <s v="U02695"/>
    <x v="7"/>
    <n v="34"/>
    <s v="Male"/>
    <x v="2"/>
    <x v="4"/>
    <n v="20.97"/>
    <n v="5"/>
    <n v="9.3000000000000007"/>
    <n v="24.52"/>
    <n v="46.4"/>
    <s v="Drama"/>
    <n v="9"/>
    <n v="1"/>
    <n v="1"/>
  </r>
  <r>
    <s v="U02696"/>
    <x v="3"/>
    <n v="65"/>
    <s v="Female"/>
    <x v="1"/>
    <x v="4"/>
    <n v="23.67"/>
    <n v="5"/>
    <n v="5.9"/>
    <n v="20.32"/>
    <n v="25.9"/>
    <s v="Family"/>
    <n v="7"/>
    <n v="0"/>
    <n v="0"/>
  </r>
  <r>
    <s v="U02697"/>
    <x v="10"/>
    <n v="19"/>
    <s v="Female"/>
    <x v="1"/>
    <x v="4"/>
    <n v="6.6"/>
    <n v="3"/>
    <n v="5.8"/>
    <n v="16.55"/>
    <n v="92.1"/>
    <s v="Family"/>
    <n v="9"/>
    <n v="4"/>
    <n v="1"/>
  </r>
  <r>
    <s v="U02698"/>
    <x v="10"/>
    <n v="37"/>
    <s v="Male"/>
    <x v="2"/>
    <x v="4"/>
    <n v="12.58"/>
    <n v="4"/>
    <n v="7"/>
    <n v="12.86"/>
    <n v="42.3"/>
    <s v="Drama"/>
    <n v="8"/>
    <n v="4"/>
    <n v="0"/>
  </r>
  <r>
    <s v="U02699"/>
    <x v="9"/>
    <n v="37"/>
    <s v="Female"/>
    <x v="1"/>
    <x v="0"/>
    <n v="23.29"/>
    <n v="4"/>
    <n v="4.0999999999999996"/>
    <n v="10.6"/>
    <n v="51.7"/>
    <s v="Drama"/>
    <n v="10"/>
    <n v="4"/>
    <n v="0"/>
  </r>
  <r>
    <s v="U02700"/>
    <x v="0"/>
    <n v="63"/>
    <s v="Male"/>
    <x v="0"/>
    <x v="4"/>
    <n v="11.89"/>
    <n v="5"/>
    <n v="7.5"/>
    <n v="12.22"/>
    <n v="72.900000000000006"/>
    <s v="Family"/>
    <n v="2"/>
    <n v="1"/>
    <n v="0"/>
  </r>
  <r>
    <s v="U02701"/>
    <x v="3"/>
    <n v="20"/>
    <s v="Female"/>
    <x v="2"/>
    <x v="4"/>
    <n v="19.25"/>
    <n v="5"/>
    <n v="3.9"/>
    <n v="10.220000000000001"/>
    <n v="83.7"/>
    <s v="Drama"/>
    <n v="1"/>
    <n v="4"/>
    <n v="0"/>
  </r>
  <r>
    <s v="U02702"/>
    <x v="6"/>
    <n v="29"/>
    <s v="Female"/>
    <x v="2"/>
    <x v="0"/>
    <n v="7.01"/>
    <n v="3"/>
    <n v="4.5999999999999996"/>
    <n v="21.32"/>
    <n v="19"/>
    <s v="Thriller"/>
    <n v="5"/>
    <n v="4"/>
    <n v="1"/>
  </r>
  <r>
    <s v="U02703"/>
    <x v="4"/>
    <n v="57"/>
    <s v="Male"/>
    <x v="1"/>
    <x v="3"/>
    <n v="13.89"/>
    <n v="4"/>
    <n v="7.1"/>
    <n v="22.65"/>
    <n v="90.9"/>
    <s v="Thriller"/>
    <n v="7"/>
    <n v="4"/>
    <n v="0"/>
  </r>
  <r>
    <s v="U02704"/>
    <x v="9"/>
    <n v="19"/>
    <s v="Female"/>
    <x v="0"/>
    <x v="0"/>
    <n v="15.07"/>
    <n v="3"/>
    <n v="4.4000000000000004"/>
    <n v="23.89"/>
    <n v="93.9"/>
    <s v="Thriller"/>
    <n v="2"/>
    <n v="1"/>
    <n v="0"/>
  </r>
  <r>
    <s v="U02705"/>
    <x v="10"/>
    <n v="53"/>
    <s v="Male"/>
    <x v="0"/>
    <x v="2"/>
    <n v="20.149999999999999"/>
    <n v="2"/>
    <n v="2.8"/>
    <n v="12.2"/>
    <n v="33.299999999999997"/>
    <s v="Action"/>
    <n v="4"/>
    <n v="4"/>
    <n v="0"/>
  </r>
  <r>
    <s v="U02706"/>
    <x v="0"/>
    <n v="31"/>
    <s v="Female"/>
    <x v="1"/>
    <x v="0"/>
    <n v="10.78"/>
    <n v="4"/>
    <n v="8.8000000000000007"/>
    <n v="15.02"/>
    <n v="54.8"/>
    <s v="Thriller"/>
    <n v="7"/>
    <n v="2"/>
    <n v="1"/>
  </r>
  <r>
    <s v="U02707"/>
    <x v="4"/>
    <n v="33"/>
    <s v="Female"/>
    <x v="1"/>
    <x v="3"/>
    <n v="10.28"/>
    <n v="5"/>
    <n v="9.3000000000000007"/>
    <n v="15.69"/>
    <n v="87.2"/>
    <s v="Family"/>
    <n v="9"/>
    <n v="0"/>
    <n v="0"/>
  </r>
  <r>
    <s v="U02708"/>
    <x v="3"/>
    <n v="36"/>
    <s v="Male"/>
    <x v="2"/>
    <x v="2"/>
    <n v="11.06"/>
    <n v="1"/>
    <n v="6.6"/>
    <n v="17.32"/>
    <n v="53.9"/>
    <s v="Action"/>
    <n v="6"/>
    <n v="4"/>
    <n v="0"/>
  </r>
  <r>
    <s v="U02709"/>
    <x v="3"/>
    <n v="51"/>
    <s v="Female"/>
    <x v="2"/>
    <x v="2"/>
    <n v="16.11"/>
    <n v="2"/>
    <n v="8.3000000000000007"/>
    <n v="3.05"/>
    <n v="53.4"/>
    <s v="Family"/>
    <n v="7"/>
    <n v="4"/>
    <n v="0"/>
  </r>
  <r>
    <s v="U02710"/>
    <x v="11"/>
    <n v="61"/>
    <s v="Female"/>
    <x v="2"/>
    <x v="1"/>
    <n v="22.52"/>
    <n v="1"/>
    <n v="9.9"/>
    <n v="21.54"/>
    <n v="65.7"/>
    <s v="Family"/>
    <n v="8"/>
    <n v="0"/>
    <n v="0"/>
  </r>
  <r>
    <s v="U02711"/>
    <x v="0"/>
    <n v="63"/>
    <s v="Male"/>
    <x v="1"/>
    <x v="4"/>
    <n v="21.62"/>
    <n v="3"/>
    <n v="6.5"/>
    <n v="8.9"/>
    <n v="79.099999999999994"/>
    <s v="Drama"/>
    <n v="8"/>
    <n v="4"/>
    <n v="1"/>
  </r>
  <r>
    <s v="U02712"/>
    <x v="2"/>
    <n v="23"/>
    <s v="Female"/>
    <x v="2"/>
    <x v="2"/>
    <n v="6.16"/>
    <n v="3"/>
    <n v="9.1999999999999993"/>
    <n v="13.39"/>
    <n v="69.900000000000006"/>
    <s v="Comedy"/>
    <n v="9"/>
    <n v="4"/>
    <n v="0"/>
  </r>
  <r>
    <s v="U02713"/>
    <x v="10"/>
    <n v="30"/>
    <s v="Male"/>
    <x v="1"/>
    <x v="2"/>
    <n v="22.58"/>
    <n v="3"/>
    <n v="4.2"/>
    <n v="21.51"/>
    <n v="66.400000000000006"/>
    <s v="Thriller"/>
    <n v="10"/>
    <n v="2"/>
    <n v="0"/>
  </r>
  <r>
    <s v="U02714"/>
    <x v="6"/>
    <n v="53"/>
    <s v="Female"/>
    <x v="0"/>
    <x v="3"/>
    <n v="6.9"/>
    <n v="5"/>
    <n v="7.3"/>
    <n v="24.93"/>
    <n v="43.5"/>
    <s v="Comedy"/>
    <n v="2"/>
    <n v="3"/>
    <n v="0"/>
  </r>
  <r>
    <s v="U02715"/>
    <x v="3"/>
    <n v="39"/>
    <s v="Male"/>
    <x v="0"/>
    <x v="2"/>
    <n v="13.31"/>
    <n v="3"/>
    <n v="1.5"/>
    <n v="20.49"/>
    <n v="66.7"/>
    <s v="Comedy"/>
    <n v="7"/>
    <n v="1"/>
    <n v="0"/>
  </r>
  <r>
    <s v="U02716"/>
    <x v="6"/>
    <n v="35"/>
    <s v="Female"/>
    <x v="1"/>
    <x v="3"/>
    <n v="20.309999999999999"/>
    <n v="1"/>
    <n v="8.1"/>
    <n v="3.55"/>
    <n v="19.3"/>
    <s v="Drama"/>
    <n v="2"/>
    <n v="1"/>
    <n v="0"/>
  </r>
  <r>
    <s v="U02717"/>
    <x v="3"/>
    <n v="29"/>
    <s v="Male"/>
    <x v="2"/>
    <x v="4"/>
    <n v="6.63"/>
    <n v="2"/>
    <n v="8.5"/>
    <n v="11.11"/>
    <n v="46.9"/>
    <s v="Comedy"/>
    <n v="7"/>
    <n v="0"/>
    <n v="0"/>
  </r>
  <r>
    <s v="U02718"/>
    <x v="10"/>
    <n v="69"/>
    <s v="Male"/>
    <x v="0"/>
    <x v="1"/>
    <n v="5.81"/>
    <n v="5"/>
    <n v="4.5999999999999996"/>
    <n v="8.44"/>
    <n v="27"/>
    <s v="Thriller"/>
    <n v="11"/>
    <n v="2"/>
    <n v="0"/>
  </r>
  <r>
    <s v="U02719"/>
    <x v="4"/>
    <n v="47"/>
    <s v="Female"/>
    <x v="0"/>
    <x v="1"/>
    <n v="11.6"/>
    <n v="2"/>
    <n v="6.8"/>
    <n v="24.21"/>
    <n v="58.4"/>
    <s v="Action"/>
    <n v="9"/>
    <n v="1"/>
    <n v="0"/>
  </r>
  <r>
    <s v="U02720"/>
    <x v="1"/>
    <n v="68"/>
    <s v="Female"/>
    <x v="2"/>
    <x v="4"/>
    <n v="19.600000000000001"/>
    <n v="3"/>
    <n v="8.6999999999999993"/>
    <n v="8.81"/>
    <n v="33.6"/>
    <s v="Family"/>
    <n v="4"/>
    <n v="0"/>
    <n v="0"/>
  </r>
  <r>
    <s v="U02721"/>
    <x v="4"/>
    <n v="57"/>
    <s v="Male"/>
    <x v="0"/>
    <x v="4"/>
    <n v="15.44"/>
    <n v="4"/>
    <n v="9"/>
    <n v="23.75"/>
    <n v="55.5"/>
    <s v="Thriller"/>
    <n v="5"/>
    <n v="0"/>
    <n v="0"/>
  </r>
  <r>
    <s v="U02722"/>
    <x v="3"/>
    <n v="24"/>
    <s v="Female"/>
    <x v="2"/>
    <x v="0"/>
    <n v="13.34"/>
    <n v="5"/>
    <n v="2"/>
    <n v="23.63"/>
    <n v="80"/>
    <s v="Drama"/>
    <n v="5"/>
    <n v="0"/>
    <n v="0"/>
  </r>
  <r>
    <s v="U02723"/>
    <x v="5"/>
    <n v="49"/>
    <s v="Male"/>
    <x v="1"/>
    <x v="2"/>
    <n v="21.26"/>
    <n v="3"/>
    <n v="8.4"/>
    <n v="21.47"/>
    <n v="49.1"/>
    <s v="Action"/>
    <n v="2"/>
    <n v="1"/>
    <n v="1"/>
  </r>
  <r>
    <s v="U02724"/>
    <x v="1"/>
    <n v="65"/>
    <s v="Female"/>
    <x v="0"/>
    <x v="2"/>
    <n v="20.329999999999998"/>
    <n v="5"/>
    <n v="3.5"/>
    <n v="5.16"/>
    <n v="29.7"/>
    <s v="Drama"/>
    <n v="3"/>
    <n v="3"/>
    <n v="0"/>
  </r>
  <r>
    <s v="U02725"/>
    <x v="2"/>
    <n v="36"/>
    <s v="Female"/>
    <x v="2"/>
    <x v="2"/>
    <n v="20.72"/>
    <n v="4"/>
    <n v="7.5"/>
    <n v="3.04"/>
    <n v="30.1"/>
    <s v="Thriller"/>
    <n v="10"/>
    <n v="0"/>
    <n v="0"/>
  </r>
  <r>
    <s v="U02726"/>
    <x v="1"/>
    <n v="23"/>
    <s v="Male"/>
    <x v="0"/>
    <x v="3"/>
    <n v="14.19"/>
    <n v="1"/>
    <n v="3.9"/>
    <n v="20.47"/>
    <n v="91.6"/>
    <s v="Family"/>
    <n v="1"/>
    <n v="4"/>
    <n v="0"/>
  </r>
  <r>
    <s v="U02727"/>
    <x v="6"/>
    <n v="37"/>
    <s v="Male"/>
    <x v="1"/>
    <x v="0"/>
    <n v="5.39"/>
    <n v="1"/>
    <n v="1.5"/>
    <n v="21.55"/>
    <n v="80.3"/>
    <s v="Comedy"/>
    <n v="3"/>
    <n v="3"/>
    <n v="0"/>
  </r>
  <r>
    <s v="U02728"/>
    <x v="0"/>
    <n v="44"/>
    <s v="Female"/>
    <x v="0"/>
    <x v="2"/>
    <n v="8.44"/>
    <n v="1"/>
    <n v="2.9"/>
    <n v="24.17"/>
    <n v="13.3"/>
    <s v="Comedy"/>
    <n v="5"/>
    <n v="3"/>
    <n v="1"/>
  </r>
  <r>
    <s v="U02729"/>
    <x v="6"/>
    <n v="60"/>
    <s v="Female"/>
    <x v="0"/>
    <x v="3"/>
    <n v="19.829999999999998"/>
    <n v="4"/>
    <n v="4.7"/>
    <n v="7.8"/>
    <n v="94.8"/>
    <s v="Drama"/>
    <n v="9"/>
    <n v="4"/>
    <n v="1"/>
  </r>
  <r>
    <s v="U02730"/>
    <x v="9"/>
    <n v="54"/>
    <s v="Female"/>
    <x v="0"/>
    <x v="3"/>
    <n v="20.059999999999999"/>
    <n v="2"/>
    <n v="7.7"/>
    <n v="19.13"/>
    <n v="20.100000000000001"/>
    <s v="Action"/>
    <n v="1"/>
    <n v="1"/>
    <n v="0"/>
  </r>
  <r>
    <s v="U02731"/>
    <x v="6"/>
    <n v="65"/>
    <s v="Female"/>
    <x v="0"/>
    <x v="1"/>
    <n v="24.45"/>
    <n v="4"/>
    <n v="1.9"/>
    <n v="14.42"/>
    <n v="68.8"/>
    <s v="Family"/>
    <n v="6"/>
    <n v="1"/>
    <n v="1"/>
  </r>
  <r>
    <s v="U02732"/>
    <x v="2"/>
    <n v="24"/>
    <s v="Female"/>
    <x v="0"/>
    <x v="3"/>
    <n v="8.8000000000000007"/>
    <n v="4"/>
    <n v="8.3000000000000007"/>
    <n v="10.23"/>
    <n v="59.6"/>
    <s v="Drama"/>
    <n v="2"/>
    <n v="2"/>
    <n v="0"/>
  </r>
  <r>
    <s v="U02733"/>
    <x v="5"/>
    <n v="22"/>
    <s v="Male"/>
    <x v="2"/>
    <x v="4"/>
    <n v="7.46"/>
    <n v="3"/>
    <n v="10"/>
    <n v="16.34"/>
    <n v="14.2"/>
    <s v="Family"/>
    <n v="6"/>
    <n v="1"/>
    <n v="0"/>
  </r>
  <r>
    <s v="U02734"/>
    <x v="4"/>
    <n v="28"/>
    <s v="Female"/>
    <x v="1"/>
    <x v="3"/>
    <n v="7.78"/>
    <n v="1"/>
    <n v="8.1"/>
    <n v="15.06"/>
    <n v="36.6"/>
    <s v="Drama"/>
    <n v="10"/>
    <n v="2"/>
    <n v="0"/>
  </r>
  <r>
    <s v="U02735"/>
    <x v="4"/>
    <n v="32"/>
    <s v="Female"/>
    <x v="1"/>
    <x v="4"/>
    <n v="8.6999999999999993"/>
    <n v="5"/>
    <n v="5.3"/>
    <n v="9.43"/>
    <n v="79.8"/>
    <s v="Action"/>
    <n v="6"/>
    <n v="0"/>
    <n v="0"/>
  </r>
  <r>
    <s v="U02736"/>
    <x v="7"/>
    <n v="20"/>
    <s v="Male"/>
    <x v="1"/>
    <x v="4"/>
    <n v="15.57"/>
    <n v="2"/>
    <n v="6.1"/>
    <n v="8.91"/>
    <n v="37.6"/>
    <s v="Thriller"/>
    <n v="1"/>
    <n v="1"/>
    <n v="0"/>
  </r>
  <r>
    <s v="U02737"/>
    <x v="3"/>
    <n v="22"/>
    <s v="Male"/>
    <x v="2"/>
    <x v="1"/>
    <n v="24.5"/>
    <n v="5"/>
    <n v="1.1000000000000001"/>
    <n v="13.7"/>
    <n v="53.2"/>
    <s v="Comedy"/>
    <n v="5"/>
    <n v="1"/>
    <n v="0"/>
  </r>
  <r>
    <s v="U02738"/>
    <x v="5"/>
    <n v="40"/>
    <s v="Male"/>
    <x v="2"/>
    <x v="1"/>
    <n v="16.79"/>
    <n v="3"/>
    <n v="2.9"/>
    <n v="13.43"/>
    <n v="72.8"/>
    <s v="Family"/>
    <n v="10"/>
    <n v="4"/>
    <n v="0"/>
  </r>
  <r>
    <s v="U02739"/>
    <x v="7"/>
    <n v="54"/>
    <s v="Female"/>
    <x v="2"/>
    <x v="3"/>
    <n v="15.45"/>
    <n v="3"/>
    <n v="9.1"/>
    <n v="9.65"/>
    <n v="16.399999999999999"/>
    <s v="Family"/>
    <n v="2"/>
    <n v="0"/>
    <n v="1"/>
  </r>
  <r>
    <s v="U02740"/>
    <x v="9"/>
    <n v="26"/>
    <s v="Male"/>
    <x v="2"/>
    <x v="1"/>
    <n v="18.47"/>
    <n v="2"/>
    <n v="1.2"/>
    <n v="8.8000000000000007"/>
    <n v="84.9"/>
    <s v="Action"/>
    <n v="1"/>
    <n v="2"/>
    <n v="1"/>
  </r>
  <r>
    <s v="U02741"/>
    <x v="10"/>
    <n v="32"/>
    <s v="Male"/>
    <x v="1"/>
    <x v="1"/>
    <n v="6.48"/>
    <n v="5"/>
    <n v="9.1"/>
    <n v="23.99"/>
    <n v="13.7"/>
    <s v="Family"/>
    <n v="11"/>
    <n v="0"/>
    <n v="0"/>
  </r>
  <r>
    <s v="U02742"/>
    <x v="3"/>
    <n v="20"/>
    <s v="Male"/>
    <x v="1"/>
    <x v="2"/>
    <n v="21.31"/>
    <n v="2"/>
    <n v="2"/>
    <n v="21.97"/>
    <n v="33.6"/>
    <s v="Thriller"/>
    <n v="9"/>
    <n v="3"/>
    <n v="0"/>
  </r>
  <r>
    <s v="U02743"/>
    <x v="3"/>
    <n v="46"/>
    <s v="Male"/>
    <x v="1"/>
    <x v="3"/>
    <n v="17.940000000000001"/>
    <n v="2"/>
    <n v="2.2000000000000002"/>
    <n v="20.97"/>
    <n v="78.7"/>
    <s v="Thriller"/>
    <n v="6"/>
    <n v="4"/>
    <n v="0"/>
  </r>
  <r>
    <s v="U02744"/>
    <x v="11"/>
    <n v="23"/>
    <s v="Female"/>
    <x v="1"/>
    <x v="3"/>
    <n v="8.42"/>
    <n v="1"/>
    <n v="2.6"/>
    <n v="7.71"/>
    <n v="92.1"/>
    <s v="Action"/>
    <n v="1"/>
    <n v="3"/>
    <n v="1"/>
  </r>
  <r>
    <s v="U02745"/>
    <x v="11"/>
    <n v="34"/>
    <s v="Female"/>
    <x v="1"/>
    <x v="3"/>
    <n v="17.61"/>
    <n v="5"/>
    <n v="8.1999999999999993"/>
    <n v="7.16"/>
    <n v="78.400000000000006"/>
    <s v="Drama"/>
    <n v="10"/>
    <n v="2"/>
    <n v="0"/>
  </r>
  <r>
    <s v="U02746"/>
    <x v="8"/>
    <n v="43"/>
    <s v="Female"/>
    <x v="1"/>
    <x v="1"/>
    <n v="16.920000000000002"/>
    <n v="1"/>
    <n v="5.3"/>
    <n v="20.81"/>
    <n v="30.4"/>
    <s v="Drama"/>
    <n v="9"/>
    <n v="1"/>
    <n v="1"/>
  </r>
  <r>
    <s v="U02747"/>
    <x v="8"/>
    <n v="38"/>
    <s v="Male"/>
    <x v="2"/>
    <x v="1"/>
    <n v="6.3"/>
    <n v="1"/>
    <n v="2.2999999999999998"/>
    <n v="7.06"/>
    <n v="98.7"/>
    <s v="Family"/>
    <n v="9"/>
    <n v="1"/>
    <n v="1"/>
  </r>
  <r>
    <s v="U02748"/>
    <x v="6"/>
    <n v="25"/>
    <s v="Male"/>
    <x v="2"/>
    <x v="4"/>
    <n v="10.34"/>
    <n v="1"/>
    <n v="7.2"/>
    <n v="14.08"/>
    <n v="47.2"/>
    <s v="Family"/>
    <n v="7"/>
    <n v="1"/>
    <n v="0"/>
  </r>
  <r>
    <s v="U02749"/>
    <x v="10"/>
    <n v="38"/>
    <s v="Male"/>
    <x v="1"/>
    <x v="0"/>
    <n v="12.82"/>
    <n v="4"/>
    <n v="9.5"/>
    <n v="7.87"/>
    <n v="43.9"/>
    <s v="Action"/>
    <n v="9"/>
    <n v="2"/>
    <n v="0"/>
  </r>
  <r>
    <s v="U02750"/>
    <x v="1"/>
    <n v="28"/>
    <s v="Male"/>
    <x v="2"/>
    <x v="0"/>
    <n v="9.9"/>
    <n v="3"/>
    <n v="6.2"/>
    <n v="11.32"/>
    <n v="87.9"/>
    <s v="Thriller"/>
    <n v="1"/>
    <n v="3"/>
    <n v="0"/>
  </r>
  <r>
    <s v="U02751"/>
    <x v="1"/>
    <n v="55"/>
    <s v="Male"/>
    <x v="0"/>
    <x v="0"/>
    <n v="9.86"/>
    <n v="3"/>
    <n v="1.9"/>
    <n v="21.78"/>
    <n v="16"/>
    <s v="Action"/>
    <n v="3"/>
    <n v="2"/>
    <n v="0"/>
  </r>
  <r>
    <s v="U02752"/>
    <x v="11"/>
    <n v="25"/>
    <s v="Male"/>
    <x v="0"/>
    <x v="2"/>
    <n v="16.46"/>
    <n v="4"/>
    <n v="1.5"/>
    <n v="22.61"/>
    <n v="60"/>
    <s v="Drama"/>
    <n v="8"/>
    <n v="2"/>
    <n v="0"/>
  </r>
  <r>
    <s v="U02753"/>
    <x v="11"/>
    <n v="59"/>
    <s v="Female"/>
    <x v="1"/>
    <x v="1"/>
    <n v="14.42"/>
    <n v="2"/>
    <n v="8.1999999999999993"/>
    <n v="24.93"/>
    <n v="96.9"/>
    <s v="Thriller"/>
    <n v="3"/>
    <n v="3"/>
    <n v="1"/>
  </r>
  <r>
    <s v="U02754"/>
    <x v="11"/>
    <n v="41"/>
    <s v="Female"/>
    <x v="1"/>
    <x v="4"/>
    <n v="18.350000000000001"/>
    <n v="5"/>
    <n v="6.6"/>
    <n v="23.77"/>
    <n v="19"/>
    <s v="Family"/>
    <n v="8"/>
    <n v="1"/>
    <n v="0"/>
  </r>
  <r>
    <s v="U02755"/>
    <x v="5"/>
    <n v="52"/>
    <s v="Male"/>
    <x v="0"/>
    <x v="4"/>
    <n v="24.13"/>
    <n v="5"/>
    <n v="9.3000000000000007"/>
    <n v="17.77"/>
    <n v="58.7"/>
    <s v="Drama"/>
    <n v="3"/>
    <n v="4"/>
    <n v="0"/>
  </r>
  <r>
    <s v="U02756"/>
    <x v="0"/>
    <n v="31"/>
    <s v="Female"/>
    <x v="2"/>
    <x v="0"/>
    <n v="18.21"/>
    <n v="5"/>
    <n v="5.9"/>
    <n v="12.5"/>
    <n v="21.9"/>
    <s v="Comedy"/>
    <n v="4"/>
    <n v="2"/>
    <n v="0"/>
  </r>
  <r>
    <s v="U02757"/>
    <x v="8"/>
    <n v="31"/>
    <s v="Male"/>
    <x v="1"/>
    <x v="2"/>
    <n v="16.64"/>
    <n v="1"/>
    <n v="1.6"/>
    <n v="4.2699999999999996"/>
    <n v="90.1"/>
    <s v="Drama"/>
    <n v="4"/>
    <n v="2"/>
    <n v="1"/>
  </r>
  <r>
    <s v="U02758"/>
    <x v="5"/>
    <n v="27"/>
    <s v="Male"/>
    <x v="1"/>
    <x v="2"/>
    <n v="21.95"/>
    <n v="5"/>
    <n v="4.5999999999999996"/>
    <n v="16.38"/>
    <n v="62.9"/>
    <s v="Thriller"/>
    <n v="5"/>
    <n v="3"/>
    <n v="0"/>
  </r>
  <r>
    <s v="U02759"/>
    <x v="4"/>
    <n v="29"/>
    <s v="Female"/>
    <x v="0"/>
    <x v="0"/>
    <n v="17.64"/>
    <n v="5"/>
    <n v="6.9"/>
    <n v="7.63"/>
    <n v="31.1"/>
    <s v="Thriller"/>
    <n v="10"/>
    <n v="4"/>
    <n v="1"/>
  </r>
  <r>
    <s v="U02760"/>
    <x v="1"/>
    <n v="55"/>
    <s v="Male"/>
    <x v="0"/>
    <x v="0"/>
    <n v="8.31"/>
    <n v="5"/>
    <n v="4.5"/>
    <n v="21.7"/>
    <n v="37.6"/>
    <s v="Action"/>
    <n v="10"/>
    <n v="2"/>
    <n v="0"/>
  </r>
  <r>
    <s v="U02761"/>
    <x v="9"/>
    <n v="61"/>
    <s v="Female"/>
    <x v="2"/>
    <x v="1"/>
    <n v="11.29"/>
    <n v="3"/>
    <n v="10"/>
    <n v="15.08"/>
    <n v="56.5"/>
    <s v="Thriller"/>
    <n v="11"/>
    <n v="0"/>
    <n v="0"/>
  </r>
  <r>
    <s v="U02762"/>
    <x v="2"/>
    <n v="63"/>
    <s v="Male"/>
    <x v="1"/>
    <x v="2"/>
    <n v="19.670000000000002"/>
    <n v="4"/>
    <n v="4.5999999999999996"/>
    <n v="19.14"/>
    <n v="75.3"/>
    <s v="Comedy"/>
    <n v="4"/>
    <n v="4"/>
    <n v="1"/>
  </r>
  <r>
    <s v="U02763"/>
    <x v="3"/>
    <n v="51"/>
    <s v="Male"/>
    <x v="2"/>
    <x v="4"/>
    <n v="19.77"/>
    <n v="2"/>
    <n v="5.9"/>
    <n v="17.82"/>
    <n v="53.9"/>
    <s v="Comedy"/>
    <n v="7"/>
    <n v="2"/>
    <n v="0"/>
  </r>
  <r>
    <s v="U02764"/>
    <x v="8"/>
    <n v="58"/>
    <s v="Female"/>
    <x v="2"/>
    <x v="0"/>
    <n v="24.74"/>
    <n v="4"/>
    <n v="3"/>
    <n v="10.64"/>
    <n v="27"/>
    <s v="Thriller"/>
    <n v="11"/>
    <n v="4"/>
    <n v="0"/>
  </r>
  <r>
    <s v="U02765"/>
    <x v="7"/>
    <n v="27"/>
    <s v="Male"/>
    <x v="1"/>
    <x v="1"/>
    <n v="17.54"/>
    <n v="5"/>
    <n v="2.4"/>
    <n v="19.7"/>
    <n v="73.7"/>
    <s v="Family"/>
    <n v="4"/>
    <n v="0"/>
    <n v="0"/>
  </r>
  <r>
    <s v="U02766"/>
    <x v="4"/>
    <n v="34"/>
    <s v="Male"/>
    <x v="0"/>
    <x v="4"/>
    <n v="22.99"/>
    <n v="2"/>
    <n v="6.8"/>
    <n v="21.55"/>
    <n v="20.7"/>
    <s v="Thriller"/>
    <n v="11"/>
    <n v="0"/>
    <n v="1"/>
  </r>
  <r>
    <s v="U02767"/>
    <x v="9"/>
    <n v="34"/>
    <s v="Male"/>
    <x v="2"/>
    <x v="2"/>
    <n v="6.09"/>
    <n v="2"/>
    <n v="6.3"/>
    <n v="19.37"/>
    <n v="82.8"/>
    <s v="Family"/>
    <n v="1"/>
    <n v="4"/>
    <n v="0"/>
  </r>
  <r>
    <s v="U02768"/>
    <x v="8"/>
    <n v="20"/>
    <s v="Female"/>
    <x v="2"/>
    <x v="0"/>
    <n v="16.32"/>
    <n v="4"/>
    <n v="1"/>
    <n v="20.09"/>
    <n v="45.6"/>
    <s v="Thriller"/>
    <n v="5"/>
    <n v="1"/>
    <n v="0"/>
  </r>
  <r>
    <s v="U02769"/>
    <x v="2"/>
    <n v="48"/>
    <s v="Male"/>
    <x v="1"/>
    <x v="0"/>
    <n v="23.4"/>
    <n v="4"/>
    <n v="3.6"/>
    <n v="10.92"/>
    <n v="68.7"/>
    <s v="Drama"/>
    <n v="8"/>
    <n v="4"/>
    <n v="0"/>
  </r>
  <r>
    <s v="U02770"/>
    <x v="5"/>
    <n v="68"/>
    <s v="Male"/>
    <x v="2"/>
    <x v="1"/>
    <n v="10.74"/>
    <n v="4"/>
    <n v="6.8"/>
    <n v="23.76"/>
    <n v="41"/>
    <s v="Thriller"/>
    <n v="6"/>
    <n v="3"/>
    <n v="1"/>
  </r>
  <r>
    <s v="U02771"/>
    <x v="10"/>
    <n v="18"/>
    <s v="Male"/>
    <x v="2"/>
    <x v="1"/>
    <n v="8.1"/>
    <n v="4"/>
    <n v="8.3000000000000007"/>
    <n v="12.34"/>
    <n v="70.2"/>
    <s v="Drama"/>
    <n v="4"/>
    <n v="1"/>
    <n v="1"/>
  </r>
  <r>
    <s v="U02772"/>
    <x v="3"/>
    <n v="29"/>
    <s v="Female"/>
    <x v="1"/>
    <x v="2"/>
    <n v="12.01"/>
    <n v="1"/>
    <n v="3.8"/>
    <n v="22.74"/>
    <n v="90"/>
    <s v="Family"/>
    <n v="4"/>
    <n v="0"/>
    <n v="0"/>
  </r>
  <r>
    <s v="U02773"/>
    <x v="8"/>
    <n v="56"/>
    <s v="Female"/>
    <x v="1"/>
    <x v="0"/>
    <n v="20.84"/>
    <n v="3"/>
    <n v="6.8"/>
    <n v="21.87"/>
    <n v="73.099999999999994"/>
    <s v="Thriller"/>
    <n v="1"/>
    <n v="1"/>
    <n v="0"/>
  </r>
  <r>
    <s v="U02774"/>
    <x v="0"/>
    <n v="21"/>
    <s v="Female"/>
    <x v="2"/>
    <x v="1"/>
    <n v="6.69"/>
    <n v="3"/>
    <n v="3.4"/>
    <n v="5.74"/>
    <n v="70.400000000000006"/>
    <s v="Family"/>
    <n v="10"/>
    <n v="0"/>
    <n v="0"/>
  </r>
  <r>
    <s v="U02775"/>
    <x v="11"/>
    <n v="59"/>
    <s v="Female"/>
    <x v="1"/>
    <x v="0"/>
    <n v="17.010000000000002"/>
    <n v="5"/>
    <n v="7.2"/>
    <n v="24.26"/>
    <n v="78.2"/>
    <s v="Comedy"/>
    <n v="1"/>
    <n v="0"/>
    <n v="0"/>
  </r>
  <r>
    <s v="U02776"/>
    <x v="11"/>
    <n v="30"/>
    <s v="Female"/>
    <x v="0"/>
    <x v="2"/>
    <n v="7.71"/>
    <n v="1"/>
    <n v="7.3"/>
    <n v="24.92"/>
    <n v="55"/>
    <s v="Action"/>
    <n v="3"/>
    <n v="0"/>
    <n v="1"/>
  </r>
  <r>
    <s v="U02777"/>
    <x v="3"/>
    <n v="51"/>
    <s v="Male"/>
    <x v="1"/>
    <x v="0"/>
    <n v="13.71"/>
    <n v="2"/>
    <n v="2.2000000000000002"/>
    <n v="16.34"/>
    <n v="29.8"/>
    <s v="Family"/>
    <n v="4"/>
    <n v="3"/>
    <n v="1"/>
  </r>
  <r>
    <s v="U02778"/>
    <x v="2"/>
    <n v="59"/>
    <s v="Female"/>
    <x v="0"/>
    <x v="4"/>
    <n v="24.32"/>
    <n v="4"/>
    <n v="7"/>
    <n v="20.23"/>
    <n v="83.4"/>
    <s v="Drama"/>
    <n v="4"/>
    <n v="3"/>
    <n v="1"/>
  </r>
  <r>
    <s v="U02779"/>
    <x v="9"/>
    <n v="38"/>
    <s v="Female"/>
    <x v="0"/>
    <x v="0"/>
    <n v="8.9"/>
    <n v="5"/>
    <n v="4"/>
    <n v="23.54"/>
    <n v="68.400000000000006"/>
    <s v="Action"/>
    <n v="2"/>
    <n v="2"/>
    <n v="0"/>
  </r>
  <r>
    <s v="U02780"/>
    <x v="5"/>
    <n v="39"/>
    <s v="Male"/>
    <x v="2"/>
    <x v="3"/>
    <n v="5.68"/>
    <n v="2"/>
    <n v="2.6"/>
    <n v="3.44"/>
    <n v="38.200000000000003"/>
    <s v="Thriller"/>
    <n v="11"/>
    <n v="3"/>
    <n v="1"/>
  </r>
  <r>
    <s v="U02781"/>
    <x v="11"/>
    <n v="21"/>
    <s v="Female"/>
    <x v="0"/>
    <x v="3"/>
    <n v="13.54"/>
    <n v="3"/>
    <n v="5.5"/>
    <n v="23.46"/>
    <n v="34.799999999999997"/>
    <s v="Drama"/>
    <n v="9"/>
    <n v="0"/>
    <n v="1"/>
  </r>
  <r>
    <s v="U02782"/>
    <x v="8"/>
    <n v="35"/>
    <s v="Male"/>
    <x v="0"/>
    <x v="2"/>
    <n v="16.55"/>
    <n v="2"/>
    <n v="5.0999999999999996"/>
    <n v="16.8"/>
    <n v="55"/>
    <s v="Action"/>
    <n v="8"/>
    <n v="4"/>
    <n v="0"/>
  </r>
  <r>
    <s v="U02783"/>
    <x v="7"/>
    <n v="22"/>
    <s v="Female"/>
    <x v="1"/>
    <x v="2"/>
    <n v="10.95"/>
    <n v="4"/>
    <n v="8"/>
    <n v="21.23"/>
    <n v="28.7"/>
    <s v="Action"/>
    <n v="3"/>
    <n v="1"/>
    <n v="0"/>
  </r>
  <r>
    <s v="U02784"/>
    <x v="1"/>
    <n v="36"/>
    <s v="Male"/>
    <x v="1"/>
    <x v="2"/>
    <n v="15.84"/>
    <n v="4"/>
    <n v="1.8"/>
    <n v="14.9"/>
    <n v="89"/>
    <s v="Family"/>
    <n v="11"/>
    <n v="4"/>
    <n v="0"/>
  </r>
  <r>
    <s v="U02785"/>
    <x v="1"/>
    <n v="19"/>
    <s v="Male"/>
    <x v="1"/>
    <x v="4"/>
    <n v="24.07"/>
    <n v="3"/>
    <n v="8.1"/>
    <n v="14.67"/>
    <n v="81"/>
    <s v="Thriller"/>
    <n v="2"/>
    <n v="0"/>
    <n v="0"/>
  </r>
  <r>
    <s v="U02786"/>
    <x v="4"/>
    <n v="29"/>
    <s v="Female"/>
    <x v="0"/>
    <x v="4"/>
    <n v="11.24"/>
    <n v="4"/>
    <n v="2"/>
    <n v="22.75"/>
    <n v="37.700000000000003"/>
    <s v="Thriller"/>
    <n v="1"/>
    <n v="4"/>
    <n v="1"/>
  </r>
  <r>
    <s v="U02787"/>
    <x v="9"/>
    <n v="34"/>
    <s v="Female"/>
    <x v="0"/>
    <x v="0"/>
    <n v="11.19"/>
    <n v="1"/>
    <n v="2.9"/>
    <n v="14.16"/>
    <n v="14.4"/>
    <s v="Thriller"/>
    <n v="10"/>
    <n v="1"/>
    <n v="0"/>
  </r>
  <r>
    <s v="U02788"/>
    <x v="6"/>
    <n v="27"/>
    <s v="Male"/>
    <x v="0"/>
    <x v="1"/>
    <n v="14.66"/>
    <n v="5"/>
    <n v="5.6"/>
    <n v="13.38"/>
    <n v="14.7"/>
    <s v="Family"/>
    <n v="9"/>
    <n v="2"/>
    <n v="1"/>
  </r>
  <r>
    <s v="U02789"/>
    <x v="10"/>
    <n v="51"/>
    <s v="Male"/>
    <x v="1"/>
    <x v="3"/>
    <n v="15.31"/>
    <n v="3"/>
    <n v="5.2"/>
    <n v="16.38"/>
    <n v="36.700000000000003"/>
    <s v="Family"/>
    <n v="5"/>
    <n v="2"/>
    <n v="0"/>
  </r>
  <r>
    <s v="U02790"/>
    <x v="3"/>
    <n v="23"/>
    <s v="Male"/>
    <x v="0"/>
    <x v="3"/>
    <n v="5.03"/>
    <n v="3"/>
    <n v="9.9"/>
    <n v="14.41"/>
    <n v="23.3"/>
    <s v="Thriller"/>
    <n v="8"/>
    <n v="3"/>
    <n v="1"/>
  </r>
  <r>
    <s v="U02791"/>
    <x v="4"/>
    <n v="25"/>
    <s v="Male"/>
    <x v="2"/>
    <x v="3"/>
    <n v="17.32"/>
    <n v="2"/>
    <n v="6.3"/>
    <n v="12.82"/>
    <n v="88.6"/>
    <s v="Action"/>
    <n v="4"/>
    <n v="4"/>
    <n v="0"/>
  </r>
  <r>
    <s v="U02792"/>
    <x v="6"/>
    <n v="68"/>
    <s v="Male"/>
    <x v="1"/>
    <x v="0"/>
    <n v="24.95"/>
    <n v="3"/>
    <n v="3.9"/>
    <n v="6.97"/>
    <n v="47.9"/>
    <s v="Thriller"/>
    <n v="2"/>
    <n v="3"/>
    <n v="0"/>
  </r>
  <r>
    <s v="U02793"/>
    <x v="5"/>
    <n v="28"/>
    <s v="Male"/>
    <x v="0"/>
    <x v="0"/>
    <n v="10.84"/>
    <n v="5"/>
    <n v="9.1"/>
    <n v="11.74"/>
    <n v="41.3"/>
    <s v="Family"/>
    <n v="5"/>
    <n v="3"/>
    <n v="0"/>
  </r>
  <r>
    <s v="U02794"/>
    <x v="0"/>
    <n v="29"/>
    <s v="Male"/>
    <x v="2"/>
    <x v="2"/>
    <n v="17.62"/>
    <n v="1"/>
    <n v="3.8"/>
    <n v="9.2100000000000009"/>
    <n v="29.6"/>
    <s v="Thriller"/>
    <n v="8"/>
    <n v="4"/>
    <n v="0"/>
  </r>
  <r>
    <s v="U02795"/>
    <x v="0"/>
    <n v="26"/>
    <s v="Female"/>
    <x v="1"/>
    <x v="1"/>
    <n v="5.09"/>
    <n v="2"/>
    <n v="3.5"/>
    <n v="11.81"/>
    <n v="85.7"/>
    <s v="Family"/>
    <n v="6"/>
    <n v="4"/>
    <n v="0"/>
  </r>
  <r>
    <s v="U02796"/>
    <x v="10"/>
    <n v="19"/>
    <s v="Male"/>
    <x v="1"/>
    <x v="2"/>
    <n v="17.09"/>
    <n v="5"/>
    <n v="5.4"/>
    <n v="16.05"/>
    <n v="81.3"/>
    <s v="Thriller"/>
    <n v="8"/>
    <n v="1"/>
    <n v="0"/>
  </r>
  <r>
    <s v="U02797"/>
    <x v="9"/>
    <n v="25"/>
    <s v="Female"/>
    <x v="0"/>
    <x v="0"/>
    <n v="13.94"/>
    <n v="3"/>
    <n v="9.1999999999999993"/>
    <n v="16.39"/>
    <n v="44.6"/>
    <s v="Action"/>
    <n v="11"/>
    <n v="4"/>
    <n v="1"/>
  </r>
  <r>
    <s v="U02798"/>
    <x v="11"/>
    <n v="28"/>
    <s v="Female"/>
    <x v="1"/>
    <x v="4"/>
    <n v="15.61"/>
    <n v="4"/>
    <n v="7.4"/>
    <n v="8.25"/>
    <n v="25.2"/>
    <s v="Action"/>
    <n v="3"/>
    <n v="4"/>
    <n v="0"/>
  </r>
  <r>
    <s v="U02799"/>
    <x v="8"/>
    <n v="53"/>
    <s v="Male"/>
    <x v="2"/>
    <x v="2"/>
    <n v="15.88"/>
    <n v="4"/>
    <n v="7.1"/>
    <n v="4.8600000000000003"/>
    <n v="95.7"/>
    <s v="Family"/>
    <n v="5"/>
    <n v="3"/>
    <n v="0"/>
  </r>
  <r>
    <s v="U02800"/>
    <x v="4"/>
    <n v="27"/>
    <s v="Male"/>
    <x v="2"/>
    <x v="0"/>
    <n v="8.5399999999999991"/>
    <n v="5"/>
    <n v="7.5"/>
    <n v="19.38"/>
    <n v="38.4"/>
    <s v="Family"/>
    <n v="2"/>
    <n v="2"/>
    <n v="0"/>
  </r>
  <r>
    <s v="U02801"/>
    <x v="4"/>
    <n v="38"/>
    <s v="Female"/>
    <x v="0"/>
    <x v="0"/>
    <n v="20.399999999999999"/>
    <n v="1"/>
    <n v="6.9"/>
    <n v="14.63"/>
    <n v="79.400000000000006"/>
    <s v="Drama"/>
    <n v="11"/>
    <n v="0"/>
    <n v="0"/>
  </r>
  <r>
    <s v="U02802"/>
    <x v="3"/>
    <n v="37"/>
    <s v="Male"/>
    <x v="1"/>
    <x v="4"/>
    <n v="16.11"/>
    <n v="4"/>
    <n v="7.8"/>
    <n v="12.73"/>
    <n v="51.7"/>
    <s v="Comedy"/>
    <n v="3"/>
    <n v="2"/>
    <n v="0"/>
  </r>
  <r>
    <s v="U02803"/>
    <x v="3"/>
    <n v="65"/>
    <s v="Male"/>
    <x v="1"/>
    <x v="4"/>
    <n v="10.4"/>
    <n v="5"/>
    <n v="2.7"/>
    <n v="5.85"/>
    <n v="80.3"/>
    <s v="Drama"/>
    <n v="7"/>
    <n v="4"/>
    <n v="1"/>
  </r>
  <r>
    <s v="U02804"/>
    <x v="0"/>
    <n v="25"/>
    <s v="Female"/>
    <x v="2"/>
    <x v="4"/>
    <n v="23.75"/>
    <n v="2"/>
    <n v="2.6"/>
    <n v="12.12"/>
    <n v="53.3"/>
    <s v="Family"/>
    <n v="1"/>
    <n v="0"/>
    <n v="0"/>
  </r>
  <r>
    <s v="U02805"/>
    <x v="0"/>
    <n v="53"/>
    <s v="Female"/>
    <x v="2"/>
    <x v="1"/>
    <n v="5.26"/>
    <n v="3"/>
    <n v="4.3"/>
    <n v="21"/>
    <n v="93.3"/>
    <s v="Family"/>
    <n v="8"/>
    <n v="4"/>
    <n v="1"/>
  </r>
  <r>
    <s v="U02806"/>
    <x v="9"/>
    <n v="46"/>
    <s v="Female"/>
    <x v="0"/>
    <x v="0"/>
    <n v="19.52"/>
    <n v="1"/>
    <n v="8.6999999999999993"/>
    <n v="15.79"/>
    <n v="82"/>
    <s v="Thriller"/>
    <n v="5"/>
    <n v="1"/>
    <n v="1"/>
  </r>
  <r>
    <s v="U02807"/>
    <x v="2"/>
    <n v="59"/>
    <s v="Male"/>
    <x v="0"/>
    <x v="4"/>
    <n v="12.62"/>
    <n v="1"/>
    <n v="7.4"/>
    <n v="5"/>
    <n v="33.4"/>
    <s v="Drama"/>
    <n v="2"/>
    <n v="4"/>
    <n v="0"/>
  </r>
  <r>
    <s v="U02808"/>
    <x v="7"/>
    <n v="29"/>
    <s v="Male"/>
    <x v="1"/>
    <x v="1"/>
    <n v="15.45"/>
    <n v="2"/>
    <n v="6.1"/>
    <n v="10.31"/>
    <n v="48.7"/>
    <s v="Comedy"/>
    <n v="3"/>
    <n v="0"/>
    <n v="1"/>
  </r>
  <r>
    <s v="U02809"/>
    <x v="7"/>
    <n v="31"/>
    <s v="Female"/>
    <x v="0"/>
    <x v="3"/>
    <n v="10.83"/>
    <n v="1"/>
    <n v="1.2"/>
    <n v="24.56"/>
    <n v="19.100000000000001"/>
    <s v="Drama"/>
    <n v="4"/>
    <n v="1"/>
    <n v="1"/>
  </r>
  <r>
    <s v="U02810"/>
    <x v="2"/>
    <n v="65"/>
    <s v="Male"/>
    <x v="1"/>
    <x v="3"/>
    <n v="11.43"/>
    <n v="5"/>
    <n v="3.1"/>
    <n v="14.98"/>
    <n v="91.3"/>
    <s v="Action"/>
    <n v="2"/>
    <n v="0"/>
    <n v="0"/>
  </r>
  <r>
    <s v="U02811"/>
    <x v="11"/>
    <n v="67"/>
    <s v="Female"/>
    <x v="0"/>
    <x v="3"/>
    <n v="5.3"/>
    <n v="1"/>
    <n v="8.1999999999999993"/>
    <n v="9.3000000000000007"/>
    <n v="16.2"/>
    <s v="Action"/>
    <n v="10"/>
    <n v="1"/>
    <n v="1"/>
  </r>
  <r>
    <s v="U02812"/>
    <x v="7"/>
    <n v="38"/>
    <s v="Male"/>
    <x v="1"/>
    <x v="0"/>
    <n v="19.600000000000001"/>
    <n v="1"/>
    <n v="3.2"/>
    <n v="23.1"/>
    <n v="11.6"/>
    <s v="Drama"/>
    <n v="5"/>
    <n v="3"/>
    <n v="0"/>
  </r>
  <r>
    <s v="U02813"/>
    <x v="9"/>
    <n v="39"/>
    <s v="Female"/>
    <x v="2"/>
    <x v="1"/>
    <n v="19.22"/>
    <n v="1"/>
    <n v="7.6"/>
    <n v="10.39"/>
    <n v="54.7"/>
    <s v="Drama"/>
    <n v="7"/>
    <n v="0"/>
    <n v="0"/>
  </r>
  <r>
    <s v="U02814"/>
    <x v="8"/>
    <n v="38"/>
    <s v="Male"/>
    <x v="2"/>
    <x v="1"/>
    <n v="18.09"/>
    <n v="5"/>
    <n v="2.7"/>
    <n v="19.059999999999999"/>
    <n v="64.3"/>
    <s v="Family"/>
    <n v="9"/>
    <n v="3"/>
    <n v="0"/>
  </r>
  <r>
    <s v="U02815"/>
    <x v="8"/>
    <n v="61"/>
    <s v="Female"/>
    <x v="1"/>
    <x v="3"/>
    <n v="22.56"/>
    <n v="3"/>
    <n v="6.5"/>
    <n v="6.24"/>
    <n v="30.1"/>
    <s v="Thriller"/>
    <n v="1"/>
    <n v="3"/>
    <n v="0"/>
  </r>
  <r>
    <s v="U02816"/>
    <x v="4"/>
    <n v="67"/>
    <s v="Male"/>
    <x v="1"/>
    <x v="2"/>
    <n v="23.03"/>
    <n v="4"/>
    <n v="6.7"/>
    <n v="6.44"/>
    <n v="61.3"/>
    <s v="Action"/>
    <n v="10"/>
    <n v="4"/>
    <n v="0"/>
  </r>
  <r>
    <s v="U02817"/>
    <x v="1"/>
    <n v="47"/>
    <s v="Male"/>
    <x v="2"/>
    <x v="3"/>
    <n v="16.13"/>
    <n v="1"/>
    <n v="7.8"/>
    <n v="15.35"/>
    <n v="90.6"/>
    <s v="Comedy"/>
    <n v="6"/>
    <n v="2"/>
    <n v="1"/>
  </r>
  <r>
    <s v="U02818"/>
    <x v="2"/>
    <n v="56"/>
    <s v="Female"/>
    <x v="0"/>
    <x v="0"/>
    <n v="18.7"/>
    <n v="2"/>
    <n v="4.9000000000000004"/>
    <n v="8.2799999999999994"/>
    <n v="66.400000000000006"/>
    <s v="Thriller"/>
    <n v="6"/>
    <n v="1"/>
    <n v="0"/>
  </r>
  <r>
    <s v="U02819"/>
    <x v="8"/>
    <n v="37"/>
    <s v="Male"/>
    <x v="1"/>
    <x v="3"/>
    <n v="5.22"/>
    <n v="2"/>
    <n v="6.7"/>
    <n v="4.09"/>
    <n v="51"/>
    <s v="Drama"/>
    <n v="1"/>
    <n v="0"/>
    <n v="0"/>
  </r>
  <r>
    <s v="U02820"/>
    <x v="6"/>
    <n v="41"/>
    <s v="Male"/>
    <x v="1"/>
    <x v="3"/>
    <n v="21.93"/>
    <n v="5"/>
    <n v="5.4"/>
    <n v="23.38"/>
    <n v="23"/>
    <s v="Action"/>
    <n v="2"/>
    <n v="3"/>
    <n v="1"/>
  </r>
  <r>
    <s v="U02821"/>
    <x v="0"/>
    <n v="40"/>
    <s v="Female"/>
    <x v="0"/>
    <x v="1"/>
    <n v="21.33"/>
    <n v="3"/>
    <n v="9.5"/>
    <n v="4.2300000000000004"/>
    <n v="25.2"/>
    <s v="Drama"/>
    <n v="11"/>
    <n v="4"/>
    <n v="0"/>
  </r>
  <r>
    <s v="U02822"/>
    <x v="3"/>
    <n v="24"/>
    <s v="Male"/>
    <x v="1"/>
    <x v="3"/>
    <n v="5.4"/>
    <n v="1"/>
    <n v="5.7"/>
    <n v="18.78"/>
    <n v="53.6"/>
    <s v="Action"/>
    <n v="8"/>
    <n v="0"/>
    <n v="0"/>
  </r>
  <r>
    <s v="U02823"/>
    <x v="9"/>
    <n v="26"/>
    <s v="Male"/>
    <x v="0"/>
    <x v="4"/>
    <n v="15.86"/>
    <n v="5"/>
    <n v="2.9"/>
    <n v="10.33"/>
    <n v="51.7"/>
    <s v="Comedy"/>
    <n v="6"/>
    <n v="4"/>
    <n v="1"/>
  </r>
  <r>
    <s v="U02824"/>
    <x v="7"/>
    <n v="18"/>
    <s v="Male"/>
    <x v="1"/>
    <x v="4"/>
    <n v="23.13"/>
    <n v="4"/>
    <n v="7"/>
    <n v="23.54"/>
    <n v="57"/>
    <s v="Thriller"/>
    <n v="1"/>
    <n v="0"/>
    <n v="1"/>
  </r>
  <r>
    <s v="U02825"/>
    <x v="2"/>
    <n v="43"/>
    <s v="Female"/>
    <x v="0"/>
    <x v="2"/>
    <n v="8.6300000000000008"/>
    <n v="3"/>
    <n v="5.9"/>
    <n v="24.69"/>
    <n v="55.7"/>
    <s v="Comedy"/>
    <n v="10"/>
    <n v="4"/>
    <n v="0"/>
  </r>
  <r>
    <s v="U02826"/>
    <x v="4"/>
    <n v="55"/>
    <s v="Female"/>
    <x v="1"/>
    <x v="0"/>
    <n v="12.05"/>
    <n v="3"/>
    <n v="8.1999999999999993"/>
    <n v="10.38"/>
    <n v="40.700000000000003"/>
    <s v="Comedy"/>
    <n v="10"/>
    <n v="4"/>
    <n v="0"/>
  </r>
  <r>
    <s v="U02827"/>
    <x v="10"/>
    <n v="55"/>
    <s v="Female"/>
    <x v="0"/>
    <x v="0"/>
    <n v="11.62"/>
    <n v="5"/>
    <n v="2.6"/>
    <n v="16"/>
    <n v="72.599999999999994"/>
    <s v="Thriller"/>
    <n v="11"/>
    <n v="2"/>
    <n v="1"/>
  </r>
  <r>
    <s v="U02828"/>
    <x v="3"/>
    <n v="61"/>
    <s v="Female"/>
    <x v="2"/>
    <x v="1"/>
    <n v="12.12"/>
    <n v="2"/>
    <n v="3.3"/>
    <n v="20.010000000000002"/>
    <n v="29.1"/>
    <s v="Thriller"/>
    <n v="6"/>
    <n v="3"/>
    <n v="0"/>
  </r>
  <r>
    <s v="U02829"/>
    <x v="6"/>
    <n v="39"/>
    <s v="Female"/>
    <x v="1"/>
    <x v="0"/>
    <n v="5.84"/>
    <n v="3"/>
    <n v="9.3000000000000007"/>
    <n v="5.72"/>
    <n v="86.7"/>
    <s v="Comedy"/>
    <n v="10"/>
    <n v="1"/>
    <n v="0"/>
  </r>
  <r>
    <s v="U02830"/>
    <x v="7"/>
    <n v="61"/>
    <s v="Male"/>
    <x v="1"/>
    <x v="2"/>
    <n v="10.58"/>
    <n v="2"/>
    <n v="9.4"/>
    <n v="18.61"/>
    <n v="27.5"/>
    <s v="Drama"/>
    <n v="7"/>
    <n v="1"/>
    <n v="0"/>
  </r>
  <r>
    <s v="U02831"/>
    <x v="6"/>
    <n v="27"/>
    <s v="Male"/>
    <x v="1"/>
    <x v="4"/>
    <n v="10.9"/>
    <n v="3"/>
    <n v="5"/>
    <n v="22.94"/>
    <n v="47.4"/>
    <s v="Thriller"/>
    <n v="2"/>
    <n v="0"/>
    <n v="0"/>
  </r>
  <r>
    <s v="U02832"/>
    <x v="0"/>
    <n v="23"/>
    <s v="Female"/>
    <x v="1"/>
    <x v="1"/>
    <n v="22.32"/>
    <n v="3"/>
    <n v="1.4"/>
    <n v="6.93"/>
    <n v="29"/>
    <s v="Comedy"/>
    <n v="11"/>
    <n v="0"/>
    <n v="0"/>
  </r>
  <r>
    <s v="U02833"/>
    <x v="0"/>
    <n v="34"/>
    <s v="Male"/>
    <x v="0"/>
    <x v="4"/>
    <n v="12.04"/>
    <n v="3"/>
    <n v="3.8"/>
    <n v="21.45"/>
    <n v="65.7"/>
    <s v="Comedy"/>
    <n v="4"/>
    <n v="2"/>
    <n v="0"/>
  </r>
  <r>
    <s v="U02834"/>
    <x v="9"/>
    <n v="68"/>
    <s v="Male"/>
    <x v="2"/>
    <x v="2"/>
    <n v="13.94"/>
    <n v="4"/>
    <n v="3.2"/>
    <n v="5.54"/>
    <n v="53"/>
    <s v="Comedy"/>
    <n v="7"/>
    <n v="0"/>
    <n v="0"/>
  </r>
  <r>
    <s v="U02835"/>
    <x v="11"/>
    <n v="67"/>
    <s v="Male"/>
    <x v="0"/>
    <x v="1"/>
    <n v="12.61"/>
    <n v="2"/>
    <n v="4.7"/>
    <n v="15.5"/>
    <n v="43.7"/>
    <s v="Drama"/>
    <n v="11"/>
    <n v="1"/>
    <n v="0"/>
  </r>
  <r>
    <s v="U02836"/>
    <x v="4"/>
    <n v="55"/>
    <s v="Male"/>
    <x v="0"/>
    <x v="3"/>
    <n v="7.41"/>
    <n v="4"/>
    <n v="3.9"/>
    <n v="10.47"/>
    <n v="52.8"/>
    <s v="Family"/>
    <n v="6"/>
    <n v="3"/>
    <n v="0"/>
  </r>
  <r>
    <s v="U02837"/>
    <x v="3"/>
    <n v="41"/>
    <s v="Female"/>
    <x v="2"/>
    <x v="0"/>
    <n v="24.81"/>
    <n v="2"/>
    <n v="8.5"/>
    <n v="13.38"/>
    <n v="47.9"/>
    <s v="Family"/>
    <n v="11"/>
    <n v="2"/>
    <n v="0"/>
  </r>
  <r>
    <s v="U02838"/>
    <x v="5"/>
    <n v="68"/>
    <s v="Female"/>
    <x v="0"/>
    <x v="2"/>
    <n v="21.52"/>
    <n v="4"/>
    <n v="1"/>
    <n v="9.61"/>
    <n v="87"/>
    <s v="Thriller"/>
    <n v="8"/>
    <n v="0"/>
    <n v="1"/>
  </r>
  <r>
    <s v="U02839"/>
    <x v="5"/>
    <n v="27"/>
    <s v="Male"/>
    <x v="1"/>
    <x v="1"/>
    <n v="15.82"/>
    <n v="4"/>
    <n v="6.8"/>
    <n v="8.73"/>
    <n v="21.2"/>
    <s v="Family"/>
    <n v="6"/>
    <n v="2"/>
    <n v="1"/>
  </r>
  <r>
    <s v="U02840"/>
    <x v="3"/>
    <n v="25"/>
    <s v="Male"/>
    <x v="1"/>
    <x v="4"/>
    <n v="14.53"/>
    <n v="4"/>
    <n v="7"/>
    <n v="19.350000000000001"/>
    <n v="81.400000000000006"/>
    <s v="Action"/>
    <n v="2"/>
    <n v="2"/>
    <n v="1"/>
  </r>
  <r>
    <s v="U02841"/>
    <x v="10"/>
    <n v="38"/>
    <s v="Female"/>
    <x v="1"/>
    <x v="1"/>
    <n v="17.989999999999998"/>
    <n v="5"/>
    <n v="6.9"/>
    <n v="7.91"/>
    <n v="69"/>
    <s v="Thriller"/>
    <n v="1"/>
    <n v="2"/>
    <n v="0"/>
  </r>
  <r>
    <s v="U02842"/>
    <x v="9"/>
    <n v="23"/>
    <s v="Male"/>
    <x v="2"/>
    <x v="3"/>
    <n v="11.53"/>
    <n v="4"/>
    <n v="5.7"/>
    <n v="11.99"/>
    <n v="41.3"/>
    <s v="Thriller"/>
    <n v="5"/>
    <n v="0"/>
    <n v="0"/>
  </r>
  <r>
    <s v="U02843"/>
    <x v="4"/>
    <n v="38"/>
    <s v="Male"/>
    <x v="1"/>
    <x v="2"/>
    <n v="6.01"/>
    <n v="3"/>
    <n v="6.5"/>
    <n v="9.0399999999999991"/>
    <n v="92.7"/>
    <s v="Comedy"/>
    <n v="11"/>
    <n v="4"/>
    <n v="0"/>
  </r>
  <r>
    <s v="U02844"/>
    <x v="6"/>
    <n v="56"/>
    <s v="Male"/>
    <x v="1"/>
    <x v="1"/>
    <n v="13.09"/>
    <n v="1"/>
    <n v="8.3000000000000007"/>
    <n v="8.25"/>
    <n v="25.9"/>
    <s v="Action"/>
    <n v="10"/>
    <n v="0"/>
    <n v="0"/>
  </r>
  <r>
    <s v="U02845"/>
    <x v="10"/>
    <n v="41"/>
    <s v="Female"/>
    <x v="2"/>
    <x v="2"/>
    <n v="24.68"/>
    <n v="4"/>
    <n v="8.1"/>
    <n v="16.8"/>
    <n v="37.9"/>
    <s v="Family"/>
    <n v="10"/>
    <n v="0"/>
    <n v="1"/>
  </r>
  <r>
    <s v="U02846"/>
    <x v="1"/>
    <n v="50"/>
    <s v="Female"/>
    <x v="0"/>
    <x v="2"/>
    <n v="8.65"/>
    <n v="1"/>
    <n v="1.3"/>
    <n v="4"/>
    <n v="43.7"/>
    <s v="Thriller"/>
    <n v="9"/>
    <n v="0"/>
    <n v="0"/>
  </r>
  <r>
    <s v="U02847"/>
    <x v="3"/>
    <n v="35"/>
    <s v="Male"/>
    <x v="1"/>
    <x v="4"/>
    <n v="15.55"/>
    <n v="1"/>
    <n v="1.3"/>
    <n v="20.36"/>
    <n v="68.3"/>
    <s v="Action"/>
    <n v="2"/>
    <n v="0"/>
    <n v="1"/>
  </r>
  <r>
    <s v="U02848"/>
    <x v="6"/>
    <n v="45"/>
    <s v="Male"/>
    <x v="1"/>
    <x v="0"/>
    <n v="5.17"/>
    <n v="3"/>
    <n v="8.6"/>
    <n v="15.02"/>
    <n v="95.2"/>
    <s v="Drama"/>
    <n v="7"/>
    <n v="0"/>
    <n v="1"/>
  </r>
  <r>
    <s v="U02849"/>
    <x v="5"/>
    <n v="69"/>
    <s v="Male"/>
    <x v="1"/>
    <x v="3"/>
    <n v="7.44"/>
    <n v="1"/>
    <n v="6.2"/>
    <n v="21.23"/>
    <n v="63.4"/>
    <s v="Drama"/>
    <n v="9"/>
    <n v="2"/>
    <n v="1"/>
  </r>
  <r>
    <s v="U02850"/>
    <x v="8"/>
    <n v="49"/>
    <s v="Male"/>
    <x v="2"/>
    <x v="1"/>
    <n v="16.739999999999998"/>
    <n v="1"/>
    <n v="9.6"/>
    <n v="7.69"/>
    <n v="87.1"/>
    <s v="Comedy"/>
    <n v="4"/>
    <n v="2"/>
    <n v="0"/>
  </r>
  <r>
    <s v="U02851"/>
    <x v="2"/>
    <n v="29"/>
    <s v="Male"/>
    <x v="2"/>
    <x v="0"/>
    <n v="10.95"/>
    <n v="1"/>
    <n v="4.9000000000000004"/>
    <n v="18.61"/>
    <n v="91.4"/>
    <s v="Action"/>
    <n v="4"/>
    <n v="0"/>
    <n v="0"/>
  </r>
  <r>
    <s v="U02852"/>
    <x v="11"/>
    <n v="65"/>
    <s v="Male"/>
    <x v="0"/>
    <x v="4"/>
    <n v="23.11"/>
    <n v="2"/>
    <n v="2.6"/>
    <n v="12.25"/>
    <n v="52"/>
    <s v="Thriller"/>
    <n v="10"/>
    <n v="3"/>
    <n v="0"/>
  </r>
  <r>
    <s v="U02853"/>
    <x v="5"/>
    <n v="59"/>
    <s v="Female"/>
    <x v="0"/>
    <x v="0"/>
    <n v="13.12"/>
    <n v="4"/>
    <n v="5.3"/>
    <n v="4.6900000000000004"/>
    <n v="52.5"/>
    <s v="Drama"/>
    <n v="5"/>
    <n v="3"/>
    <n v="0"/>
  </r>
  <r>
    <s v="U02854"/>
    <x v="4"/>
    <n v="44"/>
    <s v="Female"/>
    <x v="0"/>
    <x v="2"/>
    <n v="9.16"/>
    <n v="4"/>
    <n v="4.9000000000000004"/>
    <n v="19.55"/>
    <n v="32.5"/>
    <s v="Drama"/>
    <n v="6"/>
    <n v="4"/>
    <n v="1"/>
  </r>
  <r>
    <s v="U02855"/>
    <x v="0"/>
    <n v="27"/>
    <s v="Male"/>
    <x v="0"/>
    <x v="2"/>
    <n v="15.91"/>
    <n v="1"/>
    <n v="5.7"/>
    <n v="19.77"/>
    <n v="64.099999999999994"/>
    <s v="Family"/>
    <n v="7"/>
    <n v="3"/>
    <n v="0"/>
  </r>
  <r>
    <s v="U02856"/>
    <x v="2"/>
    <n v="63"/>
    <s v="Female"/>
    <x v="0"/>
    <x v="3"/>
    <n v="20.9"/>
    <n v="3"/>
    <n v="8.3000000000000007"/>
    <n v="8.9600000000000009"/>
    <n v="20.8"/>
    <s v="Family"/>
    <n v="9"/>
    <n v="1"/>
    <n v="0"/>
  </r>
  <r>
    <s v="U02857"/>
    <x v="2"/>
    <n v="69"/>
    <s v="Male"/>
    <x v="1"/>
    <x v="1"/>
    <n v="5.39"/>
    <n v="2"/>
    <n v="6.9"/>
    <n v="23.15"/>
    <n v="67.099999999999994"/>
    <s v="Action"/>
    <n v="6"/>
    <n v="1"/>
    <n v="0"/>
  </r>
  <r>
    <s v="U02858"/>
    <x v="8"/>
    <n v="59"/>
    <s v="Male"/>
    <x v="2"/>
    <x v="1"/>
    <n v="15.11"/>
    <n v="3"/>
    <n v="2.7"/>
    <n v="19.809999999999999"/>
    <n v="90.4"/>
    <s v="Family"/>
    <n v="3"/>
    <n v="3"/>
    <n v="1"/>
  </r>
  <r>
    <s v="U02859"/>
    <x v="11"/>
    <n v="49"/>
    <s v="Female"/>
    <x v="2"/>
    <x v="4"/>
    <n v="20.47"/>
    <n v="3"/>
    <n v="7.6"/>
    <n v="9.75"/>
    <n v="78.5"/>
    <s v="Action"/>
    <n v="2"/>
    <n v="0"/>
    <n v="0"/>
  </r>
  <r>
    <s v="U02860"/>
    <x v="11"/>
    <n v="59"/>
    <s v="Female"/>
    <x v="0"/>
    <x v="3"/>
    <n v="7.07"/>
    <n v="1"/>
    <n v="6.3"/>
    <n v="8.26"/>
    <n v="68.400000000000006"/>
    <s v="Thriller"/>
    <n v="6"/>
    <n v="3"/>
    <n v="1"/>
  </r>
  <r>
    <s v="U02861"/>
    <x v="1"/>
    <n v="43"/>
    <s v="Male"/>
    <x v="1"/>
    <x v="1"/>
    <n v="23.06"/>
    <n v="5"/>
    <n v="6.2"/>
    <n v="12.68"/>
    <n v="85.5"/>
    <s v="Thriller"/>
    <n v="9"/>
    <n v="1"/>
    <n v="0"/>
  </r>
  <r>
    <s v="U02862"/>
    <x v="1"/>
    <n v="42"/>
    <s v="Male"/>
    <x v="1"/>
    <x v="2"/>
    <n v="10.29"/>
    <n v="1"/>
    <n v="7.1"/>
    <n v="9.44"/>
    <n v="75.7"/>
    <s v="Thriller"/>
    <n v="3"/>
    <n v="3"/>
    <n v="1"/>
  </r>
  <r>
    <s v="U02863"/>
    <x v="7"/>
    <n v="28"/>
    <s v="Female"/>
    <x v="2"/>
    <x v="3"/>
    <n v="8.41"/>
    <n v="5"/>
    <n v="6.1"/>
    <n v="7.77"/>
    <n v="57.7"/>
    <s v="Family"/>
    <n v="4"/>
    <n v="2"/>
    <n v="0"/>
  </r>
  <r>
    <s v="U02864"/>
    <x v="5"/>
    <n v="40"/>
    <s v="Female"/>
    <x v="2"/>
    <x v="0"/>
    <n v="16.79"/>
    <n v="2"/>
    <n v="5.0999999999999996"/>
    <n v="11.78"/>
    <n v="56.9"/>
    <s v="Family"/>
    <n v="3"/>
    <n v="4"/>
    <n v="0"/>
  </r>
  <r>
    <s v="U02865"/>
    <x v="5"/>
    <n v="51"/>
    <s v="Male"/>
    <x v="2"/>
    <x v="3"/>
    <n v="8.5"/>
    <n v="5"/>
    <n v="6.8"/>
    <n v="3.57"/>
    <n v="19.600000000000001"/>
    <s v="Comedy"/>
    <n v="7"/>
    <n v="2"/>
    <n v="0"/>
  </r>
  <r>
    <s v="U02866"/>
    <x v="5"/>
    <n v="69"/>
    <s v="Male"/>
    <x v="1"/>
    <x v="3"/>
    <n v="18.59"/>
    <n v="1"/>
    <n v="7.5"/>
    <n v="11.83"/>
    <n v="49.1"/>
    <s v="Drama"/>
    <n v="4"/>
    <n v="2"/>
    <n v="1"/>
  </r>
  <r>
    <s v="U02867"/>
    <x v="7"/>
    <n v="57"/>
    <s v="Male"/>
    <x v="1"/>
    <x v="1"/>
    <n v="14.8"/>
    <n v="1"/>
    <n v="3"/>
    <n v="7.88"/>
    <n v="57"/>
    <s v="Thriller"/>
    <n v="6"/>
    <n v="4"/>
    <n v="0"/>
  </r>
  <r>
    <s v="U02868"/>
    <x v="9"/>
    <n v="40"/>
    <s v="Female"/>
    <x v="0"/>
    <x v="4"/>
    <n v="7.2"/>
    <n v="3"/>
    <n v="5.5"/>
    <n v="8.82"/>
    <n v="52.3"/>
    <s v="Family"/>
    <n v="6"/>
    <n v="0"/>
    <n v="0"/>
  </r>
  <r>
    <s v="U02869"/>
    <x v="10"/>
    <n v="46"/>
    <s v="Male"/>
    <x v="1"/>
    <x v="4"/>
    <n v="23.25"/>
    <n v="1"/>
    <n v="5.0999999999999996"/>
    <n v="4.82"/>
    <n v="79.8"/>
    <s v="Drama"/>
    <n v="9"/>
    <n v="4"/>
    <n v="0"/>
  </r>
  <r>
    <s v="U02870"/>
    <x v="11"/>
    <n v="48"/>
    <s v="Female"/>
    <x v="0"/>
    <x v="1"/>
    <n v="18.46"/>
    <n v="1"/>
    <n v="1.4"/>
    <n v="15.96"/>
    <n v="24.5"/>
    <s v="Thriller"/>
    <n v="5"/>
    <n v="0"/>
    <n v="1"/>
  </r>
  <r>
    <s v="U02871"/>
    <x v="8"/>
    <n v="24"/>
    <s v="Male"/>
    <x v="1"/>
    <x v="1"/>
    <n v="15.92"/>
    <n v="4"/>
    <n v="8.5"/>
    <n v="13.38"/>
    <n v="81.5"/>
    <s v="Thriller"/>
    <n v="7"/>
    <n v="1"/>
    <n v="0"/>
  </r>
  <r>
    <s v="U02872"/>
    <x v="4"/>
    <n v="57"/>
    <s v="Female"/>
    <x v="1"/>
    <x v="1"/>
    <n v="12.49"/>
    <n v="4"/>
    <n v="4.4000000000000004"/>
    <n v="19.510000000000002"/>
    <n v="76.7"/>
    <s v="Drama"/>
    <n v="1"/>
    <n v="3"/>
    <n v="0"/>
  </r>
  <r>
    <s v="U02873"/>
    <x v="11"/>
    <n v="50"/>
    <s v="Female"/>
    <x v="0"/>
    <x v="4"/>
    <n v="7.7"/>
    <n v="3"/>
    <n v="1.7"/>
    <n v="24.72"/>
    <n v="91.1"/>
    <s v="Drama"/>
    <n v="8"/>
    <n v="1"/>
    <n v="0"/>
  </r>
  <r>
    <s v="U02874"/>
    <x v="1"/>
    <n v="38"/>
    <s v="Female"/>
    <x v="0"/>
    <x v="1"/>
    <n v="19.149999999999999"/>
    <n v="5"/>
    <n v="5.0999999999999996"/>
    <n v="5.63"/>
    <n v="43.6"/>
    <s v="Family"/>
    <n v="2"/>
    <n v="1"/>
    <n v="0"/>
  </r>
  <r>
    <s v="U02875"/>
    <x v="2"/>
    <n v="19"/>
    <s v="Female"/>
    <x v="0"/>
    <x v="0"/>
    <n v="21.27"/>
    <n v="5"/>
    <n v="2.5"/>
    <n v="8.99"/>
    <n v="25.9"/>
    <s v="Drama"/>
    <n v="4"/>
    <n v="1"/>
    <n v="0"/>
  </r>
  <r>
    <s v="U02876"/>
    <x v="6"/>
    <n v="35"/>
    <s v="Male"/>
    <x v="0"/>
    <x v="0"/>
    <n v="7.52"/>
    <n v="4"/>
    <n v="7.3"/>
    <n v="18.010000000000002"/>
    <n v="78.3"/>
    <s v="Drama"/>
    <n v="10"/>
    <n v="3"/>
    <n v="0"/>
  </r>
  <r>
    <s v="U02877"/>
    <x v="0"/>
    <n v="64"/>
    <s v="Female"/>
    <x v="0"/>
    <x v="2"/>
    <n v="14.89"/>
    <n v="2"/>
    <n v="6.1"/>
    <n v="8.2200000000000006"/>
    <n v="63"/>
    <s v="Family"/>
    <n v="7"/>
    <n v="0"/>
    <n v="0"/>
  </r>
  <r>
    <s v="U02878"/>
    <x v="7"/>
    <n v="50"/>
    <s v="Female"/>
    <x v="0"/>
    <x v="0"/>
    <n v="14.7"/>
    <n v="4"/>
    <n v="3.4"/>
    <n v="3.66"/>
    <n v="74.099999999999994"/>
    <s v="Thriller"/>
    <n v="6"/>
    <n v="4"/>
    <n v="0"/>
  </r>
  <r>
    <s v="U02879"/>
    <x v="3"/>
    <n v="54"/>
    <s v="Female"/>
    <x v="0"/>
    <x v="3"/>
    <n v="12"/>
    <n v="2"/>
    <n v="9.6"/>
    <n v="5.42"/>
    <n v="99.7"/>
    <s v="Drama"/>
    <n v="4"/>
    <n v="0"/>
    <n v="0"/>
  </r>
  <r>
    <s v="U02880"/>
    <x v="6"/>
    <n v="51"/>
    <s v="Male"/>
    <x v="0"/>
    <x v="2"/>
    <n v="20.79"/>
    <n v="5"/>
    <n v="3.6"/>
    <n v="12.54"/>
    <n v="27.5"/>
    <s v="Comedy"/>
    <n v="8"/>
    <n v="0"/>
    <n v="1"/>
  </r>
  <r>
    <s v="U02881"/>
    <x v="4"/>
    <n v="37"/>
    <s v="Male"/>
    <x v="2"/>
    <x v="0"/>
    <n v="6.99"/>
    <n v="4"/>
    <n v="6"/>
    <n v="12.48"/>
    <n v="47"/>
    <s v="Action"/>
    <n v="7"/>
    <n v="2"/>
    <n v="1"/>
  </r>
  <r>
    <s v="U02882"/>
    <x v="5"/>
    <n v="52"/>
    <s v="Male"/>
    <x v="1"/>
    <x v="3"/>
    <n v="9.1"/>
    <n v="1"/>
    <n v="8.1999999999999993"/>
    <n v="24.39"/>
    <n v="27.3"/>
    <s v="Drama"/>
    <n v="6"/>
    <n v="3"/>
    <n v="0"/>
  </r>
  <r>
    <s v="U02883"/>
    <x v="1"/>
    <n v="68"/>
    <s v="Male"/>
    <x v="0"/>
    <x v="0"/>
    <n v="5.03"/>
    <n v="2"/>
    <n v="5.6"/>
    <n v="13.25"/>
    <n v="87.5"/>
    <s v="Drama"/>
    <n v="5"/>
    <n v="0"/>
    <n v="0"/>
  </r>
  <r>
    <s v="U02884"/>
    <x v="1"/>
    <n v="67"/>
    <s v="Male"/>
    <x v="1"/>
    <x v="3"/>
    <n v="12.46"/>
    <n v="2"/>
    <n v="9.6"/>
    <n v="17.920000000000002"/>
    <n v="11.5"/>
    <s v="Action"/>
    <n v="5"/>
    <n v="0"/>
    <n v="0"/>
  </r>
  <r>
    <s v="U02885"/>
    <x v="1"/>
    <n v="35"/>
    <s v="Male"/>
    <x v="2"/>
    <x v="1"/>
    <n v="10.82"/>
    <n v="2"/>
    <n v="8.6"/>
    <n v="13.83"/>
    <n v="22.2"/>
    <s v="Comedy"/>
    <n v="11"/>
    <n v="1"/>
    <n v="1"/>
  </r>
  <r>
    <s v="U02886"/>
    <x v="5"/>
    <n v="63"/>
    <s v="Female"/>
    <x v="1"/>
    <x v="3"/>
    <n v="22.34"/>
    <n v="5"/>
    <n v="9.3000000000000007"/>
    <n v="8.94"/>
    <n v="32.299999999999997"/>
    <s v="Thriller"/>
    <n v="7"/>
    <n v="2"/>
    <n v="1"/>
  </r>
  <r>
    <s v="U02887"/>
    <x v="3"/>
    <n v="41"/>
    <s v="Female"/>
    <x v="0"/>
    <x v="1"/>
    <n v="19.920000000000002"/>
    <n v="3"/>
    <n v="4.4000000000000004"/>
    <n v="5.32"/>
    <n v="79.400000000000006"/>
    <s v="Comedy"/>
    <n v="11"/>
    <n v="4"/>
    <n v="0"/>
  </r>
  <r>
    <s v="U02888"/>
    <x v="7"/>
    <n v="25"/>
    <s v="Female"/>
    <x v="1"/>
    <x v="3"/>
    <n v="6.69"/>
    <n v="1"/>
    <n v="5.9"/>
    <n v="21.9"/>
    <n v="66.599999999999994"/>
    <s v="Action"/>
    <n v="6"/>
    <n v="2"/>
    <n v="1"/>
  </r>
  <r>
    <s v="U02889"/>
    <x v="6"/>
    <n v="47"/>
    <s v="Male"/>
    <x v="2"/>
    <x v="3"/>
    <n v="19.82"/>
    <n v="4"/>
    <n v="8.6"/>
    <n v="6.36"/>
    <n v="45"/>
    <s v="Drama"/>
    <n v="4"/>
    <n v="1"/>
    <n v="0"/>
  </r>
  <r>
    <s v="U02890"/>
    <x v="5"/>
    <n v="61"/>
    <s v="Female"/>
    <x v="2"/>
    <x v="0"/>
    <n v="18.510000000000002"/>
    <n v="2"/>
    <n v="9.1"/>
    <n v="5.13"/>
    <n v="24.3"/>
    <s v="Thriller"/>
    <n v="7"/>
    <n v="1"/>
    <n v="0"/>
  </r>
  <r>
    <s v="U02891"/>
    <x v="4"/>
    <n v="27"/>
    <s v="Female"/>
    <x v="1"/>
    <x v="3"/>
    <n v="10.63"/>
    <n v="5"/>
    <n v="9.5"/>
    <n v="7.7"/>
    <n v="38.9"/>
    <s v="Comedy"/>
    <n v="5"/>
    <n v="1"/>
    <n v="0"/>
  </r>
  <r>
    <s v="U02892"/>
    <x v="7"/>
    <n v="40"/>
    <s v="Male"/>
    <x v="2"/>
    <x v="0"/>
    <n v="5.31"/>
    <n v="2"/>
    <n v="8.9"/>
    <n v="3.05"/>
    <n v="76.900000000000006"/>
    <s v="Comedy"/>
    <n v="7"/>
    <n v="3"/>
    <n v="0"/>
  </r>
  <r>
    <s v="U02893"/>
    <x v="4"/>
    <n v="69"/>
    <s v="Female"/>
    <x v="2"/>
    <x v="3"/>
    <n v="7.3"/>
    <n v="4"/>
    <n v="7.6"/>
    <n v="4.58"/>
    <n v="44.4"/>
    <s v="Thriller"/>
    <n v="7"/>
    <n v="1"/>
    <n v="1"/>
  </r>
  <r>
    <s v="U02894"/>
    <x v="7"/>
    <n v="66"/>
    <s v="Male"/>
    <x v="1"/>
    <x v="4"/>
    <n v="10"/>
    <n v="1"/>
    <n v="1.2"/>
    <n v="16.97"/>
    <n v="51.6"/>
    <s v="Comedy"/>
    <n v="11"/>
    <n v="0"/>
    <n v="0"/>
  </r>
  <r>
    <s v="U02895"/>
    <x v="3"/>
    <n v="28"/>
    <s v="Female"/>
    <x v="1"/>
    <x v="2"/>
    <n v="21.33"/>
    <n v="2"/>
    <n v="3.8"/>
    <n v="8.36"/>
    <n v="64.8"/>
    <s v="Action"/>
    <n v="2"/>
    <n v="3"/>
    <n v="1"/>
  </r>
  <r>
    <s v="U02896"/>
    <x v="0"/>
    <n v="19"/>
    <s v="Male"/>
    <x v="1"/>
    <x v="0"/>
    <n v="14.31"/>
    <n v="5"/>
    <n v="2.2000000000000002"/>
    <n v="10.45"/>
    <n v="92.2"/>
    <s v="Thriller"/>
    <n v="4"/>
    <n v="1"/>
    <n v="0"/>
  </r>
  <r>
    <s v="U02897"/>
    <x v="4"/>
    <n v="43"/>
    <s v="Male"/>
    <x v="2"/>
    <x v="0"/>
    <n v="23.37"/>
    <n v="5"/>
    <n v="2.4"/>
    <n v="21.38"/>
    <n v="32.5"/>
    <s v="Action"/>
    <n v="10"/>
    <n v="3"/>
    <n v="0"/>
  </r>
  <r>
    <s v="U02898"/>
    <x v="5"/>
    <n v="53"/>
    <s v="Male"/>
    <x v="0"/>
    <x v="1"/>
    <n v="20.78"/>
    <n v="3"/>
    <n v="3.6"/>
    <n v="20"/>
    <n v="50.3"/>
    <s v="Thriller"/>
    <n v="4"/>
    <n v="0"/>
    <n v="0"/>
  </r>
  <r>
    <s v="U02899"/>
    <x v="7"/>
    <n v="50"/>
    <s v="Female"/>
    <x v="2"/>
    <x v="4"/>
    <n v="10.74"/>
    <n v="5"/>
    <n v="1.7"/>
    <n v="13.83"/>
    <n v="37.9"/>
    <s v="Action"/>
    <n v="7"/>
    <n v="1"/>
    <n v="0"/>
  </r>
  <r>
    <s v="U02900"/>
    <x v="1"/>
    <n v="64"/>
    <s v="Female"/>
    <x v="0"/>
    <x v="1"/>
    <n v="21.91"/>
    <n v="3"/>
    <n v="3.2"/>
    <n v="16.489999999999998"/>
    <n v="52"/>
    <s v="Drama"/>
    <n v="8"/>
    <n v="1"/>
    <n v="0"/>
  </r>
  <r>
    <s v="U02901"/>
    <x v="9"/>
    <n v="30"/>
    <s v="Male"/>
    <x v="1"/>
    <x v="4"/>
    <n v="7.33"/>
    <n v="1"/>
    <n v="9.6"/>
    <n v="4.8899999999999997"/>
    <n v="72.7"/>
    <s v="Drama"/>
    <n v="11"/>
    <n v="0"/>
    <n v="1"/>
  </r>
  <r>
    <s v="U02902"/>
    <x v="11"/>
    <n v="57"/>
    <s v="Male"/>
    <x v="2"/>
    <x v="4"/>
    <n v="5.72"/>
    <n v="4"/>
    <n v="3.8"/>
    <n v="19.760000000000002"/>
    <n v="53.4"/>
    <s v="Comedy"/>
    <n v="1"/>
    <n v="1"/>
    <n v="0"/>
  </r>
  <r>
    <s v="U02903"/>
    <x v="1"/>
    <n v="42"/>
    <s v="Female"/>
    <x v="0"/>
    <x v="3"/>
    <n v="17.170000000000002"/>
    <n v="3"/>
    <n v="2.4"/>
    <n v="14.36"/>
    <n v="85.1"/>
    <s v="Thriller"/>
    <n v="7"/>
    <n v="0"/>
    <n v="1"/>
  </r>
  <r>
    <s v="U02904"/>
    <x v="10"/>
    <n v="21"/>
    <s v="Female"/>
    <x v="1"/>
    <x v="1"/>
    <n v="11.83"/>
    <n v="2"/>
    <n v="7.5"/>
    <n v="15.56"/>
    <n v="59.8"/>
    <s v="Thriller"/>
    <n v="11"/>
    <n v="1"/>
    <n v="0"/>
  </r>
  <r>
    <s v="U02905"/>
    <x v="0"/>
    <n v="59"/>
    <s v="Male"/>
    <x v="0"/>
    <x v="2"/>
    <n v="11.59"/>
    <n v="2"/>
    <n v="8.5"/>
    <n v="17.64"/>
    <n v="44.7"/>
    <s v="Action"/>
    <n v="6"/>
    <n v="1"/>
    <n v="1"/>
  </r>
  <r>
    <s v="U02906"/>
    <x v="0"/>
    <n v="36"/>
    <s v="Female"/>
    <x v="1"/>
    <x v="4"/>
    <n v="18.739999999999998"/>
    <n v="4"/>
    <n v="3.8"/>
    <n v="14"/>
    <n v="80.400000000000006"/>
    <s v="Comedy"/>
    <n v="10"/>
    <n v="2"/>
    <n v="1"/>
  </r>
  <r>
    <s v="U02907"/>
    <x v="1"/>
    <n v="35"/>
    <s v="Female"/>
    <x v="0"/>
    <x v="4"/>
    <n v="22"/>
    <n v="5"/>
    <n v="3.5"/>
    <n v="14.48"/>
    <n v="48.8"/>
    <s v="Comedy"/>
    <n v="1"/>
    <n v="3"/>
    <n v="0"/>
  </r>
  <r>
    <s v="U02908"/>
    <x v="6"/>
    <n v="54"/>
    <s v="Female"/>
    <x v="1"/>
    <x v="0"/>
    <n v="11.44"/>
    <n v="2"/>
    <n v="3.2"/>
    <n v="13.99"/>
    <n v="56.4"/>
    <s v="Thriller"/>
    <n v="8"/>
    <n v="4"/>
    <n v="0"/>
  </r>
  <r>
    <s v="U02909"/>
    <x v="3"/>
    <n v="47"/>
    <s v="Male"/>
    <x v="1"/>
    <x v="3"/>
    <n v="11.5"/>
    <n v="3"/>
    <n v="4.5"/>
    <n v="13.93"/>
    <n v="99.5"/>
    <s v="Drama"/>
    <n v="5"/>
    <n v="2"/>
    <n v="1"/>
  </r>
  <r>
    <s v="U02910"/>
    <x v="4"/>
    <n v="36"/>
    <s v="Male"/>
    <x v="2"/>
    <x v="2"/>
    <n v="15.68"/>
    <n v="4"/>
    <n v="1.8"/>
    <n v="19.5"/>
    <n v="80.8"/>
    <s v="Thriller"/>
    <n v="7"/>
    <n v="2"/>
    <n v="1"/>
  </r>
  <r>
    <s v="U02911"/>
    <x v="5"/>
    <n v="40"/>
    <s v="Female"/>
    <x v="2"/>
    <x v="4"/>
    <n v="18.059999999999999"/>
    <n v="2"/>
    <n v="7"/>
    <n v="12.4"/>
    <n v="87"/>
    <s v="Thriller"/>
    <n v="8"/>
    <n v="3"/>
    <n v="0"/>
  </r>
  <r>
    <s v="U02912"/>
    <x v="0"/>
    <n v="33"/>
    <s v="Male"/>
    <x v="0"/>
    <x v="0"/>
    <n v="9.06"/>
    <n v="5"/>
    <n v="8.4"/>
    <n v="3.06"/>
    <n v="63.4"/>
    <s v="Family"/>
    <n v="7"/>
    <n v="2"/>
    <n v="0"/>
  </r>
  <r>
    <s v="U02913"/>
    <x v="1"/>
    <n v="18"/>
    <s v="Female"/>
    <x v="2"/>
    <x v="1"/>
    <n v="23.25"/>
    <n v="5"/>
    <n v="7"/>
    <n v="16.47"/>
    <n v="41.3"/>
    <s v="Action"/>
    <n v="11"/>
    <n v="0"/>
    <n v="0"/>
  </r>
  <r>
    <s v="U02914"/>
    <x v="1"/>
    <n v="29"/>
    <s v="Female"/>
    <x v="0"/>
    <x v="4"/>
    <n v="18.09"/>
    <n v="2"/>
    <n v="4.8"/>
    <n v="23.96"/>
    <n v="99.2"/>
    <s v="Action"/>
    <n v="10"/>
    <n v="2"/>
    <n v="0"/>
  </r>
  <r>
    <s v="U02915"/>
    <x v="3"/>
    <n v="41"/>
    <s v="Male"/>
    <x v="0"/>
    <x v="0"/>
    <n v="17.5"/>
    <n v="4"/>
    <n v="3.6"/>
    <n v="8.65"/>
    <n v="32"/>
    <s v="Family"/>
    <n v="1"/>
    <n v="4"/>
    <n v="1"/>
  </r>
  <r>
    <s v="U02916"/>
    <x v="3"/>
    <n v="51"/>
    <s v="Male"/>
    <x v="0"/>
    <x v="1"/>
    <n v="23.08"/>
    <n v="1"/>
    <n v="4.7"/>
    <n v="20.96"/>
    <n v="88.6"/>
    <s v="Comedy"/>
    <n v="6"/>
    <n v="0"/>
    <n v="0"/>
  </r>
  <r>
    <s v="U02917"/>
    <x v="8"/>
    <n v="25"/>
    <s v="Male"/>
    <x v="2"/>
    <x v="3"/>
    <n v="23.15"/>
    <n v="2"/>
    <n v="4.8"/>
    <n v="13.02"/>
    <n v="92"/>
    <s v="Action"/>
    <n v="11"/>
    <n v="3"/>
    <n v="1"/>
  </r>
  <r>
    <s v="U02918"/>
    <x v="8"/>
    <n v="35"/>
    <s v="Female"/>
    <x v="2"/>
    <x v="1"/>
    <n v="7.71"/>
    <n v="5"/>
    <n v="7"/>
    <n v="17.149999999999999"/>
    <n v="83.6"/>
    <s v="Comedy"/>
    <n v="11"/>
    <n v="3"/>
    <n v="1"/>
  </r>
  <r>
    <s v="U02919"/>
    <x v="6"/>
    <n v="65"/>
    <s v="Female"/>
    <x v="0"/>
    <x v="4"/>
    <n v="7.9"/>
    <n v="1"/>
    <n v="9.4"/>
    <n v="22.6"/>
    <n v="20.3"/>
    <s v="Drama"/>
    <n v="11"/>
    <n v="3"/>
    <n v="1"/>
  </r>
  <r>
    <s v="U02920"/>
    <x v="9"/>
    <n v="22"/>
    <s v="Male"/>
    <x v="0"/>
    <x v="2"/>
    <n v="20.239999999999998"/>
    <n v="4"/>
    <n v="1.6"/>
    <n v="19.96"/>
    <n v="86.9"/>
    <s v="Comedy"/>
    <n v="1"/>
    <n v="0"/>
    <n v="0"/>
  </r>
  <r>
    <s v="U02921"/>
    <x v="9"/>
    <n v="43"/>
    <s v="Male"/>
    <x v="0"/>
    <x v="1"/>
    <n v="24.14"/>
    <n v="5"/>
    <n v="9.6"/>
    <n v="22.46"/>
    <n v="69.7"/>
    <s v="Action"/>
    <n v="4"/>
    <n v="3"/>
    <n v="0"/>
  </r>
  <r>
    <s v="U02922"/>
    <x v="6"/>
    <n v="47"/>
    <s v="Male"/>
    <x v="1"/>
    <x v="2"/>
    <n v="18.329999999999998"/>
    <n v="4"/>
    <n v="9.1999999999999993"/>
    <n v="3.21"/>
    <n v="71.3"/>
    <s v="Comedy"/>
    <n v="4"/>
    <n v="3"/>
    <n v="1"/>
  </r>
  <r>
    <s v="U02923"/>
    <x v="10"/>
    <n v="30"/>
    <s v="Female"/>
    <x v="1"/>
    <x v="2"/>
    <n v="13.23"/>
    <n v="2"/>
    <n v="2.1"/>
    <n v="7.12"/>
    <n v="80.8"/>
    <s v="Drama"/>
    <n v="8"/>
    <n v="4"/>
    <n v="0"/>
  </r>
  <r>
    <s v="U02924"/>
    <x v="6"/>
    <n v="36"/>
    <s v="Female"/>
    <x v="0"/>
    <x v="1"/>
    <n v="18.670000000000002"/>
    <n v="4"/>
    <n v="2.7"/>
    <n v="12.32"/>
    <n v="54.1"/>
    <s v="Family"/>
    <n v="6"/>
    <n v="1"/>
    <n v="0"/>
  </r>
  <r>
    <s v="U02925"/>
    <x v="7"/>
    <n v="46"/>
    <s v="Female"/>
    <x v="2"/>
    <x v="3"/>
    <n v="9.58"/>
    <n v="5"/>
    <n v="3.8"/>
    <n v="21.65"/>
    <n v="34"/>
    <s v="Action"/>
    <n v="7"/>
    <n v="1"/>
    <n v="1"/>
  </r>
  <r>
    <s v="U02926"/>
    <x v="3"/>
    <n v="20"/>
    <s v="Male"/>
    <x v="1"/>
    <x v="1"/>
    <n v="24.96"/>
    <n v="2"/>
    <n v="6"/>
    <n v="21.44"/>
    <n v="61.7"/>
    <s v="Drama"/>
    <n v="10"/>
    <n v="1"/>
    <n v="0"/>
  </r>
  <r>
    <s v="U02927"/>
    <x v="9"/>
    <n v="43"/>
    <s v="Male"/>
    <x v="2"/>
    <x v="0"/>
    <n v="13.62"/>
    <n v="5"/>
    <n v="2.2000000000000002"/>
    <n v="7.07"/>
    <n v="19.8"/>
    <s v="Thriller"/>
    <n v="7"/>
    <n v="3"/>
    <n v="0"/>
  </r>
  <r>
    <s v="U02928"/>
    <x v="5"/>
    <n v="57"/>
    <s v="Female"/>
    <x v="1"/>
    <x v="2"/>
    <n v="23.63"/>
    <n v="5"/>
    <n v="2.8"/>
    <n v="6.13"/>
    <n v="70.7"/>
    <s v="Family"/>
    <n v="7"/>
    <n v="0"/>
    <n v="1"/>
  </r>
  <r>
    <s v="U02929"/>
    <x v="7"/>
    <n v="29"/>
    <s v="Male"/>
    <x v="1"/>
    <x v="4"/>
    <n v="13.62"/>
    <n v="1"/>
    <n v="9.1"/>
    <n v="21.36"/>
    <n v="53.5"/>
    <s v="Family"/>
    <n v="10"/>
    <n v="3"/>
    <n v="1"/>
  </r>
  <r>
    <s v="U02930"/>
    <x v="4"/>
    <n v="19"/>
    <s v="Male"/>
    <x v="2"/>
    <x v="2"/>
    <n v="23.56"/>
    <n v="3"/>
    <n v="2"/>
    <n v="14.91"/>
    <n v="55.2"/>
    <s v="Action"/>
    <n v="2"/>
    <n v="1"/>
    <n v="0"/>
  </r>
  <r>
    <s v="U02931"/>
    <x v="1"/>
    <n v="28"/>
    <s v="Male"/>
    <x v="2"/>
    <x v="4"/>
    <n v="11.71"/>
    <n v="4"/>
    <n v="4.5999999999999996"/>
    <n v="16.79"/>
    <n v="26.7"/>
    <s v="Drama"/>
    <n v="6"/>
    <n v="4"/>
    <n v="0"/>
  </r>
  <r>
    <s v="U02932"/>
    <x v="6"/>
    <n v="61"/>
    <s v="Male"/>
    <x v="0"/>
    <x v="0"/>
    <n v="20.21"/>
    <n v="4"/>
    <n v="7.9"/>
    <n v="20.8"/>
    <n v="13.7"/>
    <s v="Thriller"/>
    <n v="8"/>
    <n v="3"/>
    <n v="0"/>
  </r>
  <r>
    <s v="U02933"/>
    <x v="1"/>
    <n v="45"/>
    <s v="Female"/>
    <x v="1"/>
    <x v="0"/>
    <n v="24.02"/>
    <n v="1"/>
    <n v="9"/>
    <n v="7.66"/>
    <n v="65"/>
    <s v="Drama"/>
    <n v="8"/>
    <n v="3"/>
    <n v="0"/>
  </r>
  <r>
    <s v="U02934"/>
    <x v="0"/>
    <n v="35"/>
    <s v="Male"/>
    <x v="2"/>
    <x v="0"/>
    <n v="17.920000000000002"/>
    <n v="4"/>
    <n v="4"/>
    <n v="6"/>
    <n v="69.3"/>
    <s v="Comedy"/>
    <n v="4"/>
    <n v="3"/>
    <n v="0"/>
  </r>
  <r>
    <s v="U02935"/>
    <x v="10"/>
    <n v="30"/>
    <s v="Female"/>
    <x v="0"/>
    <x v="1"/>
    <n v="18.55"/>
    <n v="1"/>
    <n v="2.5"/>
    <n v="21.9"/>
    <n v="54.8"/>
    <s v="Action"/>
    <n v="7"/>
    <n v="0"/>
    <n v="0"/>
  </r>
  <r>
    <s v="U02936"/>
    <x v="0"/>
    <n v="54"/>
    <s v="Female"/>
    <x v="0"/>
    <x v="2"/>
    <n v="7.06"/>
    <n v="4"/>
    <n v="7.6"/>
    <n v="5.46"/>
    <n v="78.900000000000006"/>
    <s v="Comedy"/>
    <n v="9"/>
    <n v="4"/>
    <n v="1"/>
  </r>
  <r>
    <s v="U02937"/>
    <x v="10"/>
    <n v="39"/>
    <s v="Male"/>
    <x v="1"/>
    <x v="4"/>
    <n v="14.48"/>
    <n v="4"/>
    <n v="8"/>
    <n v="4.9400000000000004"/>
    <n v="60.7"/>
    <s v="Comedy"/>
    <n v="8"/>
    <n v="4"/>
    <n v="0"/>
  </r>
  <r>
    <s v="U02938"/>
    <x v="8"/>
    <n v="29"/>
    <s v="Female"/>
    <x v="2"/>
    <x v="0"/>
    <n v="22.74"/>
    <n v="5"/>
    <n v="9.8000000000000007"/>
    <n v="9.1"/>
    <n v="86.3"/>
    <s v="Family"/>
    <n v="2"/>
    <n v="4"/>
    <n v="0"/>
  </r>
  <r>
    <s v="U02939"/>
    <x v="1"/>
    <n v="19"/>
    <s v="Female"/>
    <x v="2"/>
    <x v="0"/>
    <n v="9.82"/>
    <n v="1"/>
    <n v="2.2999999999999998"/>
    <n v="9.9700000000000006"/>
    <n v="35.9"/>
    <s v="Family"/>
    <n v="11"/>
    <n v="4"/>
    <n v="1"/>
  </r>
  <r>
    <s v="U02940"/>
    <x v="10"/>
    <n v="54"/>
    <s v="Male"/>
    <x v="2"/>
    <x v="4"/>
    <n v="20.77"/>
    <n v="4"/>
    <n v="7.4"/>
    <n v="8.3000000000000007"/>
    <n v="31.9"/>
    <s v="Comedy"/>
    <n v="8"/>
    <n v="1"/>
    <n v="0"/>
  </r>
  <r>
    <s v="U02941"/>
    <x v="2"/>
    <n v="24"/>
    <s v="Female"/>
    <x v="1"/>
    <x v="2"/>
    <n v="18.510000000000002"/>
    <n v="3"/>
    <n v="4.8"/>
    <n v="19.32"/>
    <n v="33.5"/>
    <s v="Drama"/>
    <n v="3"/>
    <n v="3"/>
    <n v="0"/>
  </r>
  <r>
    <s v="U02942"/>
    <x v="9"/>
    <n v="43"/>
    <s v="Female"/>
    <x v="0"/>
    <x v="2"/>
    <n v="9.4600000000000009"/>
    <n v="1"/>
    <n v="9.1999999999999993"/>
    <n v="24.41"/>
    <n v="12.7"/>
    <s v="Action"/>
    <n v="4"/>
    <n v="4"/>
    <n v="0"/>
  </r>
  <r>
    <s v="U02943"/>
    <x v="2"/>
    <n v="43"/>
    <s v="Female"/>
    <x v="1"/>
    <x v="4"/>
    <n v="10.66"/>
    <n v="1"/>
    <n v="4.7"/>
    <n v="7.39"/>
    <n v="91.1"/>
    <s v="Action"/>
    <n v="3"/>
    <n v="2"/>
    <n v="1"/>
  </r>
  <r>
    <s v="U02944"/>
    <x v="2"/>
    <n v="41"/>
    <s v="Female"/>
    <x v="2"/>
    <x v="3"/>
    <n v="13.55"/>
    <n v="1"/>
    <n v="5"/>
    <n v="20.2"/>
    <n v="99.9"/>
    <s v="Drama"/>
    <n v="8"/>
    <n v="2"/>
    <n v="0"/>
  </r>
  <r>
    <s v="U02945"/>
    <x v="11"/>
    <n v="29"/>
    <s v="Female"/>
    <x v="0"/>
    <x v="2"/>
    <n v="7.5"/>
    <n v="5"/>
    <n v="2.1"/>
    <n v="3.97"/>
    <n v="83.5"/>
    <s v="Comedy"/>
    <n v="4"/>
    <n v="1"/>
    <n v="1"/>
  </r>
  <r>
    <s v="U02946"/>
    <x v="9"/>
    <n v="33"/>
    <s v="Female"/>
    <x v="0"/>
    <x v="4"/>
    <n v="23.27"/>
    <n v="1"/>
    <n v="3.9"/>
    <n v="5.62"/>
    <n v="47.1"/>
    <s v="Action"/>
    <n v="11"/>
    <n v="2"/>
    <n v="1"/>
  </r>
  <r>
    <s v="U02947"/>
    <x v="7"/>
    <n v="40"/>
    <s v="Female"/>
    <x v="0"/>
    <x v="4"/>
    <n v="19.79"/>
    <n v="5"/>
    <n v="4.5999999999999996"/>
    <n v="14.33"/>
    <n v="41.9"/>
    <s v="Family"/>
    <n v="1"/>
    <n v="2"/>
    <n v="0"/>
  </r>
  <r>
    <s v="U02948"/>
    <x v="10"/>
    <n v="57"/>
    <s v="Female"/>
    <x v="1"/>
    <x v="0"/>
    <n v="12.3"/>
    <n v="3"/>
    <n v="1.2"/>
    <n v="24.99"/>
    <n v="79.7"/>
    <s v="Thriller"/>
    <n v="9"/>
    <n v="2"/>
    <n v="1"/>
  </r>
  <r>
    <s v="U02949"/>
    <x v="10"/>
    <n v="26"/>
    <s v="Male"/>
    <x v="2"/>
    <x v="4"/>
    <n v="10.99"/>
    <n v="2"/>
    <n v="4.9000000000000004"/>
    <n v="23.89"/>
    <n v="55.9"/>
    <s v="Family"/>
    <n v="9"/>
    <n v="1"/>
    <n v="1"/>
  </r>
  <r>
    <s v="U02950"/>
    <x v="7"/>
    <n v="49"/>
    <s v="Male"/>
    <x v="1"/>
    <x v="1"/>
    <n v="18.79"/>
    <n v="5"/>
    <n v="4"/>
    <n v="5.46"/>
    <n v="94.6"/>
    <s v="Drama"/>
    <n v="1"/>
    <n v="3"/>
    <n v="0"/>
  </r>
  <r>
    <s v="U02951"/>
    <x v="1"/>
    <n v="32"/>
    <s v="Male"/>
    <x v="2"/>
    <x v="0"/>
    <n v="13.48"/>
    <n v="4"/>
    <n v="8.1999999999999993"/>
    <n v="8.27"/>
    <n v="35.200000000000003"/>
    <s v="Thriller"/>
    <n v="8"/>
    <n v="1"/>
    <n v="0"/>
  </r>
  <r>
    <s v="U02952"/>
    <x v="1"/>
    <n v="54"/>
    <s v="Female"/>
    <x v="0"/>
    <x v="0"/>
    <n v="9.59"/>
    <n v="1"/>
    <n v="2"/>
    <n v="23.81"/>
    <n v="39.1"/>
    <s v="Action"/>
    <n v="2"/>
    <n v="0"/>
    <n v="1"/>
  </r>
  <r>
    <s v="U02953"/>
    <x v="2"/>
    <n v="30"/>
    <s v="Female"/>
    <x v="2"/>
    <x v="2"/>
    <n v="13.6"/>
    <n v="2"/>
    <n v="7.8"/>
    <n v="6.32"/>
    <n v="99.9"/>
    <s v="Action"/>
    <n v="7"/>
    <n v="0"/>
    <n v="0"/>
  </r>
  <r>
    <s v="U02954"/>
    <x v="7"/>
    <n v="22"/>
    <s v="Female"/>
    <x v="2"/>
    <x v="3"/>
    <n v="22.43"/>
    <n v="5"/>
    <n v="7.4"/>
    <n v="19.34"/>
    <n v="98"/>
    <s v="Thriller"/>
    <n v="1"/>
    <n v="2"/>
    <n v="0"/>
  </r>
  <r>
    <s v="U02955"/>
    <x v="9"/>
    <n v="28"/>
    <s v="Male"/>
    <x v="1"/>
    <x v="2"/>
    <n v="6.37"/>
    <n v="4"/>
    <n v="3.2"/>
    <n v="3.02"/>
    <n v="89.7"/>
    <s v="Action"/>
    <n v="6"/>
    <n v="2"/>
    <n v="1"/>
  </r>
  <r>
    <s v="U02956"/>
    <x v="2"/>
    <n v="27"/>
    <s v="Male"/>
    <x v="2"/>
    <x v="1"/>
    <n v="12.37"/>
    <n v="2"/>
    <n v="1.7"/>
    <n v="16.899999999999999"/>
    <n v="46.4"/>
    <s v="Thriller"/>
    <n v="10"/>
    <n v="3"/>
    <n v="1"/>
  </r>
  <r>
    <s v="U02957"/>
    <x v="0"/>
    <n v="69"/>
    <s v="Male"/>
    <x v="0"/>
    <x v="0"/>
    <n v="24.25"/>
    <n v="3"/>
    <n v="8.6"/>
    <n v="13.88"/>
    <n v="85.4"/>
    <s v="Comedy"/>
    <n v="11"/>
    <n v="2"/>
    <n v="0"/>
  </r>
  <r>
    <s v="U02958"/>
    <x v="11"/>
    <n v="30"/>
    <s v="Female"/>
    <x v="2"/>
    <x v="0"/>
    <n v="5.3"/>
    <n v="5"/>
    <n v="3.2"/>
    <n v="13.36"/>
    <n v="35.5"/>
    <s v="Drama"/>
    <n v="11"/>
    <n v="0"/>
    <n v="0"/>
  </r>
  <r>
    <s v="U02959"/>
    <x v="5"/>
    <n v="58"/>
    <s v="Male"/>
    <x v="2"/>
    <x v="4"/>
    <n v="22.81"/>
    <n v="5"/>
    <n v="2.2999999999999998"/>
    <n v="21.24"/>
    <n v="32.9"/>
    <s v="Family"/>
    <n v="10"/>
    <n v="2"/>
    <n v="1"/>
  </r>
  <r>
    <s v="U02960"/>
    <x v="4"/>
    <n v="63"/>
    <s v="Male"/>
    <x v="2"/>
    <x v="3"/>
    <n v="12.5"/>
    <n v="3"/>
    <n v="4.2"/>
    <n v="4.78"/>
    <n v="59.2"/>
    <s v="Thriller"/>
    <n v="8"/>
    <n v="3"/>
    <n v="0"/>
  </r>
  <r>
    <s v="U02961"/>
    <x v="11"/>
    <n v="67"/>
    <s v="Female"/>
    <x v="1"/>
    <x v="3"/>
    <n v="8.7899999999999991"/>
    <n v="5"/>
    <n v="4.5999999999999996"/>
    <n v="11.3"/>
    <n v="87.4"/>
    <s v="Thriller"/>
    <n v="11"/>
    <n v="0"/>
    <n v="0"/>
  </r>
  <r>
    <s v="U02962"/>
    <x v="1"/>
    <n v="32"/>
    <s v="Male"/>
    <x v="0"/>
    <x v="4"/>
    <n v="5.3"/>
    <n v="1"/>
    <n v="3.9"/>
    <n v="12.81"/>
    <n v="18.8"/>
    <s v="Comedy"/>
    <n v="6"/>
    <n v="2"/>
    <n v="0"/>
  </r>
  <r>
    <s v="U02963"/>
    <x v="5"/>
    <n v="59"/>
    <s v="Female"/>
    <x v="1"/>
    <x v="1"/>
    <n v="6.41"/>
    <n v="5"/>
    <n v="9.8000000000000007"/>
    <n v="5.73"/>
    <n v="60.9"/>
    <s v="Family"/>
    <n v="9"/>
    <n v="3"/>
    <n v="0"/>
  </r>
  <r>
    <s v="U02964"/>
    <x v="8"/>
    <n v="24"/>
    <s v="Male"/>
    <x v="1"/>
    <x v="3"/>
    <n v="8.44"/>
    <n v="1"/>
    <n v="8.9"/>
    <n v="4.88"/>
    <n v="64.900000000000006"/>
    <s v="Comedy"/>
    <n v="11"/>
    <n v="3"/>
    <n v="0"/>
  </r>
  <r>
    <s v="U02965"/>
    <x v="6"/>
    <n v="57"/>
    <s v="Female"/>
    <x v="2"/>
    <x v="0"/>
    <n v="5.51"/>
    <n v="5"/>
    <n v="8.9"/>
    <n v="6.95"/>
    <n v="62.2"/>
    <s v="Comedy"/>
    <n v="1"/>
    <n v="0"/>
    <n v="1"/>
  </r>
  <r>
    <s v="U02966"/>
    <x v="2"/>
    <n v="45"/>
    <s v="Female"/>
    <x v="2"/>
    <x v="1"/>
    <n v="11.72"/>
    <n v="4"/>
    <n v="4.5999999999999996"/>
    <n v="8.3000000000000007"/>
    <n v="29.7"/>
    <s v="Drama"/>
    <n v="9"/>
    <n v="0"/>
    <n v="0"/>
  </r>
  <r>
    <s v="U02967"/>
    <x v="10"/>
    <n v="49"/>
    <s v="Female"/>
    <x v="2"/>
    <x v="2"/>
    <n v="5.9"/>
    <n v="4"/>
    <n v="9.6999999999999993"/>
    <n v="24.25"/>
    <n v="15.8"/>
    <s v="Action"/>
    <n v="3"/>
    <n v="0"/>
    <n v="1"/>
  </r>
  <r>
    <s v="U02968"/>
    <x v="7"/>
    <n v="52"/>
    <s v="Female"/>
    <x v="0"/>
    <x v="2"/>
    <n v="18.84"/>
    <n v="2"/>
    <n v="7.2"/>
    <n v="13.46"/>
    <n v="90.5"/>
    <s v="Family"/>
    <n v="2"/>
    <n v="3"/>
    <n v="1"/>
  </r>
  <r>
    <s v="U02969"/>
    <x v="7"/>
    <n v="32"/>
    <s v="Female"/>
    <x v="2"/>
    <x v="1"/>
    <n v="21.38"/>
    <n v="4"/>
    <n v="8.5"/>
    <n v="14.23"/>
    <n v="61.7"/>
    <s v="Comedy"/>
    <n v="8"/>
    <n v="0"/>
    <n v="0"/>
  </r>
  <r>
    <s v="U02970"/>
    <x v="10"/>
    <n v="65"/>
    <s v="Male"/>
    <x v="2"/>
    <x v="0"/>
    <n v="22.75"/>
    <n v="3"/>
    <n v="5.5"/>
    <n v="18.55"/>
    <n v="79.099999999999994"/>
    <s v="Action"/>
    <n v="10"/>
    <n v="0"/>
    <n v="0"/>
  </r>
  <r>
    <s v="U02971"/>
    <x v="2"/>
    <n v="53"/>
    <s v="Female"/>
    <x v="2"/>
    <x v="2"/>
    <n v="15.98"/>
    <n v="2"/>
    <n v="2.4"/>
    <n v="18.05"/>
    <n v="42.8"/>
    <s v="Action"/>
    <n v="5"/>
    <n v="3"/>
    <n v="1"/>
  </r>
  <r>
    <s v="U02972"/>
    <x v="6"/>
    <n v="38"/>
    <s v="Female"/>
    <x v="0"/>
    <x v="0"/>
    <n v="23.93"/>
    <n v="4"/>
    <n v="9"/>
    <n v="14.06"/>
    <n v="13.8"/>
    <s v="Action"/>
    <n v="1"/>
    <n v="3"/>
    <n v="0"/>
  </r>
  <r>
    <s v="U02973"/>
    <x v="4"/>
    <n v="23"/>
    <s v="Female"/>
    <x v="0"/>
    <x v="4"/>
    <n v="5.1100000000000003"/>
    <n v="1"/>
    <n v="5.4"/>
    <n v="10.48"/>
    <n v="33.4"/>
    <s v="Action"/>
    <n v="1"/>
    <n v="0"/>
    <n v="0"/>
  </r>
  <r>
    <s v="U02974"/>
    <x v="6"/>
    <n v="18"/>
    <s v="Female"/>
    <x v="0"/>
    <x v="3"/>
    <n v="7.68"/>
    <n v="5"/>
    <n v="9.6999999999999993"/>
    <n v="10.28"/>
    <n v="16.600000000000001"/>
    <s v="Drama"/>
    <n v="2"/>
    <n v="0"/>
    <n v="0"/>
  </r>
  <r>
    <s v="U02975"/>
    <x v="5"/>
    <n v="21"/>
    <s v="Male"/>
    <x v="1"/>
    <x v="1"/>
    <n v="10.86"/>
    <n v="4"/>
    <n v="3.3"/>
    <n v="4.2699999999999996"/>
    <n v="17"/>
    <s v="Drama"/>
    <n v="7"/>
    <n v="0"/>
    <n v="1"/>
  </r>
  <r>
    <s v="U02976"/>
    <x v="6"/>
    <n v="28"/>
    <s v="Female"/>
    <x v="1"/>
    <x v="3"/>
    <n v="20.78"/>
    <n v="1"/>
    <n v="9.9"/>
    <n v="22.79"/>
    <n v="29.3"/>
    <s v="Comedy"/>
    <n v="2"/>
    <n v="3"/>
    <n v="0"/>
  </r>
  <r>
    <s v="U02977"/>
    <x v="5"/>
    <n v="61"/>
    <s v="Male"/>
    <x v="2"/>
    <x v="4"/>
    <n v="22.71"/>
    <n v="2"/>
    <n v="3"/>
    <n v="19.93"/>
    <n v="67"/>
    <s v="Action"/>
    <n v="9"/>
    <n v="4"/>
    <n v="0"/>
  </r>
  <r>
    <s v="U02978"/>
    <x v="6"/>
    <n v="43"/>
    <s v="Female"/>
    <x v="1"/>
    <x v="2"/>
    <n v="17.36"/>
    <n v="5"/>
    <n v="4.3"/>
    <n v="16.71"/>
    <n v="83.6"/>
    <s v="Comedy"/>
    <n v="6"/>
    <n v="1"/>
    <n v="1"/>
  </r>
  <r>
    <s v="U02979"/>
    <x v="4"/>
    <n v="54"/>
    <s v="Female"/>
    <x v="1"/>
    <x v="0"/>
    <n v="12.66"/>
    <n v="4"/>
    <n v="6.3"/>
    <n v="11.71"/>
    <n v="83.9"/>
    <s v="Thriller"/>
    <n v="4"/>
    <n v="2"/>
    <n v="1"/>
  </r>
  <r>
    <s v="U02980"/>
    <x v="4"/>
    <n v="40"/>
    <s v="Male"/>
    <x v="1"/>
    <x v="0"/>
    <n v="18.32"/>
    <n v="2"/>
    <n v="7.2"/>
    <n v="15.81"/>
    <n v="94.4"/>
    <s v="Drama"/>
    <n v="4"/>
    <n v="1"/>
    <n v="0"/>
  </r>
  <r>
    <s v="U02981"/>
    <x v="1"/>
    <n v="46"/>
    <s v="Male"/>
    <x v="2"/>
    <x v="4"/>
    <n v="8.6199999999999992"/>
    <n v="4"/>
    <n v="7.5"/>
    <n v="13.67"/>
    <n v="69.099999999999994"/>
    <s v="Drama"/>
    <n v="3"/>
    <n v="3"/>
    <n v="0"/>
  </r>
  <r>
    <s v="U02982"/>
    <x v="10"/>
    <n v="38"/>
    <s v="Male"/>
    <x v="2"/>
    <x v="1"/>
    <n v="14.16"/>
    <n v="2"/>
    <n v="5.3"/>
    <n v="9.0299999999999994"/>
    <n v="11.8"/>
    <s v="Family"/>
    <n v="9"/>
    <n v="4"/>
    <n v="1"/>
  </r>
  <r>
    <s v="U02983"/>
    <x v="4"/>
    <n v="65"/>
    <s v="Female"/>
    <x v="2"/>
    <x v="3"/>
    <n v="15.15"/>
    <n v="4"/>
    <n v="1.7"/>
    <n v="9.57"/>
    <n v="44"/>
    <s v="Thriller"/>
    <n v="2"/>
    <n v="3"/>
    <n v="1"/>
  </r>
  <r>
    <s v="U02984"/>
    <x v="5"/>
    <n v="62"/>
    <s v="Male"/>
    <x v="1"/>
    <x v="2"/>
    <n v="7.1"/>
    <n v="1"/>
    <n v="5.5"/>
    <n v="22.24"/>
    <n v="20"/>
    <s v="Drama"/>
    <n v="9"/>
    <n v="0"/>
    <n v="0"/>
  </r>
  <r>
    <s v="U02985"/>
    <x v="4"/>
    <n v="62"/>
    <s v="Female"/>
    <x v="1"/>
    <x v="1"/>
    <n v="5.68"/>
    <n v="3"/>
    <n v="4"/>
    <n v="16.97"/>
    <n v="80"/>
    <s v="Action"/>
    <n v="3"/>
    <n v="2"/>
    <n v="0"/>
  </r>
  <r>
    <s v="U02986"/>
    <x v="1"/>
    <n v="66"/>
    <s v="Male"/>
    <x v="2"/>
    <x v="4"/>
    <n v="20"/>
    <n v="1"/>
    <n v="6.9"/>
    <n v="3.03"/>
    <n v="20.8"/>
    <s v="Action"/>
    <n v="4"/>
    <n v="1"/>
    <n v="0"/>
  </r>
  <r>
    <s v="U02987"/>
    <x v="7"/>
    <n v="44"/>
    <s v="Male"/>
    <x v="1"/>
    <x v="4"/>
    <n v="15.69"/>
    <n v="5"/>
    <n v="2.6"/>
    <n v="10.19"/>
    <n v="19.5"/>
    <s v="Action"/>
    <n v="9"/>
    <n v="3"/>
    <n v="0"/>
  </r>
  <r>
    <s v="U02988"/>
    <x v="5"/>
    <n v="56"/>
    <s v="Female"/>
    <x v="0"/>
    <x v="0"/>
    <n v="11.64"/>
    <n v="4"/>
    <n v="4.5"/>
    <n v="10.48"/>
    <n v="12.5"/>
    <s v="Comedy"/>
    <n v="3"/>
    <n v="4"/>
    <n v="1"/>
  </r>
  <r>
    <s v="U02989"/>
    <x v="1"/>
    <n v="57"/>
    <s v="Male"/>
    <x v="0"/>
    <x v="2"/>
    <n v="13.74"/>
    <n v="3"/>
    <n v="9.6999999999999993"/>
    <n v="18.54"/>
    <n v="96"/>
    <s v="Drama"/>
    <n v="6"/>
    <n v="0"/>
    <n v="0"/>
  </r>
  <r>
    <s v="U02990"/>
    <x v="0"/>
    <n v="30"/>
    <s v="Male"/>
    <x v="0"/>
    <x v="1"/>
    <n v="24.15"/>
    <n v="3"/>
    <n v="1.8"/>
    <n v="18.41"/>
    <n v="80.7"/>
    <s v="Comedy"/>
    <n v="5"/>
    <n v="4"/>
    <n v="0"/>
  </r>
  <r>
    <s v="U02991"/>
    <x v="0"/>
    <n v="40"/>
    <s v="Female"/>
    <x v="2"/>
    <x v="0"/>
    <n v="12.7"/>
    <n v="5"/>
    <n v="6.4"/>
    <n v="13.21"/>
    <n v="40"/>
    <s v="Drama"/>
    <n v="6"/>
    <n v="2"/>
    <n v="0"/>
  </r>
  <r>
    <s v="U02992"/>
    <x v="8"/>
    <n v="33"/>
    <s v="Female"/>
    <x v="0"/>
    <x v="2"/>
    <n v="7.07"/>
    <n v="5"/>
    <n v="1.8"/>
    <n v="23.92"/>
    <n v="43.9"/>
    <s v="Family"/>
    <n v="5"/>
    <n v="4"/>
    <n v="1"/>
  </r>
  <r>
    <s v="U02993"/>
    <x v="6"/>
    <n v="47"/>
    <s v="Female"/>
    <x v="0"/>
    <x v="3"/>
    <n v="14.27"/>
    <n v="3"/>
    <n v="2.4"/>
    <n v="22.19"/>
    <n v="15.3"/>
    <s v="Comedy"/>
    <n v="11"/>
    <n v="4"/>
    <n v="0"/>
  </r>
  <r>
    <s v="U02994"/>
    <x v="10"/>
    <n v="21"/>
    <s v="Male"/>
    <x v="0"/>
    <x v="3"/>
    <n v="17.96"/>
    <n v="5"/>
    <n v="6.4"/>
    <n v="22.06"/>
    <n v="24.2"/>
    <s v="Drama"/>
    <n v="3"/>
    <n v="0"/>
    <n v="0"/>
  </r>
  <r>
    <s v="U02995"/>
    <x v="3"/>
    <n v="57"/>
    <s v="Male"/>
    <x v="1"/>
    <x v="0"/>
    <n v="5.24"/>
    <n v="5"/>
    <n v="5"/>
    <n v="10.66"/>
    <n v="38"/>
    <s v="Family"/>
    <n v="2"/>
    <n v="4"/>
    <n v="0"/>
  </r>
  <r>
    <s v="U02996"/>
    <x v="11"/>
    <n v="33"/>
    <s v="Male"/>
    <x v="1"/>
    <x v="1"/>
    <n v="11.65"/>
    <n v="4"/>
    <n v="5.9"/>
    <n v="12.48"/>
    <n v="44.9"/>
    <s v="Drama"/>
    <n v="10"/>
    <n v="0"/>
    <n v="0"/>
  </r>
  <r>
    <s v="U02997"/>
    <x v="1"/>
    <n v="48"/>
    <s v="Male"/>
    <x v="1"/>
    <x v="2"/>
    <n v="12.87"/>
    <n v="1"/>
    <n v="8.9"/>
    <n v="12.22"/>
    <n v="65.8"/>
    <s v="Thriller"/>
    <n v="9"/>
    <n v="2"/>
    <n v="0"/>
  </r>
  <r>
    <s v="U02998"/>
    <x v="7"/>
    <n v="59"/>
    <s v="Male"/>
    <x v="0"/>
    <x v="3"/>
    <n v="14.27"/>
    <n v="2"/>
    <n v="8.4"/>
    <n v="12.69"/>
    <n v="41.5"/>
    <s v="Comedy"/>
    <n v="4"/>
    <n v="3"/>
    <n v="0"/>
  </r>
  <r>
    <s v="U02999"/>
    <x v="11"/>
    <n v="42"/>
    <s v="Female"/>
    <x v="0"/>
    <x v="3"/>
    <n v="11.03"/>
    <n v="3"/>
    <n v="9"/>
    <n v="22.56"/>
    <n v="95.9"/>
    <s v="Action"/>
    <n v="10"/>
    <n v="0"/>
    <n v="0"/>
  </r>
  <r>
    <s v="U03000"/>
    <x v="7"/>
    <n v="61"/>
    <s v="Male"/>
    <x v="1"/>
    <x v="1"/>
    <n v="18.34"/>
    <n v="2"/>
    <n v="6.5"/>
    <n v="8.48"/>
    <n v="40.9"/>
    <s v="Family"/>
    <n v="6"/>
    <n v="3"/>
    <n v="0"/>
  </r>
  <r>
    <s v="U03001"/>
    <x v="9"/>
    <n v="29"/>
    <s v="Female"/>
    <x v="1"/>
    <x v="0"/>
    <n v="23.89"/>
    <n v="3"/>
    <n v="5.4"/>
    <n v="20.65"/>
    <n v="94.7"/>
    <s v="Family"/>
    <n v="9"/>
    <n v="1"/>
    <n v="0"/>
  </r>
  <r>
    <s v="U03002"/>
    <x v="9"/>
    <n v="43"/>
    <s v="Male"/>
    <x v="0"/>
    <x v="4"/>
    <n v="23.28"/>
    <n v="3"/>
    <n v="5.0999999999999996"/>
    <n v="14.31"/>
    <n v="75.7"/>
    <s v="Action"/>
    <n v="5"/>
    <n v="4"/>
    <n v="1"/>
  </r>
  <r>
    <s v="U03003"/>
    <x v="9"/>
    <n v="54"/>
    <s v="Female"/>
    <x v="0"/>
    <x v="2"/>
    <n v="18.29"/>
    <n v="1"/>
    <n v="7.7"/>
    <n v="8.48"/>
    <n v="91"/>
    <s v="Family"/>
    <n v="7"/>
    <n v="3"/>
    <n v="1"/>
  </r>
  <r>
    <s v="U03004"/>
    <x v="11"/>
    <n v="65"/>
    <s v="Male"/>
    <x v="2"/>
    <x v="3"/>
    <n v="15.14"/>
    <n v="3"/>
    <n v="5.7"/>
    <n v="14.6"/>
    <n v="73.3"/>
    <s v="Action"/>
    <n v="5"/>
    <n v="4"/>
    <n v="0"/>
  </r>
  <r>
    <s v="U03005"/>
    <x v="1"/>
    <n v="50"/>
    <s v="Male"/>
    <x v="1"/>
    <x v="4"/>
    <n v="21.52"/>
    <n v="3"/>
    <n v="2"/>
    <n v="7.3"/>
    <n v="61.2"/>
    <s v="Action"/>
    <n v="9"/>
    <n v="0"/>
    <n v="0"/>
  </r>
  <r>
    <s v="U03006"/>
    <x v="3"/>
    <n v="45"/>
    <s v="Female"/>
    <x v="0"/>
    <x v="1"/>
    <n v="21.72"/>
    <n v="1"/>
    <n v="2.2999999999999998"/>
    <n v="5.38"/>
    <n v="55.8"/>
    <s v="Drama"/>
    <n v="2"/>
    <n v="4"/>
    <n v="0"/>
  </r>
  <r>
    <s v="U03007"/>
    <x v="11"/>
    <n v="26"/>
    <s v="Male"/>
    <x v="0"/>
    <x v="0"/>
    <n v="21.59"/>
    <n v="5"/>
    <n v="4.2"/>
    <n v="21.44"/>
    <n v="36.200000000000003"/>
    <s v="Comedy"/>
    <n v="3"/>
    <n v="2"/>
    <n v="0"/>
  </r>
  <r>
    <s v="U03008"/>
    <x v="1"/>
    <n v="29"/>
    <s v="Female"/>
    <x v="2"/>
    <x v="2"/>
    <n v="8.16"/>
    <n v="2"/>
    <n v="1.6"/>
    <n v="18.39"/>
    <n v="36.799999999999997"/>
    <s v="Thriller"/>
    <n v="5"/>
    <n v="3"/>
    <n v="0"/>
  </r>
  <r>
    <s v="U03009"/>
    <x v="4"/>
    <n v="22"/>
    <s v="Male"/>
    <x v="1"/>
    <x v="1"/>
    <n v="5.51"/>
    <n v="3"/>
    <n v="3.2"/>
    <n v="7.51"/>
    <n v="30.1"/>
    <s v="Family"/>
    <n v="2"/>
    <n v="4"/>
    <n v="0"/>
  </r>
  <r>
    <s v="U03010"/>
    <x v="3"/>
    <n v="69"/>
    <s v="Male"/>
    <x v="1"/>
    <x v="0"/>
    <n v="24.66"/>
    <n v="1"/>
    <n v="6.9"/>
    <n v="23.73"/>
    <n v="44.7"/>
    <s v="Drama"/>
    <n v="6"/>
    <n v="3"/>
    <n v="1"/>
  </r>
  <r>
    <s v="U03011"/>
    <x v="9"/>
    <n v="45"/>
    <s v="Female"/>
    <x v="2"/>
    <x v="1"/>
    <n v="24.19"/>
    <n v="3"/>
    <n v="1.1000000000000001"/>
    <n v="3.54"/>
    <n v="21.4"/>
    <s v="Thriller"/>
    <n v="10"/>
    <n v="3"/>
    <n v="0"/>
  </r>
  <r>
    <s v="U03012"/>
    <x v="5"/>
    <n v="52"/>
    <s v="Male"/>
    <x v="2"/>
    <x v="3"/>
    <n v="16.29"/>
    <n v="1"/>
    <n v="6.4"/>
    <n v="10.33"/>
    <n v="44.9"/>
    <s v="Thriller"/>
    <n v="3"/>
    <n v="2"/>
    <n v="0"/>
  </r>
  <r>
    <s v="U03013"/>
    <x v="7"/>
    <n v="22"/>
    <s v="Female"/>
    <x v="2"/>
    <x v="3"/>
    <n v="24.86"/>
    <n v="2"/>
    <n v="8"/>
    <n v="3.48"/>
    <n v="85"/>
    <s v="Family"/>
    <n v="5"/>
    <n v="0"/>
    <n v="0"/>
  </r>
  <r>
    <s v="U03014"/>
    <x v="9"/>
    <n v="51"/>
    <s v="Male"/>
    <x v="1"/>
    <x v="4"/>
    <n v="20.41"/>
    <n v="4"/>
    <n v="2.5"/>
    <n v="6.13"/>
    <n v="88.3"/>
    <s v="Family"/>
    <n v="5"/>
    <n v="4"/>
    <n v="0"/>
  </r>
  <r>
    <s v="U03015"/>
    <x v="0"/>
    <n v="63"/>
    <s v="Male"/>
    <x v="1"/>
    <x v="1"/>
    <n v="15.35"/>
    <n v="5"/>
    <n v="2.6"/>
    <n v="6.96"/>
    <n v="67.900000000000006"/>
    <s v="Drama"/>
    <n v="10"/>
    <n v="1"/>
    <n v="1"/>
  </r>
  <r>
    <s v="U03016"/>
    <x v="6"/>
    <n v="51"/>
    <s v="Male"/>
    <x v="0"/>
    <x v="3"/>
    <n v="12.79"/>
    <n v="4"/>
    <n v="1.3"/>
    <n v="20.83"/>
    <n v="33.1"/>
    <s v="Family"/>
    <n v="8"/>
    <n v="3"/>
    <n v="0"/>
  </r>
  <r>
    <s v="U03017"/>
    <x v="0"/>
    <n v="30"/>
    <s v="Male"/>
    <x v="2"/>
    <x v="0"/>
    <n v="16.86"/>
    <n v="1"/>
    <n v="5.6"/>
    <n v="24.85"/>
    <n v="31.6"/>
    <s v="Thriller"/>
    <n v="9"/>
    <n v="0"/>
    <n v="0"/>
  </r>
  <r>
    <s v="U03018"/>
    <x v="9"/>
    <n v="56"/>
    <s v="Male"/>
    <x v="1"/>
    <x v="4"/>
    <n v="15.32"/>
    <n v="3"/>
    <n v="6.9"/>
    <n v="22.08"/>
    <n v="35"/>
    <s v="Family"/>
    <n v="4"/>
    <n v="1"/>
    <n v="0"/>
  </r>
  <r>
    <s v="U03019"/>
    <x v="3"/>
    <n v="59"/>
    <s v="Male"/>
    <x v="0"/>
    <x v="2"/>
    <n v="24.88"/>
    <n v="5"/>
    <n v="5.0999999999999996"/>
    <n v="16.97"/>
    <n v="55"/>
    <s v="Drama"/>
    <n v="10"/>
    <n v="3"/>
    <n v="0"/>
  </r>
  <r>
    <s v="U03020"/>
    <x v="5"/>
    <n v="62"/>
    <s v="Male"/>
    <x v="2"/>
    <x v="1"/>
    <n v="14.81"/>
    <n v="2"/>
    <n v="4.5"/>
    <n v="18.899999999999999"/>
    <n v="97.9"/>
    <s v="Drama"/>
    <n v="1"/>
    <n v="1"/>
    <n v="0"/>
  </r>
  <r>
    <s v="U03021"/>
    <x v="7"/>
    <n v="65"/>
    <s v="Female"/>
    <x v="2"/>
    <x v="3"/>
    <n v="21.72"/>
    <n v="5"/>
    <n v="5.0999999999999996"/>
    <n v="14.5"/>
    <n v="19.8"/>
    <s v="Drama"/>
    <n v="5"/>
    <n v="4"/>
    <n v="0"/>
  </r>
  <r>
    <s v="U03022"/>
    <x v="5"/>
    <n v="31"/>
    <s v="Male"/>
    <x v="2"/>
    <x v="0"/>
    <n v="21.27"/>
    <n v="3"/>
    <n v="8"/>
    <n v="12.3"/>
    <n v="55"/>
    <s v="Family"/>
    <n v="4"/>
    <n v="4"/>
    <n v="1"/>
  </r>
  <r>
    <s v="U03023"/>
    <x v="11"/>
    <n v="28"/>
    <s v="Male"/>
    <x v="2"/>
    <x v="1"/>
    <n v="6.43"/>
    <n v="4"/>
    <n v="1.3"/>
    <n v="18.23"/>
    <n v="71.400000000000006"/>
    <s v="Comedy"/>
    <n v="5"/>
    <n v="3"/>
    <n v="0"/>
  </r>
  <r>
    <s v="U03024"/>
    <x v="7"/>
    <n v="59"/>
    <s v="Male"/>
    <x v="2"/>
    <x v="0"/>
    <n v="6.74"/>
    <n v="1"/>
    <n v="8.1"/>
    <n v="24.41"/>
    <n v="32.1"/>
    <s v="Drama"/>
    <n v="11"/>
    <n v="3"/>
    <n v="0"/>
  </r>
  <r>
    <s v="U03025"/>
    <x v="9"/>
    <n v="55"/>
    <s v="Female"/>
    <x v="0"/>
    <x v="4"/>
    <n v="18.2"/>
    <n v="4"/>
    <n v="7"/>
    <n v="3.64"/>
    <n v="97.2"/>
    <s v="Comedy"/>
    <n v="9"/>
    <n v="4"/>
    <n v="0"/>
  </r>
  <r>
    <s v="U03026"/>
    <x v="11"/>
    <n v="21"/>
    <s v="Female"/>
    <x v="2"/>
    <x v="3"/>
    <n v="10.18"/>
    <n v="5"/>
    <n v="3.2"/>
    <n v="9.91"/>
    <n v="41.4"/>
    <s v="Action"/>
    <n v="8"/>
    <n v="0"/>
    <n v="1"/>
  </r>
  <r>
    <s v="U03027"/>
    <x v="1"/>
    <n v="50"/>
    <s v="Male"/>
    <x v="2"/>
    <x v="3"/>
    <n v="18.149999999999999"/>
    <n v="3"/>
    <n v="5.7"/>
    <n v="10.26"/>
    <n v="93.9"/>
    <s v="Drama"/>
    <n v="11"/>
    <n v="1"/>
    <n v="0"/>
  </r>
  <r>
    <s v="U03028"/>
    <x v="3"/>
    <n v="24"/>
    <s v="Male"/>
    <x v="0"/>
    <x v="4"/>
    <n v="7.89"/>
    <n v="1"/>
    <n v="1.4"/>
    <n v="12.11"/>
    <n v="63.8"/>
    <s v="Comedy"/>
    <n v="11"/>
    <n v="3"/>
    <n v="0"/>
  </r>
  <r>
    <s v="U03029"/>
    <x v="2"/>
    <n v="58"/>
    <s v="Male"/>
    <x v="0"/>
    <x v="0"/>
    <n v="12.94"/>
    <n v="3"/>
    <n v="4.4000000000000004"/>
    <n v="16.79"/>
    <n v="10.4"/>
    <s v="Comedy"/>
    <n v="11"/>
    <n v="3"/>
    <n v="1"/>
  </r>
  <r>
    <s v="U03030"/>
    <x v="1"/>
    <n v="25"/>
    <s v="Female"/>
    <x v="2"/>
    <x v="1"/>
    <n v="7.05"/>
    <n v="3"/>
    <n v="2.6"/>
    <n v="14.3"/>
    <n v="38"/>
    <s v="Thriller"/>
    <n v="8"/>
    <n v="2"/>
    <n v="0"/>
  </r>
  <r>
    <s v="U03031"/>
    <x v="8"/>
    <n v="54"/>
    <s v="Male"/>
    <x v="0"/>
    <x v="0"/>
    <n v="10.64"/>
    <n v="5"/>
    <n v="1.2"/>
    <n v="3.41"/>
    <n v="11.9"/>
    <s v="Comedy"/>
    <n v="8"/>
    <n v="1"/>
    <n v="0"/>
  </r>
  <r>
    <s v="U03032"/>
    <x v="5"/>
    <n v="68"/>
    <s v="Female"/>
    <x v="2"/>
    <x v="1"/>
    <n v="6.77"/>
    <n v="4"/>
    <n v="4.2"/>
    <n v="12.06"/>
    <n v="44.3"/>
    <s v="Thriller"/>
    <n v="1"/>
    <n v="4"/>
    <n v="0"/>
  </r>
  <r>
    <s v="U03033"/>
    <x v="2"/>
    <n v="27"/>
    <s v="Male"/>
    <x v="0"/>
    <x v="4"/>
    <n v="24.41"/>
    <n v="3"/>
    <n v="7.5"/>
    <n v="16.63"/>
    <n v="93.9"/>
    <s v="Comedy"/>
    <n v="7"/>
    <n v="3"/>
    <n v="0"/>
  </r>
  <r>
    <s v="U03034"/>
    <x v="11"/>
    <n v="60"/>
    <s v="Female"/>
    <x v="0"/>
    <x v="2"/>
    <n v="12.9"/>
    <n v="3"/>
    <n v="9.3000000000000007"/>
    <n v="14.11"/>
    <n v="80.099999999999994"/>
    <s v="Comedy"/>
    <n v="4"/>
    <n v="3"/>
    <n v="0"/>
  </r>
  <r>
    <s v="U03035"/>
    <x v="4"/>
    <n v="32"/>
    <s v="Female"/>
    <x v="1"/>
    <x v="1"/>
    <n v="23.02"/>
    <n v="3"/>
    <n v="7"/>
    <n v="22.19"/>
    <n v="65.8"/>
    <s v="Action"/>
    <n v="6"/>
    <n v="4"/>
    <n v="0"/>
  </r>
  <r>
    <s v="U03036"/>
    <x v="1"/>
    <n v="55"/>
    <s v="Male"/>
    <x v="0"/>
    <x v="3"/>
    <n v="24.42"/>
    <n v="1"/>
    <n v="4.5999999999999996"/>
    <n v="11.77"/>
    <n v="58.5"/>
    <s v="Comedy"/>
    <n v="4"/>
    <n v="1"/>
    <n v="0"/>
  </r>
  <r>
    <s v="U03037"/>
    <x v="8"/>
    <n v="32"/>
    <s v="Male"/>
    <x v="1"/>
    <x v="3"/>
    <n v="23.19"/>
    <n v="3"/>
    <n v="10"/>
    <n v="3.28"/>
    <n v="43.5"/>
    <s v="Family"/>
    <n v="5"/>
    <n v="0"/>
    <n v="1"/>
  </r>
  <r>
    <s v="U03038"/>
    <x v="10"/>
    <n v="22"/>
    <s v="Male"/>
    <x v="1"/>
    <x v="3"/>
    <n v="14.1"/>
    <n v="3"/>
    <n v="3.5"/>
    <n v="9.27"/>
    <n v="29"/>
    <s v="Family"/>
    <n v="5"/>
    <n v="4"/>
    <n v="0"/>
  </r>
  <r>
    <s v="U03039"/>
    <x v="2"/>
    <n v="46"/>
    <s v="Male"/>
    <x v="0"/>
    <x v="0"/>
    <n v="20.58"/>
    <n v="5"/>
    <n v="2.7"/>
    <n v="5.98"/>
    <n v="15.6"/>
    <s v="Family"/>
    <n v="1"/>
    <n v="0"/>
    <n v="0"/>
  </r>
  <r>
    <s v="U03040"/>
    <x v="0"/>
    <n v="36"/>
    <s v="Male"/>
    <x v="0"/>
    <x v="0"/>
    <n v="8.07"/>
    <n v="3"/>
    <n v="5.2"/>
    <n v="8.51"/>
    <n v="27.1"/>
    <s v="Action"/>
    <n v="6"/>
    <n v="3"/>
    <n v="0"/>
  </r>
  <r>
    <s v="U03041"/>
    <x v="7"/>
    <n v="68"/>
    <s v="Male"/>
    <x v="1"/>
    <x v="0"/>
    <n v="6.9"/>
    <n v="3"/>
    <n v="5.5"/>
    <n v="10.97"/>
    <n v="41.6"/>
    <s v="Comedy"/>
    <n v="10"/>
    <n v="0"/>
    <n v="1"/>
  </r>
  <r>
    <s v="U03042"/>
    <x v="8"/>
    <n v="27"/>
    <s v="Male"/>
    <x v="0"/>
    <x v="3"/>
    <n v="22.54"/>
    <n v="5"/>
    <n v="4.2"/>
    <n v="17.89"/>
    <n v="56.8"/>
    <s v="Action"/>
    <n v="8"/>
    <n v="0"/>
    <n v="1"/>
  </r>
  <r>
    <s v="U03043"/>
    <x v="3"/>
    <n v="29"/>
    <s v="Female"/>
    <x v="2"/>
    <x v="1"/>
    <n v="5.62"/>
    <n v="1"/>
    <n v="7.3"/>
    <n v="10.130000000000001"/>
    <n v="28.4"/>
    <s v="Comedy"/>
    <n v="5"/>
    <n v="4"/>
    <n v="0"/>
  </r>
  <r>
    <s v="U03044"/>
    <x v="2"/>
    <n v="21"/>
    <s v="Male"/>
    <x v="1"/>
    <x v="3"/>
    <n v="24.45"/>
    <n v="4"/>
    <n v="2.7"/>
    <n v="22.45"/>
    <n v="97.7"/>
    <s v="Thriller"/>
    <n v="10"/>
    <n v="3"/>
    <n v="1"/>
  </r>
  <r>
    <s v="U03045"/>
    <x v="1"/>
    <n v="48"/>
    <s v="Male"/>
    <x v="0"/>
    <x v="1"/>
    <n v="18.440000000000001"/>
    <n v="5"/>
    <n v="5.6"/>
    <n v="9.59"/>
    <n v="16.899999999999999"/>
    <s v="Action"/>
    <n v="6"/>
    <n v="1"/>
    <n v="0"/>
  </r>
  <r>
    <s v="U03046"/>
    <x v="3"/>
    <n v="35"/>
    <s v="Female"/>
    <x v="1"/>
    <x v="0"/>
    <n v="13.39"/>
    <n v="1"/>
    <n v="5.5"/>
    <n v="6.01"/>
    <n v="18.5"/>
    <s v="Family"/>
    <n v="5"/>
    <n v="2"/>
    <n v="1"/>
  </r>
  <r>
    <s v="U03047"/>
    <x v="0"/>
    <n v="33"/>
    <s v="Male"/>
    <x v="0"/>
    <x v="2"/>
    <n v="7.83"/>
    <n v="4"/>
    <n v="8.4"/>
    <n v="6.72"/>
    <n v="71.400000000000006"/>
    <s v="Family"/>
    <n v="1"/>
    <n v="0"/>
    <n v="0"/>
  </r>
  <r>
    <s v="U03048"/>
    <x v="4"/>
    <n v="57"/>
    <s v="Male"/>
    <x v="0"/>
    <x v="0"/>
    <n v="19.46"/>
    <n v="3"/>
    <n v="9.3000000000000007"/>
    <n v="23.56"/>
    <n v="78"/>
    <s v="Family"/>
    <n v="5"/>
    <n v="3"/>
    <n v="0"/>
  </r>
  <r>
    <s v="U03049"/>
    <x v="5"/>
    <n v="53"/>
    <s v="Male"/>
    <x v="0"/>
    <x v="4"/>
    <n v="16.260000000000002"/>
    <n v="5"/>
    <n v="7"/>
    <n v="13.01"/>
    <n v="97.5"/>
    <s v="Comedy"/>
    <n v="2"/>
    <n v="2"/>
    <n v="0"/>
  </r>
  <r>
    <s v="U03050"/>
    <x v="5"/>
    <n v="42"/>
    <s v="Male"/>
    <x v="2"/>
    <x v="1"/>
    <n v="19.22"/>
    <n v="3"/>
    <n v="3.7"/>
    <n v="11.87"/>
    <n v="57.7"/>
    <s v="Comedy"/>
    <n v="4"/>
    <n v="1"/>
    <n v="0"/>
  </r>
  <r>
    <s v="U03051"/>
    <x v="9"/>
    <n v="40"/>
    <s v="Female"/>
    <x v="2"/>
    <x v="2"/>
    <n v="13.36"/>
    <n v="5"/>
    <n v="7.2"/>
    <n v="4.5199999999999996"/>
    <n v="24.9"/>
    <s v="Action"/>
    <n v="2"/>
    <n v="2"/>
    <n v="0"/>
  </r>
  <r>
    <s v="U03052"/>
    <x v="3"/>
    <n v="29"/>
    <s v="Female"/>
    <x v="2"/>
    <x v="0"/>
    <n v="6.33"/>
    <n v="4"/>
    <n v="3.3"/>
    <n v="19.13"/>
    <n v="94.4"/>
    <s v="Drama"/>
    <n v="8"/>
    <n v="1"/>
    <n v="0"/>
  </r>
  <r>
    <s v="U03053"/>
    <x v="11"/>
    <n v="51"/>
    <s v="Male"/>
    <x v="1"/>
    <x v="2"/>
    <n v="11.3"/>
    <n v="1"/>
    <n v="9.6999999999999993"/>
    <n v="18.28"/>
    <n v="98.2"/>
    <s v="Comedy"/>
    <n v="7"/>
    <n v="2"/>
    <n v="0"/>
  </r>
  <r>
    <s v="U03054"/>
    <x v="4"/>
    <n v="53"/>
    <s v="Male"/>
    <x v="0"/>
    <x v="3"/>
    <n v="11.3"/>
    <n v="5"/>
    <n v="8.4"/>
    <n v="11.27"/>
    <n v="93.1"/>
    <s v="Drama"/>
    <n v="9"/>
    <n v="1"/>
    <n v="0"/>
  </r>
  <r>
    <s v="U03055"/>
    <x v="5"/>
    <n v="54"/>
    <s v="Female"/>
    <x v="1"/>
    <x v="1"/>
    <n v="5.17"/>
    <n v="1"/>
    <n v="4.9000000000000004"/>
    <n v="18.22"/>
    <n v="88.4"/>
    <s v="Drama"/>
    <n v="4"/>
    <n v="0"/>
    <n v="0"/>
  </r>
  <r>
    <s v="U03056"/>
    <x v="4"/>
    <n v="20"/>
    <s v="Male"/>
    <x v="2"/>
    <x v="4"/>
    <n v="5.19"/>
    <n v="3"/>
    <n v="8.1"/>
    <n v="11.08"/>
    <n v="17"/>
    <s v="Comedy"/>
    <n v="5"/>
    <n v="2"/>
    <n v="1"/>
  </r>
  <r>
    <s v="U03057"/>
    <x v="8"/>
    <n v="26"/>
    <s v="Female"/>
    <x v="2"/>
    <x v="3"/>
    <n v="11.62"/>
    <n v="3"/>
    <n v="4.7"/>
    <n v="4.6100000000000003"/>
    <n v="86.9"/>
    <s v="Action"/>
    <n v="9"/>
    <n v="1"/>
    <n v="1"/>
  </r>
  <r>
    <s v="U03058"/>
    <x v="4"/>
    <n v="35"/>
    <s v="Female"/>
    <x v="0"/>
    <x v="2"/>
    <n v="19.55"/>
    <n v="4"/>
    <n v="1.7"/>
    <n v="19.239999999999998"/>
    <n v="95.8"/>
    <s v="Drama"/>
    <n v="9"/>
    <n v="3"/>
    <n v="0"/>
  </r>
  <r>
    <s v="U03059"/>
    <x v="6"/>
    <n v="60"/>
    <s v="Female"/>
    <x v="0"/>
    <x v="0"/>
    <n v="17.48"/>
    <n v="4"/>
    <n v="7.4"/>
    <n v="24.23"/>
    <n v="59.7"/>
    <s v="Action"/>
    <n v="2"/>
    <n v="4"/>
    <n v="0"/>
  </r>
  <r>
    <s v="U03060"/>
    <x v="0"/>
    <n v="52"/>
    <s v="Male"/>
    <x v="1"/>
    <x v="1"/>
    <n v="9.7799999999999994"/>
    <n v="2"/>
    <n v="4.5999999999999996"/>
    <n v="17.260000000000002"/>
    <n v="79.5"/>
    <s v="Action"/>
    <n v="11"/>
    <n v="2"/>
    <n v="0"/>
  </r>
  <r>
    <s v="U03061"/>
    <x v="5"/>
    <n v="51"/>
    <s v="Male"/>
    <x v="2"/>
    <x v="4"/>
    <n v="17.059999999999999"/>
    <n v="2"/>
    <n v="9.4"/>
    <n v="9.08"/>
    <n v="69.5"/>
    <s v="Comedy"/>
    <n v="1"/>
    <n v="2"/>
    <n v="1"/>
  </r>
  <r>
    <s v="U03062"/>
    <x v="4"/>
    <n v="58"/>
    <s v="Male"/>
    <x v="2"/>
    <x v="0"/>
    <n v="17.95"/>
    <n v="4"/>
    <n v="3.8"/>
    <n v="8.94"/>
    <n v="35.9"/>
    <s v="Drama"/>
    <n v="3"/>
    <n v="2"/>
    <n v="0"/>
  </r>
  <r>
    <s v="U03063"/>
    <x v="3"/>
    <n v="31"/>
    <s v="Female"/>
    <x v="1"/>
    <x v="4"/>
    <n v="15.45"/>
    <n v="3"/>
    <n v="8.6"/>
    <n v="23.44"/>
    <n v="62.9"/>
    <s v="Action"/>
    <n v="10"/>
    <n v="2"/>
    <n v="0"/>
  </r>
  <r>
    <s v="U03064"/>
    <x v="10"/>
    <n v="21"/>
    <s v="Male"/>
    <x v="2"/>
    <x v="1"/>
    <n v="15.43"/>
    <n v="1"/>
    <n v="7.1"/>
    <n v="9.67"/>
    <n v="90"/>
    <s v="Drama"/>
    <n v="1"/>
    <n v="4"/>
    <n v="0"/>
  </r>
  <r>
    <s v="U03065"/>
    <x v="6"/>
    <n v="46"/>
    <s v="Male"/>
    <x v="1"/>
    <x v="2"/>
    <n v="12.39"/>
    <n v="4"/>
    <n v="8.6999999999999993"/>
    <n v="19.899999999999999"/>
    <n v="54.7"/>
    <s v="Action"/>
    <n v="6"/>
    <n v="2"/>
    <n v="0"/>
  </r>
  <r>
    <s v="U03066"/>
    <x v="6"/>
    <n v="58"/>
    <s v="Female"/>
    <x v="2"/>
    <x v="4"/>
    <n v="7.47"/>
    <n v="1"/>
    <n v="3.6"/>
    <n v="17.14"/>
    <n v="63.1"/>
    <s v="Comedy"/>
    <n v="8"/>
    <n v="0"/>
    <n v="0"/>
  </r>
  <r>
    <s v="U03067"/>
    <x v="11"/>
    <n v="62"/>
    <s v="Male"/>
    <x v="2"/>
    <x v="1"/>
    <n v="12.71"/>
    <n v="2"/>
    <n v="5.2"/>
    <n v="16.04"/>
    <n v="57.8"/>
    <s v="Action"/>
    <n v="4"/>
    <n v="0"/>
    <n v="1"/>
  </r>
  <r>
    <s v="U03068"/>
    <x v="4"/>
    <n v="67"/>
    <s v="Male"/>
    <x v="2"/>
    <x v="4"/>
    <n v="11.91"/>
    <n v="1"/>
    <n v="8.4"/>
    <n v="6.98"/>
    <n v="35.4"/>
    <s v="Comedy"/>
    <n v="11"/>
    <n v="3"/>
    <n v="0"/>
  </r>
  <r>
    <s v="U03069"/>
    <x v="9"/>
    <n v="32"/>
    <s v="Male"/>
    <x v="1"/>
    <x v="0"/>
    <n v="16.84"/>
    <n v="4"/>
    <n v="6.8"/>
    <n v="3.76"/>
    <n v="67.900000000000006"/>
    <s v="Comedy"/>
    <n v="4"/>
    <n v="4"/>
    <n v="1"/>
  </r>
  <r>
    <s v="U03070"/>
    <x v="11"/>
    <n v="45"/>
    <s v="Female"/>
    <x v="0"/>
    <x v="4"/>
    <n v="22.13"/>
    <n v="3"/>
    <n v="4.2"/>
    <n v="13.75"/>
    <n v="55.9"/>
    <s v="Drama"/>
    <n v="11"/>
    <n v="3"/>
    <n v="0"/>
  </r>
  <r>
    <s v="U03071"/>
    <x v="11"/>
    <n v="59"/>
    <s v="Male"/>
    <x v="1"/>
    <x v="0"/>
    <n v="12.51"/>
    <n v="4"/>
    <n v="5.6"/>
    <n v="24.74"/>
    <n v="30.9"/>
    <s v="Drama"/>
    <n v="10"/>
    <n v="0"/>
    <n v="0"/>
  </r>
  <r>
    <s v="U03072"/>
    <x v="10"/>
    <n v="33"/>
    <s v="Female"/>
    <x v="1"/>
    <x v="0"/>
    <n v="19.190000000000001"/>
    <n v="5"/>
    <n v="10"/>
    <n v="7.31"/>
    <n v="90.6"/>
    <s v="Drama"/>
    <n v="1"/>
    <n v="2"/>
    <n v="0"/>
  </r>
  <r>
    <s v="U03073"/>
    <x v="8"/>
    <n v="29"/>
    <s v="Female"/>
    <x v="2"/>
    <x v="1"/>
    <n v="21.24"/>
    <n v="5"/>
    <n v="7.7"/>
    <n v="14.81"/>
    <n v="95.5"/>
    <s v="Thriller"/>
    <n v="9"/>
    <n v="2"/>
    <n v="1"/>
  </r>
  <r>
    <s v="U03074"/>
    <x v="4"/>
    <n v="69"/>
    <s v="Female"/>
    <x v="0"/>
    <x v="3"/>
    <n v="9.24"/>
    <n v="5"/>
    <n v="6.5"/>
    <n v="17.760000000000002"/>
    <n v="15"/>
    <s v="Drama"/>
    <n v="10"/>
    <n v="1"/>
    <n v="0"/>
  </r>
  <r>
    <s v="U03075"/>
    <x v="1"/>
    <n v="22"/>
    <s v="Male"/>
    <x v="0"/>
    <x v="4"/>
    <n v="23.03"/>
    <n v="3"/>
    <n v="8.5"/>
    <n v="13.64"/>
    <n v="66"/>
    <s v="Drama"/>
    <n v="8"/>
    <n v="4"/>
    <n v="0"/>
  </r>
  <r>
    <s v="U03076"/>
    <x v="5"/>
    <n v="51"/>
    <s v="Male"/>
    <x v="2"/>
    <x v="2"/>
    <n v="6.41"/>
    <n v="4"/>
    <n v="5"/>
    <n v="14.15"/>
    <n v="47.4"/>
    <s v="Action"/>
    <n v="3"/>
    <n v="1"/>
    <n v="1"/>
  </r>
  <r>
    <s v="U03077"/>
    <x v="11"/>
    <n v="59"/>
    <s v="Male"/>
    <x v="0"/>
    <x v="0"/>
    <n v="23.03"/>
    <n v="5"/>
    <n v="9.6"/>
    <n v="17.55"/>
    <n v="57.3"/>
    <s v="Thriller"/>
    <n v="3"/>
    <n v="4"/>
    <n v="0"/>
  </r>
  <r>
    <s v="U03078"/>
    <x v="0"/>
    <n v="18"/>
    <s v="Female"/>
    <x v="1"/>
    <x v="3"/>
    <n v="8.27"/>
    <n v="4"/>
    <n v="6"/>
    <n v="20.93"/>
    <n v="43.6"/>
    <s v="Thriller"/>
    <n v="10"/>
    <n v="4"/>
    <n v="1"/>
  </r>
  <r>
    <s v="U03079"/>
    <x v="7"/>
    <n v="56"/>
    <s v="Female"/>
    <x v="1"/>
    <x v="0"/>
    <n v="11.74"/>
    <n v="2"/>
    <n v="3.9"/>
    <n v="10.33"/>
    <n v="52.7"/>
    <s v="Action"/>
    <n v="4"/>
    <n v="2"/>
    <n v="1"/>
  </r>
  <r>
    <s v="U03080"/>
    <x v="0"/>
    <n v="49"/>
    <s v="Male"/>
    <x v="1"/>
    <x v="3"/>
    <n v="17.100000000000001"/>
    <n v="5"/>
    <n v="1.8"/>
    <n v="22.78"/>
    <n v="39.1"/>
    <s v="Drama"/>
    <n v="4"/>
    <n v="2"/>
    <n v="0"/>
  </r>
  <r>
    <s v="U03081"/>
    <x v="10"/>
    <n v="43"/>
    <s v="Female"/>
    <x v="0"/>
    <x v="3"/>
    <n v="23.11"/>
    <n v="5"/>
    <n v="4.4000000000000004"/>
    <n v="13.67"/>
    <n v="20.6"/>
    <s v="Family"/>
    <n v="2"/>
    <n v="3"/>
    <n v="0"/>
  </r>
  <r>
    <s v="U03082"/>
    <x v="10"/>
    <n v="34"/>
    <s v="Male"/>
    <x v="2"/>
    <x v="2"/>
    <n v="10.11"/>
    <n v="3"/>
    <n v="6.1"/>
    <n v="17.559999999999999"/>
    <n v="37.200000000000003"/>
    <s v="Comedy"/>
    <n v="4"/>
    <n v="0"/>
    <n v="0"/>
  </r>
  <r>
    <s v="U03083"/>
    <x v="3"/>
    <n v="65"/>
    <s v="Male"/>
    <x v="1"/>
    <x v="3"/>
    <n v="20.27"/>
    <n v="4"/>
    <n v="7.3"/>
    <n v="5.34"/>
    <n v="70.3"/>
    <s v="Thriller"/>
    <n v="2"/>
    <n v="0"/>
    <n v="0"/>
  </r>
  <r>
    <s v="U03084"/>
    <x v="8"/>
    <n v="44"/>
    <s v="Male"/>
    <x v="2"/>
    <x v="2"/>
    <n v="19.21"/>
    <n v="3"/>
    <n v="8.9"/>
    <n v="13.83"/>
    <n v="14.5"/>
    <s v="Action"/>
    <n v="11"/>
    <n v="2"/>
    <n v="0"/>
  </r>
  <r>
    <s v="U03085"/>
    <x v="9"/>
    <n v="41"/>
    <s v="Male"/>
    <x v="1"/>
    <x v="1"/>
    <n v="8.19"/>
    <n v="3"/>
    <n v="9.5"/>
    <n v="3.35"/>
    <n v="44.4"/>
    <s v="Family"/>
    <n v="11"/>
    <n v="0"/>
    <n v="0"/>
  </r>
  <r>
    <s v="U03086"/>
    <x v="5"/>
    <n v="52"/>
    <s v="Male"/>
    <x v="0"/>
    <x v="0"/>
    <n v="14.59"/>
    <n v="4"/>
    <n v="1.9"/>
    <n v="11.6"/>
    <n v="13.8"/>
    <s v="Comedy"/>
    <n v="7"/>
    <n v="4"/>
    <n v="0"/>
  </r>
  <r>
    <s v="U03087"/>
    <x v="2"/>
    <n v="63"/>
    <s v="Male"/>
    <x v="0"/>
    <x v="2"/>
    <n v="14.63"/>
    <n v="2"/>
    <n v="6.4"/>
    <n v="4.2"/>
    <n v="42.1"/>
    <s v="Family"/>
    <n v="5"/>
    <n v="0"/>
    <n v="0"/>
  </r>
  <r>
    <s v="U03088"/>
    <x v="11"/>
    <n v="59"/>
    <s v="Male"/>
    <x v="0"/>
    <x v="0"/>
    <n v="11.09"/>
    <n v="4"/>
    <n v="7"/>
    <n v="22.73"/>
    <n v="17.899999999999999"/>
    <s v="Drama"/>
    <n v="7"/>
    <n v="3"/>
    <n v="0"/>
  </r>
  <r>
    <s v="U03089"/>
    <x v="0"/>
    <n v="56"/>
    <s v="Female"/>
    <x v="1"/>
    <x v="4"/>
    <n v="20.6"/>
    <n v="2"/>
    <n v="2.5"/>
    <n v="17.8"/>
    <n v="40.6"/>
    <s v="Action"/>
    <n v="6"/>
    <n v="0"/>
    <n v="0"/>
  </r>
  <r>
    <s v="U03090"/>
    <x v="7"/>
    <n v="43"/>
    <s v="Male"/>
    <x v="0"/>
    <x v="1"/>
    <n v="23.52"/>
    <n v="3"/>
    <n v="5.9"/>
    <n v="20.420000000000002"/>
    <n v="85.4"/>
    <s v="Comedy"/>
    <n v="2"/>
    <n v="0"/>
    <n v="1"/>
  </r>
  <r>
    <s v="U03091"/>
    <x v="10"/>
    <n v="66"/>
    <s v="Female"/>
    <x v="1"/>
    <x v="4"/>
    <n v="19.329999999999998"/>
    <n v="2"/>
    <n v="4"/>
    <n v="13.29"/>
    <n v="65.2"/>
    <s v="Comedy"/>
    <n v="2"/>
    <n v="3"/>
    <n v="0"/>
  </r>
  <r>
    <s v="U03092"/>
    <x v="10"/>
    <n v="55"/>
    <s v="Female"/>
    <x v="1"/>
    <x v="4"/>
    <n v="24.46"/>
    <n v="2"/>
    <n v="1.7"/>
    <n v="21.74"/>
    <n v="71.400000000000006"/>
    <s v="Drama"/>
    <n v="1"/>
    <n v="3"/>
    <n v="1"/>
  </r>
  <r>
    <s v="U03093"/>
    <x v="8"/>
    <n v="40"/>
    <s v="Male"/>
    <x v="0"/>
    <x v="3"/>
    <n v="6.01"/>
    <n v="2"/>
    <n v="1.6"/>
    <n v="22.21"/>
    <n v="55.3"/>
    <s v="Drama"/>
    <n v="1"/>
    <n v="2"/>
    <n v="0"/>
  </r>
  <r>
    <s v="U03094"/>
    <x v="7"/>
    <n v="39"/>
    <s v="Female"/>
    <x v="0"/>
    <x v="3"/>
    <n v="5.74"/>
    <n v="5"/>
    <n v="7.8"/>
    <n v="10.85"/>
    <n v="93"/>
    <s v="Drama"/>
    <n v="5"/>
    <n v="3"/>
    <n v="1"/>
  </r>
  <r>
    <s v="U03095"/>
    <x v="7"/>
    <n v="21"/>
    <s v="Female"/>
    <x v="2"/>
    <x v="4"/>
    <n v="22.88"/>
    <n v="5"/>
    <n v="6.5"/>
    <n v="11.29"/>
    <n v="58.7"/>
    <s v="Action"/>
    <n v="5"/>
    <n v="2"/>
    <n v="0"/>
  </r>
  <r>
    <s v="U03096"/>
    <x v="8"/>
    <n v="66"/>
    <s v="Female"/>
    <x v="2"/>
    <x v="3"/>
    <n v="22.96"/>
    <n v="3"/>
    <n v="7.4"/>
    <n v="14.18"/>
    <n v="19.399999999999999"/>
    <s v="Thriller"/>
    <n v="7"/>
    <n v="4"/>
    <n v="0"/>
  </r>
  <r>
    <s v="U03097"/>
    <x v="10"/>
    <n v="26"/>
    <s v="Male"/>
    <x v="0"/>
    <x v="0"/>
    <n v="7.14"/>
    <n v="4"/>
    <n v="7.2"/>
    <n v="3.93"/>
    <n v="94"/>
    <s v="Family"/>
    <n v="1"/>
    <n v="1"/>
    <n v="0"/>
  </r>
  <r>
    <s v="U03098"/>
    <x v="5"/>
    <n v="21"/>
    <s v="Male"/>
    <x v="0"/>
    <x v="3"/>
    <n v="12.15"/>
    <n v="2"/>
    <n v="2.2000000000000002"/>
    <n v="24.91"/>
    <n v="22"/>
    <s v="Action"/>
    <n v="5"/>
    <n v="0"/>
    <n v="1"/>
  </r>
  <r>
    <s v="U03099"/>
    <x v="4"/>
    <n v="24"/>
    <s v="Male"/>
    <x v="2"/>
    <x v="4"/>
    <n v="21.71"/>
    <n v="5"/>
    <n v="2.4"/>
    <n v="10.9"/>
    <n v="99.9"/>
    <s v="Action"/>
    <n v="2"/>
    <n v="3"/>
    <n v="0"/>
  </r>
  <r>
    <s v="U03100"/>
    <x v="4"/>
    <n v="40"/>
    <s v="Male"/>
    <x v="0"/>
    <x v="3"/>
    <n v="7.57"/>
    <n v="4"/>
    <n v="3.3"/>
    <n v="13.36"/>
    <n v="49.2"/>
    <s v="Family"/>
    <n v="10"/>
    <n v="0"/>
    <n v="0"/>
  </r>
  <r>
    <s v="U03101"/>
    <x v="8"/>
    <n v="19"/>
    <s v="Male"/>
    <x v="2"/>
    <x v="3"/>
    <n v="10.35"/>
    <n v="2"/>
    <n v="4.5999999999999996"/>
    <n v="19.600000000000001"/>
    <n v="16.600000000000001"/>
    <s v="Comedy"/>
    <n v="1"/>
    <n v="4"/>
    <n v="0"/>
  </r>
  <r>
    <s v="U03102"/>
    <x v="7"/>
    <n v="66"/>
    <s v="Female"/>
    <x v="0"/>
    <x v="2"/>
    <n v="18.62"/>
    <n v="4"/>
    <n v="9.5"/>
    <n v="9.5500000000000007"/>
    <n v="87.8"/>
    <s v="Family"/>
    <n v="7"/>
    <n v="1"/>
    <n v="0"/>
  </r>
  <r>
    <s v="U03103"/>
    <x v="11"/>
    <n v="41"/>
    <s v="Female"/>
    <x v="2"/>
    <x v="2"/>
    <n v="24.64"/>
    <n v="1"/>
    <n v="7.1"/>
    <n v="7.44"/>
    <n v="18.399999999999999"/>
    <s v="Drama"/>
    <n v="3"/>
    <n v="3"/>
    <n v="0"/>
  </r>
  <r>
    <s v="U03104"/>
    <x v="8"/>
    <n v="57"/>
    <s v="Male"/>
    <x v="1"/>
    <x v="4"/>
    <n v="20.94"/>
    <n v="2"/>
    <n v="3.3"/>
    <n v="5.8"/>
    <n v="25.7"/>
    <s v="Comedy"/>
    <n v="11"/>
    <n v="2"/>
    <n v="0"/>
  </r>
  <r>
    <s v="U03105"/>
    <x v="5"/>
    <n v="48"/>
    <s v="Female"/>
    <x v="2"/>
    <x v="0"/>
    <n v="20.55"/>
    <n v="4"/>
    <n v="1.5"/>
    <n v="14.62"/>
    <n v="47.6"/>
    <s v="Action"/>
    <n v="9"/>
    <n v="2"/>
    <n v="0"/>
  </r>
  <r>
    <s v="U03106"/>
    <x v="8"/>
    <n v="64"/>
    <s v="Female"/>
    <x v="1"/>
    <x v="1"/>
    <n v="11.85"/>
    <n v="2"/>
    <n v="7.2"/>
    <n v="3.12"/>
    <n v="70.900000000000006"/>
    <s v="Family"/>
    <n v="5"/>
    <n v="3"/>
    <n v="0"/>
  </r>
  <r>
    <s v="U03107"/>
    <x v="6"/>
    <n v="48"/>
    <s v="Female"/>
    <x v="1"/>
    <x v="1"/>
    <n v="18.23"/>
    <n v="2"/>
    <n v="6.6"/>
    <n v="18.61"/>
    <n v="20.9"/>
    <s v="Action"/>
    <n v="5"/>
    <n v="3"/>
    <n v="0"/>
  </r>
  <r>
    <s v="U03108"/>
    <x v="0"/>
    <n v="64"/>
    <s v="Female"/>
    <x v="0"/>
    <x v="4"/>
    <n v="7.26"/>
    <n v="1"/>
    <n v="7.1"/>
    <n v="13.15"/>
    <n v="66"/>
    <s v="Action"/>
    <n v="5"/>
    <n v="4"/>
    <n v="0"/>
  </r>
  <r>
    <s v="U03109"/>
    <x v="7"/>
    <n v="57"/>
    <s v="Male"/>
    <x v="0"/>
    <x v="0"/>
    <n v="24.85"/>
    <n v="4"/>
    <n v="3.4"/>
    <n v="14.7"/>
    <n v="80.2"/>
    <s v="Family"/>
    <n v="9"/>
    <n v="1"/>
    <n v="0"/>
  </r>
  <r>
    <s v="U03110"/>
    <x v="9"/>
    <n v="65"/>
    <s v="Male"/>
    <x v="2"/>
    <x v="0"/>
    <n v="14.61"/>
    <n v="3"/>
    <n v="5.7"/>
    <n v="8.7899999999999991"/>
    <n v="21.1"/>
    <s v="Action"/>
    <n v="10"/>
    <n v="3"/>
    <n v="0"/>
  </r>
  <r>
    <s v="U03111"/>
    <x v="3"/>
    <n v="68"/>
    <s v="Male"/>
    <x v="1"/>
    <x v="0"/>
    <n v="17.78"/>
    <n v="5"/>
    <n v="4.3"/>
    <n v="6.92"/>
    <n v="68.3"/>
    <s v="Thriller"/>
    <n v="1"/>
    <n v="2"/>
    <n v="0"/>
  </r>
  <r>
    <s v="U03112"/>
    <x v="3"/>
    <n v="60"/>
    <s v="Female"/>
    <x v="2"/>
    <x v="2"/>
    <n v="22.52"/>
    <n v="2"/>
    <n v="8.4"/>
    <n v="18.399999999999999"/>
    <n v="96.3"/>
    <s v="Thriller"/>
    <n v="5"/>
    <n v="1"/>
    <n v="0"/>
  </r>
  <r>
    <s v="U03113"/>
    <x v="7"/>
    <n v="51"/>
    <s v="Female"/>
    <x v="1"/>
    <x v="4"/>
    <n v="5.0199999999999996"/>
    <n v="2"/>
    <n v="1.6"/>
    <n v="7.63"/>
    <n v="97.1"/>
    <s v="Action"/>
    <n v="10"/>
    <n v="3"/>
    <n v="0"/>
  </r>
  <r>
    <s v="U03114"/>
    <x v="9"/>
    <n v="41"/>
    <s v="Male"/>
    <x v="2"/>
    <x v="1"/>
    <n v="24.52"/>
    <n v="2"/>
    <n v="3.5"/>
    <n v="20.16"/>
    <n v="24.5"/>
    <s v="Comedy"/>
    <n v="6"/>
    <n v="1"/>
    <n v="1"/>
  </r>
  <r>
    <s v="U03115"/>
    <x v="2"/>
    <n v="66"/>
    <s v="Male"/>
    <x v="1"/>
    <x v="0"/>
    <n v="12.18"/>
    <n v="2"/>
    <n v="6.4"/>
    <n v="7.48"/>
    <n v="78.400000000000006"/>
    <s v="Comedy"/>
    <n v="9"/>
    <n v="4"/>
    <n v="1"/>
  </r>
  <r>
    <s v="U03116"/>
    <x v="5"/>
    <n v="43"/>
    <s v="Female"/>
    <x v="2"/>
    <x v="4"/>
    <n v="11.79"/>
    <n v="5"/>
    <n v="2.8"/>
    <n v="16.48"/>
    <n v="86.2"/>
    <s v="Comedy"/>
    <n v="3"/>
    <n v="3"/>
    <n v="0"/>
  </r>
  <r>
    <s v="U03117"/>
    <x v="6"/>
    <n v="33"/>
    <s v="Male"/>
    <x v="2"/>
    <x v="1"/>
    <n v="7.9"/>
    <n v="3"/>
    <n v="7.1"/>
    <n v="17.170000000000002"/>
    <n v="90"/>
    <s v="Comedy"/>
    <n v="1"/>
    <n v="3"/>
    <n v="1"/>
  </r>
  <r>
    <s v="U03118"/>
    <x v="6"/>
    <n v="64"/>
    <s v="Male"/>
    <x v="1"/>
    <x v="2"/>
    <n v="22.16"/>
    <n v="1"/>
    <n v="2.2000000000000002"/>
    <n v="14.12"/>
    <n v="39.1"/>
    <s v="Thriller"/>
    <n v="11"/>
    <n v="1"/>
    <n v="0"/>
  </r>
  <r>
    <s v="U03119"/>
    <x v="10"/>
    <n v="30"/>
    <s v="Female"/>
    <x v="2"/>
    <x v="3"/>
    <n v="22.42"/>
    <n v="3"/>
    <n v="1.2"/>
    <n v="24.93"/>
    <n v="34.299999999999997"/>
    <s v="Comedy"/>
    <n v="11"/>
    <n v="3"/>
    <n v="0"/>
  </r>
  <r>
    <s v="U03120"/>
    <x v="0"/>
    <n v="32"/>
    <s v="Female"/>
    <x v="2"/>
    <x v="1"/>
    <n v="5.4"/>
    <n v="5"/>
    <n v="8.8000000000000007"/>
    <n v="11.27"/>
    <n v="14.3"/>
    <s v="Family"/>
    <n v="8"/>
    <n v="1"/>
    <n v="1"/>
  </r>
  <r>
    <s v="U03121"/>
    <x v="4"/>
    <n v="44"/>
    <s v="Male"/>
    <x v="0"/>
    <x v="1"/>
    <n v="6.11"/>
    <n v="4"/>
    <n v="4"/>
    <n v="22.43"/>
    <n v="46"/>
    <s v="Comedy"/>
    <n v="9"/>
    <n v="1"/>
    <n v="0"/>
  </r>
  <r>
    <s v="U03122"/>
    <x v="1"/>
    <n v="21"/>
    <s v="Female"/>
    <x v="1"/>
    <x v="1"/>
    <n v="23.37"/>
    <n v="1"/>
    <n v="2.4"/>
    <n v="6.72"/>
    <n v="21.2"/>
    <s v="Family"/>
    <n v="11"/>
    <n v="3"/>
    <n v="0"/>
  </r>
  <r>
    <s v="U03123"/>
    <x v="5"/>
    <n v="33"/>
    <s v="Male"/>
    <x v="0"/>
    <x v="3"/>
    <n v="7.46"/>
    <n v="1"/>
    <n v="2.6"/>
    <n v="10.42"/>
    <n v="80.8"/>
    <s v="Thriller"/>
    <n v="6"/>
    <n v="2"/>
    <n v="0"/>
  </r>
  <r>
    <s v="U03124"/>
    <x v="1"/>
    <n v="47"/>
    <s v="Female"/>
    <x v="2"/>
    <x v="0"/>
    <n v="17.420000000000002"/>
    <n v="4"/>
    <n v="9"/>
    <n v="6.2"/>
    <n v="22.9"/>
    <s v="Family"/>
    <n v="5"/>
    <n v="4"/>
    <n v="0"/>
  </r>
  <r>
    <s v="U03125"/>
    <x v="1"/>
    <n v="61"/>
    <s v="Female"/>
    <x v="0"/>
    <x v="3"/>
    <n v="17.39"/>
    <n v="2"/>
    <n v="6.9"/>
    <n v="16.28"/>
    <n v="83.7"/>
    <s v="Family"/>
    <n v="8"/>
    <n v="1"/>
    <n v="0"/>
  </r>
  <r>
    <s v="U03126"/>
    <x v="7"/>
    <n v="47"/>
    <s v="Male"/>
    <x v="0"/>
    <x v="1"/>
    <n v="22.39"/>
    <n v="5"/>
    <n v="9.6"/>
    <n v="17.04"/>
    <n v="19.7"/>
    <s v="Action"/>
    <n v="6"/>
    <n v="2"/>
    <n v="0"/>
  </r>
  <r>
    <s v="U03127"/>
    <x v="3"/>
    <n v="53"/>
    <s v="Female"/>
    <x v="1"/>
    <x v="2"/>
    <n v="16.45"/>
    <n v="4"/>
    <n v="8.1999999999999993"/>
    <n v="12.98"/>
    <n v="53.3"/>
    <s v="Family"/>
    <n v="6"/>
    <n v="1"/>
    <n v="0"/>
  </r>
  <r>
    <s v="U03128"/>
    <x v="3"/>
    <n v="20"/>
    <s v="Male"/>
    <x v="1"/>
    <x v="1"/>
    <n v="13.68"/>
    <n v="3"/>
    <n v="7.9"/>
    <n v="18.84"/>
    <n v="44.6"/>
    <s v="Action"/>
    <n v="9"/>
    <n v="2"/>
    <n v="0"/>
  </r>
  <r>
    <s v="U03129"/>
    <x v="4"/>
    <n v="39"/>
    <s v="Female"/>
    <x v="2"/>
    <x v="2"/>
    <n v="24.49"/>
    <n v="3"/>
    <n v="5.5"/>
    <n v="22.09"/>
    <n v="64.099999999999994"/>
    <s v="Comedy"/>
    <n v="9"/>
    <n v="3"/>
    <n v="0"/>
  </r>
  <r>
    <s v="U03130"/>
    <x v="7"/>
    <n v="66"/>
    <s v="Male"/>
    <x v="2"/>
    <x v="4"/>
    <n v="9.58"/>
    <n v="4"/>
    <n v="8.4"/>
    <n v="20.079999999999998"/>
    <n v="56.7"/>
    <s v="Family"/>
    <n v="1"/>
    <n v="4"/>
    <n v="0"/>
  </r>
  <r>
    <s v="U03131"/>
    <x v="1"/>
    <n v="39"/>
    <s v="Female"/>
    <x v="1"/>
    <x v="2"/>
    <n v="10.25"/>
    <n v="5"/>
    <n v="4.7"/>
    <n v="8.32"/>
    <n v="63.9"/>
    <s v="Family"/>
    <n v="2"/>
    <n v="2"/>
    <n v="0"/>
  </r>
  <r>
    <s v="U03132"/>
    <x v="9"/>
    <n v="67"/>
    <s v="Female"/>
    <x v="0"/>
    <x v="1"/>
    <n v="6.7"/>
    <n v="1"/>
    <n v="8.4"/>
    <n v="10.050000000000001"/>
    <n v="10.1"/>
    <s v="Drama"/>
    <n v="1"/>
    <n v="0"/>
    <n v="1"/>
  </r>
  <r>
    <s v="U03133"/>
    <x v="2"/>
    <n v="67"/>
    <s v="Male"/>
    <x v="2"/>
    <x v="3"/>
    <n v="24.51"/>
    <n v="1"/>
    <n v="7.8"/>
    <n v="11.37"/>
    <n v="21.5"/>
    <s v="Comedy"/>
    <n v="2"/>
    <n v="1"/>
    <n v="0"/>
  </r>
  <r>
    <s v="U03134"/>
    <x v="11"/>
    <n v="66"/>
    <s v="Female"/>
    <x v="1"/>
    <x v="1"/>
    <n v="19.13"/>
    <n v="2"/>
    <n v="7.1"/>
    <n v="7.48"/>
    <n v="56.5"/>
    <s v="Family"/>
    <n v="3"/>
    <n v="2"/>
    <n v="0"/>
  </r>
  <r>
    <s v="U03135"/>
    <x v="3"/>
    <n v="29"/>
    <s v="Male"/>
    <x v="1"/>
    <x v="1"/>
    <n v="5.24"/>
    <n v="5"/>
    <n v="4"/>
    <n v="10.95"/>
    <n v="30.7"/>
    <s v="Family"/>
    <n v="2"/>
    <n v="4"/>
    <n v="0"/>
  </r>
  <r>
    <s v="U03136"/>
    <x v="5"/>
    <n v="38"/>
    <s v="Female"/>
    <x v="1"/>
    <x v="4"/>
    <n v="19.09"/>
    <n v="3"/>
    <n v="6.7"/>
    <n v="8.24"/>
    <n v="16.899999999999999"/>
    <s v="Drama"/>
    <n v="6"/>
    <n v="4"/>
    <n v="0"/>
  </r>
  <r>
    <s v="U03137"/>
    <x v="9"/>
    <n v="21"/>
    <s v="Female"/>
    <x v="1"/>
    <x v="0"/>
    <n v="13.08"/>
    <n v="3"/>
    <n v="5.6"/>
    <n v="24.91"/>
    <n v="29.6"/>
    <s v="Action"/>
    <n v="4"/>
    <n v="4"/>
    <n v="0"/>
  </r>
  <r>
    <s v="U03138"/>
    <x v="5"/>
    <n v="48"/>
    <s v="Male"/>
    <x v="1"/>
    <x v="1"/>
    <n v="24.35"/>
    <n v="2"/>
    <n v="5.2"/>
    <n v="20.23"/>
    <n v="80.2"/>
    <s v="Comedy"/>
    <n v="5"/>
    <n v="2"/>
    <n v="0"/>
  </r>
  <r>
    <s v="U03139"/>
    <x v="10"/>
    <n v="61"/>
    <s v="Female"/>
    <x v="2"/>
    <x v="4"/>
    <n v="10.55"/>
    <n v="3"/>
    <n v="9.9"/>
    <n v="21.92"/>
    <n v="58.8"/>
    <s v="Drama"/>
    <n v="10"/>
    <n v="2"/>
    <n v="0"/>
  </r>
  <r>
    <s v="U03140"/>
    <x v="8"/>
    <n v="48"/>
    <s v="Female"/>
    <x v="1"/>
    <x v="3"/>
    <n v="19.21"/>
    <n v="2"/>
    <n v="5.5"/>
    <n v="23.29"/>
    <n v="27.1"/>
    <s v="Comedy"/>
    <n v="9"/>
    <n v="3"/>
    <n v="0"/>
  </r>
  <r>
    <s v="U03141"/>
    <x v="11"/>
    <n v="40"/>
    <s v="Male"/>
    <x v="2"/>
    <x v="4"/>
    <n v="17.55"/>
    <n v="2"/>
    <n v="1.3"/>
    <n v="17.63"/>
    <n v="11.4"/>
    <s v="Comedy"/>
    <n v="2"/>
    <n v="0"/>
    <n v="0"/>
  </r>
  <r>
    <s v="U03142"/>
    <x v="3"/>
    <n v="37"/>
    <s v="Female"/>
    <x v="1"/>
    <x v="4"/>
    <n v="5.24"/>
    <n v="4"/>
    <n v="6.6"/>
    <n v="6.87"/>
    <n v="42.2"/>
    <s v="Action"/>
    <n v="3"/>
    <n v="2"/>
    <n v="0"/>
  </r>
  <r>
    <s v="U03143"/>
    <x v="6"/>
    <n v="32"/>
    <s v="Male"/>
    <x v="0"/>
    <x v="2"/>
    <n v="22.7"/>
    <n v="1"/>
    <n v="7.6"/>
    <n v="19.690000000000001"/>
    <n v="42.2"/>
    <s v="Action"/>
    <n v="10"/>
    <n v="3"/>
    <n v="0"/>
  </r>
  <r>
    <s v="U03144"/>
    <x v="3"/>
    <n v="40"/>
    <s v="Male"/>
    <x v="2"/>
    <x v="0"/>
    <n v="7.79"/>
    <n v="5"/>
    <n v="9"/>
    <n v="3.34"/>
    <n v="76.2"/>
    <s v="Thriller"/>
    <n v="1"/>
    <n v="1"/>
    <n v="1"/>
  </r>
  <r>
    <s v="U03145"/>
    <x v="9"/>
    <n v="45"/>
    <s v="Male"/>
    <x v="1"/>
    <x v="0"/>
    <n v="18.27"/>
    <n v="5"/>
    <n v="6.7"/>
    <n v="5.49"/>
    <n v="92.7"/>
    <s v="Drama"/>
    <n v="2"/>
    <n v="0"/>
    <n v="1"/>
  </r>
  <r>
    <s v="U03146"/>
    <x v="10"/>
    <n v="33"/>
    <s v="Female"/>
    <x v="0"/>
    <x v="3"/>
    <n v="20.51"/>
    <n v="1"/>
    <n v="1.2"/>
    <n v="3.65"/>
    <n v="43.5"/>
    <s v="Drama"/>
    <n v="1"/>
    <n v="4"/>
    <n v="0"/>
  </r>
  <r>
    <s v="U03147"/>
    <x v="5"/>
    <n v="54"/>
    <s v="Female"/>
    <x v="1"/>
    <x v="4"/>
    <n v="17.62"/>
    <n v="5"/>
    <n v="2.1"/>
    <n v="5.98"/>
    <n v="71.900000000000006"/>
    <s v="Comedy"/>
    <n v="9"/>
    <n v="0"/>
    <n v="1"/>
  </r>
  <r>
    <s v="U03148"/>
    <x v="1"/>
    <n v="38"/>
    <s v="Male"/>
    <x v="1"/>
    <x v="3"/>
    <n v="6.94"/>
    <n v="3"/>
    <n v="2.5"/>
    <n v="19.54"/>
    <n v="67.099999999999994"/>
    <s v="Thriller"/>
    <n v="3"/>
    <n v="1"/>
    <n v="1"/>
  </r>
  <r>
    <s v="U03149"/>
    <x v="6"/>
    <n v="32"/>
    <s v="Female"/>
    <x v="2"/>
    <x v="3"/>
    <n v="24.5"/>
    <n v="3"/>
    <n v="2.9"/>
    <n v="22.48"/>
    <n v="48"/>
    <s v="Thriller"/>
    <n v="3"/>
    <n v="2"/>
    <n v="0"/>
  </r>
  <r>
    <s v="U03150"/>
    <x v="7"/>
    <n v="34"/>
    <s v="Male"/>
    <x v="1"/>
    <x v="0"/>
    <n v="9.74"/>
    <n v="5"/>
    <n v="8.1999999999999993"/>
    <n v="9.1300000000000008"/>
    <n v="15.9"/>
    <s v="Comedy"/>
    <n v="7"/>
    <n v="2"/>
    <n v="0"/>
  </r>
  <r>
    <s v="U03151"/>
    <x v="0"/>
    <n v="67"/>
    <s v="Female"/>
    <x v="2"/>
    <x v="0"/>
    <n v="17.559999999999999"/>
    <n v="4"/>
    <n v="3.8"/>
    <n v="5.62"/>
    <n v="52.6"/>
    <s v="Action"/>
    <n v="1"/>
    <n v="3"/>
    <n v="0"/>
  </r>
  <r>
    <s v="U03152"/>
    <x v="1"/>
    <n v="54"/>
    <s v="Male"/>
    <x v="0"/>
    <x v="0"/>
    <n v="20.94"/>
    <n v="5"/>
    <n v="3.8"/>
    <n v="9.01"/>
    <n v="41.9"/>
    <s v="Thriller"/>
    <n v="9"/>
    <n v="2"/>
    <n v="0"/>
  </r>
  <r>
    <s v="U03153"/>
    <x v="0"/>
    <n v="30"/>
    <s v="Male"/>
    <x v="1"/>
    <x v="1"/>
    <n v="23.78"/>
    <n v="2"/>
    <n v="7.8"/>
    <n v="17.239999999999998"/>
    <n v="59.5"/>
    <s v="Drama"/>
    <n v="7"/>
    <n v="2"/>
    <n v="0"/>
  </r>
  <r>
    <s v="U03154"/>
    <x v="11"/>
    <n v="36"/>
    <s v="Female"/>
    <x v="2"/>
    <x v="4"/>
    <n v="17.079999999999998"/>
    <n v="2"/>
    <n v="4.7"/>
    <n v="10.7"/>
    <n v="21.3"/>
    <s v="Action"/>
    <n v="9"/>
    <n v="0"/>
    <n v="1"/>
  </r>
  <r>
    <s v="U03155"/>
    <x v="2"/>
    <n v="47"/>
    <s v="Male"/>
    <x v="2"/>
    <x v="3"/>
    <n v="10.18"/>
    <n v="1"/>
    <n v="1.6"/>
    <n v="24.15"/>
    <n v="75.2"/>
    <s v="Family"/>
    <n v="8"/>
    <n v="1"/>
    <n v="0"/>
  </r>
  <r>
    <s v="U03156"/>
    <x v="8"/>
    <n v="62"/>
    <s v="Male"/>
    <x v="0"/>
    <x v="4"/>
    <n v="21.73"/>
    <n v="3"/>
    <n v="6.3"/>
    <n v="5.88"/>
    <n v="80.900000000000006"/>
    <s v="Thriller"/>
    <n v="5"/>
    <n v="4"/>
    <n v="0"/>
  </r>
  <r>
    <s v="U03157"/>
    <x v="2"/>
    <n v="35"/>
    <s v="Female"/>
    <x v="0"/>
    <x v="3"/>
    <n v="8.26"/>
    <n v="4"/>
    <n v="2.2000000000000002"/>
    <n v="24.79"/>
    <n v="45"/>
    <s v="Comedy"/>
    <n v="3"/>
    <n v="4"/>
    <n v="1"/>
  </r>
  <r>
    <s v="U03158"/>
    <x v="6"/>
    <n v="31"/>
    <s v="Male"/>
    <x v="1"/>
    <x v="3"/>
    <n v="5.45"/>
    <n v="5"/>
    <n v="6.1"/>
    <n v="3.27"/>
    <n v="25.8"/>
    <s v="Drama"/>
    <n v="11"/>
    <n v="3"/>
    <n v="1"/>
  </r>
  <r>
    <s v="U03159"/>
    <x v="4"/>
    <n v="53"/>
    <s v="Male"/>
    <x v="1"/>
    <x v="3"/>
    <n v="23.16"/>
    <n v="2"/>
    <n v="8"/>
    <n v="12.94"/>
    <n v="66.099999999999994"/>
    <s v="Thriller"/>
    <n v="9"/>
    <n v="1"/>
    <n v="1"/>
  </r>
  <r>
    <s v="U03160"/>
    <x v="6"/>
    <n v="53"/>
    <s v="Female"/>
    <x v="2"/>
    <x v="3"/>
    <n v="16.510000000000002"/>
    <n v="3"/>
    <n v="9.4"/>
    <n v="8.5399999999999991"/>
    <n v="96"/>
    <s v="Comedy"/>
    <n v="5"/>
    <n v="0"/>
    <n v="1"/>
  </r>
  <r>
    <s v="U03161"/>
    <x v="2"/>
    <n v="37"/>
    <s v="Male"/>
    <x v="2"/>
    <x v="2"/>
    <n v="6.39"/>
    <n v="3"/>
    <n v="1.6"/>
    <n v="15.46"/>
    <n v="73"/>
    <s v="Drama"/>
    <n v="9"/>
    <n v="4"/>
    <n v="0"/>
  </r>
  <r>
    <s v="U03162"/>
    <x v="3"/>
    <n v="69"/>
    <s v="Male"/>
    <x v="1"/>
    <x v="2"/>
    <n v="16.59"/>
    <n v="4"/>
    <n v="3.7"/>
    <n v="5.12"/>
    <n v="21.1"/>
    <s v="Thriller"/>
    <n v="3"/>
    <n v="3"/>
    <n v="0"/>
  </r>
  <r>
    <s v="U03163"/>
    <x v="9"/>
    <n v="36"/>
    <s v="Male"/>
    <x v="2"/>
    <x v="1"/>
    <n v="7.9"/>
    <n v="4"/>
    <n v="6.9"/>
    <n v="22.27"/>
    <n v="45.7"/>
    <s v="Drama"/>
    <n v="6"/>
    <n v="2"/>
    <n v="0"/>
  </r>
  <r>
    <s v="U03164"/>
    <x v="5"/>
    <n v="62"/>
    <s v="Male"/>
    <x v="1"/>
    <x v="0"/>
    <n v="5.63"/>
    <n v="4"/>
    <n v="3.8"/>
    <n v="6"/>
    <n v="92.4"/>
    <s v="Family"/>
    <n v="2"/>
    <n v="2"/>
    <n v="0"/>
  </r>
  <r>
    <s v="U03165"/>
    <x v="3"/>
    <n v="61"/>
    <s v="Male"/>
    <x v="0"/>
    <x v="3"/>
    <n v="7.33"/>
    <n v="4"/>
    <n v="5.0999999999999996"/>
    <n v="15.92"/>
    <n v="67.099999999999994"/>
    <s v="Drama"/>
    <n v="3"/>
    <n v="0"/>
    <n v="0"/>
  </r>
  <r>
    <s v="U03166"/>
    <x v="3"/>
    <n v="24"/>
    <s v="Male"/>
    <x v="1"/>
    <x v="4"/>
    <n v="20.5"/>
    <n v="2"/>
    <n v="1.2"/>
    <n v="3.73"/>
    <n v="23.2"/>
    <s v="Comedy"/>
    <n v="2"/>
    <n v="4"/>
    <n v="0"/>
  </r>
  <r>
    <s v="U03167"/>
    <x v="9"/>
    <n v="61"/>
    <s v="Male"/>
    <x v="2"/>
    <x v="2"/>
    <n v="20.11"/>
    <n v="4"/>
    <n v="7.2"/>
    <n v="9.84"/>
    <n v="75.2"/>
    <s v="Thriller"/>
    <n v="2"/>
    <n v="2"/>
    <n v="0"/>
  </r>
  <r>
    <s v="U03168"/>
    <x v="9"/>
    <n v="21"/>
    <s v="Male"/>
    <x v="2"/>
    <x v="0"/>
    <n v="17.09"/>
    <n v="3"/>
    <n v="8.9"/>
    <n v="6.29"/>
    <n v="41.8"/>
    <s v="Comedy"/>
    <n v="5"/>
    <n v="3"/>
    <n v="0"/>
  </r>
  <r>
    <s v="U03169"/>
    <x v="11"/>
    <n v="51"/>
    <s v="Female"/>
    <x v="1"/>
    <x v="1"/>
    <n v="9.19"/>
    <n v="3"/>
    <n v="9.8000000000000007"/>
    <n v="24.51"/>
    <n v="54.1"/>
    <s v="Family"/>
    <n v="10"/>
    <n v="3"/>
    <n v="0"/>
  </r>
  <r>
    <s v="U03170"/>
    <x v="1"/>
    <n v="19"/>
    <s v="Male"/>
    <x v="1"/>
    <x v="0"/>
    <n v="19.78"/>
    <n v="5"/>
    <n v="8.5"/>
    <n v="3.26"/>
    <n v="47.4"/>
    <s v="Action"/>
    <n v="4"/>
    <n v="4"/>
    <n v="0"/>
  </r>
  <r>
    <s v="U03171"/>
    <x v="4"/>
    <n v="22"/>
    <s v="Male"/>
    <x v="2"/>
    <x v="3"/>
    <n v="13.16"/>
    <n v="3"/>
    <n v="1.3"/>
    <n v="10.75"/>
    <n v="75.3"/>
    <s v="Drama"/>
    <n v="11"/>
    <n v="0"/>
    <n v="0"/>
  </r>
  <r>
    <s v="U03172"/>
    <x v="4"/>
    <n v="27"/>
    <s v="Female"/>
    <x v="1"/>
    <x v="0"/>
    <n v="15.22"/>
    <n v="3"/>
    <n v="6.9"/>
    <n v="9.66"/>
    <n v="29.6"/>
    <s v="Comedy"/>
    <n v="4"/>
    <n v="3"/>
    <n v="0"/>
  </r>
  <r>
    <s v="U03173"/>
    <x v="3"/>
    <n v="49"/>
    <s v="Male"/>
    <x v="1"/>
    <x v="3"/>
    <n v="22.95"/>
    <n v="2"/>
    <n v="5.5"/>
    <n v="17.46"/>
    <n v="45"/>
    <s v="Thriller"/>
    <n v="8"/>
    <n v="1"/>
    <n v="0"/>
  </r>
  <r>
    <s v="U03174"/>
    <x v="0"/>
    <n v="59"/>
    <s v="Male"/>
    <x v="2"/>
    <x v="2"/>
    <n v="14.16"/>
    <n v="3"/>
    <n v="9.4"/>
    <n v="4.24"/>
    <n v="77"/>
    <s v="Thriller"/>
    <n v="6"/>
    <n v="3"/>
    <n v="0"/>
  </r>
  <r>
    <s v="U03175"/>
    <x v="11"/>
    <n v="58"/>
    <s v="Male"/>
    <x v="2"/>
    <x v="2"/>
    <n v="17.53"/>
    <n v="1"/>
    <n v="9.1"/>
    <n v="20.83"/>
    <n v="73.400000000000006"/>
    <s v="Action"/>
    <n v="10"/>
    <n v="0"/>
    <n v="1"/>
  </r>
  <r>
    <s v="U03176"/>
    <x v="3"/>
    <n v="30"/>
    <s v="Male"/>
    <x v="1"/>
    <x v="3"/>
    <n v="24.24"/>
    <n v="3"/>
    <n v="9.9"/>
    <n v="13.26"/>
    <n v="28.2"/>
    <s v="Thriller"/>
    <n v="2"/>
    <n v="3"/>
    <n v="0"/>
  </r>
  <r>
    <s v="U03177"/>
    <x v="8"/>
    <n v="56"/>
    <s v="Male"/>
    <x v="1"/>
    <x v="4"/>
    <n v="14.03"/>
    <n v="5"/>
    <n v="8.8000000000000007"/>
    <n v="12.96"/>
    <n v="41.6"/>
    <s v="Family"/>
    <n v="1"/>
    <n v="2"/>
    <n v="0"/>
  </r>
  <r>
    <s v="U03178"/>
    <x v="5"/>
    <n v="22"/>
    <s v="Male"/>
    <x v="1"/>
    <x v="2"/>
    <n v="16.21"/>
    <n v="5"/>
    <n v="5.9"/>
    <n v="7.99"/>
    <n v="11.3"/>
    <s v="Action"/>
    <n v="5"/>
    <n v="0"/>
    <n v="0"/>
  </r>
  <r>
    <s v="U03179"/>
    <x v="9"/>
    <n v="27"/>
    <s v="Female"/>
    <x v="0"/>
    <x v="4"/>
    <n v="16.690000000000001"/>
    <n v="4"/>
    <n v="7.4"/>
    <n v="13.78"/>
    <n v="57.7"/>
    <s v="Family"/>
    <n v="7"/>
    <n v="2"/>
    <n v="0"/>
  </r>
  <r>
    <s v="U03180"/>
    <x v="1"/>
    <n v="27"/>
    <s v="Female"/>
    <x v="2"/>
    <x v="3"/>
    <n v="9.81"/>
    <n v="2"/>
    <n v="9.6999999999999993"/>
    <n v="11.01"/>
    <n v="35.299999999999997"/>
    <s v="Drama"/>
    <n v="5"/>
    <n v="2"/>
    <n v="0"/>
  </r>
  <r>
    <s v="U03181"/>
    <x v="7"/>
    <n v="55"/>
    <s v="Female"/>
    <x v="1"/>
    <x v="3"/>
    <n v="19.739999999999998"/>
    <n v="5"/>
    <n v="6.2"/>
    <n v="8.39"/>
    <n v="11.1"/>
    <s v="Family"/>
    <n v="4"/>
    <n v="4"/>
    <n v="1"/>
  </r>
  <r>
    <s v="U03182"/>
    <x v="9"/>
    <n v="44"/>
    <s v="Female"/>
    <x v="2"/>
    <x v="2"/>
    <n v="19.53"/>
    <n v="1"/>
    <n v="8.6"/>
    <n v="6.71"/>
    <n v="48.2"/>
    <s v="Drama"/>
    <n v="5"/>
    <n v="0"/>
    <n v="0"/>
  </r>
  <r>
    <s v="U03183"/>
    <x v="8"/>
    <n v="68"/>
    <s v="Female"/>
    <x v="0"/>
    <x v="4"/>
    <n v="9.27"/>
    <n v="1"/>
    <n v="9.5"/>
    <n v="19.02"/>
    <n v="93.4"/>
    <s v="Family"/>
    <n v="11"/>
    <n v="2"/>
    <n v="0"/>
  </r>
  <r>
    <s v="U03184"/>
    <x v="0"/>
    <n v="38"/>
    <s v="Male"/>
    <x v="1"/>
    <x v="3"/>
    <n v="5.27"/>
    <n v="4"/>
    <n v="6.1"/>
    <n v="6.12"/>
    <n v="93.1"/>
    <s v="Action"/>
    <n v="10"/>
    <n v="4"/>
    <n v="0"/>
  </r>
  <r>
    <s v="U03185"/>
    <x v="6"/>
    <n v="25"/>
    <s v="Male"/>
    <x v="0"/>
    <x v="2"/>
    <n v="24.98"/>
    <n v="2"/>
    <n v="2.4"/>
    <n v="6.7"/>
    <n v="43.5"/>
    <s v="Drama"/>
    <n v="8"/>
    <n v="4"/>
    <n v="0"/>
  </r>
  <r>
    <s v="U03186"/>
    <x v="6"/>
    <n v="18"/>
    <s v="Male"/>
    <x v="2"/>
    <x v="3"/>
    <n v="16.63"/>
    <n v="2"/>
    <n v="2.4"/>
    <n v="15.7"/>
    <n v="50.4"/>
    <s v="Family"/>
    <n v="5"/>
    <n v="2"/>
    <n v="0"/>
  </r>
  <r>
    <s v="U03187"/>
    <x v="2"/>
    <n v="45"/>
    <s v="Male"/>
    <x v="1"/>
    <x v="0"/>
    <n v="8.6199999999999992"/>
    <n v="3"/>
    <n v="2"/>
    <n v="7.97"/>
    <n v="31.8"/>
    <s v="Family"/>
    <n v="9"/>
    <n v="2"/>
    <n v="0"/>
  </r>
  <r>
    <s v="U03188"/>
    <x v="8"/>
    <n v="66"/>
    <s v="Male"/>
    <x v="1"/>
    <x v="0"/>
    <n v="10.67"/>
    <n v="1"/>
    <n v="5.3"/>
    <n v="13.11"/>
    <n v="16.100000000000001"/>
    <s v="Thriller"/>
    <n v="10"/>
    <n v="1"/>
    <n v="0"/>
  </r>
  <r>
    <s v="U03189"/>
    <x v="2"/>
    <n v="56"/>
    <s v="Female"/>
    <x v="0"/>
    <x v="2"/>
    <n v="17.36"/>
    <n v="1"/>
    <n v="5.3"/>
    <n v="15.16"/>
    <n v="72.5"/>
    <s v="Family"/>
    <n v="7"/>
    <n v="0"/>
    <n v="0"/>
  </r>
  <r>
    <s v="U03190"/>
    <x v="3"/>
    <n v="31"/>
    <s v="Female"/>
    <x v="0"/>
    <x v="3"/>
    <n v="7.75"/>
    <n v="1"/>
    <n v="6.6"/>
    <n v="9.0399999999999991"/>
    <n v="82"/>
    <s v="Thriller"/>
    <n v="11"/>
    <n v="4"/>
    <n v="0"/>
  </r>
  <r>
    <s v="U03191"/>
    <x v="7"/>
    <n v="38"/>
    <s v="Male"/>
    <x v="0"/>
    <x v="2"/>
    <n v="5.75"/>
    <n v="1"/>
    <n v="5.3"/>
    <n v="10.56"/>
    <n v="89.2"/>
    <s v="Family"/>
    <n v="11"/>
    <n v="0"/>
    <n v="1"/>
  </r>
  <r>
    <s v="U03192"/>
    <x v="10"/>
    <n v="47"/>
    <s v="Male"/>
    <x v="0"/>
    <x v="1"/>
    <n v="20.97"/>
    <n v="5"/>
    <n v="9.8000000000000007"/>
    <n v="7.62"/>
    <n v="94.2"/>
    <s v="Comedy"/>
    <n v="2"/>
    <n v="4"/>
    <n v="0"/>
  </r>
  <r>
    <s v="U03193"/>
    <x v="9"/>
    <n v="38"/>
    <s v="Male"/>
    <x v="1"/>
    <x v="2"/>
    <n v="19.32"/>
    <n v="2"/>
    <n v="3.6"/>
    <n v="13.13"/>
    <n v="92.4"/>
    <s v="Thriller"/>
    <n v="9"/>
    <n v="3"/>
    <n v="0"/>
  </r>
  <r>
    <s v="U03194"/>
    <x v="10"/>
    <n v="66"/>
    <s v="Female"/>
    <x v="1"/>
    <x v="2"/>
    <n v="11.19"/>
    <n v="3"/>
    <n v="8.9"/>
    <n v="24.83"/>
    <n v="12.5"/>
    <s v="Action"/>
    <n v="2"/>
    <n v="3"/>
    <n v="0"/>
  </r>
  <r>
    <s v="U03195"/>
    <x v="0"/>
    <n v="26"/>
    <s v="Female"/>
    <x v="1"/>
    <x v="0"/>
    <n v="6.17"/>
    <n v="5"/>
    <n v="1.9"/>
    <n v="10.98"/>
    <n v="98"/>
    <s v="Action"/>
    <n v="6"/>
    <n v="4"/>
    <n v="0"/>
  </r>
  <r>
    <s v="U03196"/>
    <x v="3"/>
    <n v="34"/>
    <s v="Male"/>
    <x v="1"/>
    <x v="0"/>
    <n v="14.73"/>
    <n v="2"/>
    <n v="6.4"/>
    <n v="17.37"/>
    <n v="44.2"/>
    <s v="Drama"/>
    <n v="8"/>
    <n v="1"/>
    <n v="0"/>
  </r>
  <r>
    <s v="U03197"/>
    <x v="4"/>
    <n v="22"/>
    <s v="Female"/>
    <x v="0"/>
    <x v="3"/>
    <n v="10.52"/>
    <n v="4"/>
    <n v="6.8"/>
    <n v="16.989999999999998"/>
    <n v="89.7"/>
    <s v="Action"/>
    <n v="2"/>
    <n v="3"/>
    <n v="0"/>
  </r>
  <r>
    <s v="U03198"/>
    <x v="9"/>
    <n v="48"/>
    <s v="Male"/>
    <x v="0"/>
    <x v="2"/>
    <n v="12.96"/>
    <n v="1"/>
    <n v="8"/>
    <n v="20.3"/>
    <n v="49.7"/>
    <s v="Drama"/>
    <n v="6"/>
    <n v="0"/>
    <n v="0"/>
  </r>
  <r>
    <s v="U03199"/>
    <x v="2"/>
    <n v="69"/>
    <s v="Female"/>
    <x v="0"/>
    <x v="2"/>
    <n v="10.48"/>
    <n v="3"/>
    <n v="5.5"/>
    <n v="18.66"/>
    <n v="48"/>
    <s v="Action"/>
    <n v="5"/>
    <n v="2"/>
    <n v="0"/>
  </r>
  <r>
    <s v="U03200"/>
    <x v="4"/>
    <n v="57"/>
    <s v="Female"/>
    <x v="2"/>
    <x v="3"/>
    <n v="8.51"/>
    <n v="2"/>
    <n v="2.8"/>
    <n v="3.26"/>
    <n v="11"/>
    <s v="Thriller"/>
    <n v="7"/>
    <n v="0"/>
    <n v="0"/>
  </r>
  <r>
    <s v="U03201"/>
    <x v="1"/>
    <n v="55"/>
    <s v="Male"/>
    <x v="1"/>
    <x v="4"/>
    <n v="12.74"/>
    <n v="4"/>
    <n v="4.3"/>
    <n v="9.8000000000000007"/>
    <n v="14.7"/>
    <s v="Comedy"/>
    <n v="10"/>
    <n v="0"/>
    <n v="0"/>
  </r>
  <r>
    <s v="U03202"/>
    <x v="7"/>
    <n v="60"/>
    <s v="Female"/>
    <x v="0"/>
    <x v="3"/>
    <n v="24.3"/>
    <n v="1"/>
    <n v="3.4"/>
    <n v="22.15"/>
    <n v="70.400000000000006"/>
    <s v="Drama"/>
    <n v="5"/>
    <n v="0"/>
    <n v="1"/>
  </r>
  <r>
    <s v="U03203"/>
    <x v="7"/>
    <n v="36"/>
    <s v="Female"/>
    <x v="0"/>
    <x v="0"/>
    <n v="10.32"/>
    <n v="4"/>
    <n v="4.8"/>
    <n v="14.87"/>
    <n v="94.4"/>
    <s v="Comedy"/>
    <n v="3"/>
    <n v="4"/>
    <n v="0"/>
  </r>
  <r>
    <s v="U03204"/>
    <x v="6"/>
    <n v="53"/>
    <s v="Male"/>
    <x v="2"/>
    <x v="0"/>
    <n v="11.72"/>
    <n v="4"/>
    <n v="5.8"/>
    <n v="5.29"/>
    <n v="30.2"/>
    <s v="Family"/>
    <n v="6"/>
    <n v="4"/>
    <n v="0"/>
  </r>
  <r>
    <s v="U03205"/>
    <x v="11"/>
    <n v="67"/>
    <s v="Female"/>
    <x v="2"/>
    <x v="2"/>
    <n v="11.58"/>
    <n v="5"/>
    <n v="6.6"/>
    <n v="9.08"/>
    <n v="18.5"/>
    <s v="Family"/>
    <n v="7"/>
    <n v="0"/>
    <n v="0"/>
  </r>
  <r>
    <s v="U03206"/>
    <x v="9"/>
    <n v="50"/>
    <s v="Male"/>
    <x v="1"/>
    <x v="0"/>
    <n v="14.61"/>
    <n v="4"/>
    <n v="8.6"/>
    <n v="9.23"/>
    <n v="29.2"/>
    <s v="Comedy"/>
    <n v="1"/>
    <n v="2"/>
    <n v="0"/>
  </r>
  <r>
    <s v="U03207"/>
    <x v="2"/>
    <n v="30"/>
    <s v="Female"/>
    <x v="1"/>
    <x v="3"/>
    <n v="21.87"/>
    <n v="5"/>
    <n v="9.1999999999999993"/>
    <n v="22.21"/>
    <n v="29.1"/>
    <s v="Thriller"/>
    <n v="8"/>
    <n v="1"/>
    <n v="0"/>
  </r>
  <r>
    <s v="U03208"/>
    <x v="0"/>
    <n v="31"/>
    <s v="Male"/>
    <x v="0"/>
    <x v="2"/>
    <n v="13.04"/>
    <n v="5"/>
    <n v="5.2"/>
    <n v="15.17"/>
    <n v="36.4"/>
    <s v="Comedy"/>
    <n v="8"/>
    <n v="1"/>
    <n v="1"/>
  </r>
  <r>
    <s v="U03209"/>
    <x v="10"/>
    <n v="50"/>
    <s v="Male"/>
    <x v="2"/>
    <x v="3"/>
    <n v="21.12"/>
    <n v="4"/>
    <n v="1.8"/>
    <n v="16.38"/>
    <n v="18.5"/>
    <s v="Comedy"/>
    <n v="4"/>
    <n v="3"/>
    <n v="0"/>
  </r>
  <r>
    <s v="U03210"/>
    <x v="0"/>
    <n v="46"/>
    <s v="Female"/>
    <x v="2"/>
    <x v="3"/>
    <n v="7.3"/>
    <n v="2"/>
    <n v="8.1999999999999993"/>
    <n v="11.08"/>
    <n v="31.2"/>
    <s v="Comedy"/>
    <n v="8"/>
    <n v="3"/>
    <n v="0"/>
  </r>
  <r>
    <s v="U03211"/>
    <x v="4"/>
    <n v="60"/>
    <s v="Female"/>
    <x v="1"/>
    <x v="2"/>
    <n v="22.9"/>
    <n v="4"/>
    <n v="5.3"/>
    <n v="4.33"/>
    <n v="92.9"/>
    <s v="Drama"/>
    <n v="3"/>
    <n v="2"/>
    <n v="0"/>
  </r>
  <r>
    <s v="U03212"/>
    <x v="4"/>
    <n v="66"/>
    <s v="Male"/>
    <x v="2"/>
    <x v="4"/>
    <n v="8.7100000000000009"/>
    <n v="4"/>
    <n v="5.9"/>
    <n v="4.66"/>
    <n v="90.1"/>
    <s v="Drama"/>
    <n v="5"/>
    <n v="0"/>
    <n v="1"/>
  </r>
  <r>
    <s v="U03213"/>
    <x v="8"/>
    <n v="53"/>
    <s v="Female"/>
    <x v="2"/>
    <x v="0"/>
    <n v="5.78"/>
    <n v="2"/>
    <n v="6.4"/>
    <n v="12.25"/>
    <n v="38.5"/>
    <s v="Comedy"/>
    <n v="3"/>
    <n v="4"/>
    <n v="1"/>
  </r>
  <r>
    <s v="U03214"/>
    <x v="1"/>
    <n v="61"/>
    <s v="Female"/>
    <x v="0"/>
    <x v="1"/>
    <n v="8.17"/>
    <n v="1"/>
    <n v="7"/>
    <n v="6.9"/>
    <n v="99.7"/>
    <s v="Thriller"/>
    <n v="2"/>
    <n v="3"/>
    <n v="1"/>
  </r>
  <r>
    <s v="U03215"/>
    <x v="9"/>
    <n v="27"/>
    <s v="Female"/>
    <x v="1"/>
    <x v="1"/>
    <n v="8.81"/>
    <n v="3"/>
    <n v="9"/>
    <n v="5.29"/>
    <n v="36.9"/>
    <s v="Family"/>
    <n v="5"/>
    <n v="0"/>
    <n v="0"/>
  </r>
  <r>
    <s v="U03216"/>
    <x v="7"/>
    <n v="48"/>
    <s v="Male"/>
    <x v="0"/>
    <x v="1"/>
    <n v="15.17"/>
    <n v="1"/>
    <n v="9.6"/>
    <n v="8.77"/>
    <n v="75"/>
    <s v="Family"/>
    <n v="8"/>
    <n v="1"/>
    <n v="0"/>
  </r>
  <r>
    <s v="U03217"/>
    <x v="5"/>
    <n v="23"/>
    <s v="Male"/>
    <x v="0"/>
    <x v="0"/>
    <n v="14"/>
    <n v="4"/>
    <n v="9.5"/>
    <n v="19.329999999999998"/>
    <n v="68"/>
    <s v="Family"/>
    <n v="9"/>
    <n v="2"/>
    <n v="0"/>
  </r>
  <r>
    <s v="U03218"/>
    <x v="2"/>
    <n v="18"/>
    <s v="Male"/>
    <x v="2"/>
    <x v="4"/>
    <n v="19.32"/>
    <n v="1"/>
    <n v="8.3000000000000007"/>
    <n v="4.6100000000000003"/>
    <n v="15.8"/>
    <s v="Action"/>
    <n v="5"/>
    <n v="4"/>
    <n v="0"/>
  </r>
  <r>
    <s v="U03219"/>
    <x v="0"/>
    <n v="24"/>
    <s v="Female"/>
    <x v="0"/>
    <x v="3"/>
    <n v="6.02"/>
    <n v="3"/>
    <n v="9"/>
    <n v="12.86"/>
    <n v="40.799999999999997"/>
    <s v="Thriller"/>
    <n v="3"/>
    <n v="4"/>
    <n v="0"/>
  </r>
  <r>
    <s v="U03220"/>
    <x v="2"/>
    <n v="44"/>
    <s v="Female"/>
    <x v="2"/>
    <x v="2"/>
    <n v="14.95"/>
    <n v="1"/>
    <n v="1.4"/>
    <n v="21.17"/>
    <n v="95.6"/>
    <s v="Drama"/>
    <n v="3"/>
    <n v="3"/>
    <n v="0"/>
  </r>
  <r>
    <s v="U03221"/>
    <x v="4"/>
    <n v="38"/>
    <s v="Male"/>
    <x v="2"/>
    <x v="4"/>
    <n v="11.65"/>
    <n v="3"/>
    <n v="8.6"/>
    <n v="8.89"/>
    <n v="14.6"/>
    <s v="Family"/>
    <n v="8"/>
    <n v="0"/>
    <n v="0"/>
  </r>
  <r>
    <s v="U03222"/>
    <x v="11"/>
    <n v="45"/>
    <s v="Male"/>
    <x v="0"/>
    <x v="1"/>
    <n v="17.61"/>
    <n v="1"/>
    <n v="1.7"/>
    <n v="9.64"/>
    <n v="25.7"/>
    <s v="Drama"/>
    <n v="3"/>
    <n v="4"/>
    <n v="0"/>
  </r>
  <r>
    <s v="U03223"/>
    <x v="6"/>
    <n v="33"/>
    <s v="Female"/>
    <x v="1"/>
    <x v="0"/>
    <n v="5.87"/>
    <n v="5"/>
    <n v="7.7"/>
    <n v="22.45"/>
    <n v="97.4"/>
    <s v="Drama"/>
    <n v="9"/>
    <n v="1"/>
    <n v="0"/>
  </r>
  <r>
    <s v="U03224"/>
    <x v="10"/>
    <n v="63"/>
    <s v="Female"/>
    <x v="2"/>
    <x v="0"/>
    <n v="5.7"/>
    <n v="4"/>
    <n v="2.5"/>
    <n v="17.3"/>
    <n v="13.6"/>
    <s v="Drama"/>
    <n v="10"/>
    <n v="1"/>
    <n v="0"/>
  </r>
  <r>
    <s v="U03225"/>
    <x v="1"/>
    <n v="40"/>
    <s v="Female"/>
    <x v="2"/>
    <x v="2"/>
    <n v="13.55"/>
    <n v="3"/>
    <n v="4.2"/>
    <n v="20.55"/>
    <n v="50.2"/>
    <s v="Drama"/>
    <n v="1"/>
    <n v="2"/>
    <n v="1"/>
  </r>
  <r>
    <s v="U03226"/>
    <x v="11"/>
    <n v="69"/>
    <s v="Female"/>
    <x v="2"/>
    <x v="3"/>
    <n v="21.23"/>
    <n v="4"/>
    <n v="2.7"/>
    <n v="9.36"/>
    <n v="92.7"/>
    <s v="Comedy"/>
    <n v="1"/>
    <n v="2"/>
    <n v="1"/>
  </r>
  <r>
    <s v="U03227"/>
    <x v="1"/>
    <n v="37"/>
    <s v="Male"/>
    <x v="1"/>
    <x v="4"/>
    <n v="18.420000000000002"/>
    <n v="5"/>
    <n v="5"/>
    <n v="24.93"/>
    <n v="94.9"/>
    <s v="Drama"/>
    <n v="5"/>
    <n v="1"/>
    <n v="0"/>
  </r>
  <r>
    <s v="U03228"/>
    <x v="8"/>
    <n v="55"/>
    <s v="Female"/>
    <x v="1"/>
    <x v="4"/>
    <n v="5.33"/>
    <n v="1"/>
    <n v="4.7"/>
    <n v="6.1"/>
    <n v="98.1"/>
    <s v="Action"/>
    <n v="4"/>
    <n v="1"/>
    <n v="0"/>
  </r>
  <r>
    <s v="U03229"/>
    <x v="5"/>
    <n v="42"/>
    <s v="Female"/>
    <x v="1"/>
    <x v="4"/>
    <n v="8.57"/>
    <n v="4"/>
    <n v="1.4"/>
    <n v="24.16"/>
    <n v="53.3"/>
    <s v="Drama"/>
    <n v="3"/>
    <n v="0"/>
    <n v="0"/>
  </r>
  <r>
    <s v="U03230"/>
    <x v="4"/>
    <n v="45"/>
    <s v="Male"/>
    <x v="2"/>
    <x v="3"/>
    <n v="9.5299999999999994"/>
    <n v="1"/>
    <n v="8.5"/>
    <n v="22.85"/>
    <n v="17.8"/>
    <s v="Family"/>
    <n v="1"/>
    <n v="4"/>
    <n v="0"/>
  </r>
  <r>
    <s v="U03231"/>
    <x v="6"/>
    <n v="22"/>
    <s v="Male"/>
    <x v="1"/>
    <x v="3"/>
    <n v="13.46"/>
    <n v="1"/>
    <n v="8.6999999999999993"/>
    <n v="15.14"/>
    <n v="79.5"/>
    <s v="Drama"/>
    <n v="7"/>
    <n v="0"/>
    <n v="0"/>
  </r>
  <r>
    <s v="U03232"/>
    <x v="9"/>
    <n v="38"/>
    <s v="Female"/>
    <x v="2"/>
    <x v="3"/>
    <n v="16.73"/>
    <n v="4"/>
    <n v="8.1"/>
    <n v="15.88"/>
    <n v="73.8"/>
    <s v="Family"/>
    <n v="1"/>
    <n v="2"/>
    <n v="1"/>
  </r>
  <r>
    <s v="U03233"/>
    <x v="11"/>
    <n v="35"/>
    <s v="Male"/>
    <x v="0"/>
    <x v="2"/>
    <n v="9.33"/>
    <n v="3"/>
    <n v="8.6"/>
    <n v="20.05"/>
    <n v="62.2"/>
    <s v="Drama"/>
    <n v="6"/>
    <n v="2"/>
    <n v="0"/>
  </r>
  <r>
    <s v="U03234"/>
    <x v="1"/>
    <n v="64"/>
    <s v="Female"/>
    <x v="2"/>
    <x v="0"/>
    <n v="12.65"/>
    <n v="3"/>
    <n v="7.8"/>
    <n v="9.75"/>
    <n v="89.9"/>
    <s v="Thriller"/>
    <n v="10"/>
    <n v="2"/>
    <n v="0"/>
  </r>
  <r>
    <s v="U03235"/>
    <x v="7"/>
    <n v="23"/>
    <s v="Female"/>
    <x v="1"/>
    <x v="1"/>
    <n v="16.68"/>
    <n v="4"/>
    <n v="9.4"/>
    <n v="14.6"/>
    <n v="92"/>
    <s v="Comedy"/>
    <n v="2"/>
    <n v="4"/>
    <n v="0"/>
  </r>
  <r>
    <s v="U03236"/>
    <x v="8"/>
    <n v="46"/>
    <s v="Male"/>
    <x v="1"/>
    <x v="3"/>
    <n v="12.67"/>
    <n v="3"/>
    <n v="6.2"/>
    <n v="22.85"/>
    <n v="71.5"/>
    <s v="Family"/>
    <n v="4"/>
    <n v="3"/>
    <n v="1"/>
  </r>
  <r>
    <s v="U03237"/>
    <x v="7"/>
    <n v="36"/>
    <s v="Male"/>
    <x v="1"/>
    <x v="0"/>
    <n v="7.86"/>
    <n v="2"/>
    <n v="6.2"/>
    <n v="4.5"/>
    <n v="20.100000000000001"/>
    <s v="Action"/>
    <n v="8"/>
    <n v="2"/>
    <n v="0"/>
  </r>
  <r>
    <s v="U03238"/>
    <x v="6"/>
    <n v="50"/>
    <s v="Female"/>
    <x v="0"/>
    <x v="3"/>
    <n v="14.83"/>
    <n v="1"/>
    <n v="8.6999999999999993"/>
    <n v="22.92"/>
    <n v="18.600000000000001"/>
    <s v="Drama"/>
    <n v="3"/>
    <n v="2"/>
    <n v="0"/>
  </r>
  <r>
    <s v="U03239"/>
    <x v="9"/>
    <n v="18"/>
    <s v="Male"/>
    <x v="0"/>
    <x v="1"/>
    <n v="11.48"/>
    <n v="4"/>
    <n v="4.0999999999999996"/>
    <n v="19.03"/>
    <n v="46.8"/>
    <s v="Family"/>
    <n v="9"/>
    <n v="0"/>
    <n v="1"/>
  </r>
  <r>
    <s v="U03240"/>
    <x v="9"/>
    <n v="62"/>
    <s v="Female"/>
    <x v="0"/>
    <x v="3"/>
    <n v="22.28"/>
    <n v="5"/>
    <n v="1.5"/>
    <n v="19.940000000000001"/>
    <n v="36.299999999999997"/>
    <s v="Comedy"/>
    <n v="5"/>
    <n v="0"/>
    <n v="0"/>
  </r>
  <r>
    <s v="U03241"/>
    <x v="11"/>
    <n v="20"/>
    <s v="Female"/>
    <x v="0"/>
    <x v="0"/>
    <n v="20.51"/>
    <n v="4"/>
    <n v="7.7"/>
    <n v="4.42"/>
    <n v="22"/>
    <s v="Drama"/>
    <n v="6"/>
    <n v="3"/>
    <n v="0"/>
  </r>
  <r>
    <s v="U03242"/>
    <x v="2"/>
    <n v="59"/>
    <s v="Female"/>
    <x v="1"/>
    <x v="2"/>
    <n v="8.81"/>
    <n v="4"/>
    <n v="3.3"/>
    <n v="7.13"/>
    <n v="65"/>
    <s v="Comedy"/>
    <n v="2"/>
    <n v="3"/>
    <n v="0"/>
  </r>
  <r>
    <s v="U03243"/>
    <x v="8"/>
    <n v="38"/>
    <s v="Male"/>
    <x v="2"/>
    <x v="1"/>
    <n v="8.0500000000000007"/>
    <n v="1"/>
    <n v="5.3"/>
    <n v="23.36"/>
    <n v="71.5"/>
    <s v="Action"/>
    <n v="1"/>
    <n v="3"/>
    <n v="0"/>
  </r>
  <r>
    <s v="U03244"/>
    <x v="9"/>
    <n v="52"/>
    <s v="Female"/>
    <x v="1"/>
    <x v="0"/>
    <n v="11.95"/>
    <n v="5"/>
    <n v="3.2"/>
    <n v="5.73"/>
    <n v="72.8"/>
    <s v="Family"/>
    <n v="5"/>
    <n v="3"/>
    <n v="0"/>
  </r>
  <r>
    <s v="U03245"/>
    <x v="9"/>
    <n v="58"/>
    <s v="Female"/>
    <x v="0"/>
    <x v="4"/>
    <n v="13.24"/>
    <n v="1"/>
    <n v="8.4"/>
    <n v="16.89"/>
    <n v="25.8"/>
    <s v="Action"/>
    <n v="1"/>
    <n v="0"/>
    <n v="0"/>
  </r>
  <r>
    <s v="U03246"/>
    <x v="11"/>
    <n v="57"/>
    <s v="Female"/>
    <x v="2"/>
    <x v="4"/>
    <n v="23.64"/>
    <n v="3"/>
    <n v="9.6"/>
    <n v="20.22"/>
    <n v="37.5"/>
    <s v="Comedy"/>
    <n v="4"/>
    <n v="2"/>
    <n v="0"/>
  </r>
  <r>
    <s v="U03247"/>
    <x v="4"/>
    <n v="20"/>
    <s v="Male"/>
    <x v="1"/>
    <x v="4"/>
    <n v="11.03"/>
    <n v="4"/>
    <n v="1.5"/>
    <n v="8.09"/>
    <n v="27.9"/>
    <s v="Thriller"/>
    <n v="8"/>
    <n v="0"/>
    <n v="1"/>
  </r>
  <r>
    <s v="U03248"/>
    <x v="3"/>
    <n v="42"/>
    <s v="Female"/>
    <x v="2"/>
    <x v="2"/>
    <n v="22.35"/>
    <n v="1"/>
    <n v="3.1"/>
    <n v="18.37"/>
    <n v="64.099999999999994"/>
    <s v="Thriller"/>
    <n v="2"/>
    <n v="1"/>
    <n v="0"/>
  </r>
  <r>
    <s v="U03249"/>
    <x v="8"/>
    <n v="62"/>
    <s v="Female"/>
    <x v="1"/>
    <x v="3"/>
    <n v="15.11"/>
    <n v="2"/>
    <n v="2.7"/>
    <n v="4.4400000000000004"/>
    <n v="61"/>
    <s v="Family"/>
    <n v="6"/>
    <n v="1"/>
    <n v="0"/>
  </r>
  <r>
    <s v="U03250"/>
    <x v="7"/>
    <n v="55"/>
    <s v="Female"/>
    <x v="0"/>
    <x v="3"/>
    <n v="22.71"/>
    <n v="4"/>
    <n v="7.1"/>
    <n v="13.97"/>
    <n v="55.3"/>
    <s v="Drama"/>
    <n v="10"/>
    <n v="2"/>
    <n v="0"/>
  </r>
  <r>
    <s v="U03251"/>
    <x v="6"/>
    <n v="62"/>
    <s v="Male"/>
    <x v="1"/>
    <x v="3"/>
    <n v="19.04"/>
    <n v="3"/>
    <n v="4.9000000000000004"/>
    <n v="10.36"/>
    <n v="36.6"/>
    <s v="Action"/>
    <n v="5"/>
    <n v="3"/>
    <n v="1"/>
  </r>
  <r>
    <s v="U03252"/>
    <x v="9"/>
    <n v="37"/>
    <s v="Female"/>
    <x v="1"/>
    <x v="2"/>
    <n v="19.170000000000002"/>
    <n v="1"/>
    <n v="5.0999999999999996"/>
    <n v="17.21"/>
    <n v="31.3"/>
    <s v="Thriller"/>
    <n v="1"/>
    <n v="2"/>
    <n v="1"/>
  </r>
  <r>
    <s v="U03253"/>
    <x v="9"/>
    <n v="69"/>
    <s v="Female"/>
    <x v="0"/>
    <x v="4"/>
    <n v="15.38"/>
    <n v="1"/>
    <n v="2.4"/>
    <n v="22.56"/>
    <n v="90.1"/>
    <s v="Thriller"/>
    <n v="8"/>
    <n v="1"/>
    <n v="0"/>
  </r>
  <r>
    <s v="U03254"/>
    <x v="5"/>
    <n v="61"/>
    <s v="Male"/>
    <x v="0"/>
    <x v="3"/>
    <n v="21.81"/>
    <n v="2"/>
    <n v="4.7"/>
    <n v="5.76"/>
    <n v="14.4"/>
    <s v="Drama"/>
    <n v="5"/>
    <n v="2"/>
    <n v="0"/>
  </r>
  <r>
    <s v="U03255"/>
    <x v="4"/>
    <n v="62"/>
    <s v="Male"/>
    <x v="0"/>
    <x v="2"/>
    <n v="10.09"/>
    <n v="3"/>
    <n v="3.7"/>
    <n v="12.91"/>
    <n v="69.099999999999994"/>
    <s v="Action"/>
    <n v="9"/>
    <n v="3"/>
    <n v="0"/>
  </r>
  <r>
    <s v="U03256"/>
    <x v="9"/>
    <n v="51"/>
    <s v="Female"/>
    <x v="0"/>
    <x v="2"/>
    <n v="23.15"/>
    <n v="2"/>
    <n v="6.5"/>
    <n v="12.31"/>
    <n v="11.8"/>
    <s v="Comedy"/>
    <n v="2"/>
    <n v="0"/>
    <n v="0"/>
  </r>
  <r>
    <s v="U03257"/>
    <x v="3"/>
    <n v="38"/>
    <s v="Female"/>
    <x v="1"/>
    <x v="0"/>
    <n v="17.739999999999998"/>
    <n v="4"/>
    <n v="3"/>
    <n v="10.119999999999999"/>
    <n v="27.4"/>
    <s v="Thriller"/>
    <n v="6"/>
    <n v="3"/>
    <n v="1"/>
  </r>
  <r>
    <s v="U03258"/>
    <x v="5"/>
    <n v="65"/>
    <s v="Female"/>
    <x v="1"/>
    <x v="3"/>
    <n v="13.77"/>
    <n v="5"/>
    <n v="6.5"/>
    <n v="13.56"/>
    <n v="36.1"/>
    <s v="Family"/>
    <n v="7"/>
    <n v="0"/>
    <n v="0"/>
  </r>
  <r>
    <s v="U03259"/>
    <x v="10"/>
    <n v="40"/>
    <s v="Male"/>
    <x v="0"/>
    <x v="4"/>
    <n v="24.64"/>
    <n v="1"/>
    <n v="4.4000000000000004"/>
    <n v="22.38"/>
    <n v="89.8"/>
    <s v="Family"/>
    <n v="1"/>
    <n v="1"/>
    <n v="0"/>
  </r>
  <r>
    <s v="U03260"/>
    <x v="4"/>
    <n v="23"/>
    <s v="Male"/>
    <x v="1"/>
    <x v="1"/>
    <n v="22.24"/>
    <n v="2"/>
    <n v="4.0999999999999996"/>
    <n v="24.42"/>
    <n v="22.4"/>
    <s v="Comedy"/>
    <n v="10"/>
    <n v="4"/>
    <n v="1"/>
  </r>
  <r>
    <s v="U03261"/>
    <x v="6"/>
    <n v="68"/>
    <s v="Female"/>
    <x v="1"/>
    <x v="2"/>
    <n v="20.440000000000001"/>
    <n v="1"/>
    <n v="3.8"/>
    <n v="3.06"/>
    <n v="94.4"/>
    <s v="Drama"/>
    <n v="4"/>
    <n v="2"/>
    <n v="1"/>
  </r>
  <r>
    <s v="U03262"/>
    <x v="1"/>
    <n v="30"/>
    <s v="Male"/>
    <x v="0"/>
    <x v="0"/>
    <n v="10.48"/>
    <n v="1"/>
    <n v="7.1"/>
    <n v="19.260000000000002"/>
    <n v="83.4"/>
    <s v="Drama"/>
    <n v="2"/>
    <n v="4"/>
    <n v="1"/>
  </r>
  <r>
    <s v="U03263"/>
    <x v="8"/>
    <n v="66"/>
    <s v="Female"/>
    <x v="0"/>
    <x v="1"/>
    <n v="24.47"/>
    <n v="2"/>
    <n v="6.1"/>
    <n v="16.53"/>
    <n v="71.099999999999994"/>
    <s v="Thriller"/>
    <n v="7"/>
    <n v="3"/>
    <n v="0"/>
  </r>
  <r>
    <s v="U03264"/>
    <x v="11"/>
    <n v="40"/>
    <s v="Female"/>
    <x v="0"/>
    <x v="2"/>
    <n v="19.86"/>
    <n v="1"/>
    <n v="8.6999999999999993"/>
    <n v="24.88"/>
    <n v="47.1"/>
    <s v="Thriller"/>
    <n v="3"/>
    <n v="0"/>
    <n v="0"/>
  </r>
  <r>
    <s v="U03265"/>
    <x v="6"/>
    <n v="26"/>
    <s v="Male"/>
    <x v="1"/>
    <x v="0"/>
    <n v="17.100000000000001"/>
    <n v="3"/>
    <n v="3.2"/>
    <n v="4.9800000000000004"/>
    <n v="91.5"/>
    <s v="Thriller"/>
    <n v="9"/>
    <n v="3"/>
    <n v="0"/>
  </r>
  <r>
    <s v="U03266"/>
    <x v="8"/>
    <n v="34"/>
    <s v="Female"/>
    <x v="0"/>
    <x v="3"/>
    <n v="23.44"/>
    <n v="3"/>
    <n v="1.4"/>
    <n v="20.85"/>
    <n v="57.5"/>
    <s v="Comedy"/>
    <n v="8"/>
    <n v="3"/>
    <n v="0"/>
  </r>
  <r>
    <s v="U03267"/>
    <x v="5"/>
    <n v="19"/>
    <s v="Male"/>
    <x v="1"/>
    <x v="0"/>
    <n v="8.24"/>
    <n v="5"/>
    <n v="2.6"/>
    <n v="23.55"/>
    <n v="43.4"/>
    <s v="Comedy"/>
    <n v="10"/>
    <n v="1"/>
    <n v="0"/>
  </r>
  <r>
    <s v="U03268"/>
    <x v="2"/>
    <n v="36"/>
    <s v="Male"/>
    <x v="1"/>
    <x v="2"/>
    <n v="7.78"/>
    <n v="3"/>
    <n v="4.0999999999999996"/>
    <n v="23.07"/>
    <n v="62.7"/>
    <s v="Thriller"/>
    <n v="7"/>
    <n v="3"/>
    <n v="0"/>
  </r>
  <r>
    <s v="U03269"/>
    <x v="11"/>
    <n v="36"/>
    <s v="Female"/>
    <x v="1"/>
    <x v="3"/>
    <n v="16.27"/>
    <n v="2"/>
    <n v="2.6"/>
    <n v="15.33"/>
    <n v="30.9"/>
    <s v="Drama"/>
    <n v="8"/>
    <n v="2"/>
    <n v="0"/>
  </r>
  <r>
    <s v="U03270"/>
    <x v="0"/>
    <n v="24"/>
    <s v="Male"/>
    <x v="0"/>
    <x v="4"/>
    <n v="6.13"/>
    <n v="3"/>
    <n v="1.8"/>
    <n v="10.210000000000001"/>
    <n v="34.6"/>
    <s v="Action"/>
    <n v="1"/>
    <n v="1"/>
    <n v="0"/>
  </r>
  <r>
    <s v="U03271"/>
    <x v="7"/>
    <n v="59"/>
    <s v="Female"/>
    <x v="1"/>
    <x v="0"/>
    <n v="18.28"/>
    <n v="5"/>
    <n v="5"/>
    <n v="17.079999999999998"/>
    <n v="92.7"/>
    <s v="Thriller"/>
    <n v="10"/>
    <n v="4"/>
    <n v="0"/>
  </r>
  <r>
    <s v="U03272"/>
    <x v="10"/>
    <n v="59"/>
    <s v="Male"/>
    <x v="1"/>
    <x v="1"/>
    <n v="9.81"/>
    <n v="4"/>
    <n v="7.1"/>
    <n v="9.73"/>
    <n v="81.5"/>
    <s v="Drama"/>
    <n v="6"/>
    <n v="3"/>
    <n v="0"/>
  </r>
  <r>
    <s v="U03273"/>
    <x v="4"/>
    <n v="37"/>
    <s v="Female"/>
    <x v="2"/>
    <x v="3"/>
    <n v="7.38"/>
    <n v="4"/>
    <n v="7.8"/>
    <n v="12.07"/>
    <n v="56.2"/>
    <s v="Drama"/>
    <n v="7"/>
    <n v="4"/>
    <n v="0"/>
  </r>
  <r>
    <s v="U03274"/>
    <x v="9"/>
    <n v="26"/>
    <s v="Female"/>
    <x v="2"/>
    <x v="3"/>
    <n v="13.19"/>
    <n v="2"/>
    <n v="4.5999999999999996"/>
    <n v="12.81"/>
    <n v="47.5"/>
    <s v="Family"/>
    <n v="7"/>
    <n v="2"/>
    <n v="1"/>
  </r>
  <r>
    <s v="U03275"/>
    <x v="2"/>
    <n v="34"/>
    <s v="Female"/>
    <x v="1"/>
    <x v="4"/>
    <n v="14.32"/>
    <n v="5"/>
    <n v="5.3"/>
    <n v="9.64"/>
    <n v="82.7"/>
    <s v="Action"/>
    <n v="9"/>
    <n v="2"/>
    <n v="0"/>
  </r>
  <r>
    <s v="U03276"/>
    <x v="2"/>
    <n v="44"/>
    <s v="Male"/>
    <x v="1"/>
    <x v="0"/>
    <n v="8.41"/>
    <n v="3"/>
    <n v="7.8"/>
    <n v="10.52"/>
    <n v="61.4"/>
    <s v="Thriller"/>
    <n v="7"/>
    <n v="2"/>
    <n v="0"/>
  </r>
  <r>
    <s v="U03277"/>
    <x v="6"/>
    <n v="64"/>
    <s v="Female"/>
    <x v="1"/>
    <x v="1"/>
    <n v="5.83"/>
    <n v="5"/>
    <n v="4.2"/>
    <n v="3.16"/>
    <n v="47.4"/>
    <s v="Action"/>
    <n v="7"/>
    <n v="4"/>
    <n v="0"/>
  </r>
  <r>
    <s v="U03278"/>
    <x v="10"/>
    <n v="19"/>
    <s v="Male"/>
    <x v="2"/>
    <x v="4"/>
    <n v="13.28"/>
    <n v="1"/>
    <n v="8.1"/>
    <n v="9.5399999999999991"/>
    <n v="56.4"/>
    <s v="Thriller"/>
    <n v="6"/>
    <n v="4"/>
    <n v="0"/>
  </r>
  <r>
    <s v="U03279"/>
    <x v="1"/>
    <n v="53"/>
    <s v="Male"/>
    <x v="0"/>
    <x v="0"/>
    <n v="20.190000000000001"/>
    <n v="5"/>
    <n v="9.6999999999999993"/>
    <n v="13.39"/>
    <n v="30.9"/>
    <s v="Action"/>
    <n v="3"/>
    <n v="0"/>
    <n v="1"/>
  </r>
  <r>
    <s v="U03280"/>
    <x v="8"/>
    <n v="36"/>
    <s v="Male"/>
    <x v="2"/>
    <x v="1"/>
    <n v="22.48"/>
    <n v="3"/>
    <n v="8.9"/>
    <n v="6.81"/>
    <n v="28.2"/>
    <s v="Action"/>
    <n v="6"/>
    <n v="1"/>
    <n v="1"/>
  </r>
  <r>
    <s v="U03281"/>
    <x v="8"/>
    <n v="34"/>
    <s v="Male"/>
    <x v="1"/>
    <x v="1"/>
    <n v="6.95"/>
    <n v="2"/>
    <n v="5.0999999999999996"/>
    <n v="20.72"/>
    <n v="99"/>
    <s v="Drama"/>
    <n v="9"/>
    <n v="3"/>
    <n v="1"/>
  </r>
  <r>
    <s v="U03282"/>
    <x v="6"/>
    <n v="22"/>
    <s v="Male"/>
    <x v="1"/>
    <x v="2"/>
    <n v="15.49"/>
    <n v="1"/>
    <n v="6.2"/>
    <n v="14.83"/>
    <n v="97.3"/>
    <s v="Action"/>
    <n v="11"/>
    <n v="1"/>
    <n v="0"/>
  </r>
  <r>
    <s v="U03283"/>
    <x v="3"/>
    <n v="56"/>
    <s v="Female"/>
    <x v="0"/>
    <x v="1"/>
    <n v="10.27"/>
    <n v="5"/>
    <n v="7.4"/>
    <n v="20.47"/>
    <n v="47.9"/>
    <s v="Action"/>
    <n v="10"/>
    <n v="2"/>
    <n v="0"/>
  </r>
  <r>
    <s v="U03284"/>
    <x v="3"/>
    <n v="35"/>
    <s v="Male"/>
    <x v="1"/>
    <x v="0"/>
    <n v="12.49"/>
    <n v="4"/>
    <n v="4.0999999999999996"/>
    <n v="5.82"/>
    <n v="56.4"/>
    <s v="Thriller"/>
    <n v="3"/>
    <n v="3"/>
    <n v="0"/>
  </r>
  <r>
    <s v="U03285"/>
    <x v="9"/>
    <n v="24"/>
    <s v="Female"/>
    <x v="1"/>
    <x v="4"/>
    <n v="23.67"/>
    <n v="3"/>
    <n v="8.1999999999999993"/>
    <n v="21.05"/>
    <n v="84.4"/>
    <s v="Drama"/>
    <n v="3"/>
    <n v="0"/>
    <n v="0"/>
  </r>
  <r>
    <s v="U03286"/>
    <x v="0"/>
    <n v="34"/>
    <s v="Female"/>
    <x v="0"/>
    <x v="4"/>
    <n v="12.04"/>
    <n v="2"/>
    <n v="4.9000000000000004"/>
    <n v="24.08"/>
    <n v="75.3"/>
    <s v="Action"/>
    <n v="11"/>
    <n v="1"/>
    <n v="0"/>
  </r>
  <r>
    <s v="U03287"/>
    <x v="7"/>
    <n v="56"/>
    <s v="Male"/>
    <x v="0"/>
    <x v="2"/>
    <n v="12.31"/>
    <n v="3"/>
    <n v="8.6"/>
    <n v="10.75"/>
    <n v="19"/>
    <s v="Drama"/>
    <n v="7"/>
    <n v="2"/>
    <n v="0"/>
  </r>
  <r>
    <s v="U03288"/>
    <x v="11"/>
    <n v="53"/>
    <s v="Female"/>
    <x v="2"/>
    <x v="0"/>
    <n v="9.19"/>
    <n v="5"/>
    <n v="3.3"/>
    <n v="9.25"/>
    <n v="43.7"/>
    <s v="Drama"/>
    <n v="7"/>
    <n v="3"/>
    <n v="0"/>
  </r>
  <r>
    <s v="U03289"/>
    <x v="1"/>
    <n v="57"/>
    <s v="Female"/>
    <x v="1"/>
    <x v="1"/>
    <n v="24.2"/>
    <n v="2"/>
    <n v="1.1000000000000001"/>
    <n v="17.23"/>
    <n v="32.5"/>
    <s v="Comedy"/>
    <n v="5"/>
    <n v="3"/>
    <n v="0"/>
  </r>
  <r>
    <s v="U03290"/>
    <x v="9"/>
    <n v="62"/>
    <s v="Male"/>
    <x v="1"/>
    <x v="2"/>
    <n v="14.13"/>
    <n v="4"/>
    <n v="6.7"/>
    <n v="16.989999999999998"/>
    <n v="99.3"/>
    <s v="Thriller"/>
    <n v="8"/>
    <n v="2"/>
    <n v="1"/>
  </r>
  <r>
    <s v="U03291"/>
    <x v="10"/>
    <n v="21"/>
    <s v="Female"/>
    <x v="0"/>
    <x v="3"/>
    <n v="16.41"/>
    <n v="1"/>
    <n v="5.0999999999999996"/>
    <n v="5.47"/>
    <n v="77.400000000000006"/>
    <s v="Comedy"/>
    <n v="8"/>
    <n v="4"/>
    <n v="1"/>
  </r>
  <r>
    <s v="U03292"/>
    <x v="3"/>
    <n v="55"/>
    <s v="Male"/>
    <x v="2"/>
    <x v="0"/>
    <n v="14.06"/>
    <n v="5"/>
    <n v="1.5"/>
    <n v="23.39"/>
    <n v="14.3"/>
    <s v="Drama"/>
    <n v="11"/>
    <n v="1"/>
    <n v="0"/>
  </r>
  <r>
    <s v="U03293"/>
    <x v="0"/>
    <n v="42"/>
    <s v="Male"/>
    <x v="2"/>
    <x v="2"/>
    <n v="10.06"/>
    <n v="2"/>
    <n v="5.4"/>
    <n v="13.54"/>
    <n v="91"/>
    <s v="Action"/>
    <n v="11"/>
    <n v="3"/>
    <n v="0"/>
  </r>
  <r>
    <s v="U03294"/>
    <x v="0"/>
    <n v="22"/>
    <s v="Male"/>
    <x v="1"/>
    <x v="4"/>
    <n v="21.21"/>
    <n v="1"/>
    <n v="2.5"/>
    <n v="19.82"/>
    <n v="93.5"/>
    <s v="Thriller"/>
    <n v="2"/>
    <n v="4"/>
    <n v="0"/>
  </r>
  <r>
    <s v="U03295"/>
    <x v="6"/>
    <n v="47"/>
    <s v="Female"/>
    <x v="1"/>
    <x v="2"/>
    <n v="5.57"/>
    <n v="2"/>
    <n v="6.7"/>
    <n v="10.9"/>
    <n v="40"/>
    <s v="Family"/>
    <n v="11"/>
    <n v="0"/>
    <n v="0"/>
  </r>
  <r>
    <s v="U03296"/>
    <x v="1"/>
    <n v="29"/>
    <s v="Female"/>
    <x v="1"/>
    <x v="3"/>
    <n v="18.8"/>
    <n v="5"/>
    <n v="5"/>
    <n v="8.75"/>
    <n v="67.8"/>
    <s v="Thriller"/>
    <n v="6"/>
    <n v="3"/>
    <n v="0"/>
  </r>
  <r>
    <s v="U03297"/>
    <x v="5"/>
    <n v="21"/>
    <s v="Female"/>
    <x v="1"/>
    <x v="0"/>
    <n v="16.89"/>
    <n v="2"/>
    <n v="2.5"/>
    <n v="5.45"/>
    <n v="71.400000000000006"/>
    <s v="Comedy"/>
    <n v="5"/>
    <n v="3"/>
    <n v="0"/>
  </r>
  <r>
    <s v="U03298"/>
    <x v="11"/>
    <n v="41"/>
    <s v="Female"/>
    <x v="0"/>
    <x v="2"/>
    <n v="7.89"/>
    <n v="4"/>
    <n v="4.7"/>
    <n v="9.0399999999999991"/>
    <n v="75.7"/>
    <s v="Thriller"/>
    <n v="4"/>
    <n v="0"/>
    <n v="1"/>
  </r>
  <r>
    <s v="U03299"/>
    <x v="7"/>
    <n v="46"/>
    <s v="Male"/>
    <x v="2"/>
    <x v="1"/>
    <n v="8.32"/>
    <n v="2"/>
    <n v="3.1"/>
    <n v="24.86"/>
    <n v="72.400000000000006"/>
    <s v="Action"/>
    <n v="7"/>
    <n v="0"/>
    <n v="1"/>
  </r>
  <r>
    <s v="U03300"/>
    <x v="4"/>
    <n v="26"/>
    <s v="Male"/>
    <x v="1"/>
    <x v="0"/>
    <n v="18.18"/>
    <n v="5"/>
    <n v="6.9"/>
    <n v="17.48"/>
    <n v="60.4"/>
    <s v="Thriller"/>
    <n v="4"/>
    <n v="3"/>
    <n v="0"/>
  </r>
  <r>
    <s v="U03301"/>
    <x v="6"/>
    <n v="21"/>
    <s v="Female"/>
    <x v="1"/>
    <x v="2"/>
    <n v="11.24"/>
    <n v="2"/>
    <n v="3.7"/>
    <n v="20.66"/>
    <n v="95.8"/>
    <s v="Family"/>
    <n v="5"/>
    <n v="2"/>
    <n v="0"/>
  </r>
  <r>
    <s v="U03302"/>
    <x v="11"/>
    <n v="68"/>
    <s v="Male"/>
    <x v="1"/>
    <x v="2"/>
    <n v="10.31"/>
    <n v="1"/>
    <n v="8.4"/>
    <n v="24.09"/>
    <n v="56.1"/>
    <s v="Comedy"/>
    <n v="8"/>
    <n v="0"/>
    <n v="0"/>
  </r>
  <r>
    <s v="U03303"/>
    <x v="4"/>
    <n v="41"/>
    <s v="Female"/>
    <x v="2"/>
    <x v="0"/>
    <n v="6.18"/>
    <n v="1"/>
    <n v="1.1000000000000001"/>
    <n v="4.74"/>
    <n v="20"/>
    <s v="Comedy"/>
    <n v="5"/>
    <n v="4"/>
    <n v="1"/>
  </r>
  <r>
    <s v="U03304"/>
    <x v="4"/>
    <n v="31"/>
    <s v="Male"/>
    <x v="0"/>
    <x v="4"/>
    <n v="20.329999999999998"/>
    <n v="3"/>
    <n v="4.5999999999999996"/>
    <n v="6.62"/>
    <n v="17.2"/>
    <s v="Drama"/>
    <n v="11"/>
    <n v="0"/>
    <n v="1"/>
  </r>
  <r>
    <s v="U03305"/>
    <x v="1"/>
    <n v="22"/>
    <s v="Male"/>
    <x v="0"/>
    <x v="1"/>
    <n v="22.65"/>
    <n v="3"/>
    <n v="6.6"/>
    <n v="23.42"/>
    <n v="11.7"/>
    <s v="Comedy"/>
    <n v="11"/>
    <n v="3"/>
    <n v="0"/>
  </r>
  <r>
    <s v="U03306"/>
    <x v="1"/>
    <n v="35"/>
    <s v="Male"/>
    <x v="1"/>
    <x v="0"/>
    <n v="21.4"/>
    <n v="4"/>
    <n v="1.2"/>
    <n v="15.42"/>
    <n v="48.5"/>
    <s v="Family"/>
    <n v="9"/>
    <n v="3"/>
    <n v="1"/>
  </r>
  <r>
    <s v="U03307"/>
    <x v="9"/>
    <n v="59"/>
    <s v="Male"/>
    <x v="1"/>
    <x v="1"/>
    <n v="14.32"/>
    <n v="1"/>
    <n v="2.9"/>
    <n v="16.97"/>
    <n v="34.6"/>
    <s v="Family"/>
    <n v="10"/>
    <n v="1"/>
    <n v="0"/>
  </r>
  <r>
    <s v="U03308"/>
    <x v="10"/>
    <n v="36"/>
    <s v="Male"/>
    <x v="2"/>
    <x v="1"/>
    <n v="15.68"/>
    <n v="3"/>
    <n v="3.9"/>
    <n v="12.41"/>
    <n v="90.6"/>
    <s v="Comedy"/>
    <n v="2"/>
    <n v="4"/>
    <n v="0"/>
  </r>
  <r>
    <s v="U03309"/>
    <x v="0"/>
    <n v="29"/>
    <s v="Female"/>
    <x v="0"/>
    <x v="0"/>
    <n v="9.85"/>
    <n v="2"/>
    <n v="1.2"/>
    <n v="20.92"/>
    <n v="88"/>
    <s v="Thriller"/>
    <n v="2"/>
    <n v="1"/>
    <n v="1"/>
  </r>
  <r>
    <s v="U03310"/>
    <x v="11"/>
    <n v="35"/>
    <s v="Female"/>
    <x v="2"/>
    <x v="2"/>
    <n v="8.4600000000000009"/>
    <n v="4"/>
    <n v="5.9"/>
    <n v="14.38"/>
    <n v="85.4"/>
    <s v="Family"/>
    <n v="9"/>
    <n v="0"/>
    <n v="0"/>
  </r>
  <r>
    <s v="U03311"/>
    <x v="6"/>
    <n v="34"/>
    <s v="Male"/>
    <x v="0"/>
    <x v="4"/>
    <n v="21.46"/>
    <n v="5"/>
    <n v="6.7"/>
    <n v="21.17"/>
    <n v="88.1"/>
    <s v="Comedy"/>
    <n v="2"/>
    <n v="1"/>
    <n v="0"/>
  </r>
  <r>
    <s v="U03312"/>
    <x v="9"/>
    <n v="47"/>
    <s v="Female"/>
    <x v="0"/>
    <x v="1"/>
    <n v="20.97"/>
    <n v="3"/>
    <n v="3"/>
    <n v="24.83"/>
    <n v="36.799999999999997"/>
    <s v="Comedy"/>
    <n v="3"/>
    <n v="3"/>
    <n v="0"/>
  </r>
  <r>
    <s v="U03313"/>
    <x v="8"/>
    <n v="41"/>
    <s v="Male"/>
    <x v="2"/>
    <x v="1"/>
    <n v="20.55"/>
    <n v="3"/>
    <n v="5.9"/>
    <n v="17.23"/>
    <n v="48.4"/>
    <s v="Thriller"/>
    <n v="6"/>
    <n v="2"/>
    <n v="0"/>
  </r>
  <r>
    <s v="U03314"/>
    <x v="6"/>
    <n v="28"/>
    <s v="Male"/>
    <x v="1"/>
    <x v="2"/>
    <n v="14.27"/>
    <n v="1"/>
    <n v="10"/>
    <n v="14.63"/>
    <n v="38.1"/>
    <s v="Comedy"/>
    <n v="4"/>
    <n v="0"/>
    <n v="1"/>
  </r>
  <r>
    <s v="U03315"/>
    <x v="10"/>
    <n v="52"/>
    <s v="Male"/>
    <x v="1"/>
    <x v="0"/>
    <n v="22.29"/>
    <n v="4"/>
    <n v="9"/>
    <n v="11.03"/>
    <n v="17.7"/>
    <s v="Action"/>
    <n v="8"/>
    <n v="3"/>
    <n v="1"/>
  </r>
  <r>
    <s v="U03316"/>
    <x v="7"/>
    <n v="40"/>
    <s v="Male"/>
    <x v="0"/>
    <x v="4"/>
    <n v="23.52"/>
    <n v="1"/>
    <n v="1.5"/>
    <n v="7.28"/>
    <n v="93.2"/>
    <s v="Drama"/>
    <n v="8"/>
    <n v="0"/>
    <n v="1"/>
  </r>
  <r>
    <s v="U03317"/>
    <x v="2"/>
    <n v="34"/>
    <s v="Female"/>
    <x v="1"/>
    <x v="1"/>
    <n v="11.57"/>
    <n v="1"/>
    <n v="2.2000000000000002"/>
    <n v="17.45"/>
    <n v="65.400000000000006"/>
    <s v="Family"/>
    <n v="2"/>
    <n v="1"/>
    <n v="0"/>
  </r>
  <r>
    <s v="U03318"/>
    <x v="2"/>
    <n v="18"/>
    <s v="Male"/>
    <x v="1"/>
    <x v="1"/>
    <n v="9.49"/>
    <n v="4"/>
    <n v="5.4"/>
    <n v="4.38"/>
    <n v="21.9"/>
    <s v="Thriller"/>
    <n v="2"/>
    <n v="1"/>
    <n v="1"/>
  </r>
  <r>
    <s v="U03319"/>
    <x v="0"/>
    <n v="32"/>
    <s v="Female"/>
    <x v="2"/>
    <x v="0"/>
    <n v="14.29"/>
    <n v="2"/>
    <n v="3.2"/>
    <n v="24.04"/>
    <n v="28.5"/>
    <s v="Thriller"/>
    <n v="3"/>
    <n v="0"/>
    <n v="0"/>
  </r>
  <r>
    <s v="U03320"/>
    <x v="2"/>
    <n v="49"/>
    <s v="Male"/>
    <x v="2"/>
    <x v="2"/>
    <n v="8.59"/>
    <n v="3"/>
    <n v="1.7"/>
    <n v="17.25"/>
    <n v="50.6"/>
    <s v="Drama"/>
    <n v="11"/>
    <n v="0"/>
    <n v="0"/>
  </r>
  <r>
    <s v="U03321"/>
    <x v="2"/>
    <n v="26"/>
    <s v="Male"/>
    <x v="1"/>
    <x v="3"/>
    <n v="22.68"/>
    <n v="1"/>
    <n v="3.3"/>
    <n v="24.11"/>
    <n v="14.7"/>
    <s v="Action"/>
    <n v="2"/>
    <n v="1"/>
    <n v="0"/>
  </r>
  <r>
    <s v="U03322"/>
    <x v="8"/>
    <n v="32"/>
    <s v="Female"/>
    <x v="1"/>
    <x v="2"/>
    <n v="11.76"/>
    <n v="3"/>
    <n v="1.6"/>
    <n v="8.99"/>
    <n v="34.5"/>
    <s v="Drama"/>
    <n v="5"/>
    <n v="0"/>
    <n v="0"/>
  </r>
  <r>
    <s v="U03323"/>
    <x v="3"/>
    <n v="45"/>
    <s v="Male"/>
    <x v="1"/>
    <x v="1"/>
    <n v="16.52"/>
    <n v="4"/>
    <n v="5.8"/>
    <n v="23.82"/>
    <n v="73.3"/>
    <s v="Comedy"/>
    <n v="1"/>
    <n v="1"/>
    <n v="0"/>
  </r>
  <r>
    <s v="U03324"/>
    <x v="7"/>
    <n v="41"/>
    <s v="Male"/>
    <x v="1"/>
    <x v="1"/>
    <n v="16.89"/>
    <n v="2"/>
    <n v="5.4"/>
    <n v="16.47"/>
    <n v="92.8"/>
    <s v="Thriller"/>
    <n v="7"/>
    <n v="0"/>
    <n v="0"/>
  </r>
  <r>
    <s v="U03325"/>
    <x v="1"/>
    <n v="52"/>
    <s v="Female"/>
    <x v="0"/>
    <x v="4"/>
    <n v="15.3"/>
    <n v="5"/>
    <n v="1.1000000000000001"/>
    <n v="20.83"/>
    <n v="93.6"/>
    <s v="Comedy"/>
    <n v="8"/>
    <n v="2"/>
    <n v="0"/>
  </r>
  <r>
    <s v="U03326"/>
    <x v="4"/>
    <n v="39"/>
    <s v="Female"/>
    <x v="1"/>
    <x v="2"/>
    <n v="8.1300000000000008"/>
    <n v="2"/>
    <n v="5.3"/>
    <n v="6.94"/>
    <n v="56.8"/>
    <s v="Thriller"/>
    <n v="4"/>
    <n v="0"/>
    <n v="0"/>
  </r>
  <r>
    <s v="U03327"/>
    <x v="3"/>
    <n v="44"/>
    <s v="Female"/>
    <x v="0"/>
    <x v="3"/>
    <n v="24.82"/>
    <n v="4"/>
    <n v="5.7"/>
    <n v="14"/>
    <n v="38.1"/>
    <s v="Thriller"/>
    <n v="7"/>
    <n v="0"/>
    <n v="0"/>
  </r>
  <r>
    <s v="U03328"/>
    <x v="6"/>
    <n v="36"/>
    <s v="Male"/>
    <x v="0"/>
    <x v="4"/>
    <n v="8.4499999999999993"/>
    <n v="2"/>
    <n v="6.5"/>
    <n v="15.52"/>
    <n v="92.9"/>
    <s v="Comedy"/>
    <n v="9"/>
    <n v="3"/>
    <n v="0"/>
  </r>
  <r>
    <s v="U03329"/>
    <x v="6"/>
    <n v="62"/>
    <s v="Male"/>
    <x v="0"/>
    <x v="3"/>
    <n v="20.03"/>
    <n v="5"/>
    <n v="9.6999999999999993"/>
    <n v="11.64"/>
    <n v="80.8"/>
    <s v="Drama"/>
    <n v="7"/>
    <n v="2"/>
    <n v="0"/>
  </r>
  <r>
    <s v="U03330"/>
    <x v="2"/>
    <n v="29"/>
    <s v="Female"/>
    <x v="1"/>
    <x v="4"/>
    <n v="20.83"/>
    <n v="1"/>
    <n v="9.8000000000000007"/>
    <n v="8.57"/>
    <n v="62.8"/>
    <s v="Family"/>
    <n v="2"/>
    <n v="1"/>
    <n v="0"/>
  </r>
  <r>
    <s v="U03331"/>
    <x v="1"/>
    <n v="37"/>
    <s v="Female"/>
    <x v="2"/>
    <x v="2"/>
    <n v="7.9"/>
    <n v="2"/>
    <n v="5.7"/>
    <n v="22.91"/>
    <n v="85.1"/>
    <s v="Family"/>
    <n v="2"/>
    <n v="1"/>
    <n v="1"/>
  </r>
  <r>
    <s v="U03332"/>
    <x v="10"/>
    <n v="18"/>
    <s v="Male"/>
    <x v="1"/>
    <x v="1"/>
    <n v="23.66"/>
    <n v="4"/>
    <n v="8.6"/>
    <n v="4.87"/>
    <n v="51.3"/>
    <s v="Drama"/>
    <n v="10"/>
    <n v="4"/>
    <n v="0"/>
  </r>
  <r>
    <s v="U03333"/>
    <x v="11"/>
    <n v="38"/>
    <s v="Male"/>
    <x v="1"/>
    <x v="3"/>
    <n v="14.76"/>
    <n v="2"/>
    <n v="1.8"/>
    <n v="6.39"/>
    <n v="20.100000000000001"/>
    <s v="Action"/>
    <n v="10"/>
    <n v="2"/>
    <n v="1"/>
  </r>
  <r>
    <s v="U03334"/>
    <x v="3"/>
    <n v="66"/>
    <s v="Female"/>
    <x v="0"/>
    <x v="2"/>
    <n v="17.579999999999998"/>
    <n v="5"/>
    <n v="5.8"/>
    <n v="10.050000000000001"/>
    <n v="94.4"/>
    <s v="Drama"/>
    <n v="10"/>
    <n v="2"/>
    <n v="0"/>
  </r>
  <r>
    <s v="U03335"/>
    <x v="3"/>
    <n v="62"/>
    <s v="Female"/>
    <x v="1"/>
    <x v="3"/>
    <n v="17.84"/>
    <n v="4"/>
    <n v="7.1"/>
    <n v="23.23"/>
    <n v="58.1"/>
    <s v="Drama"/>
    <n v="6"/>
    <n v="0"/>
    <n v="0"/>
  </r>
  <r>
    <s v="U03336"/>
    <x v="5"/>
    <n v="18"/>
    <s v="Female"/>
    <x v="0"/>
    <x v="2"/>
    <n v="15.1"/>
    <n v="2"/>
    <n v="6.1"/>
    <n v="15.41"/>
    <n v="72.599999999999994"/>
    <s v="Drama"/>
    <n v="8"/>
    <n v="3"/>
    <n v="0"/>
  </r>
  <r>
    <s v="U03337"/>
    <x v="7"/>
    <n v="27"/>
    <s v="Female"/>
    <x v="1"/>
    <x v="4"/>
    <n v="7.84"/>
    <n v="4"/>
    <n v="3.1"/>
    <n v="11.21"/>
    <n v="45.3"/>
    <s v="Family"/>
    <n v="10"/>
    <n v="1"/>
    <n v="0"/>
  </r>
  <r>
    <s v="U03338"/>
    <x v="0"/>
    <n v="64"/>
    <s v="Male"/>
    <x v="2"/>
    <x v="2"/>
    <n v="20.04"/>
    <n v="5"/>
    <n v="1.6"/>
    <n v="11.86"/>
    <n v="22.2"/>
    <s v="Thriller"/>
    <n v="11"/>
    <n v="1"/>
    <n v="0"/>
  </r>
  <r>
    <s v="U03339"/>
    <x v="7"/>
    <n v="49"/>
    <s v="Male"/>
    <x v="0"/>
    <x v="4"/>
    <n v="16.64"/>
    <n v="1"/>
    <n v="4.5"/>
    <n v="21.43"/>
    <n v="34.5"/>
    <s v="Action"/>
    <n v="10"/>
    <n v="3"/>
    <n v="0"/>
  </r>
  <r>
    <s v="U03340"/>
    <x v="11"/>
    <n v="56"/>
    <s v="Male"/>
    <x v="0"/>
    <x v="1"/>
    <n v="7.37"/>
    <n v="5"/>
    <n v="6.8"/>
    <n v="3.59"/>
    <n v="13.9"/>
    <s v="Action"/>
    <n v="11"/>
    <n v="3"/>
    <n v="1"/>
  </r>
  <r>
    <s v="U03341"/>
    <x v="6"/>
    <n v="39"/>
    <s v="Male"/>
    <x v="1"/>
    <x v="4"/>
    <n v="19.010000000000002"/>
    <n v="1"/>
    <n v="9.9"/>
    <n v="3.25"/>
    <n v="17.899999999999999"/>
    <s v="Action"/>
    <n v="3"/>
    <n v="2"/>
    <n v="1"/>
  </r>
  <r>
    <s v="U03342"/>
    <x v="6"/>
    <n v="35"/>
    <s v="Female"/>
    <x v="2"/>
    <x v="0"/>
    <n v="19.059999999999999"/>
    <n v="3"/>
    <n v="3.1"/>
    <n v="4.01"/>
    <n v="28.4"/>
    <s v="Comedy"/>
    <n v="1"/>
    <n v="3"/>
    <n v="1"/>
  </r>
  <r>
    <s v="U03343"/>
    <x v="6"/>
    <n v="65"/>
    <s v="Male"/>
    <x v="2"/>
    <x v="1"/>
    <n v="15.97"/>
    <n v="5"/>
    <n v="9.3000000000000007"/>
    <n v="13.32"/>
    <n v="60.5"/>
    <s v="Drama"/>
    <n v="1"/>
    <n v="3"/>
    <n v="0"/>
  </r>
  <r>
    <s v="U03344"/>
    <x v="5"/>
    <n v="63"/>
    <s v="Female"/>
    <x v="2"/>
    <x v="2"/>
    <n v="6.81"/>
    <n v="1"/>
    <n v="1.6"/>
    <n v="15.79"/>
    <n v="99.4"/>
    <s v="Thriller"/>
    <n v="11"/>
    <n v="0"/>
    <n v="0"/>
  </r>
  <r>
    <s v="U03345"/>
    <x v="6"/>
    <n v="49"/>
    <s v="Male"/>
    <x v="1"/>
    <x v="2"/>
    <n v="12.05"/>
    <n v="3"/>
    <n v="9.4"/>
    <n v="16.739999999999998"/>
    <n v="85.9"/>
    <s v="Thriller"/>
    <n v="2"/>
    <n v="2"/>
    <n v="1"/>
  </r>
  <r>
    <s v="U03346"/>
    <x v="11"/>
    <n v="44"/>
    <s v="Male"/>
    <x v="2"/>
    <x v="0"/>
    <n v="6.02"/>
    <n v="3"/>
    <n v="8.5"/>
    <n v="19.09"/>
    <n v="17.7"/>
    <s v="Comedy"/>
    <n v="10"/>
    <n v="4"/>
    <n v="1"/>
  </r>
  <r>
    <s v="U03347"/>
    <x v="9"/>
    <n v="45"/>
    <s v="Male"/>
    <x v="0"/>
    <x v="2"/>
    <n v="14.55"/>
    <n v="3"/>
    <n v="1.2"/>
    <n v="7.17"/>
    <n v="85.8"/>
    <s v="Family"/>
    <n v="6"/>
    <n v="4"/>
    <n v="1"/>
  </r>
  <r>
    <s v="U03348"/>
    <x v="1"/>
    <n v="35"/>
    <s v="Female"/>
    <x v="0"/>
    <x v="1"/>
    <n v="23.13"/>
    <n v="4"/>
    <n v="3.7"/>
    <n v="8.77"/>
    <n v="58.3"/>
    <s v="Comedy"/>
    <n v="2"/>
    <n v="1"/>
    <n v="1"/>
  </r>
  <r>
    <s v="U03349"/>
    <x v="0"/>
    <n v="56"/>
    <s v="Male"/>
    <x v="2"/>
    <x v="1"/>
    <n v="5.05"/>
    <n v="5"/>
    <n v="1.5"/>
    <n v="8.36"/>
    <n v="69.400000000000006"/>
    <s v="Comedy"/>
    <n v="6"/>
    <n v="3"/>
    <n v="0"/>
  </r>
  <r>
    <s v="U03350"/>
    <x v="11"/>
    <n v="66"/>
    <s v="Female"/>
    <x v="2"/>
    <x v="4"/>
    <n v="10.33"/>
    <n v="5"/>
    <n v="10"/>
    <n v="6.28"/>
    <n v="21.7"/>
    <s v="Drama"/>
    <n v="11"/>
    <n v="0"/>
    <n v="0"/>
  </r>
  <r>
    <s v="U03351"/>
    <x v="2"/>
    <n v="46"/>
    <s v="Female"/>
    <x v="0"/>
    <x v="3"/>
    <n v="21"/>
    <n v="5"/>
    <n v="4.9000000000000004"/>
    <n v="8.3800000000000008"/>
    <n v="45.6"/>
    <s v="Family"/>
    <n v="1"/>
    <n v="3"/>
    <n v="0"/>
  </r>
  <r>
    <s v="U03352"/>
    <x v="9"/>
    <n v="35"/>
    <s v="Male"/>
    <x v="0"/>
    <x v="2"/>
    <n v="5.2"/>
    <n v="5"/>
    <n v="7"/>
    <n v="16.5"/>
    <n v="89.6"/>
    <s v="Comedy"/>
    <n v="9"/>
    <n v="1"/>
    <n v="1"/>
  </r>
  <r>
    <s v="U03353"/>
    <x v="0"/>
    <n v="61"/>
    <s v="Female"/>
    <x v="0"/>
    <x v="0"/>
    <n v="5.2"/>
    <n v="4"/>
    <n v="3.1"/>
    <n v="11.06"/>
    <n v="48.3"/>
    <s v="Thriller"/>
    <n v="7"/>
    <n v="3"/>
    <n v="0"/>
  </r>
  <r>
    <s v="U03354"/>
    <x v="11"/>
    <n v="25"/>
    <s v="Male"/>
    <x v="0"/>
    <x v="1"/>
    <n v="17.22"/>
    <n v="5"/>
    <n v="9.4"/>
    <n v="19.89"/>
    <n v="21.4"/>
    <s v="Drama"/>
    <n v="1"/>
    <n v="4"/>
    <n v="0"/>
  </r>
  <r>
    <s v="U03355"/>
    <x v="9"/>
    <n v="48"/>
    <s v="Female"/>
    <x v="0"/>
    <x v="1"/>
    <n v="20.78"/>
    <n v="1"/>
    <n v="3.5"/>
    <n v="14.8"/>
    <n v="38"/>
    <s v="Family"/>
    <n v="9"/>
    <n v="2"/>
    <n v="0"/>
  </r>
  <r>
    <s v="U03356"/>
    <x v="6"/>
    <n v="51"/>
    <s v="Male"/>
    <x v="2"/>
    <x v="1"/>
    <n v="20.53"/>
    <n v="3"/>
    <n v="3.3"/>
    <n v="7.66"/>
    <n v="29.9"/>
    <s v="Thriller"/>
    <n v="9"/>
    <n v="3"/>
    <n v="1"/>
  </r>
  <r>
    <s v="U03357"/>
    <x v="1"/>
    <n v="24"/>
    <s v="Female"/>
    <x v="1"/>
    <x v="3"/>
    <n v="20.59"/>
    <n v="4"/>
    <n v="3.8"/>
    <n v="13.28"/>
    <n v="71.8"/>
    <s v="Action"/>
    <n v="11"/>
    <n v="4"/>
    <n v="1"/>
  </r>
  <r>
    <s v="U03358"/>
    <x v="3"/>
    <n v="53"/>
    <s v="Female"/>
    <x v="2"/>
    <x v="3"/>
    <n v="12.22"/>
    <n v="4"/>
    <n v="5.2"/>
    <n v="16.05"/>
    <n v="92"/>
    <s v="Drama"/>
    <n v="10"/>
    <n v="4"/>
    <n v="0"/>
  </r>
  <r>
    <s v="U03359"/>
    <x v="7"/>
    <n v="35"/>
    <s v="Male"/>
    <x v="2"/>
    <x v="2"/>
    <n v="22.65"/>
    <n v="5"/>
    <n v="1.2"/>
    <n v="22.06"/>
    <n v="76"/>
    <s v="Thriller"/>
    <n v="11"/>
    <n v="1"/>
    <n v="0"/>
  </r>
  <r>
    <s v="U03360"/>
    <x v="4"/>
    <n v="55"/>
    <s v="Male"/>
    <x v="1"/>
    <x v="0"/>
    <n v="5.26"/>
    <n v="3"/>
    <n v="6.4"/>
    <n v="21.34"/>
    <n v="85.9"/>
    <s v="Comedy"/>
    <n v="6"/>
    <n v="2"/>
    <n v="0"/>
  </r>
  <r>
    <s v="U03361"/>
    <x v="1"/>
    <n v="26"/>
    <s v="Male"/>
    <x v="2"/>
    <x v="3"/>
    <n v="11.24"/>
    <n v="1"/>
    <n v="1.3"/>
    <n v="12.38"/>
    <n v="82.5"/>
    <s v="Comedy"/>
    <n v="2"/>
    <n v="1"/>
    <n v="0"/>
  </r>
  <r>
    <s v="U03362"/>
    <x v="3"/>
    <n v="26"/>
    <s v="Male"/>
    <x v="1"/>
    <x v="4"/>
    <n v="11.74"/>
    <n v="3"/>
    <n v="5.9"/>
    <n v="17.25"/>
    <n v="11.3"/>
    <s v="Drama"/>
    <n v="2"/>
    <n v="0"/>
    <n v="0"/>
  </r>
  <r>
    <s v="U03363"/>
    <x v="10"/>
    <n v="63"/>
    <s v="Female"/>
    <x v="1"/>
    <x v="3"/>
    <n v="8.31"/>
    <n v="2"/>
    <n v="5.0999999999999996"/>
    <n v="9.5500000000000007"/>
    <n v="21.2"/>
    <s v="Family"/>
    <n v="8"/>
    <n v="2"/>
    <n v="1"/>
  </r>
  <r>
    <s v="U03364"/>
    <x v="11"/>
    <n v="25"/>
    <s v="Female"/>
    <x v="1"/>
    <x v="1"/>
    <n v="11.72"/>
    <n v="3"/>
    <n v="3.2"/>
    <n v="16.93"/>
    <n v="48.1"/>
    <s v="Comedy"/>
    <n v="9"/>
    <n v="0"/>
    <n v="0"/>
  </r>
  <r>
    <s v="U03365"/>
    <x v="10"/>
    <n v="68"/>
    <s v="Female"/>
    <x v="1"/>
    <x v="0"/>
    <n v="16.72"/>
    <n v="1"/>
    <n v="4"/>
    <n v="23.08"/>
    <n v="20.100000000000001"/>
    <s v="Thriller"/>
    <n v="4"/>
    <n v="2"/>
    <n v="0"/>
  </r>
  <r>
    <s v="U03366"/>
    <x v="3"/>
    <n v="52"/>
    <s v="Female"/>
    <x v="2"/>
    <x v="2"/>
    <n v="15.41"/>
    <n v="1"/>
    <n v="7.4"/>
    <n v="16.739999999999998"/>
    <n v="76.099999999999994"/>
    <s v="Action"/>
    <n v="2"/>
    <n v="4"/>
    <n v="1"/>
  </r>
  <r>
    <s v="U03367"/>
    <x v="1"/>
    <n v="35"/>
    <s v="Male"/>
    <x v="2"/>
    <x v="3"/>
    <n v="11.39"/>
    <n v="1"/>
    <n v="1.1000000000000001"/>
    <n v="9.68"/>
    <n v="16.3"/>
    <s v="Family"/>
    <n v="5"/>
    <n v="0"/>
    <n v="0"/>
  </r>
  <r>
    <s v="U03368"/>
    <x v="11"/>
    <n v="22"/>
    <s v="Female"/>
    <x v="1"/>
    <x v="1"/>
    <n v="19.989999999999998"/>
    <n v="4"/>
    <n v="3.8"/>
    <n v="17.170000000000002"/>
    <n v="47.5"/>
    <s v="Drama"/>
    <n v="7"/>
    <n v="2"/>
    <n v="0"/>
  </r>
  <r>
    <s v="U03369"/>
    <x v="2"/>
    <n v="31"/>
    <s v="Male"/>
    <x v="2"/>
    <x v="4"/>
    <n v="19.3"/>
    <n v="4"/>
    <n v="7.1"/>
    <n v="22.86"/>
    <n v="45.3"/>
    <s v="Comedy"/>
    <n v="4"/>
    <n v="2"/>
    <n v="0"/>
  </r>
  <r>
    <s v="U03370"/>
    <x v="4"/>
    <n v="45"/>
    <s v="Female"/>
    <x v="0"/>
    <x v="4"/>
    <n v="10.61"/>
    <n v="2"/>
    <n v="2.4"/>
    <n v="6.02"/>
    <n v="58.9"/>
    <s v="Family"/>
    <n v="9"/>
    <n v="0"/>
    <n v="1"/>
  </r>
  <r>
    <s v="U03371"/>
    <x v="6"/>
    <n v="47"/>
    <s v="Male"/>
    <x v="2"/>
    <x v="2"/>
    <n v="11.46"/>
    <n v="3"/>
    <n v="6"/>
    <n v="13.61"/>
    <n v="66.599999999999994"/>
    <s v="Action"/>
    <n v="4"/>
    <n v="2"/>
    <n v="0"/>
  </r>
  <r>
    <s v="U03372"/>
    <x v="11"/>
    <n v="21"/>
    <s v="Male"/>
    <x v="1"/>
    <x v="2"/>
    <n v="10.75"/>
    <n v="5"/>
    <n v="2.5"/>
    <n v="10.06"/>
    <n v="95.2"/>
    <s v="Family"/>
    <n v="8"/>
    <n v="1"/>
    <n v="1"/>
  </r>
  <r>
    <s v="U03373"/>
    <x v="2"/>
    <n v="56"/>
    <s v="Male"/>
    <x v="0"/>
    <x v="3"/>
    <n v="7.58"/>
    <n v="2"/>
    <n v="2.4"/>
    <n v="8.31"/>
    <n v="34.4"/>
    <s v="Family"/>
    <n v="3"/>
    <n v="1"/>
    <n v="0"/>
  </r>
  <r>
    <s v="U03374"/>
    <x v="11"/>
    <n v="37"/>
    <s v="Male"/>
    <x v="1"/>
    <x v="2"/>
    <n v="20.059999999999999"/>
    <n v="5"/>
    <n v="8"/>
    <n v="11.72"/>
    <n v="69.900000000000006"/>
    <s v="Drama"/>
    <n v="6"/>
    <n v="0"/>
    <n v="1"/>
  </r>
  <r>
    <s v="U03375"/>
    <x v="1"/>
    <n v="42"/>
    <s v="Male"/>
    <x v="1"/>
    <x v="1"/>
    <n v="5.93"/>
    <n v="5"/>
    <n v="3.4"/>
    <n v="11.67"/>
    <n v="13.2"/>
    <s v="Action"/>
    <n v="6"/>
    <n v="4"/>
    <n v="1"/>
  </r>
  <r>
    <s v="U03376"/>
    <x v="2"/>
    <n v="45"/>
    <s v="Female"/>
    <x v="0"/>
    <x v="1"/>
    <n v="8.01"/>
    <n v="2"/>
    <n v="4.4000000000000004"/>
    <n v="7.63"/>
    <n v="10.1"/>
    <s v="Action"/>
    <n v="3"/>
    <n v="3"/>
    <n v="0"/>
  </r>
  <r>
    <s v="U03377"/>
    <x v="1"/>
    <n v="29"/>
    <s v="Male"/>
    <x v="2"/>
    <x v="1"/>
    <n v="7.11"/>
    <n v="3"/>
    <n v="7.6"/>
    <n v="11.88"/>
    <n v="12.3"/>
    <s v="Family"/>
    <n v="2"/>
    <n v="0"/>
    <n v="0"/>
  </r>
  <r>
    <s v="U03378"/>
    <x v="9"/>
    <n v="19"/>
    <s v="Female"/>
    <x v="0"/>
    <x v="3"/>
    <n v="21.51"/>
    <n v="5"/>
    <n v="2.6"/>
    <n v="16.940000000000001"/>
    <n v="50.4"/>
    <s v="Comedy"/>
    <n v="6"/>
    <n v="0"/>
    <n v="0"/>
  </r>
  <r>
    <s v="U03379"/>
    <x v="3"/>
    <n v="60"/>
    <s v="Female"/>
    <x v="2"/>
    <x v="3"/>
    <n v="5.88"/>
    <n v="4"/>
    <n v="5.8"/>
    <n v="3.57"/>
    <n v="60"/>
    <s v="Family"/>
    <n v="7"/>
    <n v="0"/>
    <n v="0"/>
  </r>
  <r>
    <s v="U03380"/>
    <x v="8"/>
    <n v="31"/>
    <s v="Male"/>
    <x v="2"/>
    <x v="2"/>
    <n v="18.29"/>
    <n v="4"/>
    <n v="9.3000000000000007"/>
    <n v="24.76"/>
    <n v="10.6"/>
    <s v="Thriller"/>
    <n v="7"/>
    <n v="0"/>
    <n v="1"/>
  </r>
  <r>
    <s v="U03381"/>
    <x v="11"/>
    <n v="39"/>
    <s v="Female"/>
    <x v="1"/>
    <x v="3"/>
    <n v="5.89"/>
    <n v="2"/>
    <n v="6"/>
    <n v="9.51"/>
    <n v="45.7"/>
    <s v="Comedy"/>
    <n v="10"/>
    <n v="1"/>
    <n v="0"/>
  </r>
  <r>
    <s v="U03382"/>
    <x v="7"/>
    <n v="48"/>
    <s v="Female"/>
    <x v="1"/>
    <x v="1"/>
    <n v="20.73"/>
    <n v="5"/>
    <n v="1.4"/>
    <n v="16.72"/>
    <n v="13.7"/>
    <s v="Drama"/>
    <n v="11"/>
    <n v="0"/>
    <n v="0"/>
  </r>
  <r>
    <s v="U03383"/>
    <x v="11"/>
    <n v="40"/>
    <s v="Female"/>
    <x v="2"/>
    <x v="0"/>
    <n v="23.25"/>
    <n v="2"/>
    <n v="6.3"/>
    <n v="9.24"/>
    <n v="68.8"/>
    <s v="Action"/>
    <n v="1"/>
    <n v="4"/>
    <n v="1"/>
  </r>
  <r>
    <s v="U03384"/>
    <x v="3"/>
    <n v="65"/>
    <s v="Male"/>
    <x v="1"/>
    <x v="1"/>
    <n v="14.74"/>
    <n v="4"/>
    <n v="1.8"/>
    <n v="11.66"/>
    <n v="66.8"/>
    <s v="Comedy"/>
    <n v="6"/>
    <n v="3"/>
    <n v="1"/>
  </r>
  <r>
    <s v="U03385"/>
    <x v="0"/>
    <n v="37"/>
    <s v="Male"/>
    <x v="1"/>
    <x v="0"/>
    <n v="21.09"/>
    <n v="2"/>
    <n v="3.5"/>
    <n v="15.08"/>
    <n v="80.599999999999994"/>
    <s v="Drama"/>
    <n v="9"/>
    <n v="3"/>
    <n v="0"/>
  </r>
  <r>
    <s v="U03386"/>
    <x v="10"/>
    <n v="55"/>
    <s v="Male"/>
    <x v="1"/>
    <x v="2"/>
    <n v="19.13"/>
    <n v="5"/>
    <n v="8.6"/>
    <n v="16.46"/>
    <n v="59.2"/>
    <s v="Family"/>
    <n v="9"/>
    <n v="4"/>
    <n v="1"/>
  </r>
  <r>
    <s v="U03387"/>
    <x v="9"/>
    <n v="21"/>
    <s v="Male"/>
    <x v="1"/>
    <x v="4"/>
    <n v="20.91"/>
    <n v="5"/>
    <n v="1.1000000000000001"/>
    <n v="19.95"/>
    <n v="66.099999999999994"/>
    <s v="Drama"/>
    <n v="2"/>
    <n v="0"/>
    <n v="0"/>
  </r>
  <r>
    <s v="U03388"/>
    <x v="6"/>
    <n v="32"/>
    <s v="Female"/>
    <x v="2"/>
    <x v="3"/>
    <n v="20.34"/>
    <n v="4"/>
    <n v="1.7"/>
    <n v="20.420000000000002"/>
    <n v="35.1"/>
    <s v="Thriller"/>
    <n v="4"/>
    <n v="3"/>
    <n v="0"/>
  </r>
  <r>
    <s v="U03389"/>
    <x v="2"/>
    <n v="41"/>
    <s v="Female"/>
    <x v="0"/>
    <x v="3"/>
    <n v="9.11"/>
    <n v="1"/>
    <n v="4.3"/>
    <n v="14.41"/>
    <n v="17.7"/>
    <s v="Drama"/>
    <n v="6"/>
    <n v="1"/>
    <n v="0"/>
  </r>
  <r>
    <s v="U03390"/>
    <x v="8"/>
    <n v="42"/>
    <s v="Female"/>
    <x v="1"/>
    <x v="1"/>
    <n v="14.99"/>
    <n v="1"/>
    <n v="10"/>
    <n v="4.67"/>
    <n v="76.400000000000006"/>
    <s v="Comedy"/>
    <n v="4"/>
    <n v="3"/>
    <n v="0"/>
  </r>
  <r>
    <s v="U03391"/>
    <x v="4"/>
    <n v="18"/>
    <s v="Female"/>
    <x v="0"/>
    <x v="1"/>
    <n v="24.21"/>
    <n v="3"/>
    <n v="3.6"/>
    <n v="15.27"/>
    <n v="65.099999999999994"/>
    <s v="Action"/>
    <n v="9"/>
    <n v="4"/>
    <n v="0"/>
  </r>
  <r>
    <s v="U03392"/>
    <x v="4"/>
    <n v="24"/>
    <s v="Female"/>
    <x v="2"/>
    <x v="0"/>
    <n v="11.87"/>
    <n v="4"/>
    <n v="2.4"/>
    <n v="13.51"/>
    <n v="94.4"/>
    <s v="Comedy"/>
    <n v="2"/>
    <n v="3"/>
    <n v="0"/>
  </r>
  <r>
    <s v="U03393"/>
    <x v="4"/>
    <n v="48"/>
    <s v="Female"/>
    <x v="2"/>
    <x v="3"/>
    <n v="24.41"/>
    <n v="3"/>
    <n v="5.9"/>
    <n v="7.74"/>
    <n v="99"/>
    <s v="Comedy"/>
    <n v="10"/>
    <n v="4"/>
    <n v="0"/>
  </r>
  <r>
    <s v="U03394"/>
    <x v="1"/>
    <n v="29"/>
    <s v="Male"/>
    <x v="0"/>
    <x v="2"/>
    <n v="16.66"/>
    <n v="4"/>
    <n v="5.7"/>
    <n v="3.22"/>
    <n v="86.3"/>
    <s v="Action"/>
    <n v="6"/>
    <n v="0"/>
    <n v="0"/>
  </r>
  <r>
    <s v="U03395"/>
    <x v="4"/>
    <n v="59"/>
    <s v="Female"/>
    <x v="0"/>
    <x v="1"/>
    <n v="14.23"/>
    <n v="5"/>
    <n v="5"/>
    <n v="9.9499999999999993"/>
    <n v="98.7"/>
    <s v="Thriller"/>
    <n v="1"/>
    <n v="3"/>
    <n v="0"/>
  </r>
  <r>
    <s v="U03396"/>
    <x v="6"/>
    <n v="22"/>
    <s v="Female"/>
    <x v="0"/>
    <x v="3"/>
    <n v="18.16"/>
    <n v="4"/>
    <n v="9.5"/>
    <n v="8.7100000000000009"/>
    <n v="68.3"/>
    <s v="Comedy"/>
    <n v="9"/>
    <n v="4"/>
    <n v="1"/>
  </r>
  <r>
    <s v="U03397"/>
    <x v="9"/>
    <n v="61"/>
    <s v="Female"/>
    <x v="1"/>
    <x v="4"/>
    <n v="21.32"/>
    <n v="2"/>
    <n v="3.5"/>
    <n v="13.62"/>
    <n v="18.3"/>
    <s v="Action"/>
    <n v="1"/>
    <n v="1"/>
    <n v="1"/>
  </r>
  <r>
    <s v="U03398"/>
    <x v="10"/>
    <n v="67"/>
    <s v="Male"/>
    <x v="1"/>
    <x v="0"/>
    <n v="12.88"/>
    <n v="3"/>
    <n v="3.6"/>
    <n v="19.760000000000002"/>
    <n v="18.100000000000001"/>
    <s v="Action"/>
    <n v="8"/>
    <n v="1"/>
    <n v="0"/>
  </r>
  <r>
    <s v="U03399"/>
    <x v="4"/>
    <n v="59"/>
    <s v="Female"/>
    <x v="2"/>
    <x v="1"/>
    <n v="5.66"/>
    <n v="4"/>
    <n v="2.2999999999999998"/>
    <n v="12.66"/>
    <n v="82.6"/>
    <s v="Comedy"/>
    <n v="9"/>
    <n v="2"/>
    <n v="0"/>
  </r>
  <r>
    <s v="U03400"/>
    <x v="11"/>
    <n v="55"/>
    <s v="Female"/>
    <x v="1"/>
    <x v="1"/>
    <n v="19.18"/>
    <n v="3"/>
    <n v="7.3"/>
    <n v="23.93"/>
    <n v="31.3"/>
    <s v="Action"/>
    <n v="1"/>
    <n v="3"/>
    <n v="1"/>
  </r>
  <r>
    <s v="U03401"/>
    <x v="11"/>
    <n v="29"/>
    <s v="Male"/>
    <x v="0"/>
    <x v="2"/>
    <n v="24.12"/>
    <n v="4"/>
    <n v="3.9"/>
    <n v="7.87"/>
    <n v="15.5"/>
    <s v="Family"/>
    <n v="1"/>
    <n v="0"/>
    <n v="0"/>
  </r>
  <r>
    <s v="U03402"/>
    <x v="1"/>
    <n v="56"/>
    <s v="Female"/>
    <x v="2"/>
    <x v="1"/>
    <n v="17.5"/>
    <n v="1"/>
    <n v="8.1999999999999993"/>
    <n v="7.86"/>
    <n v="52.5"/>
    <s v="Comedy"/>
    <n v="10"/>
    <n v="2"/>
    <n v="1"/>
  </r>
  <r>
    <s v="U03403"/>
    <x v="6"/>
    <n v="35"/>
    <s v="Male"/>
    <x v="1"/>
    <x v="3"/>
    <n v="8.77"/>
    <n v="3"/>
    <n v="9.6999999999999993"/>
    <n v="16.3"/>
    <n v="38.299999999999997"/>
    <s v="Thriller"/>
    <n v="7"/>
    <n v="3"/>
    <n v="0"/>
  </r>
  <r>
    <s v="U03404"/>
    <x v="10"/>
    <n v="19"/>
    <s v="Male"/>
    <x v="1"/>
    <x v="3"/>
    <n v="9.9600000000000009"/>
    <n v="5"/>
    <n v="1.4"/>
    <n v="22.72"/>
    <n v="62.9"/>
    <s v="Family"/>
    <n v="10"/>
    <n v="1"/>
    <n v="0"/>
  </r>
  <r>
    <s v="U03405"/>
    <x v="8"/>
    <n v="27"/>
    <s v="Female"/>
    <x v="0"/>
    <x v="3"/>
    <n v="23.2"/>
    <n v="5"/>
    <n v="9.9"/>
    <n v="17.78"/>
    <n v="64"/>
    <s v="Thriller"/>
    <n v="5"/>
    <n v="0"/>
    <n v="1"/>
  </r>
  <r>
    <s v="U03406"/>
    <x v="3"/>
    <n v="32"/>
    <s v="Female"/>
    <x v="1"/>
    <x v="4"/>
    <n v="5.27"/>
    <n v="4"/>
    <n v="3.3"/>
    <n v="17.82"/>
    <n v="71.3"/>
    <s v="Comedy"/>
    <n v="11"/>
    <n v="1"/>
    <n v="0"/>
  </r>
  <r>
    <s v="U03407"/>
    <x v="10"/>
    <n v="47"/>
    <s v="Male"/>
    <x v="2"/>
    <x v="4"/>
    <n v="15.97"/>
    <n v="5"/>
    <n v="4.8"/>
    <n v="20.74"/>
    <n v="61.9"/>
    <s v="Drama"/>
    <n v="3"/>
    <n v="3"/>
    <n v="0"/>
  </r>
  <r>
    <s v="U03408"/>
    <x v="3"/>
    <n v="61"/>
    <s v="Female"/>
    <x v="1"/>
    <x v="1"/>
    <n v="8.17"/>
    <n v="5"/>
    <n v="8"/>
    <n v="17.71"/>
    <n v="44.3"/>
    <s v="Action"/>
    <n v="9"/>
    <n v="0"/>
    <n v="1"/>
  </r>
  <r>
    <s v="U03409"/>
    <x v="0"/>
    <n v="34"/>
    <s v="Female"/>
    <x v="1"/>
    <x v="4"/>
    <n v="10.66"/>
    <n v="3"/>
    <n v="7"/>
    <n v="19.71"/>
    <n v="12.1"/>
    <s v="Family"/>
    <n v="2"/>
    <n v="0"/>
    <n v="1"/>
  </r>
  <r>
    <s v="U03410"/>
    <x v="3"/>
    <n v="21"/>
    <s v="Male"/>
    <x v="1"/>
    <x v="4"/>
    <n v="11.14"/>
    <n v="4"/>
    <n v="8"/>
    <n v="22.05"/>
    <n v="91.5"/>
    <s v="Comedy"/>
    <n v="6"/>
    <n v="2"/>
    <n v="0"/>
  </r>
  <r>
    <s v="U03411"/>
    <x v="9"/>
    <n v="24"/>
    <s v="Male"/>
    <x v="2"/>
    <x v="2"/>
    <n v="9.39"/>
    <n v="3"/>
    <n v="5.2"/>
    <n v="3.17"/>
    <n v="39.4"/>
    <s v="Action"/>
    <n v="4"/>
    <n v="0"/>
    <n v="1"/>
  </r>
  <r>
    <s v="U03412"/>
    <x v="7"/>
    <n v="58"/>
    <s v="Female"/>
    <x v="0"/>
    <x v="4"/>
    <n v="20.85"/>
    <n v="4"/>
    <n v="9.1999999999999993"/>
    <n v="22.48"/>
    <n v="55.6"/>
    <s v="Drama"/>
    <n v="5"/>
    <n v="3"/>
    <n v="1"/>
  </r>
  <r>
    <s v="U03413"/>
    <x v="9"/>
    <n v="48"/>
    <s v="Male"/>
    <x v="1"/>
    <x v="0"/>
    <n v="11.64"/>
    <n v="5"/>
    <n v="8.1"/>
    <n v="7.74"/>
    <n v="60.1"/>
    <s v="Thriller"/>
    <n v="2"/>
    <n v="4"/>
    <n v="0"/>
  </r>
  <r>
    <s v="U03414"/>
    <x v="11"/>
    <n v="68"/>
    <s v="Female"/>
    <x v="2"/>
    <x v="0"/>
    <n v="11.91"/>
    <n v="4"/>
    <n v="3.8"/>
    <n v="23.07"/>
    <n v="38.299999999999997"/>
    <s v="Comedy"/>
    <n v="1"/>
    <n v="4"/>
    <n v="0"/>
  </r>
  <r>
    <s v="U03415"/>
    <x v="6"/>
    <n v="56"/>
    <s v="Female"/>
    <x v="0"/>
    <x v="0"/>
    <n v="14.06"/>
    <n v="4"/>
    <n v="9.5"/>
    <n v="8.86"/>
    <n v="37.799999999999997"/>
    <s v="Comedy"/>
    <n v="9"/>
    <n v="0"/>
    <n v="0"/>
  </r>
  <r>
    <s v="U03416"/>
    <x v="5"/>
    <n v="51"/>
    <s v="Female"/>
    <x v="2"/>
    <x v="1"/>
    <n v="23.05"/>
    <n v="2"/>
    <n v="9.6"/>
    <n v="13.02"/>
    <n v="33.5"/>
    <s v="Drama"/>
    <n v="3"/>
    <n v="4"/>
    <n v="0"/>
  </r>
  <r>
    <s v="U03417"/>
    <x v="1"/>
    <n v="23"/>
    <s v="Female"/>
    <x v="1"/>
    <x v="3"/>
    <n v="18.760000000000002"/>
    <n v="4"/>
    <n v="4.7"/>
    <n v="23.55"/>
    <n v="31.9"/>
    <s v="Thriller"/>
    <n v="6"/>
    <n v="3"/>
    <n v="0"/>
  </r>
  <r>
    <s v="U03418"/>
    <x v="7"/>
    <n v="67"/>
    <s v="Male"/>
    <x v="1"/>
    <x v="2"/>
    <n v="6.23"/>
    <n v="2"/>
    <n v="6.9"/>
    <n v="5.41"/>
    <n v="12.7"/>
    <s v="Comedy"/>
    <n v="9"/>
    <n v="2"/>
    <n v="0"/>
  </r>
  <r>
    <s v="U03419"/>
    <x v="3"/>
    <n v="55"/>
    <s v="Female"/>
    <x v="1"/>
    <x v="1"/>
    <n v="5.79"/>
    <n v="3"/>
    <n v="8.3000000000000007"/>
    <n v="19.399999999999999"/>
    <n v="96.2"/>
    <s v="Action"/>
    <n v="1"/>
    <n v="1"/>
    <n v="0"/>
  </r>
  <r>
    <s v="U03420"/>
    <x v="4"/>
    <n v="62"/>
    <s v="Male"/>
    <x v="1"/>
    <x v="3"/>
    <n v="16.329999999999998"/>
    <n v="2"/>
    <n v="8.4"/>
    <n v="11.63"/>
    <n v="63.6"/>
    <s v="Drama"/>
    <n v="5"/>
    <n v="1"/>
    <n v="0"/>
  </r>
  <r>
    <s v="U03421"/>
    <x v="6"/>
    <n v="68"/>
    <s v="Female"/>
    <x v="1"/>
    <x v="2"/>
    <n v="22.74"/>
    <n v="3"/>
    <n v="1.1000000000000001"/>
    <n v="3.53"/>
    <n v="19.7"/>
    <s v="Comedy"/>
    <n v="4"/>
    <n v="3"/>
    <n v="0"/>
  </r>
  <r>
    <s v="U03422"/>
    <x v="7"/>
    <n v="51"/>
    <s v="Female"/>
    <x v="0"/>
    <x v="2"/>
    <n v="11.47"/>
    <n v="4"/>
    <n v="6.7"/>
    <n v="23.66"/>
    <n v="63.3"/>
    <s v="Thriller"/>
    <n v="3"/>
    <n v="2"/>
    <n v="0"/>
  </r>
  <r>
    <s v="U03423"/>
    <x v="1"/>
    <n v="61"/>
    <s v="Male"/>
    <x v="1"/>
    <x v="2"/>
    <n v="9.9600000000000009"/>
    <n v="3"/>
    <n v="9.8000000000000007"/>
    <n v="5.59"/>
    <n v="30.9"/>
    <s v="Family"/>
    <n v="2"/>
    <n v="3"/>
    <n v="0"/>
  </r>
  <r>
    <s v="U03424"/>
    <x v="11"/>
    <n v="32"/>
    <s v="Female"/>
    <x v="0"/>
    <x v="0"/>
    <n v="19.96"/>
    <n v="5"/>
    <n v="3.1"/>
    <n v="20.03"/>
    <n v="38"/>
    <s v="Comedy"/>
    <n v="3"/>
    <n v="0"/>
    <n v="1"/>
  </r>
  <r>
    <s v="U03425"/>
    <x v="6"/>
    <n v="31"/>
    <s v="Male"/>
    <x v="0"/>
    <x v="0"/>
    <n v="17.04"/>
    <n v="4"/>
    <n v="8.1999999999999993"/>
    <n v="11.45"/>
    <n v="82.1"/>
    <s v="Thriller"/>
    <n v="1"/>
    <n v="2"/>
    <n v="1"/>
  </r>
  <r>
    <s v="U03426"/>
    <x v="1"/>
    <n v="23"/>
    <s v="Male"/>
    <x v="2"/>
    <x v="0"/>
    <n v="16.3"/>
    <n v="2"/>
    <n v="5.8"/>
    <n v="20.83"/>
    <n v="89.7"/>
    <s v="Drama"/>
    <n v="1"/>
    <n v="4"/>
    <n v="1"/>
  </r>
  <r>
    <s v="U03427"/>
    <x v="0"/>
    <n v="67"/>
    <s v="Female"/>
    <x v="1"/>
    <x v="2"/>
    <n v="7.99"/>
    <n v="1"/>
    <n v="3"/>
    <n v="19.510000000000002"/>
    <n v="73"/>
    <s v="Thriller"/>
    <n v="8"/>
    <n v="0"/>
    <n v="1"/>
  </r>
  <r>
    <s v="U03428"/>
    <x v="0"/>
    <n v="54"/>
    <s v="Female"/>
    <x v="2"/>
    <x v="2"/>
    <n v="8.52"/>
    <n v="4"/>
    <n v="1.5"/>
    <n v="16.93"/>
    <n v="93.9"/>
    <s v="Thriller"/>
    <n v="5"/>
    <n v="4"/>
    <n v="1"/>
  </r>
  <r>
    <s v="U03429"/>
    <x v="9"/>
    <n v="67"/>
    <s v="Female"/>
    <x v="0"/>
    <x v="0"/>
    <n v="10.64"/>
    <n v="5"/>
    <n v="7.8"/>
    <n v="23.66"/>
    <n v="91.5"/>
    <s v="Drama"/>
    <n v="2"/>
    <n v="0"/>
    <n v="0"/>
  </r>
  <r>
    <s v="U03430"/>
    <x v="9"/>
    <n v="49"/>
    <s v="Female"/>
    <x v="1"/>
    <x v="2"/>
    <n v="9.14"/>
    <n v="3"/>
    <n v="3.8"/>
    <n v="5.18"/>
    <n v="59.6"/>
    <s v="Family"/>
    <n v="3"/>
    <n v="0"/>
    <n v="1"/>
  </r>
  <r>
    <s v="U03431"/>
    <x v="1"/>
    <n v="20"/>
    <s v="Male"/>
    <x v="0"/>
    <x v="0"/>
    <n v="24.43"/>
    <n v="2"/>
    <n v="4.4000000000000004"/>
    <n v="20.57"/>
    <n v="91.7"/>
    <s v="Action"/>
    <n v="2"/>
    <n v="0"/>
    <n v="0"/>
  </r>
  <r>
    <s v="U03432"/>
    <x v="7"/>
    <n v="20"/>
    <s v="Female"/>
    <x v="2"/>
    <x v="0"/>
    <n v="5.37"/>
    <n v="2"/>
    <n v="5.4"/>
    <n v="17.760000000000002"/>
    <n v="59"/>
    <s v="Family"/>
    <n v="10"/>
    <n v="0"/>
    <n v="0"/>
  </r>
  <r>
    <s v="U03433"/>
    <x v="9"/>
    <n v="39"/>
    <s v="Female"/>
    <x v="2"/>
    <x v="0"/>
    <n v="17.52"/>
    <n v="5"/>
    <n v="5.6"/>
    <n v="9.92"/>
    <n v="19.399999999999999"/>
    <s v="Action"/>
    <n v="2"/>
    <n v="2"/>
    <n v="0"/>
  </r>
  <r>
    <s v="U03434"/>
    <x v="6"/>
    <n v="39"/>
    <s v="Female"/>
    <x v="0"/>
    <x v="3"/>
    <n v="15.35"/>
    <n v="5"/>
    <n v="2.9"/>
    <n v="15.01"/>
    <n v="84.7"/>
    <s v="Action"/>
    <n v="4"/>
    <n v="2"/>
    <n v="0"/>
  </r>
  <r>
    <s v="U03435"/>
    <x v="7"/>
    <n v="27"/>
    <s v="Female"/>
    <x v="2"/>
    <x v="2"/>
    <n v="11.47"/>
    <n v="4"/>
    <n v="7"/>
    <n v="17.18"/>
    <n v="21.8"/>
    <s v="Action"/>
    <n v="4"/>
    <n v="0"/>
    <n v="0"/>
  </r>
  <r>
    <s v="U03436"/>
    <x v="9"/>
    <n v="68"/>
    <s v="Female"/>
    <x v="0"/>
    <x v="1"/>
    <n v="22.75"/>
    <n v="1"/>
    <n v="7.2"/>
    <n v="19.2"/>
    <n v="38.4"/>
    <s v="Comedy"/>
    <n v="7"/>
    <n v="3"/>
    <n v="0"/>
  </r>
  <r>
    <s v="U03437"/>
    <x v="8"/>
    <n v="20"/>
    <s v="Male"/>
    <x v="1"/>
    <x v="0"/>
    <n v="18.399999999999999"/>
    <n v="1"/>
    <n v="2.2999999999999998"/>
    <n v="7.12"/>
    <n v="44.2"/>
    <s v="Family"/>
    <n v="2"/>
    <n v="0"/>
    <n v="0"/>
  </r>
  <r>
    <s v="U03438"/>
    <x v="3"/>
    <n v="29"/>
    <s v="Female"/>
    <x v="2"/>
    <x v="1"/>
    <n v="24.97"/>
    <n v="3"/>
    <n v="5.8"/>
    <n v="5.25"/>
    <n v="82.7"/>
    <s v="Thriller"/>
    <n v="9"/>
    <n v="0"/>
    <n v="1"/>
  </r>
  <r>
    <s v="U03439"/>
    <x v="8"/>
    <n v="46"/>
    <s v="Male"/>
    <x v="2"/>
    <x v="3"/>
    <n v="8.3699999999999992"/>
    <n v="2"/>
    <n v="6.5"/>
    <n v="5.25"/>
    <n v="17.5"/>
    <s v="Comedy"/>
    <n v="7"/>
    <n v="3"/>
    <n v="0"/>
  </r>
  <r>
    <s v="U03440"/>
    <x v="2"/>
    <n v="65"/>
    <s v="Female"/>
    <x v="2"/>
    <x v="2"/>
    <n v="6.76"/>
    <n v="4"/>
    <n v="2.7"/>
    <n v="9.4700000000000006"/>
    <n v="50"/>
    <s v="Drama"/>
    <n v="4"/>
    <n v="3"/>
    <n v="1"/>
  </r>
  <r>
    <s v="U03441"/>
    <x v="0"/>
    <n v="34"/>
    <s v="Female"/>
    <x v="1"/>
    <x v="0"/>
    <n v="7.79"/>
    <n v="2"/>
    <n v="9.1"/>
    <n v="6.39"/>
    <n v="49.3"/>
    <s v="Drama"/>
    <n v="7"/>
    <n v="0"/>
    <n v="0"/>
  </r>
  <r>
    <s v="U03442"/>
    <x v="11"/>
    <n v="24"/>
    <s v="Female"/>
    <x v="0"/>
    <x v="0"/>
    <n v="10.39"/>
    <n v="4"/>
    <n v="5.3"/>
    <n v="14.78"/>
    <n v="62.4"/>
    <s v="Action"/>
    <n v="10"/>
    <n v="1"/>
    <n v="0"/>
  </r>
  <r>
    <s v="U03443"/>
    <x v="10"/>
    <n v="30"/>
    <s v="Male"/>
    <x v="0"/>
    <x v="0"/>
    <n v="13.34"/>
    <n v="5"/>
    <n v="2"/>
    <n v="12.61"/>
    <n v="41.8"/>
    <s v="Comedy"/>
    <n v="11"/>
    <n v="1"/>
    <n v="0"/>
  </r>
  <r>
    <s v="U03444"/>
    <x v="3"/>
    <n v="19"/>
    <s v="Female"/>
    <x v="1"/>
    <x v="1"/>
    <n v="22.25"/>
    <n v="3"/>
    <n v="4"/>
    <n v="22.65"/>
    <n v="61.9"/>
    <s v="Comedy"/>
    <n v="1"/>
    <n v="3"/>
    <n v="1"/>
  </r>
  <r>
    <s v="U03445"/>
    <x v="0"/>
    <n v="21"/>
    <s v="Male"/>
    <x v="2"/>
    <x v="3"/>
    <n v="10.67"/>
    <n v="5"/>
    <n v="5.3"/>
    <n v="18.78"/>
    <n v="98.7"/>
    <s v="Drama"/>
    <n v="7"/>
    <n v="0"/>
    <n v="1"/>
  </r>
  <r>
    <s v="U03446"/>
    <x v="7"/>
    <n v="27"/>
    <s v="Male"/>
    <x v="0"/>
    <x v="2"/>
    <n v="23.3"/>
    <n v="2"/>
    <n v="1.1000000000000001"/>
    <n v="7.53"/>
    <n v="16.399999999999999"/>
    <s v="Thriller"/>
    <n v="6"/>
    <n v="4"/>
    <n v="0"/>
  </r>
  <r>
    <s v="U03447"/>
    <x v="7"/>
    <n v="56"/>
    <s v="Female"/>
    <x v="1"/>
    <x v="3"/>
    <n v="14.26"/>
    <n v="3"/>
    <n v="1.3"/>
    <n v="4.01"/>
    <n v="88.7"/>
    <s v="Family"/>
    <n v="9"/>
    <n v="4"/>
    <n v="1"/>
  </r>
  <r>
    <s v="U03448"/>
    <x v="7"/>
    <n v="41"/>
    <s v="Male"/>
    <x v="1"/>
    <x v="0"/>
    <n v="17.940000000000001"/>
    <n v="4"/>
    <n v="1.5"/>
    <n v="18.600000000000001"/>
    <n v="37.799999999999997"/>
    <s v="Family"/>
    <n v="8"/>
    <n v="0"/>
    <n v="1"/>
  </r>
  <r>
    <s v="U03449"/>
    <x v="11"/>
    <n v="34"/>
    <s v="Female"/>
    <x v="1"/>
    <x v="3"/>
    <n v="10.29"/>
    <n v="4"/>
    <n v="5.8"/>
    <n v="21.61"/>
    <n v="51.9"/>
    <s v="Action"/>
    <n v="2"/>
    <n v="0"/>
    <n v="0"/>
  </r>
  <r>
    <s v="U03450"/>
    <x v="8"/>
    <n v="69"/>
    <s v="Female"/>
    <x v="1"/>
    <x v="1"/>
    <n v="8.1199999999999992"/>
    <n v="3"/>
    <n v="4"/>
    <n v="18.420000000000002"/>
    <n v="76.7"/>
    <s v="Action"/>
    <n v="11"/>
    <n v="0"/>
    <n v="0"/>
  </r>
  <r>
    <s v="U03451"/>
    <x v="10"/>
    <n v="23"/>
    <s v="Male"/>
    <x v="1"/>
    <x v="4"/>
    <n v="22.39"/>
    <n v="5"/>
    <n v="9"/>
    <n v="17.16"/>
    <n v="91.9"/>
    <s v="Action"/>
    <n v="3"/>
    <n v="4"/>
    <n v="1"/>
  </r>
  <r>
    <s v="U03452"/>
    <x v="9"/>
    <n v="36"/>
    <s v="Female"/>
    <x v="2"/>
    <x v="4"/>
    <n v="7.19"/>
    <n v="3"/>
    <n v="6"/>
    <n v="8.48"/>
    <n v="10.8"/>
    <s v="Drama"/>
    <n v="3"/>
    <n v="4"/>
    <n v="0"/>
  </r>
  <r>
    <s v="U03453"/>
    <x v="7"/>
    <n v="22"/>
    <s v="Female"/>
    <x v="0"/>
    <x v="2"/>
    <n v="20.48"/>
    <n v="5"/>
    <n v="7.8"/>
    <n v="13.88"/>
    <n v="69.599999999999994"/>
    <s v="Drama"/>
    <n v="6"/>
    <n v="3"/>
    <n v="0"/>
  </r>
  <r>
    <s v="U03454"/>
    <x v="5"/>
    <n v="49"/>
    <s v="Male"/>
    <x v="2"/>
    <x v="2"/>
    <n v="16.62"/>
    <n v="3"/>
    <n v="7.2"/>
    <n v="18.95"/>
    <n v="16.3"/>
    <s v="Family"/>
    <n v="2"/>
    <n v="2"/>
    <n v="0"/>
  </r>
  <r>
    <s v="U03455"/>
    <x v="2"/>
    <n v="27"/>
    <s v="Male"/>
    <x v="0"/>
    <x v="3"/>
    <n v="22.22"/>
    <n v="5"/>
    <n v="5.7"/>
    <n v="7.25"/>
    <n v="57.3"/>
    <s v="Action"/>
    <n v="11"/>
    <n v="3"/>
    <n v="0"/>
  </r>
  <r>
    <s v="U03456"/>
    <x v="3"/>
    <n v="26"/>
    <s v="Male"/>
    <x v="0"/>
    <x v="2"/>
    <n v="19.36"/>
    <n v="1"/>
    <n v="7.7"/>
    <n v="13.48"/>
    <n v="77.5"/>
    <s v="Comedy"/>
    <n v="2"/>
    <n v="3"/>
    <n v="0"/>
  </r>
  <r>
    <s v="U03457"/>
    <x v="6"/>
    <n v="44"/>
    <s v="Male"/>
    <x v="1"/>
    <x v="1"/>
    <n v="10.63"/>
    <n v="3"/>
    <n v="5.9"/>
    <n v="5.57"/>
    <n v="25.3"/>
    <s v="Thriller"/>
    <n v="4"/>
    <n v="1"/>
    <n v="0"/>
  </r>
  <r>
    <s v="U03458"/>
    <x v="9"/>
    <n v="30"/>
    <s v="Male"/>
    <x v="2"/>
    <x v="0"/>
    <n v="16.489999999999998"/>
    <n v="5"/>
    <n v="4.5"/>
    <n v="14.68"/>
    <n v="78.7"/>
    <s v="Drama"/>
    <n v="1"/>
    <n v="3"/>
    <n v="1"/>
  </r>
  <r>
    <s v="U03459"/>
    <x v="5"/>
    <n v="36"/>
    <s v="Male"/>
    <x v="0"/>
    <x v="0"/>
    <n v="5.26"/>
    <n v="2"/>
    <n v="4.9000000000000004"/>
    <n v="15.62"/>
    <n v="37.9"/>
    <s v="Action"/>
    <n v="1"/>
    <n v="3"/>
    <n v="1"/>
  </r>
  <r>
    <s v="U03460"/>
    <x v="10"/>
    <n v="38"/>
    <s v="Female"/>
    <x v="1"/>
    <x v="3"/>
    <n v="14.5"/>
    <n v="2"/>
    <n v="8.5"/>
    <n v="14.78"/>
    <n v="64.900000000000006"/>
    <s v="Action"/>
    <n v="1"/>
    <n v="3"/>
    <n v="0"/>
  </r>
  <r>
    <s v="U03461"/>
    <x v="11"/>
    <n v="41"/>
    <s v="Male"/>
    <x v="1"/>
    <x v="0"/>
    <n v="6.72"/>
    <n v="3"/>
    <n v="6.1"/>
    <n v="13.33"/>
    <n v="69.2"/>
    <s v="Drama"/>
    <n v="5"/>
    <n v="3"/>
    <n v="0"/>
  </r>
  <r>
    <s v="U03462"/>
    <x v="10"/>
    <n v="55"/>
    <s v="Male"/>
    <x v="0"/>
    <x v="3"/>
    <n v="13.58"/>
    <n v="3"/>
    <n v="4.4000000000000004"/>
    <n v="15.92"/>
    <n v="68.400000000000006"/>
    <s v="Family"/>
    <n v="9"/>
    <n v="2"/>
    <n v="0"/>
  </r>
  <r>
    <s v="U03463"/>
    <x v="6"/>
    <n v="21"/>
    <s v="Female"/>
    <x v="2"/>
    <x v="2"/>
    <n v="7.19"/>
    <n v="4"/>
    <n v="2.6"/>
    <n v="24.93"/>
    <n v="11.7"/>
    <s v="Family"/>
    <n v="4"/>
    <n v="1"/>
    <n v="1"/>
  </r>
  <r>
    <s v="U03464"/>
    <x v="3"/>
    <n v="41"/>
    <s v="Female"/>
    <x v="2"/>
    <x v="2"/>
    <n v="24.11"/>
    <n v="5"/>
    <n v="5.5"/>
    <n v="16.7"/>
    <n v="23.7"/>
    <s v="Family"/>
    <n v="8"/>
    <n v="4"/>
    <n v="0"/>
  </r>
  <r>
    <s v="U03465"/>
    <x v="6"/>
    <n v="52"/>
    <s v="Male"/>
    <x v="0"/>
    <x v="1"/>
    <n v="15.46"/>
    <n v="3"/>
    <n v="3.3"/>
    <n v="19.559999999999999"/>
    <n v="87.1"/>
    <s v="Family"/>
    <n v="7"/>
    <n v="0"/>
    <n v="0"/>
  </r>
  <r>
    <s v="U03466"/>
    <x v="1"/>
    <n v="20"/>
    <s v="Male"/>
    <x v="1"/>
    <x v="0"/>
    <n v="23.26"/>
    <n v="2"/>
    <n v="9.6"/>
    <n v="7.23"/>
    <n v="94.6"/>
    <s v="Comedy"/>
    <n v="6"/>
    <n v="4"/>
    <n v="0"/>
  </r>
  <r>
    <s v="U03467"/>
    <x v="3"/>
    <n v="21"/>
    <s v="Female"/>
    <x v="2"/>
    <x v="1"/>
    <n v="5.45"/>
    <n v="2"/>
    <n v="5.4"/>
    <n v="14.66"/>
    <n v="60.7"/>
    <s v="Action"/>
    <n v="9"/>
    <n v="1"/>
    <n v="0"/>
  </r>
  <r>
    <s v="U03468"/>
    <x v="10"/>
    <n v="54"/>
    <s v="Male"/>
    <x v="1"/>
    <x v="4"/>
    <n v="17.75"/>
    <n v="2"/>
    <n v="1.1000000000000001"/>
    <n v="3.17"/>
    <n v="63.7"/>
    <s v="Family"/>
    <n v="10"/>
    <n v="3"/>
    <n v="0"/>
  </r>
  <r>
    <s v="U03469"/>
    <x v="7"/>
    <n v="57"/>
    <s v="Male"/>
    <x v="1"/>
    <x v="1"/>
    <n v="11.14"/>
    <n v="5"/>
    <n v="1.8"/>
    <n v="3.69"/>
    <n v="78"/>
    <s v="Family"/>
    <n v="1"/>
    <n v="4"/>
    <n v="1"/>
  </r>
  <r>
    <s v="U03470"/>
    <x v="10"/>
    <n v="65"/>
    <s v="Female"/>
    <x v="0"/>
    <x v="3"/>
    <n v="13.64"/>
    <n v="1"/>
    <n v="3.6"/>
    <n v="10.09"/>
    <n v="46.5"/>
    <s v="Thriller"/>
    <n v="7"/>
    <n v="3"/>
    <n v="0"/>
  </r>
  <r>
    <s v="U03471"/>
    <x v="10"/>
    <n v="52"/>
    <s v="Male"/>
    <x v="1"/>
    <x v="3"/>
    <n v="22.46"/>
    <n v="3"/>
    <n v="1.8"/>
    <n v="13.27"/>
    <n v="39.5"/>
    <s v="Thriller"/>
    <n v="9"/>
    <n v="2"/>
    <n v="0"/>
  </r>
  <r>
    <s v="U03472"/>
    <x v="3"/>
    <n v="48"/>
    <s v="Female"/>
    <x v="0"/>
    <x v="1"/>
    <n v="24.6"/>
    <n v="1"/>
    <n v="9"/>
    <n v="15.66"/>
    <n v="79.099999999999994"/>
    <s v="Action"/>
    <n v="10"/>
    <n v="2"/>
    <n v="1"/>
  </r>
  <r>
    <s v="U03473"/>
    <x v="2"/>
    <n v="61"/>
    <s v="Male"/>
    <x v="2"/>
    <x v="2"/>
    <n v="9.93"/>
    <n v="5"/>
    <n v="8.6999999999999993"/>
    <n v="22.54"/>
    <n v="12.5"/>
    <s v="Drama"/>
    <n v="2"/>
    <n v="1"/>
    <n v="0"/>
  </r>
  <r>
    <s v="U03474"/>
    <x v="1"/>
    <n v="42"/>
    <s v="Female"/>
    <x v="1"/>
    <x v="4"/>
    <n v="23.97"/>
    <n v="3"/>
    <n v="9.6999999999999993"/>
    <n v="19.98"/>
    <n v="89.7"/>
    <s v="Family"/>
    <n v="4"/>
    <n v="4"/>
    <n v="0"/>
  </r>
  <r>
    <s v="U03475"/>
    <x v="9"/>
    <n v="57"/>
    <s v="Female"/>
    <x v="0"/>
    <x v="1"/>
    <n v="18.77"/>
    <n v="4"/>
    <n v="7.4"/>
    <n v="9.6"/>
    <n v="49.7"/>
    <s v="Comedy"/>
    <n v="5"/>
    <n v="2"/>
    <n v="0"/>
  </r>
  <r>
    <s v="U03476"/>
    <x v="10"/>
    <n v="30"/>
    <s v="Female"/>
    <x v="2"/>
    <x v="2"/>
    <n v="24.03"/>
    <n v="3"/>
    <n v="6.8"/>
    <n v="19.36"/>
    <n v="55.4"/>
    <s v="Thriller"/>
    <n v="11"/>
    <n v="1"/>
    <n v="0"/>
  </r>
  <r>
    <s v="U03477"/>
    <x v="5"/>
    <n v="21"/>
    <s v="Male"/>
    <x v="0"/>
    <x v="1"/>
    <n v="16.25"/>
    <n v="3"/>
    <n v="9.3000000000000007"/>
    <n v="15.09"/>
    <n v="67.099999999999994"/>
    <s v="Family"/>
    <n v="5"/>
    <n v="1"/>
    <n v="1"/>
  </r>
  <r>
    <s v="U03478"/>
    <x v="0"/>
    <n v="63"/>
    <s v="Female"/>
    <x v="1"/>
    <x v="0"/>
    <n v="24.22"/>
    <n v="3"/>
    <n v="9.5"/>
    <n v="20.14"/>
    <n v="34.700000000000003"/>
    <s v="Drama"/>
    <n v="11"/>
    <n v="1"/>
    <n v="1"/>
  </r>
  <r>
    <s v="U03479"/>
    <x v="4"/>
    <n v="31"/>
    <s v="Male"/>
    <x v="1"/>
    <x v="3"/>
    <n v="22.85"/>
    <n v="3"/>
    <n v="8.9"/>
    <n v="12.04"/>
    <n v="63.8"/>
    <s v="Comedy"/>
    <n v="7"/>
    <n v="4"/>
    <n v="0"/>
  </r>
  <r>
    <s v="U03480"/>
    <x v="4"/>
    <n v="30"/>
    <s v="Female"/>
    <x v="0"/>
    <x v="0"/>
    <n v="7.57"/>
    <n v="3"/>
    <n v="8.8000000000000007"/>
    <n v="5.0199999999999996"/>
    <n v="72.400000000000006"/>
    <s v="Thriller"/>
    <n v="10"/>
    <n v="4"/>
    <n v="0"/>
  </r>
  <r>
    <s v="U03481"/>
    <x v="10"/>
    <n v="44"/>
    <s v="Female"/>
    <x v="2"/>
    <x v="0"/>
    <n v="11.22"/>
    <n v="5"/>
    <n v="7"/>
    <n v="16.61"/>
    <n v="20.6"/>
    <s v="Drama"/>
    <n v="8"/>
    <n v="1"/>
    <n v="1"/>
  </r>
  <r>
    <s v="U03482"/>
    <x v="5"/>
    <n v="23"/>
    <s v="Female"/>
    <x v="2"/>
    <x v="4"/>
    <n v="9.86"/>
    <n v="3"/>
    <n v="1"/>
    <n v="15.25"/>
    <n v="56.8"/>
    <s v="Drama"/>
    <n v="9"/>
    <n v="0"/>
    <n v="0"/>
  </r>
  <r>
    <s v="U03483"/>
    <x v="2"/>
    <n v="34"/>
    <s v="Male"/>
    <x v="0"/>
    <x v="2"/>
    <n v="16.440000000000001"/>
    <n v="5"/>
    <n v="4.9000000000000004"/>
    <n v="23.98"/>
    <n v="39.6"/>
    <s v="Comedy"/>
    <n v="5"/>
    <n v="4"/>
    <n v="0"/>
  </r>
  <r>
    <s v="U03484"/>
    <x v="7"/>
    <n v="53"/>
    <s v="Male"/>
    <x v="2"/>
    <x v="3"/>
    <n v="21.06"/>
    <n v="3"/>
    <n v="6.7"/>
    <n v="6.57"/>
    <n v="60.2"/>
    <s v="Comedy"/>
    <n v="2"/>
    <n v="4"/>
    <n v="0"/>
  </r>
  <r>
    <s v="U03485"/>
    <x v="11"/>
    <n v="57"/>
    <s v="Female"/>
    <x v="1"/>
    <x v="0"/>
    <n v="20.190000000000001"/>
    <n v="3"/>
    <n v="5.9"/>
    <n v="17.43"/>
    <n v="11.9"/>
    <s v="Thriller"/>
    <n v="2"/>
    <n v="0"/>
    <n v="1"/>
  </r>
  <r>
    <s v="U03486"/>
    <x v="11"/>
    <n v="66"/>
    <s v="Male"/>
    <x v="2"/>
    <x v="3"/>
    <n v="19.53"/>
    <n v="5"/>
    <n v="8.4"/>
    <n v="13.43"/>
    <n v="76.8"/>
    <s v="Comedy"/>
    <n v="5"/>
    <n v="4"/>
    <n v="0"/>
  </r>
  <r>
    <s v="U03487"/>
    <x v="3"/>
    <n v="52"/>
    <s v="Male"/>
    <x v="1"/>
    <x v="2"/>
    <n v="12.51"/>
    <n v="3"/>
    <n v="8.4"/>
    <n v="11.34"/>
    <n v="25.2"/>
    <s v="Family"/>
    <n v="5"/>
    <n v="4"/>
    <n v="0"/>
  </r>
  <r>
    <s v="U03488"/>
    <x v="4"/>
    <n v="34"/>
    <s v="Male"/>
    <x v="1"/>
    <x v="1"/>
    <n v="7.79"/>
    <n v="2"/>
    <n v="6.4"/>
    <n v="20.48"/>
    <n v="72"/>
    <s v="Comedy"/>
    <n v="5"/>
    <n v="2"/>
    <n v="0"/>
  </r>
  <r>
    <s v="U03489"/>
    <x v="10"/>
    <n v="58"/>
    <s v="Female"/>
    <x v="1"/>
    <x v="0"/>
    <n v="9.2100000000000009"/>
    <n v="3"/>
    <n v="1.2"/>
    <n v="20.83"/>
    <n v="79.2"/>
    <s v="Drama"/>
    <n v="6"/>
    <n v="0"/>
    <n v="0"/>
  </r>
  <r>
    <s v="U03490"/>
    <x v="11"/>
    <n v="19"/>
    <s v="Male"/>
    <x v="1"/>
    <x v="2"/>
    <n v="19.829999999999998"/>
    <n v="4"/>
    <n v="4.3"/>
    <n v="18.72"/>
    <n v="77.7"/>
    <s v="Comedy"/>
    <n v="8"/>
    <n v="2"/>
    <n v="0"/>
  </r>
  <r>
    <s v="U03491"/>
    <x v="10"/>
    <n v="30"/>
    <s v="Female"/>
    <x v="1"/>
    <x v="3"/>
    <n v="7.95"/>
    <n v="5"/>
    <n v="3.1"/>
    <n v="4.84"/>
    <n v="83.6"/>
    <s v="Thriller"/>
    <n v="11"/>
    <n v="0"/>
    <n v="0"/>
  </r>
  <r>
    <s v="U03492"/>
    <x v="3"/>
    <n v="69"/>
    <s v="Female"/>
    <x v="0"/>
    <x v="2"/>
    <n v="9.4600000000000009"/>
    <n v="3"/>
    <n v="4"/>
    <n v="10.59"/>
    <n v="37.700000000000003"/>
    <s v="Family"/>
    <n v="5"/>
    <n v="0"/>
    <n v="0"/>
  </r>
  <r>
    <s v="U03493"/>
    <x v="4"/>
    <n v="19"/>
    <s v="Female"/>
    <x v="2"/>
    <x v="1"/>
    <n v="13.49"/>
    <n v="3"/>
    <n v="6.6"/>
    <n v="4.03"/>
    <n v="97"/>
    <s v="Comedy"/>
    <n v="3"/>
    <n v="0"/>
    <n v="0"/>
  </r>
  <r>
    <s v="U03494"/>
    <x v="6"/>
    <n v="69"/>
    <s v="Male"/>
    <x v="1"/>
    <x v="2"/>
    <n v="6.44"/>
    <n v="5"/>
    <n v="1.6"/>
    <n v="10.56"/>
    <n v="12.1"/>
    <s v="Family"/>
    <n v="9"/>
    <n v="4"/>
    <n v="0"/>
  </r>
  <r>
    <s v="U03495"/>
    <x v="2"/>
    <n v="45"/>
    <s v="Female"/>
    <x v="2"/>
    <x v="3"/>
    <n v="9.25"/>
    <n v="1"/>
    <n v="1.2"/>
    <n v="17.25"/>
    <n v="53.3"/>
    <s v="Comedy"/>
    <n v="4"/>
    <n v="1"/>
    <n v="1"/>
  </r>
  <r>
    <s v="U03496"/>
    <x v="0"/>
    <n v="60"/>
    <s v="Male"/>
    <x v="0"/>
    <x v="0"/>
    <n v="8"/>
    <n v="2"/>
    <n v="4.9000000000000004"/>
    <n v="14.41"/>
    <n v="34.299999999999997"/>
    <s v="Family"/>
    <n v="8"/>
    <n v="3"/>
    <n v="0"/>
  </r>
  <r>
    <s v="U03497"/>
    <x v="0"/>
    <n v="43"/>
    <s v="Male"/>
    <x v="1"/>
    <x v="0"/>
    <n v="24.03"/>
    <n v="2"/>
    <n v="8.1"/>
    <n v="18.46"/>
    <n v="76.599999999999994"/>
    <s v="Comedy"/>
    <n v="9"/>
    <n v="1"/>
    <n v="0"/>
  </r>
  <r>
    <s v="U03498"/>
    <x v="11"/>
    <n v="39"/>
    <s v="Female"/>
    <x v="2"/>
    <x v="4"/>
    <n v="8.83"/>
    <n v="3"/>
    <n v="1.3"/>
    <n v="15.13"/>
    <n v="82.5"/>
    <s v="Comedy"/>
    <n v="11"/>
    <n v="4"/>
    <n v="0"/>
  </r>
  <r>
    <s v="U03499"/>
    <x v="0"/>
    <n v="64"/>
    <s v="Female"/>
    <x v="1"/>
    <x v="3"/>
    <n v="22.24"/>
    <n v="5"/>
    <n v="8.6"/>
    <n v="15.23"/>
    <n v="84"/>
    <s v="Action"/>
    <n v="7"/>
    <n v="4"/>
    <n v="0"/>
  </r>
  <r>
    <s v="U03500"/>
    <x v="2"/>
    <n v="60"/>
    <s v="Female"/>
    <x v="2"/>
    <x v="4"/>
    <n v="7.3"/>
    <n v="4"/>
    <n v="4.5"/>
    <n v="14.24"/>
    <n v="36.700000000000003"/>
    <s v="Drama"/>
    <n v="3"/>
    <n v="3"/>
    <n v="0"/>
  </r>
  <r>
    <s v="U03501"/>
    <x v="6"/>
    <n v="20"/>
    <s v="Male"/>
    <x v="2"/>
    <x v="4"/>
    <n v="22.39"/>
    <n v="3"/>
    <n v="2.1"/>
    <n v="11.02"/>
    <n v="34.700000000000003"/>
    <s v="Thriller"/>
    <n v="10"/>
    <n v="4"/>
    <n v="0"/>
  </r>
  <r>
    <s v="U03502"/>
    <x v="2"/>
    <n v="52"/>
    <s v="Male"/>
    <x v="1"/>
    <x v="1"/>
    <n v="16.989999999999998"/>
    <n v="2"/>
    <n v="6.1"/>
    <n v="12.82"/>
    <n v="70.900000000000006"/>
    <s v="Thriller"/>
    <n v="11"/>
    <n v="0"/>
    <n v="0"/>
  </r>
  <r>
    <s v="U03503"/>
    <x v="10"/>
    <n v="29"/>
    <s v="Female"/>
    <x v="1"/>
    <x v="3"/>
    <n v="21.99"/>
    <n v="3"/>
    <n v="9.6"/>
    <n v="5.47"/>
    <n v="93.5"/>
    <s v="Action"/>
    <n v="6"/>
    <n v="2"/>
    <n v="0"/>
  </r>
  <r>
    <s v="U03504"/>
    <x v="3"/>
    <n v="41"/>
    <s v="Female"/>
    <x v="0"/>
    <x v="0"/>
    <n v="22.35"/>
    <n v="5"/>
    <n v="5.9"/>
    <n v="21.36"/>
    <n v="32.9"/>
    <s v="Comedy"/>
    <n v="7"/>
    <n v="2"/>
    <n v="0"/>
  </r>
  <r>
    <s v="U03505"/>
    <x v="9"/>
    <n v="22"/>
    <s v="Male"/>
    <x v="1"/>
    <x v="3"/>
    <n v="16.93"/>
    <n v="4"/>
    <n v="7.2"/>
    <n v="22.56"/>
    <n v="92"/>
    <s v="Drama"/>
    <n v="7"/>
    <n v="0"/>
    <n v="0"/>
  </r>
  <r>
    <s v="U03506"/>
    <x v="6"/>
    <n v="37"/>
    <s v="Male"/>
    <x v="0"/>
    <x v="1"/>
    <n v="23.35"/>
    <n v="1"/>
    <n v="8.3000000000000007"/>
    <n v="19.86"/>
    <n v="63.2"/>
    <s v="Family"/>
    <n v="8"/>
    <n v="1"/>
    <n v="1"/>
  </r>
  <r>
    <s v="U03507"/>
    <x v="9"/>
    <n v="56"/>
    <s v="Female"/>
    <x v="2"/>
    <x v="3"/>
    <n v="16.71"/>
    <n v="4"/>
    <n v="8.1999999999999993"/>
    <n v="15.84"/>
    <n v="76.400000000000006"/>
    <s v="Action"/>
    <n v="10"/>
    <n v="2"/>
    <n v="0"/>
  </r>
  <r>
    <s v="U03508"/>
    <x v="3"/>
    <n v="56"/>
    <s v="Male"/>
    <x v="1"/>
    <x v="3"/>
    <n v="19.25"/>
    <n v="3"/>
    <n v="1.7"/>
    <n v="15.52"/>
    <n v="49.6"/>
    <s v="Thriller"/>
    <n v="5"/>
    <n v="0"/>
    <n v="1"/>
  </r>
  <r>
    <s v="U03509"/>
    <x v="3"/>
    <n v="30"/>
    <s v="Male"/>
    <x v="1"/>
    <x v="4"/>
    <n v="13.32"/>
    <n v="2"/>
    <n v="7.7"/>
    <n v="13.35"/>
    <n v="82.6"/>
    <s v="Thriller"/>
    <n v="5"/>
    <n v="1"/>
    <n v="1"/>
  </r>
  <r>
    <s v="U03510"/>
    <x v="4"/>
    <n v="58"/>
    <s v="Male"/>
    <x v="0"/>
    <x v="3"/>
    <n v="23.28"/>
    <n v="5"/>
    <n v="9.5"/>
    <n v="8.09"/>
    <n v="97.3"/>
    <s v="Thriller"/>
    <n v="2"/>
    <n v="2"/>
    <n v="0"/>
  </r>
  <r>
    <s v="U03511"/>
    <x v="9"/>
    <n v="62"/>
    <s v="Male"/>
    <x v="2"/>
    <x v="4"/>
    <n v="21.48"/>
    <n v="3"/>
    <n v="7.3"/>
    <n v="11.44"/>
    <n v="25.4"/>
    <s v="Comedy"/>
    <n v="11"/>
    <n v="0"/>
    <n v="1"/>
  </r>
  <r>
    <s v="U03512"/>
    <x v="10"/>
    <n v="29"/>
    <s v="Male"/>
    <x v="0"/>
    <x v="4"/>
    <n v="8.33"/>
    <n v="1"/>
    <n v="8.5"/>
    <n v="24.78"/>
    <n v="44.7"/>
    <s v="Family"/>
    <n v="2"/>
    <n v="2"/>
    <n v="0"/>
  </r>
  <r>
    <s v="U03513"/>
    <x v="5"/>
    <n v="30"/>
    <s v="Male"/>
    <x v="0"/>
    <x v="2"/>
    <n v="16.53"/>
    <n v="5"/>
    <n v="5.4"/>
    <n v="6.21"/>
    <n v="87.6"/>
    <s v="Family"/>
    <n v="4"/>
    <n v="2"/>
    <n v="0"/>
  </r>
  <r>
    <s v="U03514"/>
    <x v="0"/>
    <n v="27"/>
    <s v="Female"/>
    <x v="0"/>
    <x v="1"/>
    <n v="22.94"/>
    <n v="5"/>
    <n v="3.9"/>
    <n v="14.94"/>
    <n v="25.9"/>
    <s v="Family"/>
    <n v="7"/>
    <n v="2"/>
    <n v="1"/>
  </r>
  <r>
    <s v="U03515"/>
    <x v="9"/>
    <n v="50"/>
    <s v="Male"/>
    <x v="2"/>
    <x v="4"/>
    <n v="20.86"/>
    <n v="5"/>
    <n v="7.1"/>
    <n v="22.06"/>
    <n v="47.2"/>
    <s v="Comedy"/>
    <n v="8"/>
    <n v="3"/>
    <n v="0"/>
  </r>
  <r>
    <s v="U03516"/>
    <x v="5"/>
    <n v="57"/>
    <s v="Female"/>
    <x v="2"/>
    <x v="3"/>
    <n v="24.25"/>
    <n v="3"/>
    <n v="5.4"/>
    <n v="12.97"/>
    <n v="25"/>
    <s v="Thriller"/>
    <n v="3"/>
    <n v="1"/>
    <n v="0"/>
  </r>
  <r>
    <s v="U03517"/>
    <x v="4"/>
    <n v="33"/>
    <s v="Female"/>
    <x v="1"/>
    <x v="4"/>
    <n v="9.6300000000000008"/>
    <n v="1"/>
    <n v="9.1"/>
    <n v="16.32"/>
    <n v="68.400000000000006"/>
    <s v="Thriller"/>
    <n v="1"/>
    <n v="2"/>
    <n v="0"/>
  </r>
  <r>
    <s v="U03518"/>
    <x v="3"/>
    <n v="62"/>
    <s v="Male"/>
    <x v="2"/>
    <x v="4"/>
    <n v="12.35"/>
    <n v="3"/>
    <n v="9.8000000000000007"/>
    <n v="21.21"/>
    <n v="31.4"/>
    <s v="Comedy"/>
    <n v="4"/>
    <n v="0"/>
    <n v="0"/>
  </r>
  <r>
    <s v="U03519"/>
    <x v="11"/>
    <n v="52"/>
    <s v="Female"/>
    <x v="0"/>
    <x v="4"/>
    <n v="15.14"/>
    <n v="5"/>
    <n v="8.4"/>
    <n v="15.05"/>
    <n v="44.3"/>
    <s v="Drama"/>
    <n v="6"/>
    <n v="3"/>
    <n v="0"/>
  </r>
  <r>
    <s v="U03520"/>
    <x v="2"/>
    <n v="20"/>
    <s v="Female"/>
    <x v="2"/>
    <x v="0"/>
    <n v="9.65"/>
    <n v="5"/>
    <n v="9.9"/>
    <n v="19.09"/>
    <n v="54.2"/>
    <s v="Comedy"/>
    <n v="6"/>
    <n v="4"/>
    <n v="0"/>
  </r>
  <r>
    <s v="U03521"/>
    <x v="0"/>
    <n v="22"/>
    <s v="Female"/>
    <x v="0"/>
    <x v="0"/>
    <n v="12.88"/>
    <n v="2"/>
    <n v="4.0999999999999996"/>
    <n v="10.64"/>
    <n v="36.700000000000003"/>
    <s v="Comedy"/>
    <n v="9"/>
    <n v="4"/>
    <n v="0"/>
  </r>
  <r>
    <s v="U03522"/>
    <x v="0"/>
    <n v="43"/>
    <s v="Male"/>
    <x v="0"/>
    <x v="0"/>
    <n v="15.75"/>
    <n v="4"/>
    <n v="9.1"/>
    <n v="19.13"/>
    <n v="71.2"/>
    <s v="Thriller"/>
    <n v="7"/>
    <n v="1"/>
    <n v="0"/>
  </r>
  <r>
    <s v="U03523"/>
    <x v="10"/>
    <n v="28"/>
    <s v="Female"/>
    <x v="0"/>
    <x v="0"/>
    <n v="8.83"/>
    <n v="3"/>
    <n v="4"/>
    <n v="3.9"/>
    <n v="20"/>
    <s v="Family"/>
    <n v="9"/>
    <n v="0"/>
    <n v="0"/>
  </r>
  <r>
    <s v="U03524"/>
    <x v="1"/>
    <n v="24"/>
    <s v="Male"/>
    <x v="1"/>
    <x v="2"/>
    <n v="10.130000000000001"/>
    <n v="1"/>
    <n v="2.1"/>
    <n v="6.36"/>
    <n v="89.2"/>
    <s v="Thriller"/>
    <n v="10"/>
    <n v="3"/>
    <n v="1"/>
  </r>
  <r>
    <s v="U03525"/>
    <x v="8"/>
    <n v="27"/>
    <s v="Female"/>
    <x v="2"/>
    <x v="4"/>
    <n v="7.5"/>
    <n v="5"/>
    <n v="6.6"/>
    <n v="17.02"/>
    <n v="53.3"/>
    <s v="Drama"/>
    <n v="11"/>
    <n v="0"/>
    <n v="1"/>
  </r>
  <r>
    <s v="U03526"/>
    <x v="8"/>
    <n v="59"/>
    <s v="Female"/>
    <x v="1"/>
    <x v="2"/>
    <n v="19.27"/>
    <n v="3"/>
    <n v="5.0999999999999996"/>
    <n v="12.88"/>
    <n v="61.6"/>
    <s v="Action"/>
    <n v="5"/>
    <n v="3"/>
    <n v="0"/>
  </r>
  <r>
    <s v="U03527"/>
    <x v="8"/>
    <n v="69"/>
    <s v="Female"/>
    <x v="2"/>
    <x v="3"/>
    <n v="12.23"/>
    <n v="4"/>
    <n v="9.3000000000000007"/>
    <n v="21.22"/>
    <n v="66"/>
    <s v="Action"/>
    <n v="5"/>
    <n v="3"/>
    <n v="0"/>
  </r>
  <r>
    <s v="U03528"/>
    <x v="1"/>
    <n v="51"/>
    <s v="Female"/>
    <x v="1"/>
    <x v="1"/>
    <n v="9.41"/>
    <n v="3"/>
    <n v="5.4"/>
    <n v="10.52"/>
    <n v="15.4"/>
    <s v="Comedy"/>
    <n v="5"/>
    <n v="4"/>
    <n v="0"/>
  </r>
  <r>
    <s v="U03529"/>
    <x v="10"/>
    <n v="20"/>
    <s v="Male"/>
    <x v="0"/>
    <x v="2"/>
    <n v="15.15"/>
    <n v="4"/>
    <n v="9.3000000000000007"/>
    <n v="19.88"/>
    <n v="78.099999999999994"/>
    <s v="Action"/>
    <n v="5"/>
    <n v="1"/>
    <n v="0"/>
  </r>
  <r>
    <s v="U03530"/>
    <x v="1"/>
    <n v="25"/>
    <s v="Female"/>
    <x v="1"/>
    <x v="0"/>
    <n v="6.36"/>
    <n v="3"/>
    <n v="1.7"/>
    <n v="6.06"/>
    <n v="95.1"/>
    <s v="Family"/>
    <n v="4"/>
    <n v="1"/>
    <n v="1"/>
  </r>
  <r>
    <s v="U03531"/>
    <x v="8"/>
    <n v="48"/>
    <s v="Female"/>
    <x v="1"/>
    <x v="0"/>
    <n v="23.47"/>
    <n v="2"/>
    <n v="8.5"/>
    <n v="23.46"/>
    <n v="56.8"/>
    <s v="Thriller"/>
    <n v="6"/>
    <n v="0"/>
    <n v="0"/>
  </r>
  <r>
    <s v="U03532"/>
    <x v="4"/>
    <n v="28"/>
    <s v="Male"/>
    <x v="2"/>
    <x v="3"/>
    <n v="10.89"/>
    <n v="3"/>
    <n v="7.8"/>
    <n v="12.21"/>
    <n v="45.2"/>
    <s v="Drama"/>
    <n v="1"/>
    <n v="3"/>
    <n v="0"/>
  </r>
  <r>
    <s v="U03533"/>
    <x v="6"/>
    <n v="62"/>
    <s v="Male"/>
    <x v="1"/>
    <x v="4"/>
    <n v="22.73"/>
    <n v="2"/>
    <n v="7.5"/>
    <n v="8.08"/>
    <n v="80.599999999999994"/>
    <s v="Drama"/>
    <n v="2"/>
    <n v="3"/>
    <n v="0"/>
  </r>
  <r>
    <s v="U03534"/>
    <x v="9"/>
    <n v="24"/>
    <s v="Male"/>
    <x v="1"/>
    <x v="1"/>
    <n v="14.95"/>
    <n v="4"/>
    <n v="4.2"/>
    <n v="20.36"/>
    <n v="74.8"/>
    <s v="Drama"/>
    <n v="9"/>
    <n v="2"/>
    <n v="1"/>
  </r>
  <r>
    <s v="U03535"/>
    <x v="3"/>
    <n v="62"/>
    <s v="Female"/>
    <x v="0"/>
    <x v="2"/>
    <n v="22"/>
    <n v="5"/>
    <n v="8.1"/>
    <n v="23.85"/>
    <n v="68.599999999999994"/>
    <s v="Thriller"/>
    <n v="6"/>
    <n v="1"/>
    <n v="0"/>
  </r>
  <r>
    <s v="U03536"/>
    <x v="1"/>
    <n v="19"/>
    <s v="Male"/>
    <x v="1"/>
    <x v="4"/>
    <n v="9.94"/>
    <n v="5"/>
    <n v="5.3"/>
    <n v="23.2"/>
    <n v="96.9"/>
    <s v="Family"/>
    <n v="6"/>
    <n v="3"/>
    <n v="0"/>
  </r>
  <r>
    <s v="U03537"/>
    <x v="10"/>
    <n v="23"/>
    <s v="Male"/>
    <x v="2"/>
    <x v="4"/>
    <n v="8.51"/>
    <n v="3"/>
    <n v="7.4"/>
    <n v="8.23"/>
    <n v="62.4"/>
    <s v="Drama"/>
    <n v="10"/>
    <n v="0"/>
    <n v="1"/>
  </r>
  <r>
    <s v="U03538"/>
    <x v="10"/>
    <n v="58"/>
    <s v="Male"/>
    <x v="0"/>
    <x v="2"/>
    <n v="21.99"/>
    <n v="1"/>
    <n v="6"/>
    <n v="17.78"/>
    <n v="32.4"/>
    <s v="Action"/>
    <n v="4"/>
    <n v="4"/>
    <n v="0"/>
  </r>
  <r>
    <s v="U03539"/>
    <x v="9"/>
    <n v="49"/>
    <s v="Male"/>
    <x v="2"/>
    <x v="2"/>
    <n v="9.26"/>
    <n v="3"/>
    <n v="2.4"/>
    <n v="15.03"/>
    <n v="12.2"/>
    <s v="Family"/>
    <n v="5"/>
    <n v="4"/>
    <n v="0"/>
  </r>
  <r>
    <s v="U03540"/>
    <x v="5"/>
    <n v="37"/>
    <s v="Male"/>
    <x v="1"/>
    <x v="2"/>
    <n v="19.920000000000002"/>
    <n v="2"/>
    <n v="1.6"/>
    <n v="18.95"/>
    <n v="50.8"/>
    <s v="Family"/>
    <n v="9"/>
    <n v="1"/>
    <n v="1"/>
  </r>
  <r>
    <s v="U03541"/>
    <x v="6"/>
    <n v="51"/>
    <s v="Male"/>
    <x v="0"/>
    <x v="2"/>
    <n v="11.89"/>
    <n v="2"/>
    <n v="4.3"/>
    <n v="13.71"/>
    <n v="68.7"/>
    <s v="Family"/>
    <n v="2"/>
    <n v="1"/>
    <n v="0"/>
  </r>
  <r>
    <s v="U03542"/>
    <x v="11"/>
    <n v="67"/>
    <s v="Female"/>
    <x v="2"/>
    <x v="0"/>
    <n v="19.96"/>
    <n v="4"/>
    <n v="9.4"/>
    <n v="13.33"/>
    <n v="25.5"/>
    <s v="Drama"/>
    <n v="3"/>
    <n v="2"/>
    <n v="0"/>
  </r>
  <r>
    <s v="U03543"/>
    <x v="0"/>
    <n v="33"/>
    <s v="Male"/>
    <x v="1"/>
    <x v="4"/>
    <n v="23.15"/>
    <n v="3"/>
    <n v="5.8"/>
    <n v="22.42"/>
    <n v="12.3"/>
    <s v="Family"/>
    <n v="10"/>
    <n v="1"/>
    <n v="0"/>
  </r>
  <r>
    <s v="U03544"/>
    <x v="8"/>
    <n v="42"/>
    <s v="Female"/>
    <x v="1"/>
    <x v="4"/>
    <n v="24.63"/>
    <n v="4"/>
    <n v="8.1999999999999993"/>
    <n v="22.17"/>
    <n v="91.8"/>
    <s v="Drama"/>
    <n v="8"/>
    <n v="3"/>
    <n v="1"/>
  </r>
  <r>
    <s v="U03545"/>
    <x v="11"/>
    <n v="29"/>
    <s v="Male"/>
    <x v="0"/>
    <x v="0"/>
    <n v="12.2"/>
    <n v="1"/>
    <n v="6.2"/>
    <n v="20.329999999999998"/>
    <n v="37.200000000000003"/>
    <s v="Action"/>
    <n v="9"/>
    <n v="3"/>
    <n v="1"/>
  </r>
  <r>
    <s v="U03546"/>
    <x v="5"/>
    <n v="24"/>
    <s v="Male"/>
    <x v="0"/>
    <x v="4"/>
    <n v="12.35"/>
    <n v="5"/>
    <n v="9.6"/>
    <n v="18.510000000000002"/>
    <n v="51.9"/>
    <s v="Action"/>
    <n v="5"/>
    <n v="3"/>
    <n v="0"/>
  </r>
  <r>
    <s v="U03547"/>
    <x v="8"/>
    <n v="56"/>
    <s v="Male"/>
    <x v="2"/>
    <x v="2"/>
    <n v="24.63"/>
    <n v="5"/>
    <n v="4.3"/>
    <n v="17.920000000000002"/>
    <n v="18.2"/>
    <s v="Action"/>
    <n v="3"/>
    <n v="3"/>
    <n v="0"/>
  </r>
  <r>
    <s v="U03548"/>
    <x v="6"/>
    <n v="34"/>
    <s v="Female"/>
    <x v="1"/>
    <x v="1"/>
    <n v="22.23"/>
    <n v="3"/>
    <n v="1.5"/>
    <n v="4.24"/>
    <n v="44.3"/>
    <s v="Action"/>
    <n v="1"/>
    <n v="2"/>
    <n v="0"/>
  </r>
  <r>
    <s v="U03549"/>
    <x v="2"/>
    <n v="62"/>
    <s v="Male"/>
    <x v="2"/>
    <x v="4"/>
    <n v="5.9"/>
    <n v="4"/>
    <n v="8"/>
    <n v="19.489999999999998"/>
    <n v="48.1"/>
    <s v="Family"/>
    <n v="2"/>
    <n v="1"/>
    <n v="0"/>
  </r>
  <r>
    <s v="U03550"/>
    <x v="5"/>
    <n v="28"/>
    <s v="Male"/>
    <x v="0"/>
    <x v="1"/>
    <n v="16.47"/>
    <n v="4"/>
    <n v="7.3"/>
    <n v="17.04"/>
    <n v="91.2"/>
    <s v="Family"/>
    <n v="4"/>
    <n v="1"/>
    <n v="1"/>
  </r>
  <r>
    <s v="U03551"/>
    <x v="8"/>
    <n v="23"/>
    <s v="Male"/>
    <x v="0"/>
    <x v="1"/>
    <n v="8.6199999999999992"/>
    <n v="1"/>
    <n v="5.7"/>
    <n v="9.65"/>
    <n v="87.9"/>
    <s v="Drama"/>
    <n v="4"/>
    <n v="1"/>
    <n v="1"/>
  </r>
  <r>
    <s v="U03552"/>
    <x v="6"/>
    <n v="40"/>
    <s v="Male"/>
    <x v="0"/>
    <x v="0"/>
    <n v="24.88"/>
    <n v="4"/>
    <n v="3.9"/>
    <n v="21.04"/>
    <n v="27"/>
    <s v="Action"/>
    <n v="5"/>
    <n v="2"/>
    <n v="0"/>
  </r>
  <r>
    <s v="U03553"/>
    <x v="7"/>
    <n v="44"/>
    <s v="Female"/>
    <x v="1"/>
    <x v="3"/>
    <n v="7.78"/>
    <n v="2"/>
    <n v="2.7"/>
    <n v="21.31"/>
    <n v="60"/>
    <s v="Comedy"/>
    <n v="9"/>
    <n v="2"/>
    <n v="0"/>
  </r>
  <r>
    <s v="U03554"/>
    <x v="11"/>
    <n v="63"/>
    <s v="Female"/>
    <x v="2"/>
    <x v="4"/>
    <n v="16.190000000000001"/>
    <n v="2"/>
    <n v="5.3"/>
    <n v="23.51"/>
    <n v="75.8"/>
    <s v="Action"/>
    <n v="2"/>
    <n v="3"/>
    <n v="1"/>
  </r>
  <r>
    <s v="U03555"/>
    <x v="11"/>
    <n v="23"/>
    <s v="Female"/>
    <x v="1"/>
    <x v="0"/>
    <n v="18.3"/>
    <n v="2"/>
    <n v="7"/>
    <n v="12.2"/>
    <n v="36.299999999999997"/>
    <s v="Thriller"/>
    <n v="2"/>
    <n v="2"/>
    <n v="0"/>
  </r>
  <r>
    <s v="U03556"/>
    <x v="0"/>
    <n v="55"/>
    <s v="Female"/>
    <x v="1"/>
    <x v="0"/>
    <n v="23.74"/>
    <n v="3"/>
    <n v="6.2"/>
    <n v="15.13"/>
    <n v="45.5"/>
    <s v="Comedy"/>
    <n v="5"/>
    <n v="2"/>
    <n v="0"/>
  </r>
  <r>
    <s v="U03557"/>
    <x v="9"/>
    <n v="19"/>
    <s v="Female"/>
    <x v="2"/>
    <x v="1"/>
    <n v="21.95"/>
    <n v="2"/>
    <n v="4.9000000000000004"/>
    <n v="22.93"/>
    <n v="98.6"/>
    <s v="Thriller"/>
    <n v="2"/>
    <n v="0"/>
    <n v="0"/>
  </r>
  <r>
    <s v="U03558"/>
    <x v="6"/>
    <n v="39"/>
    <s v="Male"/>
    <x v="2"/>
    <x v="4"/>
    <n v="9.92"/>
    <n v="2"/>
    <n v="5.9"/>
    <n v="9.9700000000000006"/>
    <n v="78.400000000000006"/>
    <s v="Comedy"/>
    <n v="10"/>
    <n v="3"/>
    <n v="0"/>
  </r>
  <r>
    <s v="U03559"/>
    <x v="1"/>
    <n v="37"/>
    <s v="Male"/>
    <x v="0"/>
    <x v="0"/>
    <n v="16.45"/>
    <n v="5"/>
    <n v="2"/>
    <n v="20.53"/>
    <n v="49.3"/>
    <s v="Drama"/>
    <n v="5"/>
    <n v="3"/>
    <n v="0"/>
  </r>
  <r>
    <s v="U03560"/>
    <x v="7"/>
    <n v="42"/>
    <s v="Male"/>
    <x v="2"/>
    <x v="2"/>
    <n v="24.07"/>
    <n v="3"/>
    <n v="7.3"/>
    <n v="24.82"/>
    <n v="58.1"/>
    <s v="Family"/>
    <n v="5"/>
    <n v="0"/>
    <n v="0"/>
  </r>
  <r>
    <s v="U03561"/>
    <x v="2"/>
    <n v="32"/>
    <s v="Female"/>
    <x v="1"/>
    <x v="0"/>
    <n v="19.71"/>
    <n v="2"/>
    <n v="7.6"/>
    <n v="17.34"/>
    <n v="66.3"/>
    <s v="Drama"/>
    <n v="7"/>
    <n v="1"/>
    <n v="0"/>
  </r>
  <r>
    <s v="U03562"/>
    <x v="4"/>
    <n v="66"/>
    <s v="Male"/>
    <x v="0"/>
    <x v="2"/>
    <n v="18.77"/>
    <n v="1"/>
    <n v="1.1000000000000001"/>
    <n v="24.64"/>
    <n v="54.9"/>
    <s v="Comedy"/>
    <n v="4"/>
    <n v="0"/>
    <n v="0"/>
  </r>
  <r>
    <s v="U03563"/>
    <x v="8"/>
    <n v="46"/>
    <s v="Female"/>
    <x v="0"/>
    <x v="3"/>
    <n v="20.100000000000001"/>
    <n v="2"/>
    <n v="3.4"/>
    <n v="14.35"/>
    <n v="47"/>
    <s v="Action"/>
    <n v="2"/>
    <n v="0"/>
    <n v="0"/>
  </r>
  <r>
    <s v="U03564"/>
    <x v="7"/>
    <n v="25"/>
    <s v="Male"/>
    <x v="1"/>
    <x v="2"/>
    <n v="11.45"/>
    <n v="3"/>
    <n v="1.8"/>
    <n v="6.37"/>
    <n v="42.3"/>
    <s v="Drama"/>
    <n v="8"/>
    <n v="0"/>
    <n v="0"/>
  </r>
  <r>
    <s v="U03565"/>
    <x v="6"/>
    <n v="54"/>
    <s v="Female"/>
    <x v="1"/>
    <x v="2"/>
    <n v="19.59"/>
    <n v="4"/>
    <n v="10"/>
    <n v="6.86"/>
    <n v="25.2"/>
    <s v="Comedy"/>
    <n v="1"/>
    <n v="2"/>
    <n v="0"/>
  </r>
  <r>
    <s v="U03566"/>
    <x v="3"/>
    <n v="66"/>
    <s v="Male"/>
    <x v="0"/>
    <x v="1"/>
    <n v="9.66"/>
    <n v="5"/>
    <n v="6.3"/>
    <n v="19.09"/>
    <n v="97.6"/>
    <s v="Action"/>
    <n v="10"/>
    <n v="0"/>
    <n v="0"/>
  </r>
  <r>
    <s v="U03567"/>
    <x v="8"/>
    <n v="69"/>
    <s v="Male"/>
    <x v="0"/>
    <x v="0"/>
    <n v="13.56"/>
    <n v="5"/>
    <n v="5.2"/>
    <n v="3.02"/>
    <n v="18.2"/>
    <s v="Family"/>
    <n v="1"/>
    <n v="4"/>
    <n v="0"/>
  </r>
  <r>
    <s v="U03568"/>
    <x v="10"/>
    <n v="50"/>
    <s v="Male"/>
    <x v="2"/>
    <x v="3"/>
    <n v="22.8"/>
    <n v="3"/>
    <n v="5.2"/>
    <n v="17.559999999999999"/>
    <n v="64.099999999999994"/>
    <s v="Comedy"/>
    <n v="11"/>
    <n v="0"/>
    <n v="1"/>
  </r>
  <r>
    <s v="U03569"/>
    <x v="11"/>
    <n v="39"/>
    <s v="Male"/>
    <x v="2"/>
    <x v="0"/>
    <n v="5.38"/>
    <n v="2"/>
    <n v="9.6999999999999993"/>
    <n v="6.33"/>
    <n v="96.4"/>
    <s v="Thriller"/>
    <n v="7"/>
    <n v="1"/>
    <n v="0"/>
  </r>
  <r>
    <s v="U03570"/>
    <x v="9"/>
    <n v="67"/>
    <s v="Female"/>
    <x v="2"/>
    <x v="2"/>
    <n v="13.29"/>
    <n v="1"/>
    <n v="6.9"/>
    <n v="24.66"/>
    <n v="43.7"/>
    <s v="Thriller"/>
    <n v="4"/>
    <n v="1"/>
    <n v="0"/>
  </r>
  <r>
    <s v="U03571"/>
    <x v="6"/>
    <n v="64"/>
    <s v="Male"/>
    <x v="0"/>
    <x v="2"/>
    <n v="10.34"/>
    <n v="2"/>
    <n v="2.5"/>
    <n v="6.59"/>
    <n v="32.700000000000003"/>
    <s v="Thriller"/>
    <n v="3"/>
    <n v="1"/>
    <n v="0"/>
  </r>
  <r>
    <s v="U03572"/>
    <x v="2"/>
    <n v="22"/>
    <s v="Male"/>
    <x v="0"/>
    <x v="0"/>
    <n v="8.9700000000000006"/>
    <n v="2"/>
    <n v="5"/>
    <n v="15.15"/>
    <n v="96"/>
    <s v="Action"/>
    <n v="1"/>
    <n v="0"/>
    <n v="1"/>
  </r>
  <r>
    <s v="U03573"/>
    <x v="10"/>
    <n v="56"/>
    <s v="Male"/>
    <x v="0"/>
    <x v="3"/>
    <n v="21.77"/>
    <n v="1"/>
    <n v="8"/>
    <n v="17.73"/>
    <n v="82.2"/>
    <s v="Action"/>
    <n v="8"/>
    <n v="3"/>
    <n v="0"/>
  </r>
  <r>
    <s v="U03574"/>
    <x v="0"/>
    <n v="35"/>
    <s v="Female"/>
    <x v="0"/>
    <x v="3"/>
    <n v="18.93"/>
    <n v="5"/>
    <n v="4.8"/>
    <n v="21.03"/>
    <n v="69"/>
    <s v="Drama"/>
    <n v="8"/>
    <n v="1"/>
    <n v="0"/>
  </r>
  <r>
    <s v="U03575"/>
    <x v="5"/>
    <n v="55"/>
    <s v="Male"/>
    <x v="1"/>
    <x v="1"/>
    <n v="7.25"/>
    <n v="2"/>
    <n v="3.8"/>
    <n v="13.1"/>
    <n v="65.099999999999994"/>
    <s v="Action"/>
    <n v="4"/>
    <n v="0"/>
    <n v="1"/>
  </r>
  <r>
    <s v="U03576"/>
    <x v="4"/>
    <n v="54"/>
    <s v="Male"/>
    <x v="1"/>
    <x v="2"/>
    <n v="14.89"/>
    <n v="4"/>
    <n v="9.9"/>
    <n v="23.54"/>
    <n v="42.4"/>
    <s v="Comedy"/>
    <n v="2"/>
    <n v="1"/>
    <n v="0"/>
  </r>
  <r>
    <s v="U03577"/>
    <x v="4"/>
    <n v="47"/>
    <s v="Male"/>
    <x v="2"/>
    <x v="2"/>
    <n v="14.34"/>
    <n v="4"/>
    <n v="9.4"/>
    <n v="13.57"/>
    <n v="67.7"/>
    <s v="Thriller"/>
    <n v="4"/>
    <n v="2"/>
    <n v="1"/>
  </r>
  <r>
    <s v="U03578"/>
    <x v="10"/>
    <n v="68"/>
    <s v="Male"/>
    <x v="1"/>
    <x v="1"/>
    <n v="7.85"/>
    <n v="3"/>
    <n v="9.5"/>
    <n v="8.5500000000000007"/>
    <n v="75.3"/>
    <s v="Family"/>
    <n v="7"/>
    <n v="2"/>
    <n v="1"/>
  </r>
  <r>
    <s v="U03579"/>
    <x v="11"/>
    <n v="48"/>
    <s v="Male"/>
    <x v="0"/>
    <x v="0"/>
    <n v="21"/>
    <n v="3"/>
    <n v="2.2000000000000002"/>
    <n v="16.05"/>
    <n v="12.9"/>
    <s v="Thriller"/>
    <n v="4"/>
    <n v="0"/>
    <n v="0"/>
  </r>
  <r>
    <s v="U03580"/>
    <x v="0"/>
    <n v="27"/>
    <s v="Female"/>
    <x v="1"/>
    <x v="2"/>
    <n v="12.33"/>
    <n v="1"/>
    <n v="3.1"/>
    <n v="17.48"/>
    <n v="20.6"/>
    <s v="Comedy"/>
    <n v="11"/>
    <n v="1"/>
    <n v="0"/>
  </r>
  <r>
    <s v="U03581"/>
    <x v="3"/>
    <n v="32"/>
    <s v="Female"/>
    <x v="1"/>
    <x v="0"/>
    <n v="20.239999999999998"/>
    <n v="1"/>
    <n v="5"/>
    <n v="14.16"/>
    <n v="38.4"/>
    <s v="Family"/>
    <n v="11"/>
    <n v="1"/>
    <n v="0"/>
  </r>
  <r>
    <s v="U03582"/>
    <x v="11"/>
    <n v="59"/>
    <s v="Female"/>
    <x v="1"/>
    <x v="3"/>
    <n v="8.84"/>
    <n v="3"/>
    <n v="8.5"/>
    <n v="19.13"/>
    <n v="39.1"/>
    <s v="Drama"/>
    <n v="3"/>
    <n v="4"/>
    <n v="0"/>
  </r>
  <r>
    <s v="U03583"/>
    <x v="7"/>
    <n v="65"/>
    <s v="Male"/>
    <x v="0"/>
    <x v="4"/>
    <n v="11.3"/>
    <n v="2"/>
    <n v="7.6"/>
    <n v="12.25"/>
    <n v="91"/>
    <s v="Action"/>
    <n v="10"/>
    <n v="1"/>
    <n v="0"/>
  </r>
  <r>
    <s v="U03584"/>
    <x v="9"/>
    <n v="61"/>
    <s v="Female"/>
    <x v="1"/>
    <x v="1"/>
    <n v="6.9"/>
    <n v="5"/>
    <n v="8.6"/>
    <n v="3.1"/>
    <n v="71.599999999999994"/>
    <s v="Comedy"/>
    <n v="1"/>
    <n v="3"/>
    <n v="0"/>
  </r>
  <r>
    <s v="U03585"/>
    <x v="4"/>
    <n v="35"/>
    <s v="Male"/>
    <x v="0"/>
    <x v="2"/>
    <n v="7.87"/>
    <n v="4"/>
    <n v="9.3000000000000007"/>
    <n v="8.82"/>
    <n v="43.6"/>
    <s v="Action"/>
    <n v="9"/>
    <n v="2"/>
    <n v="0"/>
  </r>
  <r>
    <s v="U03586"/>
    <x v="7"/>
    <n v="40"/>
    <s v="Male"/>
    <x v="0"/>
    <x v="1"/>
    <n v="22.66"/>
    <n v="1"/>
    <n v="8"/>
    <n v="23.81"/>
    <n v="82.8"/>
    <s v="Drama"/>
    <n v="5"/>
    <n v="1"/>
    <n v="0"/>
  </r>
  <r>
    <s v="U03587"/>
    <x v="2"/>
    <n v="50"/>
    <s v="Male"/>
    <x v="2"/>
    <x v="3"/>
    <n v="7.18"/>
    <n v="3"/>
    <n v="3.4"/>
    <n v="19.79"/>
    <n v="39.1"/>
    <s v="Family"/>
    <n v="2"/>
    <n v="3"/>
    <n v="0"/>
  </r>
  <r>
    <s v="U03588"/>
    <x v="8"/>
    <n v="33"/>
    <s v="Male"/>
    <x v="2"/>
    <x v="3"/>
    <n v="6.91"/>
    <n v="4"/>
    <n v="3.6"/>
    <n v="7.17"/>
    <n v="99.2"/>
    <s v="Comedy"/>
    <n v="6"/>
    <n v="0"/>
    <n v="0"/>
  </r>
  <r>
    <s v="U03589"/>
    <x v="1"/>
    <n v="55"/>
    <s v="Female"/>
    <x v="0"/>
    <x v="3"/>
    <n v="23.81"/>
    <n v="1"/>
    <n v="4.2"/>
    <n v="4.47"/>
    <n v="80.3"/>
    <s v="Family"/>
    <n v="2"/>
    <n v="2"/>
    <n v="0"/>
  </r>
  <r>
    <s v="U03590"/>
    <x v="6"/>
    <n v="52"/>
    <s v="Female"/>
    <x v="0"/>
    <x v="3"/>
    <n v="17.920000000000002"/>
    <n v="1"/>
    <n v="3.7"/>
    <n v="10.72"/>
    <n v="82.8"/>
    <s v="Comedy"/>
    <n v="6"/>
    <n v="0"/>
    <n v="0"/>
  </r>
  <r>
    <s v="U03591"/>
    <x v="0"/>
    <n v="51"/>
    <s v="Female"/>
    <x v="2"/>
    <x v="4"/>
    <n v="7.02"/>
    <n v="2"/>
    <n v="3.2"/>
    <n v="21.4"/>
    <n v="33.5"/>
    <s v="Drama"/>
    <n v="9"/>
    <n v="1"/>
    <n v="0"/>
  </r>
  <r>
    <s v="U03592"/>
    <x v="11"/>
    <n v="45"/>
    <s v="Male"/>
    <x v="0"/>
    <x v="0"/>
    <n v="24.43"/>
    <n v="1"/>
    <n v="7.8"/>
    <n v="5.33"/>
    <n v="23.1"/>
    <s v="Drama"/>
    <n v="2"/>
    <n v="0"/>
    <n v="0"/>
  </r>
  <r>
    <s v="U03593"/>
    <x v="4"/>
    <n v="19"/>
    <s v="Female"/>
    <x v="1"/>
    <x v="0"/>
    <n v="7.94"/>
    <n v="5"/>
    <n v="1.3"/>
    <n v="14.95"/>
    <n v="45.1"/>
    <s v="Drama"/>
    <n v="1"/>
    <n v="2"/>
    <n v="0"/>
  </r>
  <r>
    <s v="U03594"/>
    <x v="7"/>
    <n v="47"/>
    <s v="Female"/>
    <x v="0"/>
    <x v="4"/>
    <n v="20.329999999999998"/>
    <n v="1"/>
    <n v="7.6"/>
    <n v="9.0500000000000007"/>
    <n v="40.1"/>
    <s v="Action"/>
    <n v="7"/>
    <n v="0"/>
    <n v="0"/>
  </r>
  <r>
    <s v="U03595"/>
    <x v="5"/>
    <n v="30"/>
    <s v="Male"/>
    <x v="0"/>
    <x v="0"/>
    <n v="5.7"/>
    <n v="5"/>
    <n v="8.4"/>
    <n v="18.98"/>
    <n v="79.3"/>
    <s v="Thriller"/>
    <n v="8"/>
    <n v="0"/>
    <n v="1"/>
  </r>
  <r>
    <s v="U03596"/>
    <x v="9"/>
    <n v="58"/>
    <s v="Female"/>
    <x v="2"/>
    <x v="3"/>
    <n v="17.489999999999998"/>
    <n v="2"/>
    <n v="1.6"/>
    <n v="3.01"/>
    <n v="25.7"/>
    <s v="Family"/>
    <n v="2"/>
    <n v="0"/>
    <n v="0"/>
  </r>
  <r>
    <s v="U03597"/>
    <x v="9"/>
    <n v="33"/>
    <s v="Male"/>
    <x v="2"/>
    <x v="0"/>
    <n v="15.93"/>
    <n v="5"/>
    <n v="1.6"/>
    <n v="9.1"/>
    <n v="57.5"/>
    <s v="Comedy"/>
    <n v="4"/>
    <n v="3"/>
    <n v="1"/>
  </r>
  <r>
    <s v="U03598"/>
    <x v="8"/>
    <n v="22"/>
    <s v="Female"/>
    <x v="0"/>
    <x v="1"/>
    <n v="9.16"/>
    <n v="4"/>
    <n v="3.6"/>
    <n v="17.940000000000001"/>
    <n v="66.5"/>
    <s v="Family"/>
    <n v="8"/>
    <n v="3"/>
    <n v="0"/>
  </r>
  <r>
    <s v="U03599"/>
    <x v="6"/>
    <n v="45"/>
    <s v="Female"/>
    <x v="1"/>
    <x v="0"/>
    <n v="17.86"/>
    <n v="1"/>
    <n v="2.9"/>
    <n v="15.03"/>
    <n v="44.7"/>
    <s v="Thriller"/>
    <n v="4"/>
    <n v="1"/>
    <n v="0"/>
  </r>
  <r>
    <s v="U03600"/>
    <x v="6"/>
    <n v="56"/>
    <s v="Female"/>
    <x v="0"/>
    <x v="1"/>
    <n v="17.34"/>
    <n v="3"/>
    <n v="6.2"/>
    <n v="20.14"/>
    <n v="28.1"/>
    <s v="Action"/>
    <n v="9"/>
    <n v="0"/>
    <n v="0"/>
  </r>
  <r>
    <s v="U03601"/>
    <x v="9"/>
    <n v="62"/>
    <s v="Male"/>
    <x v="0"/>
    <x v="2"/>
    <n v="20.97"/>
    <n v="3"/>
    <n v="7.1"/>
    <n v="6.47"/>
    <n v="90.6"/>
    <s v="Action"/>
    <n v="1"/>
    <n v="3"/>
    <n v="0"/>
  </r>
  <r>
    <s v="U03602"/>
    <x v="9"/>
    <n v="37"/>
    <s v="Female"/>
    <x v="2"/>
    <x v="1"/>
    <n v="22.52"/>
    <n v="5"/>
    <n v="6.7"/>
    <n v="14.68"/>
    <n v="22.5"/>
    <s v="Thriller"/>
    <n v="10"/>
    <n v="2"/>
    <n v="1"/>
  </r>
  <r>
    <s v="U03603"/>
    <x v="11"/>
    <n v="41"/>
    <s v="Female"/>
    <x v="1"/>
    <x v="1"/>
    <n v="15.2"/>
    <n v="2"/>
    <n v="4.2"/>
    <n v="7.31"/>
    <n v="37.299999999999997"/>
    <s v="Comedy"/>
    <n v="7"/>
    <n v="2"/>
    <n v="0"/>
  </r>
  <r>
    <s v="U03604"/>
    <x v="0"/>
    <n v="44"/>
    <s v="Female"/>
    <x v="1"/>
    <x v="3"/>
    <n v="14.81"/>
    <n v="5"/>
    <n v="5.5"/>
    <n v="17.059999999999999"/>
    <n v="78.099999999999994"/>
    <s v="Thriller"/>
    <n v="3"/>
    <n v="0"/>
    <n v="0"/>
  </r>
  <r>
    <s v="U03605"/>
    <x v="3"/>
    <n v="47"/>
    <s v="Female"/>
    <x v="2"/>
    <x v="3"/>
    <n v="17.43"/>
    <n v="5"/>
    <n v="6.8"/>
    <n v="5.89"/>
    <n v="64.5"/>
    <s v="Action"/>
    <n v="11"/>
    <n v="1"/>
    <n v="0"/>
  </r>
  <r>
    <s v="U03606"/>
    <x v="2"/>
    <n v="62"/>
    <s v="Male"/>
    <x v="2"/>
    <x v="3"/>
    <n v="19.579999999999998"/>
    <n v="5"/>
    <n v="2.1"/>
    <n v="6.27"/>
    <n v="75.8"/>
    <s v="Action"/>
    <n v="10"/>
    <n v="3"/>
    <n v="0"/>
  </r>
  <r>
    <s v="U03607"/>
    <x v="5"/>
    <n v="44"/>
    <s v="Male"/>
    <x v="2"/>
    <x v="1"/>
    <n v="12.12"/>
    <n v="4"/>
    <n v="3.1"/>
    <n v="10.220000000000001"/>
    <n v="82.8"/>
    <s v="Family"/>
    <n v="11"/>
    <n v="3"/>
    <n v="0"/>
  </r>
  <r>
    <s v="U03608"/>
    <x v="2"/>
    <n v="43"/>
    <s v="Female"/>
    <x v="0"/>
    <x v="4"/>
    <n v="15.09"/>
    <n v="4"/>
    <n v="9"/>
    <n v="11.84"/>
    <n v="90.6"/>
    <s v="Comedy"/>
    <n v="11"/>
    <n v="3"/>
    <n v="1"/>
  </r>
  <r>
    <s v="U03609"/>
    <x v="11"/>
    <n v="24"/>
    <s v="Female"/>
    <x v="0"/>
    <x v="3"/>
    <n v="16.7"/>
    <n v="5"/>
    <n v="4.0999999999999996"/>
    <n v="13.97"/>
    <n v="37.4"/>
    <s v="Comedy"/>
    <n v="3"/>
    <n v="1"/>
    <n v="1"/>
  </r>
  <r>
    <s v="U03610"/>
    <x v="7"/>
    <n v="59"/>
    <s v="Female"/>
    <x v="1"/>
    <x v="3"/>
    <n v="24.77"/>
    <n v="2"/>
    <n v="8.1999999999999993"/>
    <n v="15.78"/>
    <n v="52.7"/>
    <s v="Action"/>
    <n v="11"/>
    <n v="4"/>
    <n v="0"/>
  </r>
  <r>
    <s v="U03611"/>
    <x v="1"/>
    <n v="64"/>
    <s v="Male"/>
    <x v="1"/>
    <x v="1"/>
    <n v="16.75"/>
    <n v="1"/>
    <n v="3.3"/>
    <n v="13.31"/>
    <n v="71.900000000000006"/>
    <s v="Thriller"/>
    <n v="7"/>
    <n v="3"/>
    <n v="0"/>
  </r>
  <r>
    <s v="U03612"/>
    <x v="9"/>
    <n v="55"/>
    <s v="Female"/>
    <x v="2"/>
    <x v="2"/>
    <n v="9.48"/>
    <n v="3"/>
    <n v="1.4"/>
    <n v="4"/>
    <n v="81.5"/>
    <s v="Action"/>
    <n v="6"/>
    <n v="0"/>
    <n v="1"/>
  </r>
  <r>
    <s v="U03613"/>
    <x v="10"/>
    <n v="22"/>
    <s v="Female"/>
    <x v="1"/>
    <x v="2"/>
    <n v="16.760000000000002"/>
    <n v="4"/>
    <n v="5.5"/>
    <n v="10.56"/>
    <n v="62"/>
    <s v="Family"/>
    <n v="3"/>
    <n v="3"/>
    <n v="0"/>
  </r>
  <r>
    <s v="U03614"/>
    <x v="3"/>
    <n v="40"/>
    <s v="Male"/>
    <x v="2"/>
    <x v="0"/>
    <n v="21.39"/>
    <n v="1"/>
    <n v="9"/>
    <n v="4.3499999999999996"/>
    <n v="56.2"/>
    <s v="Thriller"/>
    <n v="2"/>
    <n v="3"/>
    <n v="0"/>
  </r>
  <r>
    <s v="U03615"/>
    <x v="0"/>
    <n v="45"/>
    <s v="Male"/>
    <x v="0"/>
    <x v="2"/>
    <n v="22.15"/>
    <n v="4"/>
    <n v="8.4"/>
    <n v="5.6"/>
    <n v="72.3"/>
    <s v="Action"/>
    <n v="11"/>
    <n v="4"/>
    <n v="0"/>
  </r>
  <r>
    <s v="U03616"/>
    <x v="8"/>
    <n v="51"/>
    <s v="Male"/>
    <x v="2"/>
    <x v="3"/>
    <n v="21.01"/>
    <n v="4"/>
    <n v="3.3"/>
    <n v="5.04"/>
    <n v="44.4"/>
    <s v="Comedy"/>
    <n v="11"/>
    <n v="0"/>
    <n v="1"/>
  </r>
  <r>
    <s v="U03617"/>
    <x v="3"/>
    <n v="32"/>
    <s v="Female"/>
    <x v="1"/>
    <x v="4"/>
    <n v="22.76"/>
    <n v="4"/>
    <n v="9.1999999999999993"/>
    <n v="6.48"/>
    <n v="90.4"/>
    <s v="Family"/>
    <n v="6"/>
    <n v="0"/>
    <n v="0"/>
  </r>
  <r>
    <s v="U03618"/>
    <x v="9"/>
    <n v="49"/>
    <s v="Male"/>
    <x v="2"/>
    <x v="0"/>
    <n v="11.7"/>
    <n v="5"/>
    <n v="5.3"/>
    <n v="20.88"/>
    <n v="29.1"/>
    <s v="Action"/>
    <n v="10"/>
    <n v="0"/>
    <n v="1"/>
  </r>
  <r>
    <s v="U03619"/>
    <x v="4"/>
    <n v="43"/>
    <s v="Male"/>
    <x v="0"/>
    <x v="4"/>
    <n v="15.15"/>
    <n v="5"/>
    <n v="1.4"/>
    <n v="16.809999999999999"/>
    <n v="89.6"/>
    <s v="Action"/>
    <n v="7"/>
    <n v="3"/>
    <n v="0"/>
  </r>
  <r>
    <s v="U03620"/>
    <x v="0"/>
    <n v="65"/>
    <s v="Female"/>
    <x v="1"/>
    <x v="4"/>
    <n v="20.59"/>
    <n v="4"/>
    <n v="1.3"/>
    <n v="14.15"/>
    <n v="67.900000000000006"/>
    <s v="Drama"/>
    <n v="9"/>
    <n v="3"/>
    <n v="0"/>
  </r>
  <r>
    <s v="U03621"/>
    <x v="1"/>
    <n v="48"/>
    <s v="Male"/>
    <x v="2"/>
    <x v="3"/>
    <n v="10.29"/>
    <n v="4"/>
    <n v="5.4"/>
    <n v="19.11"/>
    <n v="64.099999999999994"/>
    <s v="Thriller"/>
    <n v="9"/>
    <n v="2"/>
    <n v="1"/>
  </r>
  <r>
    <s v="U03622"/>
    <x v="4"/>
    <n v="36"/>
    <s v="Female"/>
    <x v="1"/>
    <x v="1"/>
    <n v="12.43"/>
    <n v="3"/>
    <n v="5.9"/>
    <n v="24.15"/>
    <n v="52.3"/>
    <s v="Drama"/>
    <n v="9"/>
    <n v="4"/>
    <n v="0"/>
  </r>
  <r>
    <s v="U03623"/>
    <x v="3"/>
    <n v="26"/>
    <s v="Female"/>
    <x v="1"/>
    <x v="1"/>
    <n v="21.62"/>
    <n v="1"/>
    <n v="1.7"/>
    <n v="12.19"/>
    <n v="23.9"/>
    <s v="Comedy"/>
    <n v="11"/>
    <n v="0"/>
    <n v="0"/>
  </r>
  <r>
    <s v="U03624"/>
    <x v="10"/>
    <n v="46"/>
    <s v="Male"/>
    <x v="2"/>
    <x v="1"/>
    <n v="20.399999999999999"/>
    <n v="1"/>
    <n v="9.3000000000000007"/>
    <n v="11.08"/>
    <n v="87.8"/>
    <s v="Thriller"/>
    <n v="10"/>
    <n v="0"/>
    <n v="0"/>
  </r>
  <r>
    <s v="U03625"/>
    <x v="10"/>
    <n v="68"/>
    <s v="Female"/>
    <x v="1"/>
    <x v="2"/>
    <n v="24.42"/>
    <n v="2"/>
    <n v="7.5"/>
    <n v="24.51"/>
    <n v="14.7"/>
    <s v="Family"/>
    <n v="1"/>
    <n v="2"/>
    <n v="0"/>
  </r>
  <r>
    <s v="U03626"/>
    <x v="1"/>
    <n v="56"/>
    <s v="Male"/>
    <x v="1"/>
    <x v="1"/>
    <n v="24.92"/>
    <n v="2"/>
    <n v="8.1999999999999993"/>
    <n v="19.97"/>
    <n v="34.299999999999997"/>
    <s v="Thriller"/>
    <n v="4"/>
    <n v="3"/>
    <n v="0"/>
  </r>
  <r>
    <s v="U03627"/>
    <x v="6"/>
    <n v="21"/>
    <s v="Male"/>
    <x v="0"/>
    <x v="3"/>
    <n v="9.81"/>
    <n v="2"/>
    <n v="6.3"/>
    <n v="20.100000000000001"/>
    <n v="19.899999999999999"/>
    <s v="Action"/>
    <n v="4"/>
    <n v="2"/>
    <n v="0"/>
  </r>
  <r>
    <s v="U03628"/>
    <x v="5"/>
    <n v="20"/>
    <s v="Male"/>
    <x v="2"/>
    <x v="2"/>
    <n v="23.01"/>
    <n v="5"/>
    <n v="7"/>
    <n v="16.2"/>
    <n v="19.600000000000001"/>
    <s v="Action"/>
    <n v="10"/>
    <n v="2"/>
    <n v="0"/>
  </r>
  <r>
    <s v="U03629"/>
    <x v="9"/>
    <n v="46"/>
    <s v="Female"/>
    <x v="1"/>
    <x v="1"/>
    <n v="6.89"/>
    <n v="5"/>
    <n v="4.5"/>
    <n v="14.15"/>
    <n v="45.1"/>
    <s v="Action"/>
    <n v="8"/>
    <n v="3"/>
    <n v="0"/>
  </r>
  <r>
    <s v="U03630"/>
    <x v="8"/>
    <n v="69"/>
    <s v="Male"/>
    <x v="1"/>
    <x v="4"/>
    <n v="19.2"/>
    <n v="3"/>
    <n v="7.1"/>
    <n v="15.11"/>
    <n v="24.4"/>
    <s v="Thriller"/>
    <n v="3"/>
    <n v="1"/>
    <n v="1"/>
  </r>
  <r>
    <s v="U03631"/>
    <x v="9"/>
    <n v="28"/>
    <s v="Female"/>
    <x v="0"/>
    <x v="3"/>
    <n v="9.4"/>
    <n v="5"/>
    <n v="9.8000000000000007"/>
    <n v="17.350000000000001"/>
    <n v="62.3"/>
    <s v="Action"/>
    <n v="1"/>
    <n v="4"/>
    <n v="0"/>
  </r>
  <r>
    <s v="U03632"/>
    <x v="6"/>
    <n v="50"/>
    <s v="Female"/>
    <x v="1"/>
    <x v="3"/>
    <n v="11.01"/>
    <n v="2"/>
    <n v="6.8"/>
    <n v="11.29"/>
    <n v="66.400000000000006"/>
    <s v="Action"/>
    <n v="3"/>
    <n v="1"/>
    <n v="1"/>
  </r>
  <r>
    <s v="U03633"/>
    <x v="2"/>
    <n v="55"/>
    <s v="Female"/>
    <x v="0"/>
    <x v="0"/>
    <n v="23.93"/>
    <n v="4"/>
    <n v="4.0999999999999996"/>
    <n v="20.21"/>
    <n v="89.4"/>
    <s v="Drama"/>
    <n v="6"/>
    <n v="1"/>
    <n v="0"/>
  </r>
  <r>
    <s v="U03634"/>
    <x v="2"/>
    <n v="28"/>
    <s v="Male"/>
    <x v="0"/>
    <x v="3"/>
    <n v="10.26"/>
    <n v="2"/>
    <n v="3.6"/>
    <n v="23"/>
    <n v="37"/>
    <s v="Action"/>
    <n v="7"/>
    <n v="4"/>
    <n v="0"/>
  </r>
  <r>
    <s v="U03635"/>
    <x v="2"/>
    <n v="44"/>
    <s v="Female"/>
    <x v="1"/>
    <x v="4"/>
    <n v="18.46"/>
    <n v="3"/>
    <n v="9.6999999999999993"/>
    <n v="15.57"/>
    <n v="37.799999999999997"/>
    <s v="Drama"/>
    <n v="9"/>
    <n v="1"/>
    <n v="0"/>
  </r>
  <r>
    <s v="U03636"/>
    <x v="10"/>
    <n v="50"/>
    <s v="Female"/>
    <x v="0"/>
    <x v="3"/>
    <n v="8.56"/>
    <n v="4"/>
    <n v="2.7"/>
    <n v="11.39"/>
    <n v="32.200000000000003"/>
    <s v="Comedy"/>
    <n v="5"/>
    <n v="3"/>
    <n v="0"/>
  </r>
  <r>
    <s v="U03637"/>
    <x v="10"/>
    <n v="38"/>
    <s v="Male"/>
    <x v="0"/>
    <x v="0"/>
    <n v="6.87"/>
    <n v="5"/>
    <n v="8.3000000000000007"/>
    <n v="18.3"/>
    <n v="80.400000000000006"/>
    <s v="Thriller"/>
    <n v="5"/>
    <n v="1"/>
    <n v="0"/>
  </r>
  <r>
    <s v="U03638"/>
    <x v="7"/>
    <n v="56"/>
    <s v="Male"/>
    <x v="1"/>
    <x v="3"/>
    <n v="11.79"/>
    <n v="4"/>
    <n v="5.2"/>
    <n v="7.01"/>
    <n v="48.5"/>
    <s v="Drama"/>
    <n v="3"/>
    <n v="1"/>
    <n v="1"/>
  </r>
  <r>
    <s v="U03639"/>
    <x v="4"/>
    <n v="48"/>
    <s v="Female"/>
    <x v="0"/>
    <x v="3"/>
    <n v="17.48"/>
    <n v="3"/>
    <n v="5"/>
    <n v="24.31"/>
    <n v="59.7"/>
    <s v="Thriller"/>
    <n v="3"/>
    <n v="1"/>
    <n v="1"/>
  </r>
  <r>
    <s v="U03640"/>
    <x v="3"/>
    <n v="55"/>
    <s v="Female"/>
    <x v="1"/>
    <x v="0"/>
    <n v="9.9600000000000009"/>
    <n v="5"/>
    <n v="7.7"/>
    <n v="17.48"/>
    <n v="43.7"/>
    <s v="Thriller"/>
    <n v="9"/>
    <n v="3"/>
    <n v="0"/>
  </r>
  <r>
    <s v="U03641"/>
    <x v="8"/>
    <n v="63"/>
    <s v="Male"/>
    <x v="0"/>
    <x v="3"/>
    <n v="11"/>
    <n v="1"/>
    <n v="2.2999999999999998"/>
    <n v="4.49"/>
    <n v="24.1"/>
    <s v="Family"/>
    <n v="3"/>
    <n v="2"/>
    <n v="0"/>
  </r>
  <r>
    <s v="U03642"/>
    <x v="1"/>
    <n v="19"/>
    <s v="Female"/>
    <x v="1"/>
    <x v="2"/>
    <n v="19.170000000000002"/>
    <n v="2"/>
    <n v="5.2"/>
    <n v="14.65"/>
    <n v="19.2"/>
    <s v="Drama"/>
    <n v="3"/>
    <n v="0"/>
    <n v="0"/>
  </r>
  <r>
    <s v="U03643"/>
    <x v="3"/>
    <n v="44"/>
    <s v="Female"/>
    <x v="1"/>
    <x v="3"/>
    <n v="7.06"/>
    <n v="2"/>
    <n v="1.3"/>
    <n v="19.510000000000002"/>
    <n v="88.1"/>
    <s v="Action"/>
    <n v="9"/>
    <n v="4"/>
    <n v="0"/>
  </r>
  <r>
    <s v="U03644"/>
    <x v="9"/>
    <n v="53"/>
    <s v="Female"/>
    <x v="2"/>
    <x v="1"/>
    <n v="13.94"/>
    <n v="3"/>
    <n v="7"/>
    <n v="9.11"/>
    <n v="33.9"/>
    <s v="Family"/>
    <n v="4"/>
    <n v="4"/>
    <n v="1"/>
  </r>
  <r>
    <s v="U03645"/>
    <x v="7"/>
    <n v="28"/>
    <s v="Female"/>
    <x v="0"/>
    <x v="1"/>
    <n v="23.83"/>
    <n v="3"/>
    <n v="1.5"/>
    <n v="4.12"/>
    <n v="94.7"/>
    <s v="Drama"/>
    <n v="6"/>
    <n v="3"/>
    <n v="0"/>
  </r>
  <r>
    <s v="U03646"/>
    <x v="10"/>
    <n v="64"/>
    <s v="Male"/>
    <x v="0"/>
    <x v="2"/>
    <n v="12.94"/>
    <n v="2"/>
    <n v="1.8"/>
    <n v="13.76"/>
    <n v="95.3"/>
    <s v="Drama"/>
    <n v="1"/>
    <n v="0"/>
    <n v="0"/>
  </r>
  <r>
    <s v="U03647"/>
    <x v="1"/>
    <n v="35"/>
    <s v="Female"/>
    <x v="0"/>
    <x v="3"/>
    <n v="13.68"/>
    <n v="4"/>
    <n v="8.6"/>
    <n v="21.34"/>
    <n v="53.1"/>
    <s v="Comedy"/>
    <n v="11"/>
    <n v="1"/>
    <n v="1"/>
  </r>
  <r>
    <s v="U03648"/>
    <x v="10"/>
    <n v="18"/>
    <s v="Male"/>
    <x v="1"/>
    <x v="4"/>
    <n v="19.760000000000002"/>
    <n v="1"/>
    <n v="5"/>
    <n v="8.5299999999999994"/>
    <n v="96.3"/>
    <s v="Action"/>
    <n v="2"/>
    <n v="4"/>
    <n v="1"/>
  </r>
  <r>
    <s v="U03649"/>
    <x v="8"/>
    <n v="52"/>
    <s v="Female"/>
    <x v="2"/>
    <x v="3"/>
    <n v="20.58"/>
    <n v="1"/>
    <n v="2.8"/>
    <n v="18.77"/>
    <n v="12.6"/>
    <s v="Comedy"/>
    <n v="11"/>
    <n v="1"/>
    <n v="0"/>
  </r>
  <r>
    <s v="U03650"/>
    <x v="4"/>
    <n v="52"/>
    <s v="Male"/>
    <x v="0"/>
    <x v="1"/>
    <n v="20.39"/>
    <n v="3"/>
    <n v="6.3"/>
    <n v="11.97"/>
    <n v="18.2"/>
    <s v="Thriller"/>
    <n v="3"/>
    <n v="3"/>
    <n v="0"/>
  </r>
  <r>
    <s v="U03651"/>
    <x v="3"/>
    <n v="48"/>
    <s v="Female"/>
    <x v="0"/>
    <x v="0"/>
    <n v="24.96"/>
    <n v="3"/>
    <n v="5.7"/>
    <n v="4.3099999999999996"/>
    <n v="31.9"/>
    <s v="Action"/>
    <n v="2"/>
    <n v="3"/>
    <n v="1"/>
  </r>
  <r>
    <s v="U03652"/>
    <x v="3"/>
    <n v="45"/>
    <s v="Male"/>
    <x v="0"/>
    <x v="2"/>
    <n v="6.43"/>
    <n v="4"/>
    <n v="4.7"/>
    <n v="9.69"/>
    <n v="28.8"/>
    <s v="Comedy"/>
    <n v="11"/>
    <n v="3"/>
    <n v="0"/>
  </r>
  <r>
    <s v="U03653"/>
    <x v="2"/>
    <n v="56"/>
    <s v="Female"/>
    <x v="1"/>
    <x v="0"/>
    <n v="24.65"/>
    <n v="3"/>
    <n v="9.1"/>
    <n v="9.91"/>
    <n v="32.700000000000003"/>
    <s v="Comedy"/>
    <n v="10"/>
    <n v="2"/>
    <n v="1"/>
  </r>
  <r>
    <s v="U03654"/>
    <x v="6"/>
    <n v="18"/>
    <s v="Male"/>
    <x v="1"/>
    <x v="4"/>
    <n v="24"/>
    <n v="1"/>
    <n v="7.7"/>
    <n v="22.9"/>
    <n v="50.7"/>
    <s v="Action"/>
    <n v="3"/>
    <n v="3"/>
    <n v="0"/>
  </r>
  <r>
    <s v="U03655"/>
    <x v="2"/>
    <n v="42"/>
    <s v="Female"/>
    <x v="1"/>
    <x v="3"/>
    <n v="22.04"/>
    <n v="2"/>
    <n v="2.4"/>
    <n v="24.6"/>
    <n v="15.7"/>
    <s v="Drama"/>
    <n v="5"/>
    <n v="1"/>
    <n v="0"/>
  </r>
  <r>
    <s v="U03656"/>
    <x v="1"/>
    <n v="60"/>
    <s v="Female"/>
    <x v="2"/>
    <x v="4"/>
    <n v="14.08"/>
    <n v="1"/>
    <n v="6.1"/>
    <n v="7.61"/>
    <n v="60"/>
    <s v="Thriller"/>
    <n v="1"/>
    <n v="2"/>
    <n v="0"/>
  </r>
  <r>
    <s v="U03657"/>
    <x v="5"/>
    <n v="55"/>
    <s v="Male"/>
    <x v="1"/>
    <x v="0"/>
    <n v="22.42"/>
    <n v="4"/>
    <n v="1.8"/>
    <n v="12.47"/>
    <n v="37.9"/>
    <s v="Family"/>
    <n v="1"/>
    <n v="1"/>
    <n v="0"/>
  </r>
  <r>
    <s v="U03658"/>
    <x v="2"/>
    <n v="37"/>
    <s v="Male"/>
    <x v="0"/>
    <x v="3"/>
    <n v="9.42"/>
    <n v="2"/>
    <n v="3.2"/>
    <n v="24.49"/>
    <n v="16.399999999999999"/>
    <s v="Family"/>
    <n v="11"/>
    <n v="3"/>
    <n v="1"/>
  </r>
  <r>
    <s v="U03659"/>
    <x v="7"/>
    <n v="20"/>
    <s v="Male"/>
    <x v="0"/>
    <x v="4"/>
    <n v="20.83"/>
    <n v="2"/>
    <n v="9.1999999999999993"/>
    <n v="11.96"/>
    <n v="77.8"/>
    <s v="Family"/>
    <n v="7"/>
    <n v="2"/>
    <n v="0"/>
  </r>
  <r>
    <s v="U03660"/>
    <x v="2"/>
    <n v="68"/>
    <s v="Male"/>
    <x v="1"/>
    <x v="1"/>
    <n v="8.6999999999999993"/>
    <n v="1"/>
    <n v="5.2"/>
    <n v="10.68"/>
    <n v="68.8"/>
    <s v="Thriller"/>
    <n v="9"/>
    <n v="0"/>
    <n v="1"/>
  </r>
  <r>
    <s v="U03661"/>
    <x v="2"/>
    <n v="19"/>
    <s v="Male"/>
    <x v="1"/>
    <x v="1"/>
    <n v="21.31"/>
    <n v="2"/>
    <n v="9"/>
    <n v="5.42"/>
    <n v="81.400000000000006"/>
    <s v="Action"/>
    <n v="9"/>
    <n v="3"/>
    <n v="0"/>
  </r>
  <r>
    <s v="U03662"/>
    <x v="5"/>
    <n v="35"/>
    <s v="Female"/>
    <x v="1"/>
    <x v="2"/>
    <n v="17.29"/>
    <n v="2"/>
    <n v="2.5"/>
    <n v="19.57"/>
    <n v="94.5"/>
    <s v="Action"/>
    <n v="7"/>
    <n v="2"/>
    <n v="0"/>
  </r>
  <r>
    <s v="U03663"/>
    <x v="6"/>
    <n v="61"/>
    <s v="Male"/>
    <x v="1"/>
    <x v="1"/>
    <n v="6.96"/>
    <n v="3"/>
    <n v="2.8"/>
    <n v="12.83"/>
    <n v="62.7"/>
    <s v="Action"/>
    <n v="11"/>
    <n v="2"/>
    <n v="0"/>
  </r>
  <r>
    <s v="U03664"/>
    <x v="8"/>
    <n v="27"/>
    <s v="Male"/>
    <x v="1"/>
    <x v="1"/>
    <n v="22.91"/>
    <n v="2"/>
    <n v="4.2"/>
    <n v="17.05"/>
    <n v="80.8"/>
    <s v="Family"/>
    <n v="11"/>
    <n v="2"/>
    <n v="0"/>
  </r>
  <r>
    <s v="U03665"/>
    <x v="7"/>
    <n v="22"/>
    <s v="Female"/>
    <x v="2"/>
    <x v="0"/>
    <n v="16.559999999999999"/>
    <n v="4"/>
    <n v="4.3"/>
    <n v="14.22"/>
    <n v="27.9"/>
    <s v="Drama"/>
    <n v="2"/>
    <n v="4"/>
    <n v="0"/>
  </r>
  <r>
    <s v="U03666"/>
    <x v="2"/>
    <n v="26"/>
    <s v="Male"/>
    <x v="1"/>
    <x v="1"/>
    <n v="18.12"/>
    <n v="2"/>
    <n v="7.7"/>
    <n v="6.84"/>
    <n v="46.9"/>
    <s v="Comedy"/>
    <n v="11"/>
    <n v="2"/>
    <n v="0"/>
  </r>
  <r>
    <s v="U03667"/>
    <x v="4"/>
    <n v="19"/>
    <s v="Male"/>
    <x v="2"/>
    <x v="1"/>
    <n v="10.67"/>
    <n v="3"/>
    <n v="6.4"/>
    <n v="6.88"/>
    <n v="57.7"/>
    <s v="Family"/>
    <n v="7"/>
    <n v="0"/>
    <n v="0"/>
  </r>
  <r>
    <s v="U03668"/>
    <x v="5"/>
    <n v="51"/>
    <s v="Male"/>
    <x v="0"/>
    <x v="0"/>
    <n v="22.43"/>
    <n v="5"/>
    <n v="6"/>
    <n v="23.67"/>
    <n v="58.7"/>
    <s v="Thriller"/>
    <n v="9"/>
    <n v="3"/>
    <n v="1"/>
  </r>
  <r>
    <s v="U03669"/>
    <x v="4"/>
    <n v="55"/>
    <s v="Female"/>
    <x v="1"/>
    <x v="1"/>
    <n v="15.9"/>
    <n v="5"/>
    <n v="6.4"/>
    <n v="22.57"/>
    <n v="74.7"/>
    <s v="Action"/>
    <n v="7"/>
    <n v="3"/>
    <n v="0"/>
  </r>
  <r>
    <s v="U03670"/>
    <x v="5"/>
    <n v="48"/>
    <s v="Male"/>
    <x v="2"/>
    <x v="1"/>
    <n v="13.42"/>
    <n v="4"/>
    <n v="7.6"/>
    <n v="16.43"/>
    <n v="81.599999999999994"/>
    <s v="Comedy"/>
    <n v="2"/>
    <n v="3"/>
    <n v="0"/>
  </r>
  <r>
    <s v="U03671"/>
    <x v="4"/>
    <n v="27"/>
    <s v="Female"/>
    <x v="1"/>
    <x v="2"/>
    <n v="15.69"/>
    <n v="4"/>
    <n v="9"/>
    <n v="3.03"/>
    <n v="70"/>
    <s v="Action"/>
    <n v="7"/>
    <n v="2"/>
    <n v="0"/>
  </r>
  <r>
    <s v="U03672"/>
    <x v="5"/>
    <n v="67"/>
    <s v="Female"/>
    <x v="2"/>
    <x v="1"/>
    <n v="19.07"/>
    <n v="2"/>
    <n v="4.7"/>
    <n v="12.53"/>
    <n v="14.3"/>
    <s v="Action"/>
    <n v="4"/>
    <n v="3"/>
    <n v="0"/>
  </r>
  <r>
    <s v="U03673"/>
    <x v="9"/>
    <n v="29"/>
    <s v="Male"/>
    <x v="2"/>
    <x v="1"/>
    <n v="18.899999999999999"/>
    <n v="2"/>
    <n v="8.1999999999999993"/>
    <n v="14.67"/>
    <n v="41.6"/>
    <s v="Action"/>
    <n v="8"/>
    <n v="0"/>
    <n v="1"/>
  </r>
  <r>
    <s v="U03674"/>
    <x v="4"/>
    <n v="53"/>
    <s v="Female"/>
    <x v="0"/>
    <x v="2"/>
    <n v="12.15"/>
    <n v="5"/>
    <n v="5.5"/>
    <n v="12.89"/>
    <n v="61.5"/>
    <s v="Drama"/>
    <n v="3"/>
    <n v="4"/>
    <n v="0"/>
  </r>
  <r>
    <s v="U03675"/>
    <x v="6"/>
    <n v="38"/>
    <s v="Male"/>
    <x v="1"/>
    <x v="0"/>
    <n v="12.71"/>
    <n v="5"/>
    <n v="7.5"/>
    <n v="23.36"/>
    <n v="55.7"/>
    <s v="Comedy"/>
    <n v="5"/>
    <n v="0"/>
    <n v="1"/>
  </r>
  <r>
    <s v="U03676"/>
    <x v="0"/>
    <n v="66"/>
    <s v="Male"/>
    <x v="0"/>
    <x v="1"/>
    <n v="16.239999999999998"/>
    <n v="1"/>
    <n v="8.9"/>
    <n v="3.9"/>
    <n v="14"/>
    <s v="Family"/>
    <n v="3"/>
    <n v="4"/>
    <n v="0"/>
  </r>
  <r>
    <s v="U03677"/>
    <x v="7"/>
    <n v="64"/>
    <s v="Male"/>
    <x v="2"/>
    <x v="4"/>
    <n v="23.49"/>
    <n v="5"/>
    <n v="1.3"/>
    <n v="17.41"/>
    <n v="98.3"/>
    <s v="Drama"/>
    <n v="7"/>
    <n v="3"/>
    <n v="0"/>
  </r>
  <r>
    <s v="U03678"/>
    <x v="1"/>
    <n v="23"/>
    <s v="Male"/>
    <x v="2"/>
    <x v="0"/>
    <n v="19.91"/>
    <n v="5"/>
    <n v="5.9"/>
    <n v="9.9"/>
    <n v="96"/>
    <s v="Thriller"/>
    <n v="3"/>
    <n v="1"/>
    <n v="1"/>
  </r>
  <r>
    <s v="U03679"/>
    <x v="8"/>
    <n v="65"/>
    <s v="Male"/>
    <x v="0"/>
    <x v="0"/>
    <n v="12.81"/>
    <n v="4"/>
    <n v="9.9"/>
    <n v="15.31"/>
    <n v="79.599999999999994"/>
    <s v="Thriller"/>
    <n v="10"/>
    <n v="4"/>
    <n v="1"/>
  </r>
  <r>
    <s v="U03680"/>
    <x v="9"/>
    <n v="66"/>
    <s v="Female"/>
    <x v="0"/>
    <x v="1"/>
    <n v="11.74"/>
    <n v="1"/>
    <n v="5.5"/>
    <n v="17.43"/>
    <n v="15"/>
    <s v="Family"/>
    <n v="5"/>
    <n v="0"/>
    <n v="0"/>
  </r>
  <r>
    <s v="U03681"/>
    <x v="11"/>
    <n v="20"/>
    <s v="Female"/>
    <x v="1"/>
    <x v="2"/>
    <n v="15.47"/>
    <n v="1"/>
    <n v="8.8000000000000007"/>
    <n v="12.7"/>
    <n v="48.7"/>
    <s v="Comedy"/>
    <n v="1"/>
    <n v="0"/>
    <n v="0"/>
  </r>
  <r>
    <s v="U03682"/>
    <x v="10"/>
    <n v="27"/>
    <s v="Female"/>
    <x v="1"/>
    <x v="0"/>
    <n v="22.4"/>
    <n v="2"/>
    <n v="2.7"/>
    <n v="6.26"/>
    <n v="46.9"/>
    <s v="Family"/>
    <n v="4"/>
    <n v="1"/>
    <n v="0"/>
  </r>
  <r>
    <s v="U03683"/>
    <x v="2"/>
    <n v="22"/>
    <s v="Female"/>
    <x v="0"/>
    <x v="2"/>
    <n v="5.17"/>
    <n v="2"/>
    <n v="6.4"/>
    <n v="14.42"/>
    <n v="60.2"/>
    <s v="Drama"/>
    <n v="6"/>
    <n v="4"/>
    <n v="0"/>
  </r>
  <r>
    <s v="U03684"/>
    <x v="1"/>
    <n v="63"/>
    <s v="Male"/>
    <x v="1"/>
    <x v="4"/>
    <n v="19.21"/>
    <n v="1"/>
    <n v="8.8000000000000007"/>
    <n v="23.53"/>
    <n v="15"/>
    <s v="Comedy"/>
    <n v="2"/>
    <n v="4"/>
    <n v="0"/>
  </r>
  <r>
    <s v="U03685"/>
    <x v="10"/>
    <n v="43"/>
    <s v="Male"/>
    <x v="1"/>
    <x v="2"/>
    <n v="10.89"/>
    <n v="1"/>
    <n v="4.9000000000000004"/>
    <n v="14.79"/>
    <n v="48.1"/>
    <s v="Thriller"/>
    <n v="6"/>
    <n v="0"/>
    <n v="0"/>
  </r>
  <r>
    <s v="U03686"/>
    <x v="7"/>
    <n v="38"/>
    <s v="Female"/>
    <x v="0"/>
    <x v="3"/>
    <n v="9.17"/>
    <n v="2"/>
    <n v="5.4"/>
    <n v="5.7"/>
    <n v="78.2"/>
    <s v="Comedy"/>
    <n v="10"/>
    <n v="4"/>
    <n v="1"/>
  </r>
  <r>
    <s v="U03687"/>
    <x v="1"/>
    <n v="62"/>
    <s v="Male"/>
    <x v="2"/>
    <x v="2"/>
    <n v="5.24"/>
    <n v="4"/>
    <n v="1.7"/>
    <n v="21.13"/>
    <n v="99.8"/>
    <s v="Comedy"/>
    <n v="7"/>
    <n v="1"/>
    <n v="0"/>
  </r>
  <r>
    <s v="U03688"/>
    <x v="4"/>
    <n v="43"/>
    <s v="Female"/>
    <x v="2"/>
    <x v="0"/>
    <n v="22.93"/>
    <n v="4"/>
    <n v="1.4"/>
    <n v="7.88"/>
    <n v="63.6"/>
    <s v="Comedy"/>
    <n v="8"/>
    <n v="4"/>
    <n v="0"/>
  </r>
  <r>
    <s v="U03689"/>
    <x v="4"/>
    <n v="55"/>
    <s v="Female"/>
    <x v="2"/>
    <x v="2"/>
    <n v="23.24"/>
    <n v="4"/>
    <n v="5.2"/>
    <n v="11.14"/>
    <n v="94.7"/>
    <s v="Family"/>
    <n v="3"/>
    <n v="4"/>
    <n v="1"/>
  </r>
  <r>
    <s v="U03690"/>
    <x v="11"/>
    <n v="61"/>
    <s v="Female"/>
    <x v="2"/>
    <x v="2"/>
    <n v="6.23"/>
    <n v="4"/>
    <n v="8.6"/>
    <n v="12.43"/>
    <n v="99.9"/>
    <s v="Action"/>
    <n v="10"/>
    <n v="1"/>
    <n v="0"/>
  </r>
  <r>
    <s v="U03691"/>
    <x v="10"/>
    <n v="43"/>
    <s v="Female"/>
    <x v="0"/>
    <x v="3"/>
    <n v="15.44"/>
    <n v="2"/>
    <n v="9.4"/>
    <n v="10.47"/>
    <n v="49.1"/>
    <s v="Drama"/>
    <n v="11"/>
    <n v="3"/>
    <n v="0"/>
  </r>
  <r>
    <s v="U03692"/>
    <x v="8"/>
    <n v="25"/>
    <s v="Male"/>
    <x v="0"/>
    <x v="3"/>
    <n v="8.0500000000000007"/>
    <n v="3"/>
    <n v="6.9"/>
    <n v="11.9"/>
    <n v="70.2"/>
    <s v="Comedy"/>
    <n v="3"/>
    <n v="4"/>
    <n v="0"/>
  </r>
  <r>
    <s v="U03693"/>
    <x v="7"/>
    <n v="22"/>
    <s v="Male"/>
    <x v="0"/>
    <x v="1"/>
    <n v="20.170000000000002"/>
    <n v="5"/>
    <n v="8.4"/>
    <n v="20.5"/>
    <n v="29.2"/>
    <s v="Comedy"/>
    <n v="5"/>
    <n v="0"/>
    <n v="1"/>
  </r>
  <r>
    <s v="U03694"/>
    <x v="4"/>
    <n v="32"/>
    <s v="Female"/>
    <x v="2"/>
    <x v="0"/>
    <n v="18.309999999999999"/>
    <n v="5"/>
    <n v="7.6"/>
    <n v="7.91"/>
    <n v="52.8"/>
    <s v="Family"/>
    <n v="3"/>
    <n v="2"/>
    <n v="0"/>
  </r>
  <r>
    <s v="U03695"/>
    <x v="2"/>
    <n v="33"/>
    <s v="Female"/>
    <x v="2"/>
    <x v="1"/>
    <n v="10.94"/>
    <n v="5"/>
    <n v="7.3"/>
    <n v="13.35"/>
    <n v="17.100000000000001"/>
    <s v="Drama"/>
    <n v="9"/>
    <n v="0"/>
    <n v="1"/>
  </r>
  <r>
    <s v="U03696"/>
    <x v="0"/>
    <n v="18"/>
    <s v="Female"/>
    <x v="2"/>
    <x v="3"/>
    <n v="7.34"/>
    <n v="5"/>
    <n v="7.9"/>
    <n v="3.44"/>
    <n v="12.6"/>
    <s v="Drama"/>
    <n v="7"/>
    <n v="0"/>
    <n v="0"/>
  </r>
  <r>
    <s v="U03697"/>
    <x v="6"/>
    <n v="33"/>
    <s v="Female"/>
    <x v="2"/>
    <x v="2"/>
    <n v="21.62"/>
    <n v="2"/>
    <n v="5.5"/>
    <n v="14.17"/>
    <n v="90.4"/>
    <s v="Thriller"/>
    <n v="5"/>
    <n v="3"/>
    <n v="0"/>
  </r>
  <r>
    <s v="U03698"/>
    <x v="6"/>
    <n v="54"/>
    <s v="Female"/>
    <x v="1"/>
    <x v="3"/>
    <n v="18.489999999999998"/>
    <n v="3"/>
    <n v="5.0999999999999996"/>
    <n v="5.46"/>
    <n v="87.3"/>
    <s v="Drama"/>
    <n v="5"/>
    <n v="3"/>
    <n v="0"/>
  </r>
  <r>
    <s v="U03699"/>
    <x v="5"/>
    <n v="20"/>
    <s v="Male"/>
    <x v="1"/>
    <x v="4"/>
    <n v="5.14"/>
    <n v="2"/>
    <n v="2.4"/>
    <n v="9.2100000000000009"/>
    <n v="38.1"/>
    <s v="Drama"/>
    <n v="1"/>
    <n v="0"/>
    <n v="0"/>
  </r>
  <r>
    <s v="U03700"/>
    <x v="8"/>
    <n v="69"/>
    <s v="Female"/>
    <x v="1"/>
    <x v="2"/>
    <n v="17.559999999999999"/>
    <n v="3"/>
    <n v="8.6"/>
    <n v="10.15"/>
    <n v="51.1"/>
    <s v="Comedy"/>
    <n v="9"/>
    <n v="4"/>
    <n v="0"/>
  </r>
  <r>
    <s v="U03701"/>
    <x v="6"/>
    <n v="64"/>
    <s v="Female"/>
    <x v="0"/>
    <x v="1"/>
    <n v="21.21"/>
    <n v="2"/>
    <n v="1.4"/>
    <n v="4.8099999999999996"/>
    <n v="54.4"/>
    <s v="Action"/>
    <n v="2"/>
    <n v="0"/>
    <n v="0"/>
  </r>
  <r>
    <s v="U03702"/>
    <x v="5"/>
    <n v="48"/>
    <s v="Male"/>
    <x v="0"/>
    <x v="2"/>
    <n v="16.82"/>
    <n v="1"/>
    <n v="3.4"/>
    <n v="10.93"/>
    <n v="56.9"/>
    <s v="Comedy"/>
    <n v="7"/>
    <n v="4"/>
    <n v="0"/>
  </r>
  <r>
    <s v="U03703"/>
    <x v="10"/>
    <n v="30"/>
    <s v="Male"/>
    <x v="1"/>
    <x v="4"/>
    <n v="13.49"/>
    <n v="3"/>
    <n v="5.7"/>
    <n v="13.96"/>
    <n v="22.1"/>
    <s v="Family"/>
    <n v="7"/>
    <n v="1"/>
    <n v="1"/>
  </r>
  <r>
    <s v="U03704"/>
    <x v="4"/>
    <n v="33"/>
    <s v="Male"/>
    <x v="1"/>
    <x v="3"/>
    <n v="16.68"/>
    <n v="5"/>
    <n v="9.6999999999999993"/>
    <n v="12.48"/>
    <n v="79.8"/>
    <s v="Drama"/>
    <n v="2"/>
    <n v="1"/>
    <n v="0"/>
  </r>
  <r>
    <s v="U03705"/>
    <x v="9"/>
    <n v="60"/>
    <s v="Male"/>
    <x v="1"/>
    <x v="0"/>
    <n v="17.39"/>
    <n v="3"/>
    <n v="8.1"/>
    <n v="9.17"/>
    <n v="41.3"/>
    <s v="Action"/>
    <n v="8"/>
    <n v="3"/>
    <n v="0"/>
  </r>
  <r>
    <s v="U03706"/>
    <x v="4"/>
    <n v="38"/>
    <s v="Male"/>
    <x v="1"/>
    <x v="0"/>
    <n v="17.8"/>
    <n v="4"/>
    <n v="4.3"/>
    <n v="9.49"/>
    <n v="12.9"/>
    <s v="Comedy"/>
    <n v="8"/>
    <n v="2"/>
    <n v="0"/>
  </r>
  <r>
    <s v="U03707"/>
    <x v="9"/>
    <n v="19"/>
    <s v="Male"/>
    <x v="0"/>
    <x v="0"/>
    <n v="24.34"/>
    <n v="3"/>
    <n v="7.4"/>
    <n v="16.940000000000001"/>
    <n v="70.900000000000006"/>
    <s v="Thriller"/>
    <n v="9"/>
    <n v="2"/>
    <n v="0"/>
  </r>
  <r>
    <s v="U03708"/>
    <x v="2"/>
    <n v="44"/>
    <s v="Male"/>
    <x v="1"/>
    <x v="3"/>
    <n v="8.57"/>
    <n v="4"/>
    <n v="9.4"/>
    <n v="18.8"/>
    <n v="84.7"/>
    <s v="Family"/>
    <n v="2"/>
    <n v="3"/>
    <n v="0"/>
  </r>
  <r>
    <s v="U03709"/>
    <x v="0"/>
    <n v="55"/>
    <s v="Male"/>
    <x v="1"/>
    <x v="0"/>
    <n v="17.46"/>
    <n v="4"/>
    <n v="5.8"/>
    <n v="15.68"/>
    <n v="92.6"/>
    <s v="Family"/>
    <n v="1"/>
    <n v="1"/>
    <n v="0"/>
  </r>
  <r>
    <s v="U03710"/>
    <x v="1"/>
    <n v="43"/>
    <s v="Male"/>
    <x v="1"/>
    <x v="4"/>
    <n v="8.76"/>
    <n v="1"/>
    <n v="5.2"/>
    <n v="24.48"/>
    <n v="70.7"/>
    <s v="Family"/>
    <n v="9"/>
    <n v="3"/>
    <n v="0"/>
  </r>
  <r>
    <s v="U03711"/>
    <x v="6"/>
    <n v="55"/>
    <s v="Female"/>
    <x v="2"/>
    <x v="3"/>
    <n v="9.1999999999999993"/>
    <n v="3"/>
    <n v="6"/>
    <n v="23.79"/>
    <n v="27.2"/>
    <s v="Comedy"/>
    <n v="3"/>
    <n v="1"/>
    <n v="1"/>
  </r>
  <r>
    <s v="U03712"/>
    <x v="10"/>
    <n v="63"/>
    <s v="Male"/>
    <x v="1"/>
    <x v="0"/>
    <n v="18.39"/>
    <n v="1"/>
    <n v="3.8"/>
    <n v="5.17"/>
    <n v="63.1"/>
    <s v="Action"/>
    <n v="10"/>
    <n v="4"/>
    <n v="0"/>
  </r>
  <r>
    <s v="U03713"/>
    <x v="9"/>
    <n v="42"/>
    <s v="Female"/>
    <x v="1"/>
    <x v="1"/>
    <n v="23.32"/>
    <n v="5"/>
    <n v="9.1999999999999993"/>
    <n v="8.75"/>
    <n v="92.1"/>
    <s v="Action"/>
    <n v="2"/>
    <n v="1"/>
    <n v="0"/>
  </r>
  <r>
    <s v="U03714"/>
    <x v="3"/>
    <n v="28"/>
    <s v="Female"/>
    <x v="2"/>
    <x v="3"/>
    <n v="8.18"/>
    <n v="3"/>
    <n v="8.1999999999999993"/>
    <n v="22.1"/>
    <n v="41.6"/>
    <s v="Drama"/>
    <n v="10"/>
    <n v="1"/>
    <n v="0"/>
  </r>
  <r>
    <s v="U03715"/>
    <x v="6"/>
    <n v="25"/>
    <s v="Female"/>
    <x v="2"/>
    <x v="3"/>
    <n v="24.25"/>
    <n v="2"/>
    <n v="7.3"/>
    <n v="3.65"/>
    <n v="95.8"/>
    <s v="Action"/>
    <n v="2"/>
    <n v="1"/>
    <n v="0"/>
  </r>
  <r>
    <s v="U03716"/>
    <x v="8"/>
    <n v="25"/>
    <s v="Female"/>
    <x v="2"/>
    <x v="2"/>
    <n v="11.39"/>
    <n v="2"/>
    <n v="6.3"/>
    <n v="16.03"/>
    <n v="18.8"/>
    <s v="Thriller"/>
    <n v="2"/>
    <n v="2"/>
    <n v="0"/>
  </r>
  <r>
    <s v="U03717"/>
    <x v="2"/>
    <n v="50"/>
    <s v="Female"/>
    <x v="0"/>
    <x v="0"/>
    <n v="12.83"/>
    <n v="2"/>
    <n v="9.6999999999999993"/>
    <n v="24"/>
    <n v="75.5"/>
    <s v="Family"/>
    <n v="8"/>
    <n v="1"/>
    <n v="0"/>
  </r>
  <r>
    <s v="U03718"/>
    <x v="1"/>
    <n v="24"/>
    <s v="Female"/>
    <x v="0"/>
    <x v="1"/>
    <n v="8.07"/>
    <n v="4"/>
    <n v="3.7"/>
    <n v="17.93"/>
    <n v="20.8"/>
    <s v="Comedy"/>
    <n v="3"/>
    <n v="0"/>
    <n v="0"/>
  </r>
  <r>
    <s v="U03719"/>
    <x v="6"/>
    <n v="55"/>
    <s v="Female"/>
    <x v="0"/>
    <x v="4"/>
    <n v="17.32"/>
    <n v="2"/>
    <n v="3.5"/>
    <n v="5.0199999999999996"/>
    <n v="81.900000000000006"/>
    <s v="Family"/>
    <n v="1"/>
    <n v="4"/>
    <n v="1"/>
  </r>
  <r>
    <s v="U03720"/>
    <x v="10"/>
    <n v="38"/>
    <s v="Female"/>
    <x v="0"/>
    <x v="3"/>
    <n v="16.93"/>
    <n v="5"/>
    <n v="3.2"/>
    <n v="19.45"/>
    <n v="18.8"/>
    <s v="Family"/>
    <n v="8"/>
    <n v="2"/>
    <n v="1"/>
  </r>
  <r>
    <s v="U03721"/>
    <x v="6"/>
    <n v="25"/>
    <s v="Male"/>
    <x v="2"/>
    <x v="4"/>
    <n v="13.85"/>
    <n v="3"/>
    <n v="7.7"/>
    <n v="11.28"/>
    <n v="39.299999999999997"/>
    <s v="Thriller"/>
    <n v="2"/>
    <n v="0"/>
    <n v="0"/>
  </r>
  <r>
    <s v="U03722"/>
    <x v="9"/>
    <n v="68"/>
    <s v="Female"/>
    <x v="1"/>
    <x v="4"/>
    <n v="14.52"/>
    <n v="3"/>
    <n v="8.1999999999999993"/>
    <n v="23.27"/>
    <n v="79.900000000000006"/>
    <s v="Family"/>
    <n v="6"/>
    <n v="2"/>
    <n v="0"/>
  </r>
  <r>
    <s v="U03723"/>
    <x v="8"/>
    <n v="38"/>
    <s v="Female"/>
    <x v="0"/>
    <x v="4"/>
    <n v="17.46"/>
    <n v="4"/>
    <n v="6.4"/>
    <n v="9.3000000000000007"/>
    <n v="51.4"/>
    <s v="Family"/>
    <n v="8"/>
    <n v="2"/>
    <n v="0"/>
  </r>
  <r>
    <s v="U03724"/>
    <x v="3"/>
    <n v="37"/>
    <s v="Female"/>
    <x v="0"/>
    <x v="2"/>
    <n v="16.670000000000002"/>
    <n v="4"/>
    <n v="6.9"/>
    <n v="13.41"/>
    <n v="89.4"/>
    <s v="Thriller"/>
    <n v="10"/>
    <n v="0"/>
    <n v="0"/>
  </r>
  <r>
    <s v="U03725"/>
    <x v="7"/>
    <n v="25"/>
    <s v="Female"/>
    <x v="0"/>
    <x v="4"/>
    <n v="12.49"/>
    <n v="4"/>
    <n v="4.0999999999999996"/>
    <n v="19.43"/>
    <n v="46.2"/>
    <s v="Thriller"/>
    <n v="9"/>
    <n v="3"/>
    <n v="0"/>
  </r>
  <r>
    <s v="U03726"/>
    <x v="11"/>
    <n v="63"/>
    <s v="Male"/>
    <x v="1"/>
    <x v="0"/>
    <n v="22.68"/>
    <n v="5"/>
    <n v="1.4"/>
    <n v="8.67"/>
    <n v="99.5"/>
    <s v="Action"/>
    <n v="1"/>
    <n v="3"/>
    <n v="0"/>
  </r>
  <r>
    <s v="U03727"/>
    <x v="3"/>
    <n v="48"/>
    <s v="Female"/>
    <x v="2"/>
    <x v="0"/>
    <n v="18.350000000000001"/>
    <n v="3"/>
    <n v="3.3"/>
    <n v="7"/>
    <n v="11.7"/>
    <s v="Family"/>
    <n v="9"/>
    <n v="1"/>
    <n v="0"/>
  </r>
  <r>
    <s v="U03728"/>
    <x v="5"/>
    <n v="67"/>
    <s v="Male"/>
    <x v="2"/>
    <x v="1"/>
    <n v="9.11"/>
    <n v="1"/>
    <n v="6.3"/>
    <n v="3.06"/>
    <n v="72.599999999999994"/>
    <s v="Drama"/>
    <n v="8"/>
    <n v="0"/>
    <n v="0"/>
  </r>
  <r>
    <s v="U03729"/>
    <x v="6"/>
    <n v="46"/>
    <s v="Male"/>
    <x v="2"/>
    <x v="1"/>
    <n v="11.4"/>
    <n v="4"/>
    <n v="8.3000000000000007"/>
    <n v="13.74"/>
    <n v="92.4"/>
    <s v="Drama"/>
    <n v="6"/>
    <n v="1"/>
    <n v="0"/>
  </r>
  <r>
    <s v="U03730"/>
    <x v="4"/>
    <n v="65"/>
    <s v="Female"/>
    <x v="0"/>
    <x v="4"/>
    <n v="20.76"/>
    <n v="2"/>
    <n v="8"/>
    <n v="23.43"/>
    <n v="58.2"/>
    <s v="Drama"/>
    <n v="5"/>
    <n v="3"/>
    <n v="0"/>
  </r>
  <r>
    <s v="U03731"/>
    <x v="0"/>
    <n v="26"/>
    <s v="Female"/>
    <x v="1"/>
    <x v="4"/>
    <n v="7.09"/>
    <n v="1"/>
    <n v="2.6"/>
    <n v="9.19"/>
    <n v="99"/>
    <s v="Thriller"/>
    <n v="6"/>
    <n v="0"/>
    <n v="0"/>
  </r>
  <r>
    <s v="U03732"/>
    <x v="4"/>
    <n v="32"/>
    <s v="Male"/>
    <x v="0"/>
    <x v="2"/>
    <n v="20"/>
    <n v="1"/>
    <n v="1.5"/>
    <n v="3.95"/>
    <n v="73.7"/>
    <s v="Family"/>
    <n v="2"/>
    <n v="0"/>
    <n v="0"/>
  </r>
  <r>
    <s v="U03733"/>
    <x v="3"/>
    <n v="47"/>
    <s v="Female"/>
    <x v="1"/>
    <x v="4"/>
    <n v="12.18"/>
    <n v="4"/>
    <n v="8.6999999999999993"/>
    <n v="16.649999999999999"/>
    <n v="48.7"/>
    <s v="Action"/>
    <n v="11"/>
    <n v="0"/>
    <n v="1"/>
  </r>
  <r>
    <s v="U03734"/>
    <x v="9"/>
    <n v="43"/>
    <s v="Female"/>
    <x v="2"/>
    <x v="4"/>
    <n v="16.03"/>
    <n v="2"/>
    <n v="1.7"/>
    <n v="4.24"/>
    <n v="56.4"/>
    <s v="Family"/>
    <n v="3"/>
    <n v="1"/>
    <n v="0"/>
  </r>
  <r>
    <s v="U03735"/>
    <x v="4"/>
    <n v="27"/>
    <s v="Male"/>
    <x v="1"/>
    <x v="4"/>
    <n v="10.61"/>
    <n v="4"/>
    <n v="4.5"/>
    <n v="14.15"/>
    <n v="89"/>
    <s v="Drama"/>
    <n v="9"/>
    <n v="2"/>
    <n v="0"/>
  </r>
  <r>
    <s v="U03736"/>
    <x v="10"/>
    <n v="46"/>
    <s v="Male"/>
    <x v="2"/>
    <x v="3"/>
    <n v="24.73"/>
    <n v="4"/>
    <n v="1.8"/>
    <n v="11.39"/>
    <n v="96.2"/>
    <s v="Comedy"/>
    <n v="3"/>
    <n v="2"/>
    <n v="0"/>
  </r>
  <r>
    <s v="U03737"/>
    <x v="4"/>
    <n v="33"/>
    <s v="Female"/>
    <x v="1"/>
    <x v="3"/>
    <n v="23.12"/>
    <n v="2"/>
    <n v="6.1"/>
    <n v="13.46"/>
    <n v="60"/>
    <s v="Drama"/>
    <n v="10"/>
    <n v="2"/>
    <n v="0"/>
  </r>
  <r>
    <s v="U03738"/>
    <x v="1"/>
    <n v="53"/>
    <s v="Female"/>
    <x v="0"/>
    <x v="2"/>
    <n v="23.57"/>
    <n v="1"/>
    <n v="4.3"/>
    <n v="6.58"/>
    <n v="37.6"/>
    <s v="Thriller"/>
    <n v="7"/>
    <n v="0"/>
    <n v="0"/>
  </r>
  <r>
    <s v="U03739"/>
    <x v="7"/>
    <n v="37"/>
    <s v="Female"/>
    <x v="0"/>
    <x v="2"/>
    <n v="8.6999999999999993"/>
    <n v="1"/>
    <n v="2.8"/>
    <n v="4.9800000000000004"/>
    <n v="31.5"/>
    <s v="Family"/>
    <n v="11"/>
    <n v="3"/>
    <n v="0"/>
  </r>
  <r>
    <s v="U03740"/>
    <x v="6"/>
    <n v="62"/>
    <s v="Male"/>
    <x v="1"/>
    <x v="0"/>
    <n v="21.83"/>
    <n v="2"/>
    <n v="6.4"/>
    <n v="19.48"/>
    <n v="52.9"/>
    <s v="Thriller"/>
    <n v="4"/>
    <n v="1"/>
    <n v="0"/>
  </r>
  <r>
    <s v="U03741"/>
    <x v="2"/>
    <n v="54"/>
    <s v="Female"/>
    <x v="2"/>
    <x v="2"/>
    <n v="15.71"/>
    <n v="1"/>
    <n v="4.3"/>
    <n v="8.4"/>
    <n v="36.700000000000003"/>
    <s v="Action"/>
    <n v="11"/>
    <n v="1"/>
    <n v="0"/>
  </r>
  <r>
    <s v="U03742"/>
    <x v="4"/>
    <n v="39"/>
    <s v="Male"/>
    <x v="0"/>
    <x v="0"/>
    <n v="19.16"/>
    <n v="5"/>
    <n v="2.5"/>
    <n v="20.61"/>
    <n v="47.9"/>
    <s v="Family"/>
    <n v="9"/>
    <n v="3"/>
    <n v="1"/>
  </r>
  <r>
    <s v="U03743"/>
    <x v="8"/>
    <n v="24"/>
    <s v="Male"/>
    <x v="2"/>
    <x v="4"/>
    <n v="9.35"/>
    <n v="4"/>
    <n v="7.3"/>
    <n v="19.690000000000001"/>
    <n v="85.1"/>
    <s v="Family"/>
    <n v="4"/>
    <n v="2"/>
    <n v="0"/>
  </r>
  <r>
    <s v="U03744"/>
    <x v="2"/>
    <n v="40"/>
    <s v="Female"/>
    <x v="2"/>
    <x v="2"/>
    <n v="19.239999999999998"/>
    <n v="5"/>
    <n v="8.5"/>
    <n v="7.36"/>
    <n v="52.5"/>
    <s v="Family"/>
    <n v="10"/>
    <n v="4"/>
    <n v="1"/>
  </r>
  <r>
    <s v="U03745"/>
    <x v="7"/>
    <n v="58"/>
    <s v="Male"/>
    <x v="1"/>
    <x v="2"/>
    <n v="23.29"/>
    <n v="5"/>
    <n v="3.5"/>
    <n v="22.98"/>
    <n v="67.7"/>
    <s v="Comedy"/>
    <n v="10"/>
    <n v="3"/>
    <n v="1"/>
  </r>
  <r>
    <s v="U03746"/>
    <x v="9"/>
    <n v="57"/>
    <s v="Female"/>
    <x v="2"/>
    <x v="2"/>
    <n v="10.35"/>
    <n v="5"/>
    <n v="2.7"/>
    <n v="6.55"/>
    <n v="18.100000000000001"/>
    <s v="Family"/>
    <n v="6"/>
    <n v="2"/>
    <n v="1"/>
  </r>
  <r>
    <s v="U03747"/>
    <x v="7"/>
    <n v="46"/>
    <s v="Female"/>
    <x v="1"/>
    <x v="0"/>
    <n v="9.67"/>
    <n v="3"/>
    <n v="1.7"/>
    <n v="20.54"/>
    <n v="78.599999999999994"/>
    <s v="Comedy"/>
    <n v="2"/>
    <n v="0"/>
    <n v="0"/>
  </r>
  <r>
    <s v="U03748"/>
    <x v="4"/>
    <n v="33"/>
    <s v="Male"/>
    <x v="1"/>
    <x v="0"/>
    <n v="7.09"/>
    <n v="3"/>
    <n v="5.8"/>
    <n v="12.25"/>
    <n v="53.5"/>
    <s v="Family"/>
    <n v="7"/>
    <n v="3"/>
    <n v="1"/>
  </r>
  <r>
    <s v="U03749"/>
    <x v="7"/>
    <n v="55"/>
    <s v="Female"/>
    <x v="2"/>
    <x v="1"/>
    <n v="10.34"/>
    <n v="5"/>
    <n v="8.5"/>
    <n v="7.03"/>
    <n v="42.5"/>
    <s v="Drama"/>
    <n v="3"/>
    <n v="2"/>
    <n v="0"/>
  </r>
  <r>
    <s v="U03750"/>
    <x v="2"/>
    <n v="45"/>
    <s v="Male"/>
    <x v="2"/>
    <x v="0"/>
    <n v="15.72"/>
    <n v="4"/>
    <n v="3.3"/>
    <n v="23.64"/>
    <n v="65"/>
    <s v="Action"/>
    <n v="1"/>
    <n v="1"/>
    <n v="0"/>
  </r>
  <r>
    <s v="U03751"/>
    <x v="0"/>
    <n v="65"/>
    <s v="Male"/>
    <x v="1"/>
    <x v="0"/>
    <n v="21.65"/>
    <n v="5"/>
    <n v="5.0999999999999996"/>
    <n v="24.19"/>
    <n v="19.2"/>
    <s v="Family"/>
    <n v="7"/>
    <n v="4"/>
    <n v="1"/>
  </r>
  <r>
    <s v="U03752"/>
    <x v="9"/>
    <n v="55"/>
    <s v="Female"/>
    <x v="1"/>
    <x v="3"/>
    <n v="10.58"/>
    <n v="5"/>
    <n v="2.4"/>
    <n v="14.25"/>
    <n v="47.3"/>
    <s v="Thriller"/>
    <n v="5"/>
    <n v="4"/>
    <n v="0"/>
  </r>
  <r>
    <s v="U03753"/>
    <x v="4"/>
    <n v="48"/>
    <s v="Female"/>
    <x v="0"/>
    <x v="2"/>
    <n v="17.420000000000002"/>
    <n v="3"/>
    <n v="4.5999999999999996"/>
    <n v="13.32"/>
    <n v="83"/>
    <s v="Drama"/>
    <n v="11"/>
    <n v="4"/>
    <n v="0"/>
  </r>
  <r>
    <s v="U03754"/>
    <x v="10"/>
    <n v="31"/>
    <s v="Female"/>
    <x v="0"/>
    <x v="0"/>
    <n v="14.59"/>
    <n v="5"/>
    <n v="1.1000000000000001"/>
    <n v="22.82"/>
    <n v="33.6"/>
    <s v="Thriller"/>
    <n v="7"/>
    <n v="2"/>
    <n v="0"/>
  </r>
  <r>
    <s v="U03755"/>
    <x v="3"/>
    <n v="50"/>
    <s v="Female"/>
    <x v="1"/>
    <x v="2"/>
    <n v="10.77"/>
    <n v="4"/>
    <n v="9.1999999999999993"/>
    <n v="16.12"/>
    <n v="92.3"/>
    <s v="Thriller"/>
    <n v="1"/>
    <n v="2"/>
    <n v="0"/>
  </r>
  <r>
    <s v="U03756"/>
    <x v="1"/>
    <n v="26"/>
    <s v="Male"/>
    <x v="2"/>
    <x v="2"/>
    <n v="15.21"/>
    <n v="4"/>
    <n v="7.1"/>
    <n v="8.85"/>
    <n v="64.3"/>
    <s v="Comedy"/>
    <n v="5"/>
    <n v="0"/>
    <n v="1"/>
  </r>
  <r>
    <s v="U03757"/>
    <x v="11"/>
    <n v="44"/>
    <s v="Male"/>
    <x v="1"/>
    <x v="3"/>
    <n v="8.36"/>
    <n v="5"/>
    <n v="4"/>
    <n v="12.35"/>
    <n v="58.7"/>
    <s v="Action"/>
    <n v="2"/>
    <n v="4"/>
    <n v="0"/>
  </r>
  <r>
    <s v="U03758"/>
    <x v="5"/>
    <n v="41"/>
    <s v="Male"/>
    <x v="0"/>
    <x v="2"/>
    <n v="17.79"/>
    <n v="4"/>
    <n v="8.9"/>
    <n v="21.39"/>
    <n v="46"/>
    <s v="Thriller"/>
    <n v="1"/>
    <n v="1"/>
    <n v="0"/>
  </r>
  <r>
    <s v="U03759"/>
    <x v="9"/>
    <n v="30"/>
    <s v="Female"/>
    <x v="0"/>
    <x v="0"/>
    <n v="7.31"/>
    <n v="5"/>
    <n v="2.6"/>
    <n v="21.91"/>
    <n v="76.8"/>
    <s v="Drama"/>
    <n v="6"/>
    <n v="4"/>
    <n v="1"/>
  </r>
  <r>
    <s v="U03760"/>
    <x v="7"/>
    <n v="43"/>
    <s v="Male"/>
    <x v="1"/>
    <x v="2"/>
    <n v="19.62"/>
    <n v="3"/>
    <n v="1.7"/>
    <n v="23.66"/>
    <n v="60.8"/>
    <s v="Action"/>
    <n v="5"/>
    <n v="3"/>
    <n v="0"/>
  </r>
  <r>
    <s v="U03761"/>
    <x v="10"/>
    <n v="46"/>
    <s v="Male"/>
    <x v="0"/>
    <x v="1"/>
    <n v="8.5500000000000007"/>
    <n v="5"/>
    <n v="9.5"/>
    <n v="9.34"/>
    <n v="81.7"/>
    <s v="Drama"/>
    <n v="4"/>
    <n v="3"/>
    <n v="1"/>
  </r>
  <r>
    <s v="U03762"/>
    <x v="6"/>
    <n v="68"/>
    <s v="Female"/>
    <x v="0"/>
    <x v="1"/>
    <n v="24.96"/>
    <n v="1"/>
    <n v="3.8"/>
    <n v="17.96"/>
    <n v="39.9"/>
    <s v="Thriller"/>
    <n v="1"/>
    <n v="1"/>
    <n v="0"/>
  </r>
  <r>
    <s v="U03763"/>
    <x v="6"/>
    <n v="66"/>
    <s v="Female"/>
    <x v="2"/>
    <x v="3"/>
    <n v="21.47"/>
    <n v="3"/>
    <n v="9.4"/>
    <n v="4.5"/>
    <n v="73.2"/>
    <s v="Action"/>
    <n v="5"/>
    <n v="2"/>
    <n v="0"/>
  </r>
  <r>
    <s v="U03764"/>
    <x v="5"/>
    <n v="60"/>
    <s v="Female"/>
    <x v="0"/>
    <x v="0"/>
    <n v="11.88"/>
    <n v="4"/>
    <n v="6.7"/>
    <n v="18.97"/>
    <n v="94.9"/>
    <s v="Family"/>
    <n v="7"/>
    <n v="4"/>
    <n v="0"/>
  </r>
  <r>
    <s v="U03765"/>
    <x v="9"/>
    <n v="45"/>
    <s v="Male"/>
    <x v="1"/>
    <x v="3"/>
    <n v="13.52"/>
    <n v="4"/>
    <n v="9.8000000000000007"/>
    <n v="15.39"/>
    <n v="35.200000000000003"/>
    <s v="Thriller"/>
    <n v="1"/>
    <n v="3"/>
    <n v="0"/>
  </r>
  <r>
    <s v="U03766"/>
    <x v="9"/>
    <n v="45"/>
    <s v="Female"/>
    <x v="2"/>
    <x v="1"/>
    <n v="10.18"/>
    <n v="3"/>
    <n v="7.8"/>
    <n v="8.49"/>
    <n v="98.3"/>
    <s v="Thriller"/>
    <n v="4"/>
    <n v="1"/>
    <n v="0"/>
  </r>
  <r>
    <s v="U03767"/>
    <x v="1"/>
    <n v="25"/>
    <s v="Male"/>
    <x v="0"/>
    <x v="0"/>
    <n v="20.34"/>
    <n v="1"/>
    <n v="1.9"/>
    <n v="17.399999999999999"/>
    <n v="46.9"/>
    <s v="Comedy"/>
    <n v="6"/>
    <n v="0"/>
    <n v="0"/>
  </r>
  <r>
    <s v="U03768"/>
    <x v="7"/>
    <n v="40"/>
    <s v="Male"/>
    <x v="1"/>
    <x v="2"/>
    <n v="12.61"/>
    <n v="3"/>
    <n v="8.6999999999999993"/>
    <n v="5.97"/>
    <n v="13.5"/>
    <s v="Drama"/>
    <n v="8"/>
    <n v="3"/>
    <n v="0"/>
  </r>
  <r>
    <s v="U03769"/>
    <x v="0"/>
    <n v="46"/>
    <s v="Male"/>
    <x v="1"/>
    <x v="0"/>
    <n v="20.100000000000001"/>
    <n v="2"/>
    <n v="2.2999999999999998"/>
    <n v="10.34"/>
    <n v="42.2"/>
    <s v="Family"/>
    <n v="7"/>
    <n v="3"/>
    <n v="0"/>
  </r>
  <r>
    <s v="U03770"/>
    <x v="5"/>
    <n v="22"/>
    <s v="Male"/>
    <x v="1"/>
    <x v="4"/>
    <n v="5.37"/>
    <n v="1"/>
    <n v="7.2"/>
    <n v="11.82"/>
    <n v="23.5"/>
    <s v="Action"/>
    <n v="7"/>
    <n v="4"/>
    <n v="0"/>
  </r>
  <r>
    <s v="U03771"/>
    <x v="1"/>
    <n v="59"/>
    <s v="Male"/>
    <x v="1"/>
    <x v="0"/>
    <n v="7.71"/>
    <n v="3"/>
    <n v="5.5"/>
    <n v="20.100000000000001"/>
    <n v="37.4"/>
    <s v="Thriller"/>
    <n v="8"/>
    <n v="2"/>
    <n v="0"/>
  </r>
  <r>
    <s v="U03772"/>
    <x v="7"/>
    <n v="24"/>
    <s v="Female"/>
    <x v="1"/>
    <x v="2"/>
    <n v="12.3"/>
    <n v="2"/>
    <n v="7.4"/>
    <n v="9.7899999999999991"/>
    <n v="18.600000000000001"/>
    <s v="Thriller"/>
    <n v="7"/>
    <n v="3"/>
    <n v="1"/>
  </r>
  <r>
    <s v="U03773"/>
    <x v="2"/>
    <n v="59"/>
    <s v="Male"/>
    <x v="2"/>
    <x v="4"/>
    <n v="7.18"/>
    <n v="5"/>
    <n v="7.9"/>
    <n v="4.08"/>
    <n v="26"/>
    <s v="Family"/>
    <n v="4"/>
    <n v="3"/>
    <n v="0"/>
  </r>
  <r>
    <s v="U03774"/>
    <x v="10"/>
    <n v="53"/>
    <s v="Female"/>
    <x v="2"/>
    <x v="3"/>
    <n v="17.02"/>
    <n v="1"/>
    <n v="8.1999999999999993"/>
    <n v="6.98"/>
    <n v="21.4"/>
    <s v="Thriller"/>
    <n v="11"/>
    <n v="4"/>
    <n v="0"/>
  </r>
  <r>
    <s v="U03775"/>
    <x v="3"/>
    <n v="58"/>
    <s v="Male"/>
    <x v="1"/>
    <x v="0"/>
    <n v="6.02"/>
    <n v="5"/>
    <n v="8.5"/>
    <n v="16.38"/>
    <n v="13.9"/>
    <s v="Drama"/>
    <n v="6"/>
    <n v="2"/>
    <n v="0"/>
  </r>
  <r>
    <s v="U03776"/>
    <x v="0"/>
    <n v="44"/>
    <s v="Male"/>
    <x v="0"/>
    <x v="3"/>
    <n v="22.2"/>
    <n v="2"/>
    <n v="8.6"/>
    <n v="3.34"/>
    <n v="36.700000000000003"/>
    <s v="Action"/>
    <n v="2"/>
    <n v="0"/>
    <n v="0"/>
  </r>
  <r>
    <s v="U03777"/>
    <x v="2"/>
    <n v="63"/>
    <s v="Female"/>
    <x v="0"/>
    <x v="0"/>
    <n v="20.23"/>
    <n v="4"/>
    <n v="4.7"/>
    <n v="20.43"/>
    <n v="94.7"/>
    <s v="Family"/>
    <n v="8"/>
    <n v="0"/>
    <n v="0"/>
  </r>
  <r>
    <s v="U03778"/>
    <x v="2"/>
    <n v="19"/>
    <s v="Male"/>
    <x v="0"/>
    <x v="1"/>
    <n v="9.33"/>
    <n v="4"/>
    <n v="9"/>
    <n v="22.82"/>
    <n v="95.4"/>
    <s v="Family"/>
    <n v="3"/>
    <n v="0"/>
    <n v="0"/>
  </r>
  <r>
    <s v="U03779"/>
    <x v="11"/>
    <n v="42"/>
    <s v="Male"/>
    <x v="1"/>
    <x v="1"/>
    <n v="14.68"/>
    <n v="4"/>
    <n v="7.5"/>
    <n v="13.9"/>
    <n v="86.2"/>
    <s v="Comedy"/>
    <n v="4"/>
    <n v="0"/>
    <n v="0"/>
  </r>
  <r>
    <s v="U03780"/>
    <x v="6"/>
    <n v="26"/>
    <s v="Female"/>
    <x v="0"/>
    <x v="2"/>
    <n v="14.04"/>
    <n v="5"/>
    <n v="8.6"/>
    <n v="18.57"/>
    <n v="11.1"/>
    <s v="Action"/>
    <n v="2"/>
    <n v="2"/>
    <n v="0"/>
  </r>
  <r>
    <s v="U03781"/>
    <x v="8"/>
    <n v="44"/>
    <s v="Female"/>
    <x v="1"/>
    <x v="1"/>
    <n v="19.5"/>
    <n v="1"/>
    <n v="9.9"/>
    <n v="13.18"/>
    <n v="12.5"/>
    <s v="Family"/>
    <n v="9"/>
    <n v="0"/>
    <n v="0"/>
  </r>
  <r>
    <s v="U03782"/>
    <x v="10"/>
    <n v="18"/>
    <s v="Male"/>
    <x v="2"/>
    <x v="4"/>
    <n v="13.03"/>
    <n v="5"/>
    <n v="2"/>
    <n v="9.7899999999999991"/>
    <n v="10.9"/>
    <s v="Thriller"/>
    <n v="2"/>
    <n v="4"/>
    <n v="1"/>
  </r>
  <r>
    <s v="U03783"/>
    <x v="6"/>
    <n v="40"/>
    <s v="Male"/>
    <x v="0"/>
    <x v="4"/>
    <n v="5.66"/>
    <n v="5"/>
    <n v="4.3"/>
    <n v="6.63"/>
    <n v="43"/>
    <s v="Action"/>
    <n v="6"/>
    <n v="4"/>
    <n v="1"/>
  </r>
  <r>
    <s v="U03784"/>
    <x v="4"/>
    <n v="27"/>
    <s v="Male"/>
    <x v="2"/>
    <x v="0"/>
    <n v="10.47"/>
    <n v="4"/>
    <n v="8.3000000000000007"/>
    <n v="14.4"/>
    <n v="98.2"/>
    <s v="Drama"/>
    <n v="3"/>
    <n v="4"/>
    <n v="0"/>
  </r>
  <r>
    <s v="U03785"/>
    <x v="2"/>
    <n v="59"/>
    <s v="Female"/>
    <x v="2"/>
    <x v="3"/>
    <n v="14.32"/>
    <n v="5"/>
    <n v="1.8"/>
    <n v="23.46"/>
    <n v="90.7"/>
    <s v="Family"/>
    <n v="6"/>
    <n v="0"/>
    <n v="0"/>
  </r>
  <r>
    <s v="U03786"/>
    <x v="8"/>
    <n v="69"/>
    <s v="Male"/>
    <x v="0"/>
    <x v="4"/>
    <n v="24.49"/>
    <n v="2"/>
    <n v="5.9"/>
    <n v="22.58"/>
    <n v="32.5"/>
    <s v="Drama"/>
    <n v="4"/>
    <n v="4"/>
    <n v="1"/>
  </r>
  <r>
    <s v="U03787"/>
    <x v="9"/>
    <n v="42"/>
    <s v="Female"/>
    <x v="2"/>
    <x v="0"/>
    <n v="22.62"/>
    <n v="3"/>
    <n v="8.6999999999999993"/>
    <n v="23.23"/>
    <n v="46.9"/>
    <s v="Family"/>
    <n v="8"/>
    <n v="4"/>
    <n v="1"/>
  </r>
  <r>
    <s v="U03788"/>
    <x v="6"/>
    <n v="20"/>
    <s v="Female"/>
    <x v="2"/>
    <x v="3"/>
    <n v="8.6300000000000008"/>
    <n v="3"/>
    <n v="1.2"/>
    <n v="24.26"/>
    <n v="84.2"/>
    <s v="Thriller"/>
    <n v="3"/>
    <n v="1"/>
    <n v="1"/>
  </r>
  <r>
    <s v="U03789"/>
    <x v="1"/>
    <n v="23"/>
    <s v="Male"/>
    <x v="1"/>
    <x v="1"/>
    <n v="19.47"/>
    <n v="3"/>
    <n v="9.5"/>
    <n v="6.64"/>
    <n v="78.3"/>
    <s v="Comedy"/>
    <n v="8"/>
    <n v="0"/>
    <n v="0"/>
  </r>
  <r>
    <s v="U03790"/>
    <x v="0"/>
    <n v="23"/>
    <s v="Female"/>
    <x v="0"/>
    <x v="0"/>
    <n v="23.74"/>
    <n v="4"/>
    <n v="9.8000000000000007"/>
    <n v="6.22"/>
    <n v="21.9"/>
    <s v="Thriller"/>
    <n v="3"/>
    <n v="4"/>
    <n v="0"/>
  </r>
  <r>
    <s v="U03791"/>
    <x v="6"/>
    <n v="19"/>
    <s v="Male"/>
    <x v="1"/>
    <x v="3"/>
    <n v="5.18"/>
    <n v="4"/>
    <n v="3.9"/>
    <n v="12.41"/>
    <n v="19.7"/>
    <s v="Drama"/>
    <n v="5"/>
    <n v="2"/>
    <n v="0"/>
  </r>
  <r>
    <s v="U03792"/>
    <x v="11"/>
    <n v="35"/>
    <s v="Male"/>
    <x v="2"/>
    <x v="2"/>
    <n v="19.420000000000002"/>
    <n v="3"/>
    <n v="7.9"/>
    <n v="18.16"/>
    <n v="58.9"/>
    <s v="Action"/>
    <n v="11"/>
    <n v="4"/>
    <n v="0"/>
  </r>
  <r>
    <s v="U03793"/>
    <x v="3"/>
    <n v="40"/>
    <s v="Female"/>
    <x v="1"/>
    <x v="2"/>
    <n v="14.19"/>
    <n v="1"/>
    <n v="2.1"/>
    <n v="12.67"/>
    <n v="19.2"/>
    <s v="Drama"/>
    <n v="2"/>
    <n v="1"/>
    <n v="0"/>
  </r>
  <r>
    <s v="U03794"/>
    <x v="1"/>
    <n v="19"/>
    <s v="Female"/>
    <x v="0"/>
    <x v="4"/>
    <n v="18.600000000000001"/>
    <n v="3"/>
    <n v="8"/>
    <n v="22.63"/>
    <n v="84.3"/>
    <s v="Comedy"/>
    <n v="6"/>
    <n v="2"/>
    <n v="0"/>
  </r>
  <r>
    <s v="U03795"/>
    <x v="10"/>
    <n v="29"/>
    <s v="Female"/>
    <x v="1"/>
    <x v="3"/>
    <n v="17.11"/>
    <n v="5"/>
    <n v="5.3"/>
    <n v="18.78"/>
    <n v="32.799999999999997"/>
    <s v="Family"/>
    <n v="7"/>
    <n v="2"/>
    <n v="1"/>
  </r>
  <r>
    <s v="U03796"/>
    <x v="10"/>
    <n v="39"/>
    <s v="Female"/>
    <x v="1"/>
    <x v="2"/>
    <n v="24.69"/>
    <n v="3"/>
    <n v="8.6999999999999993"/>
    <n v="16.95"/>
    <n v="26.9"/>
    <s v="Family"/>
    <n v="8"/>
    <n v="3"/>
    <n v="0"/>
  </r>
  <r>
    <s v="U03797"/>
    <x v="10"/>
    <n v="54"/>
    <s v="Female"/>
    <x v="1"/>
    <x v="4"/>
    <n v="10.78"/>
    <n v="3"/>
    <n v="2.9"/>
    <n v="4.5599999999999996"/>
    <n v="26.7"/>
    <s v="Drama"/>
    <n v="4"/>
    <n v="1"/>
    <n v="0"/>
  </r>
  <r>
    <s v="U03798"/>
    <x v="10"/>
    <n v="37"/>
    <s v="Female"/>
    <x v="2"/>
    <x v="0"/>
    <n v="20.72"/>
    <n v="1"/>
    <n v="7.1"/>
    <n v="6.86"/>
    <n v="14.1"/>
    <s v="Action"/>
    <n v="9"/>
    <n v="1"/>
    <n v="1"/>
  </r>
  <r>
    <s v="U03799"/>
    <x v="3"/>
    <n v="56"/>
    <s v="Male"/>
    <x v="1"/>
    <x v="0"/>
    <n v="9.69"/>
    <n v="4"/>
    <n v="8.1"/>
    <n v="12.42"/>
    <n v="67.8"/>
    <s v="Family"/>
    <n v="2"/>
    <n v="4"/>
    <n v="0"/>
  </r>
  <r>
    <s v="U03800"/>
    <x v="6"/>
    <n v="41"/>
    <s v="Male"/>
    <x v="2"/>
    <x v="3"/>
    <n v="13.71"/>
    <n v="4"/>
    <n v="2.8"/>
    <n v="24.48"/>
    <n v="24.8"/>
    <s v="Family"/>
    <n v="8"/>
    <n v="1"/>
    <n v="0"/>
  </r>
  <r>
    <s v="U03801"/>
    <x v="7"/>
    <n v="65"/>
    <s v="Male"/>
    <x v="2"/>
    <x v="3"/>
    <n v="24.51"/>
    <n v="5"/>
    <n v="8.4"/>
    <n v="10.36"/>
    <n v="31"/>
    <s v="Comedy"/>
    <n v="6"/>
    <n v="2"/>
    <n v="0"/>
  </r>
  <r>
    <s v="U03802"/>
    <x v="6"/>
    <n v="37"/>
    <s v="Female"/>
    <x v="1"/>
    <x v="3"/>
    <n v="20.32"/>
    <n v="3"/>
    <n v="9.6"/>
    <n v="16.86"/>
    <n v="77.599999999999994"/>
    <s v="Comedy"/>
    <n v="4"/>
    <n v="2"/>
    <n v="1"/>
  </r>
  <r>
    <s v="U03803"/>
    <x v="2"/>
    <n v="18"/>
    <s v="Female"/>
    <x v="0"/>
    <x v="3"/>
    <n v="11.32"/>
    <n v="2"/>
    <n v="6.5"/>
    <n v="24.76"/>
    <n v="15.2"/>
    <s v="Action"/>
    <n v="2"/>
    <n v="4"/>
    <n v="0"/>
  </r>
  <r>
    <s v="U03804"/>
    <x v="4"/>
    <n v="18"/>
    <s v="Female"/>
    <x v="2"/>
    <x v="2"/>
    <n v="17.39"/>
    <n v="5"/>
    <n v="8.1"/>
    <n v="8.81"/>
    <n v="28.2"/>
    <s v="Family"/>
    <n v="4"/>
    <n v="2"/>
    <n v="0"/>
  </r>
  <r>
    <s v="U03805"/>
    <x v="0"/>
    <n v="34"/>
    <s v="Male"/>
    <x v="2"/>
    <x v="2"/>
    <n v="5.99"/>
    <n v="4"/>
    <n v="5.8"/>
    <n v="6.67"/>
    <n v="23.4"/>
    <s v="Thriller"/>
    <n v="3"/>
    <n v="4"/>
    <n v="1"/>
  </r>
  <r>
    <s v="U03806"/>
    <x v="8"/>
    <n v="18"/>
    <s v="Male"/>
    <x v="0"/>
    <x v="4"/>
    <n v="10.33"/>
    <n v="1"/>
    <n v="6.4"/>
    <n v="15.02"/>
    <n v="10.4"/>
    <s v="Drama"/>
    <n v="4"/>
    <n v="3"/>
    <n v="0"/>
  </r>
  <r>
    <s v="U03807"/>
    <x v="7"/>
    <n v="69"/>
    <s v="Female"/>
    <x v="1"/>
    <x v="2"/>
    <n v="19.37"/>
    <n v="4"/>
    <n v="1.1000000000000001"/>
    <n v="15.14"/>
    <n v="58.5"/>
    <s v="Family"/>
    <n v="4"/>
    <n v="1"/>
    <n v="0"/>
  </r>
  <r>
    <s v="U03808"/>
    <x v="7"/>
    <n v="62"/>
    <s v="Female"/>
    <x v="0"/>
    <x v="0"/>
    <n v="16.399999999999999"/>
    <n v="4"/>
    <n v="5.7"/>
    <n v="23.28"/>
    <n v="27.1"/>
    <s v="Drama"/>
    <n v="11"/>
    <n v="1"/>
    <n v="0"/>
  </r>
  <r>
    <s v="U03809"/>
    <x v="2"/>
    <n v="47"/>
    <s v="Female"/>
    <x v="2"/>
    <x v="4"/>
    <n v="14.39"/>
    <n v="1"/>
    <n v="6.2"/>
    <n v="3.58"/>
    <n v="67"/>
    <s v="Family"/>
    <n v="7"/>
    <n v="1"/>
    <n v="1"/>
  </r>
  <r>
    <s v="U03810"/>
    <x v="6"/>
    <n v="58"/>
    <s v="Female"/>
    <x v="2"/>
    <x v="2"/>
    <n v="18.82"/>
    <n v="3"/>
    <n v="7"/>
    <n v="11.96"/>
    <n v="55.2"/>
    <s v="Comedy"/>
    <n v="1"/>
    <n v="3"/>
    <n v="0"/>
  </r>
  <r>
    <s v="U03811"/>
    <x v="7"/>
    <n v="64"/>
    <s v="Male"/>
    <x v="0"/>
    <x v="3"/>
    <n v="12.97"/>
    <n v="3"/>
    <n v="2.5"/>
    <n v="9.8699999999999992"/>
    <n v="70.099999999999994"/>
    <s v="Action"/>
    <n v="9"/>
    <n v="1"/>
    <n v="0"/>
  </r>
  <r>
    <s v="U03812"/>
    <x v="5"/>
    <n v="20"/>
    <s v="Male"/>
    <x v="2"/>
    <x v="2"/>
    <n v="5.52"/>
    <n v="4"/>
    <n v="3.2"/>
    <n v="15.56"/>
    <n v="98.3"/>
    <s v="Thriller"/>
    <n v="5"/>
    <n v="3"/>
    <n v="0"/>
  </r>
  <r>
    <s v="U03813"/>
    <x v="5"/>
    <n v="63"/>
    <s v="Male"/>
    <x v="0"/>
    <x v="1"/>
    <n v="13.82"/>
    <n v="5"/>
    <n v="7.8"/>
    <n v="3.21"/>
    <n v="29.8"/>
    <s v="Comedy"/>
    <n v="3"/>
    <n v="3"/>
    <n v="0"/>
  </r>
  <r>
    <s v="U03814"/>
    <x v="4"/>
    <n v="28"/>
    <s v="Female"/>
    <x v="2"/>
    <x v="4"/>
    <n v="23.04"/>
    <n v="2"/>
    <n v="2.5"/>
    <n v="18.64"/>
    <n v="69.900000000000006"/>
    <s v="Action"/>
    <n v="7"/>
    <n v="4"/>
    <n v="0"/>
  </r>
  <r>
    <s v="U03815"/>
    <x v="9"/>
    <n v="41"/>
    <s v="Male"/>
    <x v="1"/>
    <x v="2"/>
    <n v="22.13"/>
    <n v="5"/>
    <n v="4.7"/>
    <n v="13.67"/>
    <n v="85"/>
    <s v="Comedy"/>
    <n v="7"/>
    <n v="0"/>
    <n v="0"/>
  </r>
  <r>
    <s v="U03816"/>
    <x v="8"/>
    <n v="39"/>
    <s v="Female"/>
    <x v="1"/>
    <x v="2"/>
    <n v="13.18"/>
    <n v="5"/>
    <n v="3.3"/>
    <n v="18.420000000000002"/>
    <n v="96.2"/>
    <s v="Drama"/>
    <n v="8"/>
    <n v="0"/>
    <n v="0"/>
  </r>
  <r>
    <s v="U03817"/>
    <x v="11"/>
    <n v="61"/>
    <s v="Female"/>
    <x v="0"/>
    <x v="0"/>
    <n v="5.44"/>
    <n v="4"/>
    <n v="5.9"/>
    <n v="12.85"/>
    <n v="66"/>
    <s v="Family"/>
    <n v="10"/>
    <n v="4"/>
    <n v="1"/>
  </r>
  <r>
    <s v="U03818"/>
    <x v="3"/>
    <n v="62"/>
    <s v="Female"/>
    <x v="0"/>
    <x v="3"/>
    <n v="17.73"/>
    <n v="4"/>
    <n v="9.9"/>
    <n v="13.43"/>
    <n v="21.8"/>
    <s v="Comedy"/>
    <n v="4"/>
    <n v="4"/>
    <n v="0"/>
  </r>
  <r>
    <s v="U03819"/>
    <x v="6"/>
    <n v="43"/>
    <s v="Male"/>
    <x v="1"/>
    <x v="3"/>
    <n v="19.82"/>
    <n v="2"/>
    <n v="8.6999999999999993"/>
    <n v="22.7"/>
    <n v="14.8"/>
    <s v="Action"/>
    <n v="9"/>
    <n v="4"/>
    <n v="0"/>
  </r>
  <r>
    <s v="U03820"/>
    <x v="3"/>
    <n v="30"/>
    <s v="Male"/>
    <x v="1"/>
    <x v="0"/>
    <n v="10.88"/>
    <n v="2"/>
    <n v="3.4"/>
    <n v="7.64"/>
    <n v="35.1"/>
    <s v="Family"/>
    <n v="2"/>
    <n v="1"/>
    <n v="0"/>
  </r>
  <r>
    <s v="U03821"/>
    <x v="11"/>
    <n v="18"/>
    <s v="Female"/>
    <x v="0"/>
    <x v="0"/>
    <n v="14.53"/>
    <n v="2"/>
    <n v="4.3"/>
    <n v="7.78"/>
    <n v="93.5"/>
    <s v="Drama"/>
    <n v="6"/>
    <n v="2"/>
    <n v="0"/>
  </r>
  <r>
    <s v="U03822"/>
    <x v="6"/>
    <n v="41"/>
    <s v="Male"/>
    <x v="0"/>
    <x v="1"/>
    <n v="24.84"/>
    <n v="4"/>
    <n v="9.3000000000000007"/>
    <n v="15.31"/>
    <n v="58.3"/>
    <s v="Drama"/>
    <n v="3"/>
    <n v="4"/>
    <n v="1"/>
  </r>
  <r>
    <s v="U03823"/>
    <x v="6"/>
    <n v="27"/>
    <s v="Female"/>
    <x v="0"/>
    <x v="4"/>
    <n v="16.53"/>
    <n v="4"/>
    <n v="9.1"/>
    <n v="17.52"/>
    <n v="62.1"/>
    <s v="Thriller"/>
    <n v="8"/>
    <n v="3"/>
    <n v="0"/>
  </r>
  <r>
    <s v="U03824"/>
    <x v="8"/>
    <n v="52"/>
    <s v="Female"/>
    <x v="2"/>
    <x v="3"/>
    <n v="12.02"/>
    <n v="5"/>
    <n v="2.4"/>
    <n v="10.8"/>
    <n v="65"/>
    <s v="Family"/>
    <n v="8"/>
    <n v="0"/>
    <n v="0"/>
  </r>
  <r>
    <s v="U03825"/>
    <x v="3"/>
    <n v="41"/>
    <s v="Female"/>
    <x v="2"/>
    <x v="0"/>
    <n v="17.55"/>
    <n v="4"/>
    <n v="8.5"/>
    <n v="14.43"/>
    <n v="39.9"/>
    <s v="Drama"/>
    <n v="6"/>
    <n v="1"/>
    <n v="1"/>
  </r>
  <r>
    <s v="U03826"/>
    <x v="5"/>
    <n v="45"/>
    <s v="Male"/>
    <x v="0"/>
    <x v="0"/>
    <n v="8.6"/>
    <n v="3"/>
    <n v="3.7"/>
    <n v="8.01"/>
    <n v="26.3"/>
    <s v="Comedy"/>
    <n v="4"/>
    <n v="2"/>
    <n v="0"/>
  </r>
  <r>
    <s v="U03827"/>
    <x v="10"/>
    <n v="53"/>
    <s v="Male"/>
    <x v="1"/>
    <x v="4"/>
    <n v="8.99"/>
    <n v="3"/>
    <n v="5.9"/>
    <n v="5.99"/>
    <n v="95.9"/>
    <s v="Drama"/>
    <n v="8"/>
    <n v="0"/>
    <n v="1"/>
  </r>
  <r>
    <s v="U03828"/>
    <x v="3"/>
    <n v="33"/>
    <s v="Female"/>
    <x v="0"/>
    <x v="0"/>
    <n v="23.5"/>
    <n v="2"/>
    <n v="1"/>
    <n v="8.24"/>
    <n v="78"/>
    <s v="Drama"/>
    <n v="6"/>
    <n v="0"/>
    <n v="0"/>
  </r>
  <r>
    <s v="U03829"/>
    <x v="0"/>
    <n v="57"/>
    <s v="Male"/>
    <x v="2"/>
    <x v="1"/>
    <n v="9.7799999999999994"/>
    <n v="4"/>
    <n v="10"/>
    <n v="23.16"/>
    <n v="56"/>
    <s v="Drama"/>
    <n v="9"/>
    <n v="0"/>
    <n v="0"/>
  </r>
  <r>
    <s v="U03830"/>
    <x v="0"/>
    <n v="33"/>
    <s v="Male"/>
    <x v="2"/>
    <x v="4"/>
    <n v="11.22"/>
    <n v="3"/>
    <n v="7.8"/>
    <n v="20.64"/>
    <n v="43.9"/>
    <s v="Thriller"/>
    <n v="7"/>
    <n v="3"/>
    <n v="1"/>
  </r>
  <r>
    <s v="U03831"/>
    <x v="6"/>
    <n v="34"/>
    <s v="Male"/>
    <x v="1"/>
    <x v="1"/>
    <n v="15.88"/>
    <n v="5"/>
    <n v="3.2"/>
    <n v="6.09"/>
    <n v="53.4"/>
    <s v="Action"/>
    <n v="9"/>
    <n v="3"/>
    <n v="0"/>
  </r>
  <r>
    <s v="U03832"/>
    <x v="10"/>
    <n v="68"/>
    <s v="Male"/>
    <x v="2"/>
    <x v="2"/>
    <n v="22.99"/>
    <n v="1"/>
    <n v="7.2"/>
    <n v="4.0199999999999996"/>
    <n v="13"/>
    <s v="Drama"/>
    <n v="8"/>
    <n v="3"/>
    <n v="0"/>
  </r>
  <r>
    <s v="U03833"/>
    <x v="1"/>
    <n v="32"/>
    <s v="Female"/>
    <x v="2"/>
    <x v="3"/>
    <n v="20.63"/>
    <n v="5"/>
    <n v="3.6"/>
    <n v="5.05"/>
    <n v="32.299999999999997"/>
    <s v="Action"/>
    <n v="4"/>
    <n v="2"/>
    <n v="0"/>
  </r>
  <r>
    <s v="U03834"/>
    <x v="11"/>
    <n v="33"/>
    <s v="Male"/>
    <x v="2"/>
    <x v="0"/>
    <n v="5.88"/>
    <n v="1"/>
    <n v="1.8"/>
    <n v="9.4600000000000009"/>
    <n v="32.6"/>
    <s v="Family"/>
    <n v="6"/>
    <n v="0"/>
    <n v="0"/>
  </r>
  <r>
    <s v="U03835"/>
    <x v="4"/>
    <n v="32"/>
    <s v="Female"/>
    <x v="1"/>
    <x v="4"/>
    <n v="18.86"/>
    <n v="5"/>
    <n v="4.8"/>
    <n v="20.85"/>
    <n v="50.1"/>
    <s v="Action"/>
    <n v="7"/>
    <n v="4"/>
    <n v="1"/>
  </r>
  <r>
    <s v="U03836"/>
    <x v="10"/>
    <n v="51"/>
    <s v="Female"/>
    <x v="1"/>
    <x v="1"/>
    <n v="15.08"/>
    <n v="3"/>
    <n v="6.5"/>
    <n v="10.07"/>
    <n v="31.3"/>
    <s v="Family"/>
    <n v="4"/>
    <n v="2"/>
    <n v="0"/>
  </r>
  <r>
    <s v="U03837"/>
    <x v="4"/>
    <n v="28"/>
    <s v="Male"/>
    <x v="0"/>
    <x v="3"/>
    <n v="14.51"/>
    <n v="4"/>
    <n v="1.8"/>
    <n v="7.08"/>
    <n v="26.7"/>
    <s v="Thriller"/>
    <n v="4"/>
    <n v="3"/>
    <n v="1"/>
  </r>
  <r>
    <s v="U03838"/>
    <x v="3"/>
    <n v="18"/>
    <s v="Female"/>
    <x v="1"/>
    <x v="3"/>
    <n v="18.829999999999998"/>
    <n v="1"/>
    <n v="5.7"/>
    <n v="11.71"/>
    <n v="78.900000000000006"/>
    <s v="Family"/>
    <n v="10"/>
    <n v="3"/>
    <n v="0"/>
  </r>
  <r>
    <s v="U03839"/>
    <x v="3"/>
    <n v="32"/>
    <s v="Female"/>
    <x v="1"/>
    <x v="0"/>
    <n v="8.92"/>
    <n v="4"/>
    <n v="5.6"/>
    <n v="5.73"/>
    <n v="90.4"/>
    <s v="Family"/>
    <n v="3"/>
    <n v="3"/>
    <n v="0"/>
  </r>
  <r>
    <s v="U03840"/>
    <x v="4"/>
    <n v="43"/>
    <s v="Male"/>
    <x v="0"/>
    <x v="3"/>
    <n v="24.63"/>
    <n v="4"/>
    <n v="6.7"/>
    <n v="13.34"/>
    <n v="16"/>
    <s v="Comedy"/>
    <n v="10"/>
    <n v="1"/>
    <n v="0"/>
  </r>
  <r>
    <s v="U03841"/>
    <x v="9"/>
    <n v="68"/>
    <s v="Female"/>
    <x v="0"/>
    <x v="0"/>
    <n v="17.91"/>
    <n v="3"/>
    <n v="3.2"/>
    <n v="17.86"/>
    <n v="28.9"/>
    <s v="Thriller"/>
    <n v="6"/>
    <n v="0"/>
    <n v="1"/>
  </r>
  <r>
    <s v="U03842"/>
    <x v="11"/>
    <n v="21"/>
    <s v="Female"/>
    <x v="1"/>
    <x v="2"/>
    <n v="12.31"/>
    <n v="2"/>
    <n v="1.2"/>
    <n v="11.11"/>
    <n v="79.599999999999994"/>
    <s v="Drama"/>
    <n v="11"/>
    <n v="4"/>
    <n v="0"/>
  </r>
  <r>
    <s v="U03843"/>
    <x v="10"/>
    <n v="60"/>
    <s v="Male"/>
    <x v="0"/>
    <x v="0"/>
    <n v="17"/>
    <n v="2"/>
    <n v="3.9"/>
    <n v="6.82"/>
    <n v="83.4"/>
    <s v="Thriller"/>
    <n v="2"/>
    <n v="0"/>
    <n v="0"/>
  </r>
  <r>
    <s v="U03844"/>
    <x v="1"/>
    <n v="22"/>
    <s v="Male"/>
    <x v="1"/>
    <x v="1"/>
    <n v="9.33"/>
    <n v="1"/>
    <n v="4.5999999999999996"/>
    <n v="12.97"/>
    <n v="55"/>
    <s v="Comedy"/>
    <n v="11"/>
    <n v="2"/>
    <n v="0"/>
  </r>
  <r>
    <s v="U03845"/>
    <x v="6"/>
    <n v="52"/>
    <s v="Male"/>
    <x v="2"/>
    <x v="3"/>
    <n v="17.68"/>
    <n v="3"/>
    <n v="6.7"/>
    <n v="19.77"/>
    <n v="72.5"/>
    <s v="Family"/>
    <n v="4"/>
    <n v="1"/>
    <n v="0"/>
  </r>
  <r>
    <s v="U03846"/>
    <x v="8"/>
    <n v="30"/>
    <s v="Male"/>
    <x v="2"/>
    <x v="3"/>
    <n v="5.56"/>
    <n v="4"/>
    <n v="9.4"/>
    <n v="4.6900000000000004"/>
    <n v="17"/>
    <s v="Thriller"/>
    <n v="8"/>
    <n v="2"/>
    <n v="1"/>
  </r>
  <r>
    <s v="U03847"/>
    <x v="3"/>
    <n v="27"/>
    <s v="Male"/>
    <x v="1"/>
    <x v="3"/>
    <n v="11.82"/>
    <n v="5"/>
    <n v="2.8"/>
    <n v="4.5599999999999996"/>
    <n v="86.5"/>
    <s v="Comedy"/>
    <n v="3"/>
    <n v="3"/>
    <n v="0"/>
  </r>
  <r>
    <s v="U03848"/>
    <x v="0"/>
    <n v="28"/>
    <s v="Female"/>
    <x v="1"/>
    <x v="0"/>
    <n v="19.95"/>
    <n v="5"/>
    <n v="7.2"/>
    <n v="10"/>
    <n v="84.9"/>
    <s v="Drama"/>
    <n v="8"/>
    <n v="3"/>
    <n v="0"/>
  </r>
  <r>
    <s v="U03849"/>
    <x v="11"/>
    <n v="35"/>
    <s v="Female"/>
    <x v="1"/>
    <x v="4"/>
    <n v="21.16"/>
    <n v="1"/>
    <n v="1.9"/>
    <n v="12.13"/>
    <n v="72.400000000000006"/>
    <s v="Family"/>
    <n v="7"/>
    <n v="4"/>
    <n v="0"/>
  </r>
  <r>
    <s v="U03850"/>
    <x v="8"/>
    <n v="51"/>
    <s v="Male"/>
    <x v="0"/>
    <x v="0"/>
    <n v="10.06"/>
    <n v="1"/>
    <n v="2.7"/>
    <n v="7.76"/>
    <n v="92.5"/>
    <s v="Thriller"/>
    <n v="7"/>
    <n v="0"/>
    <n v="1"/>
  </r>
  <r>
    <s v="U03851"/>
    <x v="1"/>
    <n v="56"/>
    <s v="Male"/>
    <x v="2"/>
    <x v="1"/>
    <n v="15.79"/>
    <n v="1"/>
    <n v="5.6"/>
    <n v="3.59"/>
    <n v="14.3"/>
    <s v="Thriller"/>
    <n v="11"/>
    <n v="2"/>
    <n v="1"/>
  </r>
  <r>
    <s v="U03852"/>
    <x v="7"/>
    <n v="58"/>
    <s v="Female"/>
    <x v="0"/>
    <x v="0"/>
    <n v="15.57"/>
    <n v="3"/>
    <n v="7.4"/>
    <n v="7.83"/>
    <n v="30.8"/>
    <s v="Family"/>
    <n v="9"/>
    <n v="3"/>
    <n v="0"/>
  </r>
  <r>
    <s v="U03853"/>
    <x v="2"/>
    <n v="59"/>
    <s v="Male"/>
    <x v="0"/>
    <x v="3"/>
    <n v="13.43"/>
    <n v="5"/>
    <n v="8.6999999999999993"/>
    <n v="12.58"/>
    <n v="42.6"/>
    <s v="Thriller"/>
    <n v="4"/>
    <n v="4"/>
    <n v="0"/>
  </r>
  <r>
    <s v="U03854"/>
    <x v="6"/>
    <n v="67"/>
    <s v="Male"/>
    <x v="2"/>
    <x v="2"/>
    <n v="9.57"/>
    <n v="3"/>
    <n v="7.7"/>
    <n v="4.75"/>
    <n v="24.3"/>
    <s v="Family"/>
    <n v="11"/>
    <n v="4"/>
    <n v="0"/>
  </r>
  <r>
    <s v="U03855"/>
    <x v="3"/>
    <n v="40"/>
    <s v="Female"/>
    <x v="0"/>
    <x v="1"/>
    <n v="19.059999999999999"/>
    <n v="3"/>
    <n v="1.1000000000000001"/>
    <n v="18.75"/>
    <n v="83.3"/>
    <s v="Comedy"/>
    <n v="8"/>
    <n v="2"/>
    <n v="0"/>
  </r>
  <r>
    <s v="U03856"/>
    <x v="6"/>
    <n v="24"/>
    <s v="Female"/>
    <x v="1"/>
    <x v="2"/>
    <n v="10.050000000000001"/>
    <n v="4"/>
    <n v="7.2"/>
    <n v="15.15"/>
    <n v="78.099999999999994"/>
    <s v="Family"/>
    <n v="2"/>
    <n v="0"/>
    <n v="0"/>
  </r>
  <r>
    <s v="U03857"/>
    <x v="9"/>
    <n v="56"/>
    <s v="Female"/>
    <x v="0"/>
    <x v="1"/>
    <n v="23.22"/>
    <n v="3"/>
    <n v="8.4"/>
    <n v="12.56"/>
    <n v="79.599999999999994"/>
    <s v="Drama"/>
    <n v="3"/>
    <n v="1"/>
    <n v="0"/>
  </r>
  <r>
    <s v="U03858"/>
    <x v="8"/>
    <n v="20"/>
    <s v="Male"/>
    <x v="0"/>
    <x v="1"/>
    <n v="15.57"/>
    <n v="3"/>
    <n v="5.7"/>
    <n v="14.41"/>
    <n v="36.200000000000003"/>
    <s v="Family"/>
    <n v="4"/>
    <n v="4"/>
    <n v="1"/>
  </r>
  <r>
    <s v="U03859"/>
    <x v="6"/>
    <n v="29"/>
    <s v="Female"/>
    <x v="0"/>
    <x v="3"/>
    <n v="22.41"/>
    <n v="4"/>
    <n v="9.6999999999999993"/>
    <n v="17.43"/>
    <n v="78.599999999999994"/>
    <s v="Thriller"/>
    <n v="9"/>
    <n v="2"/>
    <n v="0"/>
  </r>
  <r>
    <s v="U03860"/>
    <x v="2"/>
    <n v="24"/>
    <s v="Male"/>
    <x v="0"/>
    <x v="0"/>
    <n v="10.81"/>
    <n v="2"/>
    <n v="1"/>
    <n v="24.89"/>
    <n v="21.1"/>
    <s v="Family"/>
    <n v="1"/>
    <n v="3"/>
    <n v="0"/>
  </r>
  <r>
    <s v="U03861"/>
    <x v="7"/>
    <n v="66"/>
    <s v="Female"/>
    <x v="1"/>
    <x v="3"/>
    <n v="21.14"/>
    <n v="4"/>
    <n v="8.4"/>
    <n v="20.05"/>
    <n v="19.600000000000001"/>
    <s v="Family"/>
    <n v="7"/>
    <n v="1"/>
    <n v="0"/>
  </r>
  <r>
    <s v="U03862"/>
    <x v="8"/>
    <n v="43"/>
    <s v="Male"/>
    <x v="2"/>
    <x v="3"/>
    <n v="7.27"/>
    <n v="1"/>
    <n v="4"/>
    <n v="14.89"/>
    <n v="62.6"/>
    <s v="Family"/>
    <n v="2"/>
    <n v="1"/>
    <n v="0"/>
  </r>
  <r>
    <s v="U03863"/>
    <x v="3"/>
    <n v="50"/>
    <s v="Male"/>
    <x v="1"/>
    <x v="3"/>
    <n v="20.34"/>
    <n v="2"/>
    <n v="6.9"/>
    <n v="19.95"/>
    <n v="14.4"/>
    <s v="Drama"/>
    <n v="5"/>
    <n v="0"/>
    <n v="0"/>
  </r>
  <r>
    <s v="U03864"/>
    <x v="10"/>
    <n v="54"/>
    <s v="Male"/>
    <x v="2"/>
    <x v="2"/>
    <n v="12.74"/>
    <n v="5"/>
    <n v="7.2"/>
    <n v="13.45"/>
    <n v="94.5"/>
    <s v="Drama"/>
    <n v="1"/>
    <n v="2"/>
    <n v="0"/>
  </r>
  <r>
    <s v="U03865"/>
    <x v="0"/>
    <n v="65"/>
    <s v="Female"/>
    <x v="0"/>
    <x v="1"/>
    <n v="14.4"/>
    <n v="3"/>
    <n v="3.8"/>
    <n v="9.84"/>
    <n v="39.6"/>
    <s v="Thriller"/>
    <n v="6"/>
    <n v="0"/>
    <n v="1"/>
  </r>
  <r>
    <s v="U03866"/>
    <x v="8"/>
    <n v="32"/>
    <s v="Female"/>
    <x v="1"/>
    <x v="4"/>
    <n v="8.34"/>
    <n v="2"/>
    <n v="10"/>
    <n v="8.76"/>
    <n v="52.9"/>
    <s v="Thriller"/>
    <n v="3"/>
    <n v="4"/>
    <n v="1"/>
  </r>
  <r>
    <s v="U03867"/>
    <x v="5"/>
    <n v="19"/>
    <s v="Female"/>
    <x v="0"/>
    <x v="0"/>
    <n v="5.37"/>
    <n v="5"/>
    <n v="1.9"/>
    <n v="11.79"/>
    <n v="83.2"/>
    <s v="Family"/>
    <n v="6"/>
    <n v="4"/>
    <n v="0"/>
  </r>
  <r>
    <s v="U03868"/>
    <x v="9"/>
    <n v="58"/>
    <s v="Male"/>
    <x v="1"/>
    <x v="3"/>
    <n v="18.32"/>
    <n v="4"/>
    <n v="2.4"/>
    <n v="3.05"/>
    <n v="46"/>
    <s v="Action"/>
    <n v="8"/>
    <n v="2"/>
    <n v="0"/>
  </r>
  <r>
    <s v="U03869"/>
    <x v="7"/>
    <n v="24"/>
    <s v="Female"/>
    <x v="1"/>
    <x v="1"/>
    <n v="16.75"/>
    <n v="4"/>
    <n v="9"/>
    <n v="6.89"/>
    <n v="48.8"/>
    <s v="Comedy"/>
    <n v="8"/>
    <n v="3"/>
    <n v="1"/>
  </r>
  <r>
    <s v="U03870"/>
    <x v="9"/>
    <n v="49"/>
    <s v="Female"/>
    <x v="1"/>
    <x v="0"/>
    <n v="17.45"/>
    <n v="1"/>
    <n v="2.1"/>
    <n v="5.78"/>
    <n v="41.3"/>
    <s v="Family"/>
    <n v="4"/>
    <n v="4"/>
    <n v="1"/>
  </r>
  <r>
    <s v="U03871"/>
    <x v="8"/>
    <n v="21"/>
    <s v="Male"/>
    <x v="2"/>
    <x v="4"/>
    <n v="10.1"/>
    <n v="1"/>
    <n v="4.4000000000000004"/>
    <n v="24.13"/>
    <n v="41.7"/>
    <s v="Comedy"/>
    <n v="7"/>
    <n v="4"/>
    <n v="0"/>
  </r>
  <r>
    <s v="U03872"/>
    <x v="8"/>
    <n v="37"/>
    <s v="Male"/>
    <x v="1"/>
    <x v="4"/>
    <n v="9.7899999999999991"/>
    <n v="2"/>
    <n v="7.6"/>
    <n v="4.43"/>
    <n v="52.1"/>
    <s v="Drama"/>
    <n v="6"/>
    <n v="3"/>
    <n v="1"/>
  </r>
  <r>
    <s v="U03873"/>
    <x v="5"/>
    <n v="67"/>
    <s v="Female"/>
    <x v="1"/>
    <x v="3"/>
    <n v="21.61"/>
    <n v="3"/>
    <n v="8.1"/>
    <n v="14.02"/>
    <n v="95.1"/>
    <s v="Thriller"/>
    <n v="2"/>
    <n v="1"/>
    <n v="0"/>
  </r>
  <r>
    <s v="U03874"/>
    <x v="3"/>
    <n v="53"/>
    <s v="Female"/>
    <x v="2"/>
    <x v="4"/>
    <n v="20.23"/>
    <n v="4"/>
    <n v="9.6"/>
    <n v="23.23"/>
    <n v="94.2"/>
    <s v="Action"/>
    <n v="6"/>
    <n v="2"/>
    <n v="0"/>
  </r>
  <r>
    <s v="U03875"/>
    <x v="9"/>
    <n v="49"/>
    <s v="Female"/>
    <x v="0"/>
    <x v="4"/>
    <n v="11.74"/>
    <n v="2"/>
    <n v="8.1"/>
    <n v="16.37"/>
    <n v="59.1"/>
    <s v="Thriller"/>
    <n v="2"/>
    <n v="1"/>
    <n v="0"/>
  </r>
  <r>
    <s v="U03876"/>
    <x v="8"/>
    <n v="45"/>
    <s v="Male"/>
    <x v="1"/>
    <x v="0"/>
    <n v="17.760000000000002"/>
    <n v="2"/>
    <n v="8.6"/>
    <n v="13.9"/>
    <n v="51"/>
    <s v="Drama"/>
    <n v="4"/>
    <n v="0"/>
    <n v="0"/>
  </r>
  <r>
    <s v="U03877"/>
    <x v="0"/>
    <n v="30"/>
    <s v="Female"/>
    <x v="2"/>
    <x v="0"/>
    <n v="21.56"/>
    <n v="2"/>
    <n v="9.5"/>
    <n v="19.350000000000001"/>
    <n v="82.7"/>
    <s v="Family"/>
    <n v="5"/>
    <n v="3"/>
    <n v="0"/>
  </r>
  <r>
    <s v="U03878"/>
    <x v="6"/>
    <n v="18"/>
    <s v="Male"/>
    <x v="1"/>
    <x v="3"/>
    <n v="22.78"/>
    <n v="1"/>
    <n v="6"/>
    <n v="10.77"/>
    <n v="71.3"/>
    <s v="Drama"/>
    <n v="9"/>
    <n v="2"/>
    <n v="0"/>
  </r>
  <r>
    <s v="U03879"/>
    <x v="3"/>
    <n v="52"/>
    <s v="Male"/>
    <x v="0"/>
    <x v="1"/>
    <n v="5.12"/>
    <n v="4"/>
    <n v="4.0999999999999996"/>
    <n v="7.26"/>
    <n v="89.3"/>
    <s v="Action"/>
    <n v="3"/>
    <n v="3"/>
    <n v="1"/>
  </r>
  <r>
    <s v="U03880"/>
    <x v="0"/>
    <n v="65"/>
    <s v="Female"/>
    <x v="1"/>
    <x v="3"/>
    <n v="21.27"/>
    <n v="1"/>
    <n v="7.9"/>
    <n v="21.64"/>
    <n v="75.8"/>
    <s v="Family"/>
    <n v="5"/>
    <n v="3"/>
    <n v="1"/>
  </r>
  <r>
    <s v="U03881"/>
    <x v="3"/>
    <n v="47"/>
    <s v="Female"/>
    <x v="1"/>
    <x v="2"/>
    <n v="12.01"/>
    <n v="1"/>
    <n v="2.5"/>
    <n v="4.24"/>
    <n v="95.7"/>
    <s v="Family"/>
    <n v="2"/>
    <n v="1"/>
    <n v="0"/>
  </r>
  <r>
    <s v="U03882"/>
    <x v="0"/>
    <n v="53"/>
    <s v="Male"/>
    <x v="1"/>
    <x v="4"/>
    <n v="19.37"/>
    <n v="2"/>
    <n v="1.6"/>
    <n v="20.77"/>
    <n v="89.8"/>
    <s v="Action"/>
    <n v="3"/>
    <n v="1"/>
    <n v="0"/>
  </r>
  <r>
    <s v="U03883"/>
    <x v="2"/>
    <n v="42"/>
    <s v="Male"/>
    <x v="0"/>
    <x v="1"/>
    <n v="12.43"/>
    <n v="5"/>
    <n v="8.1"/>
    <n v="5.27"/>
    <n v="87"/>
    <s v="Thriller"/>
    <n v="5"/>
    <n v="0"/>
    <n v="0"/>
  </r>
  <r>
    <s v="U03884"/>
    <x v="7"/>
    <n v="33"/>
    <s v="Female"/>
    <x v="2"/>
    <x v="0"/>
    <n v="17.12"/>
    <n v="5"/>
    <n v="9.6"/>
    <n v="16.760000000000002"/>
    <n v="45.2"/>
    <s v="Family"/>
    <n v="7"/>
    <n v="2"/>
    <n v="0"/>
  </r>
  <r>
    <s v="U03885"/>
    <x v="0"/>
    <n v="36"/>
    <s v="Female"/>
    <x v="2"/>
    <x v="2"/>
    <n v="17.940000000000001"/>
    <n v="5"/>
    <n v="5"/>
    <n v="13.5"/>
    <n v="44.8"/>
    <s v="Thriller"/>
    <n v="6"/>
    <n v="3"/>
    <n v="0"/>
  </r>
  <r>
    <s v="U03886"/>
    <x v="4"/>
    <n v="18"/>
    <s v="Female"/>
    <x v="1"/>
    <x v="2"/>
    <n v="13.1"/>
    <n v="2"/>
    <n v="2.5"/>
    <n v="24.97"/>
    <n v="76.7"/>
    <s v="Comedy"/>
    <n v="2"/>
    <n v="0"/>
    <n v="0"/>
  </r>
  <r>
    <s v="U03887"/>
    <x v="0"/>
    <n v="22"/>
    <s v="Male"/>
    <x v="1"/>
    <x v="4"/>
    <n v="15.26"/>
    <n v="3"/>
    <n v="5.5"/>
    <n v="11.53"/>
    <n v="17.5"/>
    <s v="Action"/>
    <n v="9"/>
    <n v="3"/>
    <n v="1"/>
  </r>
  <r>
    <s v="U03888"/>
    <x v="10"/>
    <n v="68"/>
    <s v="Male"/>
    <x v="2"/>
    <x v="0"/>
    <n v="19.53"/>
    <n v="4"/>
    <n v="4.5"/>
    <n v="24.06"/>
    <n v="39"/>
    <s v="Comedy"/>
    <n v="8"/>
    <n v="0"/>
    <n v="1"/>
  </r>
  <r>
    <s v="U03889"/>
    <x v="10"/>
    <n v="39"/>
    <s v="Female"/>
    <x v="0"/>
    <x v="1"/>
    <n v="14.53"/>
    <n v="2"/>
    <n v="4.4000000000000004"/>
    <n v="11.88"/>
    <n v="93.9"/>
    <s v="Family"/>
    <n v="9"/>
    <n v="3"/>
    <n v="0"/>
  </r>
  <r>
    <s v="U03890"/>
    <x v="11"/>
    <n v="41"/>
    <s v="Male"/>
    <x v="0"/>
    <x v="0"/>
    <n v="5.28"/>
    <n v="2"/>
    <n v="6.7"/>
    <n v="18"/>
    <n v="50.5"/>
    <s v="Action"/>
    <n v="9"/>
    <n v="1"/>
    <n v="0"/>
  </r>
  <r>
    <s v="U03891"/>
    <x v="4"/>
    <n v="60"/>
    <s v="Male"/>
    <x v="1"/>
    <x v="4"/>
    <n v="5.26"/>
    <n v="1"/>
    <n v="2.6"/>
    <n v="17.16"/>
    <n v="34.299999999999997"/>
    <s v="Family"/>
    <n v="5"/>
    <n v="4"/>
    <n v="1"/>
  </r>
  <r>
    <s v="U03892"/>
    <x v="4"/>
    <n v="62"/>
    <s v="Female"/>
    <x v="2"/>
    <x v="2"/>
    <n v="18.23"/>
    <n v="5"/>
    <n v="4.4000000000000004"/>
    <n v="4.9000000000000004"/>
    <n v="52.9"/>
    <s v="Action"/>
    <n v="11"/>
    <n v="0"/>
    <n v="0"/>
  </r>
  <r>
    <s v="U03893"/>
    <x v="6"/>
    <n v="69"/>
    <s v="Male"/>
    <x v="0"/>
    <x v="4"/>
    <n v="21.94"/>
    <n v="2"/>
    <n v="8.8000000000000007"/>
    <n v="19.350000000000001"/>
    <n v="36"/>
    <s v="Thriller"/>
    <n v="7"/>
    <n v="0"/>
    <n v="0"/>
  </r>
  <r>
    <s v="U03894"/>
    <x v="4"/>
    <n v="54"/>
    <s v="Female"/>
    <x v="2"/>
    <x v="3"/>
    <n v="20.71"/>
    <n v="3"/>
    <n v="7.6"/>
    <n v="7.59"/>
    <n v="79.099999999999994"/>
    <s v="Drama"/>
    <n v="7"/>
    <n v="4"/>
    <n v="0"/>
  </r>
  <r>
    <s v="U03895"/>
    <x v="6"/>
    <n v="53"/>
    <s v="Female"/>
    <x v="1"/>
    <x v="2"/>
    <n v="11.21"/>
    <n v="4"/>
    <n v="1.5"/>
    <n v="11.55"/>
    <n v="86.6"/>
    <s v="Drama"/>
    <n v="10"/>
    <n v="1"/>
    <n v="1"/>
  </r>
  <r>
    <s v="U03896"/>
    <x v="11"/>
    <n v="53"/>
    <s v="Male"/>
    <x v="1"/>
    <x v="4"/>
    <n v="14.42"/>
    <n v="3"/>
    <n v="5.6"/>
    <n v="20.21"/>
    <n v="80.400000000000006"/>
    <s v="Action"/>
    <n v="9"/>
    <n v="0"/>
    <n v="0"/>
  </r>
  <r>
    <s v="U03897"/>
    <x v="11"/>
    <n v="21"/>
    <s v="Male"/>
    <x v="0"/>
    <x v="1"/>
    <n v="9.68"/>
    <n v="2"/>
    <n v="1.8"/>
    <n v="23.77"/>
    <n v="23.4"/>
    <s v="Comedy"/>
    <n v="9"/>
    <n v="1"/>
    <n v="0"/>
  </r>
  <r>
    <s v="U03898"/>
    <x v="7"/>
    <n v="53"/>
    <s v="Female"/>
    <x v="0"/>
    <x v="1"/>
    <n v="24.78"/>
    <n v="2"/>
    <n v="9.6"/>
    <n v="15.32"/>
    <n v="40.200000000000003"/>
    <s v="Action"/>
    <n v="6"/>
    <n v="3"/>
    <n v="0"/>
  </r>
  <r>
    <s v="U03899"/>
    <x v="10"/>
    <n v="69"/>
    <s v="Male"/>
    <x v="2"/>
    <x v="1"/>
    <n v="10.210000000000001"/>
    <n v="1"/>
    <n v="3.2"/>
    <n v="14.43"/>
    <n v="29.3"/>
    <s v="Thriller"/>
    <n v="3"/>
    <n v="3"/>
    <n v="0"/>
  </r>
  <r>
    <s v="U03900"/>
    <x v="0"/>
    <n v="35"/>
    <s v="Female"/>
    <x v="2"/>
    <x v="3"/>
    <n v="13.33"/>
    <n v="3"/>
    <n v="9.4"/>
    <n v="14.11"/>
    <n v="13.9"/>
    <s v="Comedy"/>
    <n v="8"/>
    <n v="4"/>
    <n v="0"/>
  </r>
  <r>
    <s v="U03901"/>
    <x v="0"/>
    <n v="67"/>
    <s v="Male"/>
    <x v="1"/>
    <x v="0"/>
    <n v="18.62"/>
    <n v="1"/>
    <n v="8.5"/>
    <n v="20.96"/>
    <n v="76.5"/>
    <s v="Action"/>
    <n v="1"/>
    <n v="2"/>
    <n v="0"/>
  </r>
  <r>
    <s v="U03902"/>
    <x v="5"/>
    <n v="33"/>
    <s v="Male"/>
    <x v="2"/>
    <x v="1"/>
    <n v="22.52"/>
    <n v="3"/>
    <n v="6"/>
    <n v="24.85"/>
    <n v="48.6"/>
    <s v="Action"/>
    <n v="10"/>
    <n v="1"/>
    <n v="0"/>
  </r>
  <r>
    <s v="U03903"/>
    <x v="5"/>
    <n v="58"/>
    <s v="Male"/>
    <x v="2"/>
    <x v="3"/>
    <n v="6.03"/>
    <n v="5"/>
    <n v="4"/>
    <n v="16.940000000000001"/>
    <n v="34.9"/>
    <s v="Family"/>
    <n v="11"/>
    <n v="2"/>
    <n v="0"/>
  </r>
  <r>
    <s v="U03904"/>
    <x v="1"/>
    <n v="35"/>
    <s v="Female"/>
    <x v="1"/>
    <x v="1"/>
    <n v="11.02"/>
    <n v="5"/>
    <n v="8.6999999999999993"/>
    <n v="11.33"/>
    <n v="37.700000000000003"/>
    <s v="Thriller"/>
    <n v="4"/>
    <n v="2"/>
    <n v="0"/>
  </r>
  <r>
    <s v="U03905"/>
    <x v="3"/>
    <n v="39"/>
    <s v="Male"/>
    <x v="1"/>
    <x v="3"/>
    <n v="16.38"/>
    <n v="3"/>
    <n v="2.4"/>
    <n v="7.81"/>
    <n v="22.2"/>
    <s v="Thriller"/>
    <n v="10"/>
    <n v="1"/>
    <n v="0"/>
  </r>
  <r>
    <s v="U03906"/>
    <x v="7"/>
    <n v="19"/>
    <s v="Female"/>
    <x v="1"/>
    <x v="1"/>
    <n v="17.37"/>
    <n v="1"/>
    <n v="2.6"/>
    <n v="7.37"/>
    <n v="84.4"/>
    <s v="Drama"/>
    <n v="2"/>
    <n v="2"/>
    <n v="0"/>
  </r>
  <r>
    <s v="U03907"/>
    <x v="1"/>
    <n v="38"/>
    <s v="Female"/>
    <x v="1"/>
    <x v="0"/>
    <n v="6.4"/>
    <n v="5"/>
    <n v="3"/>
    <n v="21.84"/>
    <n v="23"/>
    <s v="Family"/>
    <n v="5"/>
    <n v="0"/>
    <n v="0"/>
  </r>
  <r>
    <s v="U03908"/>
    <x v="1"/>
    <n v="53"/>
    <s v="Female"/>
    <x v="0"/>
    <x v="4"/>
    <n v="18.28"/>
    <n v="2"/>
    <n v="6.4"/>
    <n v="24.83"/>
    <n v="40.4"/>
    <s v="Comedy"/>
    <n v="7"/>
    <n v="3"/>
    <n v="0"/>
  </r>
  <r>
    <s v="U03909"/>
    <x v="8"/>
    <n v="61"/>
    <s v="Male"/>
    <x v="1"/>
    <x v="1"/>
    <n v="15.56"/>
    <n v="4"/>
    <n v="3.8"/>
    <n v="18.36"/>
    <n v="10.7"/>
    <s v="Drama"/>
    <n v="11"/>
    <n v="4"/>
    <n v="0"/>
  </r>
  <r>
    <s v="U03910"/>
    <x v="8"/>
    <n v="56"/>
    <s v="Female"/>
    <x v="0"/>
    <x v="4"/>
    <n v="21.55"/>
    <n v="1"/>
    <n v="9.9"/>
    <n v="24.03"/>
    <n v="49.3"/>
    <s v="Thriller"/>
    <n v="1"/>
    <n v="1"/>
    <n v="0"/>
  </r>
  <r>
    <s v="U03911"/>
    <x v="9"/>
    <n v="64"/>
    <s v="Female"/>
    <x v="2"/>
    <x v="1"/>
    <n v="9.44"/>
    <n v="3"/>
    <n v="2.8"/>
    <n v="10.7"/>
    <n v="41.9"/>
    <s v="Action"/>
    <n v="4"/>
    <n v="4"/>
    <n v="0"/>
  </r>
  <r>
    <s v="U03912"/>
    <x v="1"/>
    <n v="56"/>
    <s v="Male"/>
    <x v="2"/>
    <x v="0"/>
    <n v="8.9"/>
    <n v="4"/>
    <n v="8.3000000000000007"/>
    <n v="16.809999999999999"/>
    <n v="74.7"/>
    <s v="Family"/>
    <n v="3"/>
    <n v="3"/>
    <n v="0"/>
  </r>
  <r>
    <s v="U03913"/>
    <x v="4"/>
    <n v="46"/>
    <s v="Female"/>
    <x v="0"/>
    <x v="4"/>
    <n v="20.87"/>
    <n v="4"/>
    <n v="1.9"/>
    <n v="14.26"/>
    <n v="74.400000000000006"/>
    <s v="Thriller"/>
    <n v="4"/>
    <n v="4"/>
    <n v="0"/>
  </r>
  <r>
    <s v="U03914"/>
    <x v="3"/>
    <n v="43"/>
    <s v="Female"/>
    <x v="1"/>
    <x v="3"/>
    <n v="19.079999999999998"/>
    <n v="2"/>
    <n v="4.2"/>
    <n v="13.6"/>
    <n v="13.5"/>
    <s v="Thriller"/>
    <n v="6"/>
    <n v="1"/>
    <n v="0"/>
  </r>
  <r>
    <s v="U03915"/>
    <x v="7"/>
    <n v="38"/>
    <s v="Male"/>
    <x v="1"/>
    <x v="1"/>
    <n v="20.83"/>
    <n v="1"/>
    <n v="3.2"/>
    <n v="16.91"/>
    <n v="20.399999999999999"/>
    <s v="Family"/>
    <n v="10"/>
    <n v="4"/>
    <n v="0"/>
  </r>
  <r>
    <s v="U03916"/>
    <x v="1"/>
    <n v="34"/>
    <s v="Female"/>
    <x v="1"/>
    <x v="1"/>
    <n v="20.64"/>
    <n v="4"/>
    <n v="9.8000000000000007"/>
    <n v="9.83"/>
    <n v="91.4"/>
    <s v="Thriller"/>
    <n v="6"/>
    <n v="2"/>
    <n v="0"/>
  </r>
  <r>
    <s v="U03917"/>
    <x v="2"/>
    <n v="33"/>
    <s v="Male"/>
    <x v="0"/>
    <x v="3"/>
    <n v="7.08"/>
    <n v="1"/>
    <n v="1.2"/>
    <n v="17.09"/>
    <n v="81.3"/>
    <s v="Drama"/>
    <n v="1"/>
    <n v="2"/>
    <n v="1"/>
  </r>
  <r>
    <s v="U03918"/>
    <x v="0"/>
    <n v="48"/>
    <s v="Female"/>
    <x v="1"/>
    <x v="0"/>
    <n v="10.57"/>
    <n v="2"/>
    <n v="7.5"/>
    <n v="17.8"/>
    <n v="45.1"/>
    <s v="Family"/>
    <n v="3"/>
    <n v="3"/>
    <n v="0"/>
  </r>
  <r>
    <s v="U03919"/>
    <x v="3"/>
    <n v="68"/>
    <s v="Female"/>
    <x v="0"/>
    <x v="2"/>
    <n v="10.199999999999999"/>
    <n v="3"/>
    <n v="3.2"/>
    <n v="21.39"/>
    <n v="25"/>
    <s v="Thriller"/>
    <n v="1"/>
    <n v="2"/>
    <n v="0"/>
  </r>
  <r>
    <s v="U03920"/>
    <x v="8"/>
    <n v="26"/>
    <s v="Male"/>
    <x v="0"/>
    <x v="1"/>
    <n v="23.69"/>
    <n v="4"/>
    <n v="8.3000000000000007"/>
    <n v="19.07"/>
    <n v="33.5"/>
    <s v="Thriller"/>
    <n v="1"/>
    <n v="4"/>
    <n v="1"/>
  </r>
  <r>
    <s v="U03921"/>
    <x v="9"/>
    <n v="48"/>
    <s v="Female"/>
    <x v="0"/>
    <x v="3"/>
    <n v="14.75"/>
    <n v="4"/>
    <n v="3.8"/>
    <n v="10.039999999999999"/>
    <n v="69.2"/>
    <s v="Family"/>
    <n v="1"/>
    <n v="0"/>
    <n v="0"/>
  </r>
  <r>
    <s v="U03922"/>
    <x v="0"/>
    <n v="31"/>
    <s v="Female"/>
    <x v="0"/>
    <x v="2"/>
    <n v="7.22"/>
    <n v="4"/>
    <n v="2.7"/>
    <n v="12.92"/>
    <n v="95.1"/>
    <s v="Action"/>
    <n v="3"/>
    <n v="4"/>
    <n v="1"/>
  </r>
  <r>
    <s v="U03923"/>
    <x v="8"/>
    <n v="66"/>
    <s v="Female"/>
    <x v="2"/>
    <x v="1"/>
    <n v="10.79"/>
    <n v="1"/>
    <n v="7.2"/>
    <n v="5.65"/>
    <n v="65.400000000000006"/>
    <s v="Comedy"/>
    <n v="2"/>
    <n v="0"/>
    <n v="0"/>
  </r>
  <r>
    <s v="U03924"/>
    <x v="8"/>
    <n v="54"/>
    <s v="Male"/>
    <x v="2"/>
    <x v="4"/>
    <n v="22.44"/>
    <n v="4"/>
    <n v="3.3"/>
    <n v="8.66"/>
    <n v="12.4"/>
    <s v="Family"/>
    <n v="4"/>
    <n v="4"/>
    <n v="0"/>
  </r>
  <r>
    <s v="U03925"/>
    <x v="3"/>
    <n v="19"/>
    <s v="Male"/>
    <x v="1"/>
    <x v="3"/>
    <n v="21.94"/>
    <n v="1"/>
    <n v="5.4"/>
    <n v="14.46"/>
    <n v="68.599999999999994"/>
    <s v="Action"/>
    <n v="7"/>
    <n v="0"/>
    <n v="0"/>
  </r>
  <r>
    <s v="U03926"/>
    <x v="8"/>
    <n v="69"/>
    <s v="Male"/>
    <x v="1"/>
    <x v="4"/>
    <n v="23.01"/>
    <n v="5"/>
    <n v="2.2000000000000002"/>
    <n v="5.22"/>
    <n v="95"/>
    <s v="Thriller"/>
    <n v="11"/>
    <n v="0"/>
    <n v="0"/>
  </r>
  <r>
    <s v="U03927"/>
    <x v="2"/>
    <n v="65"/>
    <s v="Male"/>
    <x v="0"/>
    <x v="0"/>
    <n v="12.77"/>
    <n v="5"/>
    <n v="7.5"/>
    <n v="15.55"/>
    <n v="42.3"/>
    <s v="Drama"/>
    <n v="11"/>
    <n v="1"/>
    <n v="0"/>
  </r>
  <r>
    <s v="U03928"/>
    <x v="11"/>
    <n v="63"/>
    <s v="Male"/>
    <x v="1"/>
    <x v="2"/>
    <n v="17.829999999999998"/>
    <n v="1"/>
    <n v="4.7"/>
    <n v="11.59"/>
    <n v="94"/>
    <s v="Thriller"/>
    <n v="2"/>
    <n v="1"/>
    <n v="0"/>
  </r>
  <r>
    <s v="U03929"/>
    <x v="9"/>
    <n v="31"/>
    <s v="Female"/>
    <x v="0"/>
    <x v="3"/>
    <n v="10.56"/>
    <n v="5"/>
    <n v="2.2999999999999998"/>
    <n v="3.76"/>
    <n v="70.400000000000006"/>
    <s v="Thriller"/>
    <n v="2"/>
    <n v="4"/>
    <n v="1"/>
  </r>
  <r>
    <s v="U03930"/>
    <x v="10"/>
    <n v="50"/>
    <s v="Male"/>
    <x v="1"/>
    <x v="1"/>
    <n v="8.6199999999999992"/>
    <n v="2"/>
    <n v="7.7"/>
    <n v="12.56"/>
    <n v="27.1"/>
    <s v="Action"/>
    <n v="11"/>
    <n v="2"/>
    <n v="1"/>
  </r>
  <r>
    <s v="U03931"/>
    <x v="11"/>
    <n v="52"/>
    <s v="Male"/>
    <x v="2"/>
    <x v="1"/>
    <n v="5.44"/>
    <n v="2"/>
    <n v="1.9"/>
    <n v="9.19"/>
    <n v="23.1"/>
    <s v="Family"/>
    <n v="7"/>
    <n v="1"/>
    <n v="1"/>
  </r>
  <r>
    <s v="U03932"/>
    <x v="10"/>
    <n v="56"/>
    <s v="Male"/>
    <x v="0"/>
    <x v="2"/>
    <n v="9.4700000000000006"/>
    <n v="5"/>
    <n v="6.2"/>
    <n v="4.47"/>
    <n v="25.9"/>
    <s v="Comedy"/>
    <n v="9"/>
    <n v="0"/>
    <n v="1"/>
  </r>
  <r>
    <s v="U03933"/>
    <x v="5"/>
    <n v="64"/>
    <s v="Female"/>
    <x v="2"/>
    <x v="4"/>
    <n v="17.09"/>
    <n v="3"/>
    <n v="6.5"/>
    <n v="9.4499999999999993"/>
    <n v="72.900000000000006"/>
    <s v="Comedy"/>
    <n v="11"/>
    <n v="4"/>
    <n v="1"/>
  </r>
  <r>
    <s v="U03934"/>
    <x v="5"/>
    <n v="68"/>
    <s v="Female"/>
    <x v="0"/>
    <x v="4"/>
    <n v="23.08"/>
    <n v="1"/>
    <n v="9.4"/>
    <n v="9.4700000000000006"/>
    <n v="63.1"/>
    <s v="Family"/>
    <n v="3"/>
    <n v="2"/>
    <n v="0"/>
  </r>
  <r>
    <s v="U03935"/>
    <x v="8"/>
    <n v="37"/>
    <s v="Male"/>
    <x v="1"/>
    <x v="3"/>
    <n v="7.67"/>
    <n v="5"/>
    <n v="2.4"/>
    <n v="10.81"/>
    <n v="51"/>
    <s v="Family"/>
    <n v="10"/>
    <n v="4"/>
    <n v="0"/>
  </r>
  <r>
    <s v="U03936"/>
    <x v="7"/>
    <n v="19"/>
    <s v="Female"/>
    <x v="0"/>
    <x v="3"/>
    <n v="23.36"/>
    <n v="1"/>
    <n v="6.9"/>
    <n v="11.06"/>
    <n v="33.700000000000003"/>
    <s v="Drama"/>
    <n v="8"/>
    <n v="0"/>
    <n v="0"/>
  </r>
  <r>
    <s v="U03937"/>
    <x v="7"/>
    <n v="68"/>
    <s v="Female"/>
    <x v="1"/>
    <x v="4"/>
    <n v="11.91"/>
    <n v="5"/>
    <n v="4.4000000000000004"/>
    <n v="12.45"/>
    <n v="91.7"/>
    <s v="Family"/>
    <n v="6"/>
    <n v="1"/>
    <n v="0"/>
  </r>
  <r>
    <s v="U03938"/>
    <x v="10"/>
    <n v="58"/>
    <s v="Female"/>
    <x v="0"/>
    <x v="3"/>
    <n v="13.54"/>
    <n v="2"/>
    <n v="4.5999999999999996"/>
    <n v="5.0199999999999996"/>
    <n v="29.2"/>
    <s v="Drama"/>
    <n v="6"/>
    <n v="1"/>
    <n v="1"/>
  </r>
  <r>
    <s v="U03939"/>
    <x v="0"/>
    <n v="36"/>
    <s v="Female"/>
    <x v="1"/>
    <x v="4"/>
    <n v="12.3"/>
    <n v="3"/>
    <n v="5.5"/>
    <n v="3.12"/>
    <n v="35.5"/>
    <s v="Family"/>
    <n v="3"/>
    <n v="3"/>
    <n v="0"/>
  </r>
  <r>
    <s v="U03940"/>
    <x v="3"/>
    <n v="54"/>
    <s v="Male"/>
    <x v="1"/>
    <x v="2"/>
    <n v="13.17"/>
    <n v="1"/>
    <n v="3.1"/>
    <n v="19.190000000000001"/>
    <n v="14.9"/>
    <s v="Drama"/>
    <n v="10"/>
    <n v="3"/>
    <n v="0"/>
  </r>
  <r>
    <s v="U03941"/>
    <x v="8"/>
    <n v="35"/>
    <s v="Male"/>
    <x v="1"/>
    <x v="3"/>
    <n v="10.18"/>
    <n v="3"/>
    <n v="5.2"/>
    <n v="10.42"/>
    <n v="34.799999999999997"/>
    <s v="Family"/>
    <n v="9"/>
    <n v="4"/>
    <n v="0"/>
  </r>
  <r>
    <s v="U03942"/>
    <x v="3"/>
    <n v="33"/>
    <s v="Female"/>
    <x v="1"/>
    <x v="4"/>
    <n v="18.97"/>
    <n v="2"/>
    <n v="7.2"/>
    <n v="16.5"/>
    <n v="93.1"/>
    <s v="Family"/>
    <n v="9"/>
    <n v="4"/>
    <n v="0"/>
  </r>
  <r>
    <s v="U03943"/>
    <x v="11"/>
    <n v="21"/>
    <s v="Female"/>
    <x v="2"/>
    <x v="3"/>
    <n v="20.16"/>
    <n v="4"/>
    <n v="5.0999999999999996"/>
    <n v="9.75"/>
    <n v="26.9"/>
    <s v="Comedy"/>
    <n v="4"/>
    <n v="2"/>
    <n v="0"/>
  </r>
  <r>
    <s v="U03944"/>
    <x v="7"/>
    <n v="29"/>
    <s v="Female"/>
    <x v="1"/>
    <x v="1"/>
    <n v="21.46"/>
    <n v="4"/>
    <n v="1.4"/>
    <n v="24.65"/>
    <n v="28.4"/>
    <s v="Thriller"/>
    <n v="10"/>
    <n v="1"/>
    <n v="0"/>
  </r>
  <r>
    <s v="U03945"/>
    <x v="4"/>
    <n v="46"/>
    <s v="Female"/>
    <x v="0"/>
    <x v="1"/>
    <n v="11.83"/>
    <n v="1"/>
    <n v="3.3"/>
    <n v="9.94"/>
    <n v="64"/>
    <s v="Thriller"/>
    <n v="6"/>
    <n v="1"/>
    <n v="1"/>
  </r>
  <r>
    <s v="U03946"/>
    <x v="9"/>
    <n v="24"/>
    <s v="Male"/>
    <x v="0"/>
    <x v="0"/>
    <n v="20.29"/>
    <n v="2"/>
    <n v="4.2"/>
    <n v="16.309999999999999"/>
    <n v="61"/>
    <s v="Drama"/>
    <n v="5"/>
    <n v="3"/>
    <n v="1"/>
  </r>
  <r>
    <s v="U03947"/>
    <x v="11"/>
    <n v="31"/>
    <s v="Female"/>
    <x v="2"/>
    <x v="4"/>
    <n v="17.75"/>
    <n v="1"/>
    <n v="4.2"/>
    <n v="7.84"/>
    <n v="25.8"/>
    <s v="Action"/>
    <n v="4"/>
    <n v="0"/>
    <n v="0"/>
  </r>
  <r>
    <s v="U03948"/>
    <x v="9"/>
    <n v="29"/>
    <s v="Male"/>
    <x v="1"/>
    <x v="0"/>
    <n v="24.16"/>
    <n v="1"/>
    <n v="1.7"/>
    <n v="14.39"/>
    <n v="23.9"/>
    <s v="Comedy"/>
    <n v="2"/>
    <n v="0"/>
    <n v="1"/>
  </r>
  <r>
    <s v="U03949"/>
    <x v="2"/>
    <n v="52"/>
    <s v="Female"/>
    <x v="1"/>
    <x v="4"/>
    <n v="13.5"/>
    <n v="1"/>
    <n v="5"/>
    <n v="15.75"/>
    <n v="20.5"/>
    <s v="Family"/>
    <n v="4"/>
    <n v="3"/>
    <n v="1"/>
  </r>
  <r>
    <s v="U03950"/>
    <x v="11"/>
    <n v="22"/>
    <s v="Male"/>
    <x v="0"/>
    <x v="3"/>
    <n v="24.85"/>
    <n v="3"/>
    <n v="7.2"/>
    <n v="7.02"/>
    <n v="87.5"/>
    <s v="Comedy"/>
    <n v="7"/>
    <n v="4"/>
    <n v="0"/>
  </r>
  <r>
    <s v="U03951"/>
    <x v="10"/>
    <n v="34"/>
    <s v="Female"/>
    <x v="1"/>
    <x v="4"/>
    <n v="19.809999999999999"/>
    <n v="5"/>
    <n v="1.4"/>
    <n v="5.72"/>
    <n v="68.900000000000006"/>
    <s v="Action"/>
    <n v="3"/>
    <n v="1"/>
    <n v="1"/>
  </r>
  <r>
    <s v="U03952"/>
    <x v="2"/>
    <n v="59"/>
    <s v="Male"/>
    <x v="0"/>
    <x v="1"/>
    <n v="20.53"/>
    <n v="2"/>
    <n v="7.8"/>
    <n v="24.42"/>
    <n v="95.8"/>
    <s v="Comedy"/>
    <n v="3"/>
    <n v="1"/>
    <n v="0"/>
  </r>
  <r>
    <s v="U03953"/>
    <x v="6"/>
    <n v="49"/>
    <s v="Male"/>
    <x v="2"/>
    <x v="3"/>
    <n v="5.51"/>
    <n v="3"/>
    <n v="9.6"/>
    <n v="22.65"/>
    <n v="24.9"/>
    <s v="Action"/>
    <n v="11"/>
    <n v="1"/>
    <n v="1"/>
  </r>
  <r>
    <s v="U03954"/>
    <x v="11"/>
    <n v="27"/>
    <s v="Male"/>
    <x v="2"/>
    <x v="1"/>
    <n v="14.95"/>
    <n v="5"/>
    <n v="1.1000000000000001"/>
    <n v="17.52"/>
    <n v="51.5"/>
    <s v="Action"/>
    <n v="3"/>
    <n v="0"/>
    <n v="0"/>
  </r>
  <r>
    <s v="U03955"/>
    <x v="2"/>
    <n v="60"/>
    <s v="Female"/>
    <x v="0"/>
    <x v="3"/>
    <n v="15.57"/>
    <n v="1"/>
    <n v="2.7"/>
    <n v="21.94"/>
    <n v="76.900000000000006"/>
    <s v="Action"/>
    <n v="9"/>
    <n v="4"/>
    <n v="1"/>
  </r>
  <r>
    <s v="U03956"/>
    <x v="8"/>
    <n v="34"/>
    <s v="Male"/>
    <x v="1"/>
    <x v="4"/>
    <n v="5.81"/>
    <n v="4"/>
    <n v="5.9"/>
    <n v="5.0999999999999996"/>
    <n v="29.2"/>
    <s v="Action"/>
    <n v="1"/>
    <n v="0"/>
    <n v="0"/>
  </r>
  <r>
    <s v="U03957"/>
    <x v="9"/>
    <n v="22"/>
    <s v="Female"/>
    <x v="0"/>
    <x v="4"/>
    <n v="11.24"/>
    <n v="3"/>
    <n v="3"/>
    <n v="19.05"/>
    <n v="71.599999999999994"/>
    <s v="Action"/>
    <n v="5"/>
    <n v="4"/>
    <n v="1"/>
  </r>
  <r>
    <s v="U03958"/>
    <x v="1"/>
    <n v="62"/>
    <s v="Male"/>
    <x v="1"/>
    <x v="1"/>
    <n v="24.11"/>
    <n v="2"/>
    <n v="7.9"/>
    <n v="9.2799999999999994"/>
    <n v="52.6"/>
    <s v="Family"/>
    <n v="9"/>
    <n v="3"/>
    <n v="0"/>
  </r>
  <r>
    <s v="U03959"/>
    <x v="1"/>
    <n v="59"/>
    <s v="Male"/>
    <x v="2"/>
    <x v="2"/>
    <n v="13.52"/>
    <n v="2"/>
    <n v="3.8"/>
    <n v="14.87"/>
    <n v="48.8"/>
    <s v="Comedy"/>
    <n v="7"/>
    <n v="4"/>
    <n v="0"/>
  </r>
  <r>
    <s v="U03960"/>
    <x v="8"/>
    <n v="26"/>
    <s v="Female"/>
    <x v="1"/>
    <x v="4"/>
    <n v="8.73"/>
    <n v="5"/>
    <n v="3.6"/>
    <n v="19.829999999999998"/>
    <n v="68"/>
    <s v="Thriller"/>
    <n v="1"/>
    <n v="0"/>
    <n v="1"/>
  </r>
  <r>
    <s v="U03961"/>
    <x v="6"/>
    <n v="66"/>
    <s v="Male"/>
    <x v="1"/>
    <x v="2"/>
    <n v="15.27"/>
    <n v="3"/>
    <n v="1"/>
    <n v="3.74"/>
    <n v="52.1"/>
    <s v="Thriller"/>
    <n v="4"/>
    <n v="1"/>
    <n v="0"/>
  </r>
  <r>
    <s v="U03962"/>
    <x v="6"/>
    <n v="50"/>
    <s v="Female"/>
    <x v="0"/>
    <x v="3"/>
    <n v="5.68"/>
    <n v="1"/>
    <n v="3.4"/>
    <n v="18.29"/>
    <n v="83.8"/>
    <s v="Family"/>
    <n v="6"/>
    <n v="0"/>
    <n v="1"/>
  </r>
  <r>
    <s v="U03963"/>
    <x v="10"/>
    <n v="53"/>
    <s v="Female"/>
    <x v="2"/>
    <x v="2"/>
    <n v="15.32"/>
    <n v="5"/>
    <n v="3"/>
    <n v="12.57"/>
    <n v="93.7"/>
    <s v="Drama"/>
    <n v="5"/>
    <n v="3"/>
    <n v="0"/>
  </r>
  <r>
    <s v="U03964"/>
    <x v="7"/>
    <n v="53"/>
    <s v="Female"/>
    <x v="1"/>
    <x v="1"/>
    <n v="16.89"/>
    <n v="2"/>
    <n v="4.0999999999999996"/>
    <n v="12.67"/>
    <n v="63"/>
    <s v="Action"/>
    <n v="2"/>
    <n v="1"/>
    <n v="1"/>
  </r>
  <r>
    <s v="U03965"/>
    <x v="3"/>
    <n v="35"/>
    <s v="Female"/>
    <x v="1"/>
    <x v="0"/>
    <n v="12.15"/>
    <n v="3"/>
    <n v="2.2999999999999998"/>
    <n v="22.96"/>
    <n v="37.1"/>
    <s v="Comedy"/>
    <n v="1"/>
    <n v="0"/>
    <n v="0"/>
  </r>
  <r>
    <s v="U03966"/>
    <x v="9"/>
    <n v="26"/>
    <s v="Male"/>
    <x v="0"/>
    <x v="0"/>
    <n v="20.25"/>
    <n v="4"/>
    <n v="6.4"/>
    <n v="21.91"/>
    <n v="79.900000000000006"/>
    <s v="Action"/>
    <n v="11"/>
    <n v="1"/>
    <n v="0"/>
  </r>
  <r>
    <s v="U03967"/>
    <x v="6"/>
    <n v="46"/>
    <s v="Male"/>
    <x v="1"/>
    <x v="1"/>
    <n v="7.71"/>
    <n v="1"/>
    <n v="3.1"/>
    <n v="4.2699999999999996"/>
    <n v="25.3"/>
    <s v="Action"/>
    <n v="4"/>
    <n v="3"/>
    <n v="1"/>
  </r>
  <r>
    <s v="U03968"/>
    <x v="4"/>
    <n v="67"/>
    <s v="Female"/>
    <x v="2"/>
    <x v="0"/>
    <n v="22.56"/>
    <n v="2"/>
    <n v="8.5"/>
    <n v="16.600000000000001"/>
    <n v="18.5"/>
    <s v="Thriller"/>
    <n v="10"/>
    <n v="4"/>
    <n v="0"/>
  </r>
  <r>
    <s v="U03969"/>
    <x v="10"/>
    <n v="31"/>
    <s v="Male"/>
    <x v="1"/>
    <x v="1"/>
    <n v="24.11"/>
    <n v="3"/>
    <n v="3.6"/>
    <n v="12.59"/>
    <n v="56.7"/>
    <s v="Action"/>
    <n v="5"/>
    <n v="4"/>
    <n v="1"/>
  </r>
  <r>
    <s v="U03970"/>
    <x v="5"/>
    <n v="42"/>
    <s v="Male"/>
    <x v="1"/>
    <x v="4"/>
    <n v="5.0199999999999996"/>
    <n v="4"/>
    <n v="2.9"/>
    <n v="5.59"/>
    <n v="68.2"/>
    <s v="Comedy"/>
    <n v="4"/>
    <n v="2"/>
    <n v="0"/>
  </r>
  <r>
    <s v="U03971"/>
    <x v="0"/>
    <n v="32"/>
    <s v="Female"/>
    <x v="1"/>
    <x v="2"/>
    <n v="21.85"/>
    <n v="2"/>
    <n v="1.5"/>
    <n v="21.72"/>
    <n v="85.1"/>
    <s v="Comedy"/>
    <n v="3"/>
    <n v="1"/>
    <n v="0"/>
  </r>
  <r>
    <s v="U03972"/>
    <x v="5"/>
    <n v="23"/>
    <s v="Male"/>
    <x v="2"/>
    <x v="0"/>
    <n v="15.12"/>
    <n v="4"/>
    <n v="7.7"/>
    <n v="4.57"/>
    <n v="96"/>
    <s v="Thriller"/>
    <n v="10"/>
    <n v="3"/>
    <n v="0"/>
  </r>
  <r>
    <s v="U03973"/>
    <x v="10"/>
    <n v="59"/>
    <s v="Female"/>
    <x v="1"/>
    <x v="4"/>
    <n v="14.23"/>
    <n v="2"/>
    <n v="5.6"/>
    <n v="3.71"/>
    <n v="88.6"/>
    <s v="Family"/>
    <n v="8"/>
    <n v="0"/>
    <n v="0"/>
  </r>
  <r>
    <s v="U03974"/>
    <x v="9"/>
    <n v="46"/>
    <s v="Male"/>
    <x v="0"/>
    <x v="0"/>
    <n v="9.77"/>
    <n v="5"/>
    <n v="2"/>
    <n v="7.35"/>
    <n v="99"/>
    <s v="Thriller"/>
    <n v="6"/>
    <n v="0"/>
    <n v="0"/>
  </r>
  <r>
    <s v="U03975"/>
    <x v="2"/>
    <n v="32"/>
    <s v="Male"/>
    <x v="1"/>
    <x v="3"/>
    <n v="13.95"/>
    <n v="5"/>
    <n v="3"/>
    <n v="9.67"/>
    <n v="52.8"/>
    <s v="Thriller"/>
    <n v="11"/>
    <n v="2"/>
    <n v="1"/>
  </r>
  <r>
    <s v="U03976"/>
    <x v="11"/>
    <n v="46"/>
    <s v="Female"/>
    <x v="1"/>
    <x v="1"/>
    <n v="24.01"/>
    <n v="5"/>
    <n v="10"/>
    <n v="4.34"/>
    <n v="38.5"/>
    <s v="Action"/>
    <n v="3"/>
    <n v="0"/>
    <n v="0"/>
  </r>
  <r>
    <s v="U03977"/>
    <x v="3"/>
    <n v="21"/>
    <s v="Male"/>
    <x v="2"/>
    <x v="1"/>
    <n v="9.2200000000000006"/>
    <n v="3"/>
    <n v="8.3000000000000007"/>
    <n v="17.11"/>
    <n v="51.4"/>
    <s v="Drama"/>
    <n v="6"/>
    <n v="3"/>
    <n v="0"/>
  </r>
  <r>
    <s v="U03978"/>
    <x v="0"/>
    <n v="35"/>
    <s v="Male"/>
    <x v="2"/>
    <x v="4"/>
    <n v="8.58"/>
    <n v="5"/>
    <n v="4.0999999999999996"/>
    <n v="12.62"/>
    <n v="68"/>
    <s v="Family"/>
    <n v="10"/>
    <n v="3"/>
    <n v="0"/>
  </r>
  <r>
    <s v="U03979"/>
    <x v="5"/>
    <n v="67"/>
    <s v="Female"/>
    <x v="1"/>
    <x v="3"/>
    <n v="9.84"/>
    <n v="3"/>
    <n v="5.9"/>
    <n v="12.07"/>
    <n v="55.7"/>
    <s v="Family"/>
    <n v="8"/>
    <n v="4"/>
    <n v="0"/>
  </r>
  <r>
    <s v="U03980"/>
    <x v="0"/>
    <n v="66"/>
    <s v="Male"/>
    <x v="0"/>
    <x v="2"/>
    <n v="16.04"/>
    <n v="1"/>
    <n v="4.7"/>
    <n v="6.2"/>
    <n v="67.099999999999994"/>
    <s v="Family"/>
    <n v="7"/>
    <n v="1"/>
    <n v="0"/>
  </r>
  <r>
    <s v="U03981"/>
    <x v="4"/>
    <n v="61"/>
    <s v="Female"/>
    <x v="2"/>
    <x v="3"/>
    <n v="23.61"/>
    <n v="5"/>
    <n v="1.3"/>
    <n v="12.63"/>
    <n v="89.8"/>
    <s v="Action"/>
    <n v="1"/>
    <n v="1"/>
    <n v="0"/>
  </r>
  <r>
    <s v="U03982"/>
    <x v="4"/>
    <n v="56"/>
    <s v="Male"/>
    <x v="1"/>
    <x v="3"/>
    <n v="16.48"/>
    <n v="3"/>
    <n v="8"/>
    <n v="11.58"/>
    <n v="24.9"/>
    <s v="Thriller"/>
    <n v="6"/>
    <n v="0"/>
    <n v="0"/>
  </r>
  <r>
    <s v="U03983"/>
    <x v="2"/>
    <n v="33"/>
    <s v="Female"/>
    <x v="1"/>
    <x v="2"/>
    <n v="9.8699999999999992"/>
    <n v="2"/>
    <n v="7.5"/>
    <n v="11.44"/>
    <n v="20.8"/>
    <s v="Action"/>
    <n v="1"/>
    <n v="1"/>
    <n v="1"/>
  </r>
  <r>
    <s v="U03984"/>
    <x v="4"/>
    <n v="28"/>
    <s v="Female"/>
    <x v="1"/>
    <x v="2"/>
    <n v="13.81"/>
    <n v="3"/>
    <n v="4.7"/>
    <n v="7.81"/>
    <n v="54.9"/>
    <s v="Comedy"/>
    <n v="4"/>
    <n v="2"/>
    <n v="0"/>
  </r>
  <r>
    <s v="U03985"/>
    <x v="10"/>
    <n v="31"/>
    <s v="Female"/>
    <x v="1"/>
    <x v="3"/>
    <n v="12.81"/>
    <n v="3"/>
    <n v="8.6"/>
    <n v="5.08"/>
    <n v="98.4"/>
    <s v="Drama"/>
    <n v="10"/>
    <n v="1"/>
    <n v="0"/>
  </r>
  <r>
    <s v="U03986"/>
    <x v="3"/>
    <n v="20"/>
    <s v="Female"/>
    <x v="0"/>
    <x v="0"/>
    <n v="5.93"/>
    <n v="2"/>
    <n v="5.8"/>
    <n v="8.74"/>
    <n v="15.3"/>
    <s v="Drama"/>
    <n v="3"/>
    <n v="0"/>
    <n v="0"/>
  </r>
  <r>
    <s v="U03987"/>
    <x v="9"/>
    <n v="68"/>
    <s v="Female"/>
    <x v="2"/>
    <x v="0"/>
    <n v="15.21"/>
    <n v="3"/>
    <n v="1.6"/>
    <n v="17.68"/>
    <n v="98.8"/>
    <s v="Action"/>
    <n v="7"/>
    <n v="1"/>
    <n v="0"/>
  </r>
  <r>
    <s v="U03988"/>
    <x v="2"/>
    <n v="67"/>
    <s v="Male"/>
    <x v="2"/>
    <x v="3"/>
    <n v="7.52"/>
    <n v="2"/>
    <n v="3.3"/>
    <n v="4.5999999999999996"/>
    <n v="97.1"/>
    <s v="Thriller"/>
    <n v="2"/>
    <n v="3"/>
    <n v="0"/>
  </r>
  <r>
    <s v="U03989"/>
    <x v="10"/>
    <n v="59"/>
    <s v="Male"/>
    <x v="1"/>
    <x v="0"/>
    <n v="21.84"/>
    <n v="4"/>
    <n v="5.2"/>
    <n v="11.41"/>
    <n v="36.299999999999997"/>
    <s v="Family"/>
    <n v="4"/>
    <n v="3"/>
    <n v="1"/>
  </r>
  <r>
    <s v="U03990"/>
    <x v="1"/>
    <n v="55"/>
    <s v="Female"/>
    <x v="1"/>
    <x v="2"/>
    <n v="15.98"/>
    <n v="5"/>
    <n v="1.9"/>
    <n v="14.32"/>
    <n v="90.2"/>
    <s v="Comedy"/>
    <n v="5"/>
    <n v="4"/>
    <n v="0"/>
  </r>
  <r>
    <s v="U03991"/>
    <x v="11"/>
    <n v="62"/>
    <s v="Male"/>
    <x v="0"/>
    <x v="2"/>
    <n v="21.89"/>
    <n v="1"/>
    <n v="6.1"/>
    <n v="24.19"/>
    <n v="10.7"/>
    <s v="Comedy"/>
    <n v="2"/>
    <n v="4"/>
    <n v="0"/>
  </r>
  <r>
    <s v="U03992"/>
    <x v="11"/>
    <n v="59"/>
    <s v="Female"/>
    <x v="0"/>
    <x v="0"/>
    <n v="24.12"/>
    <n v="3"/>
    <n v="2.1"/>
    <n v="21.56"/>
    <n v="50.9"/>
    <s v="Drama"/>
    <n v="9"/>
    <n v="4"/>
    <n v="0"/>
  </r>
  <r>
    <s v="U03993"/>
    <x v="4"/>
    <n v="35"/>
    <s v="Male"/>
    <x v="1"/>
    <x v="2"/>
    <n v="23.86"/>
    <n v="2"/>
    <n v="2.8"/>
    <n v="23.17"/>
    <n v="46.2"/>
    <s v="Thriller"/>
    <n v="2"/>
    <n v="4"/>
    <n v="0"/>
  </r>
  <r>
    <s v="U03994"/>
    <x v="1"/>
    <n v="37"/>
    <s v="Male"/>
    <x v="1"/>
    <x v="1"/>
    <n v="7.01"/>
    <n v="5"/>
    <n v="9"/>
    <n v="21.04"/>
    <n v="91.2"/>
    <s v="Family"/>
    <n v="6"/>
    <n v="1"/>
    <n v="0"/>
  </r>
  <r>
    <s v="U03995"/>
    <x v="6"/>
    <n v="65"/>
    <s v="Female"/>
    <x v="2"/>
    <x v="2"/>
    <n v="23.9"/>
    <n v="3"/>
    <n v="10"/>
    <n v="15.96"/>
    <n v="52.5"/>
    <s v="Drama"/>
    <n v="8"/>
    <n v="0"/>
    <n v="0"/>
  </r>
  <r>
    <s v="U03996"/>
    <x v="6"/>
    <n v="42"/>
    <s v="Female"/>
    <x v="2"/>
    <x v="3"/>
    <n v="20.91"/>
    <n v="5"/>
    <n v="6"/>
    <n v="21.94"/>
    <n v="47.6"/>
    <s v="Thriller"/>
    <n v="7"/>
    <n v="1"/>
    <n v="0"/>
  </r>
  <r>
    <s v="U03997"/>
    <x v="9"/>
    <n v="55"/>
    <s v="Male"/>
    <x v="1"/>
    <x v="4"/>
    <n v="20.55"/>
    <n v="4"/>
    <n v="6.6"/>
    <n v="15.44"/>
    <n v="67.599999999999994"/>
    <s v="Family"/>
    <n v="6"/>
    <n v="0"/>
    <n v="0"/>
  </r>
  <r>
    <s v="U03998"/>
    <x v="4"/>
    <n v="30"/>
    <s v="Male"/>
    <x v="1"/>
    <x v="0"/>
    <n v="6.8"/>
    <n v="3"/>
    <n v="8.1999999999999993"/>
    <n v="10.87"/>
    <n v="43.8"/>
    <s v="Action"/>
    <n v="8"/>
    <n v="0"/>
    <n v="1"/>
  </r>
  <r>
    <s v="U03999"/>
    <x v="5"/>
    <n v="21"/>
    <s v="Female"/>
    <x v="0"/>
    <x v="0"/>
    <n v="8.59"/>
    <n v="2"/>
    <n v="7.3"/>
    <n v="11.19"/>
    <n v="58.3"/>
    <s v="Thriller"/>
    <n v="5"/>
    <n v="0"/>
    <n v="0"/>
  </r>
  <r>
    <s v="U04000"/>
    <x v="10"/>
    <n v="31"/>
    <s v="Male"/>
    <x v="2"/>
    <x v="2"/>
    <n v="24.5"/>
    <n v="4"/>
    <n v="2.6"/>
    <n v="15.44"/>
    <n v="96"/>
    <s v="Comedy"/>
    <n v="10"/>
    <n v="0"/>
    <n v="0"/>
  </r>
  <r>
    <s v="U04001"/>
    <x v="4"/>
    <n v="50"/>
    <s v="Male"/>
    <x v="1"/>
    <x v="2"/>
    <n v="9.27"/>
    <n v="3"/>
    <n v="4.7"/>
    <n v="20.81"/>
    <n v="28.2"/>
    <s v="Thriller"/>
    <n v="9"/>
    <n v="3"/>
    <n v="0"/>
  </r>
  <r>
    <s v="U04002"/>
    <x v="7"/>
    <n v="45"/>
    <s v="Female"/>
    <x v="0"/>
    <x v="4"/>
    <n v="8.3800000000000008"/>
    <n v="5"/>
    <n v="5.8"/>
    <n v="5.94"/>
    <n v="51.3"/>
    <s v="Thriller"/>
    <n v="2"/>
    <n v="0"/>
    <n v="1"/>
  </r>
  <r>
    <s v="U04003"/>
    <x v="0"/>
    <n v="69"/>
    <s v="Male"/>
    <x v="1"/>
    <x v="4"/>
    <n v="12.25"/>
    <n v="4"/>
    <n v="4.2"/>
    <n v="3.86"/>
    <n v="11.4"/>
    <s v="Thriller"/>
    <n v="6"/>
    <n v="1"/>
    <n v="0"/>
  </r>
  <r>
    <s v="U04004"/>
    <x v="9"/>
    <n v="54"/>
    <s v="Female"/>
    <x v="2"/>
    <x v="3"/>
    <n v="23.27"/>
    <n v="2"/>
    <n v="2.6"/>
    <n v="20.37"/>
    <n v="85.8"/>
    <s v="Family"/>
    <n v="10"/>
    <n v="0"/>
    <n v="0"/>
  </r>
  <r>
    <s v="U04005"/>
    <x v="11"/>
    <n v="25"/>
    <s v="Female"/>
    <x v="2"/>
    <x v="1"/>
    <n v="14.52"/>
    <n v="3"/>
    <n v="7.6"/>
    <n v="17.25"/>
    <n v="18.3"/>
    <s v="Family"/>
    <n v="11"/>
    <n v="3"/>
    <n v="1"/>
  </r>
  <r>
    <s v="U04006"/>
    <x v="6"/>
    <n v="61"/>
    <s v="Female"/>
    <x v="0"/>
    <x v="3"/>
    <n v="23.41"/>
    <n v="5"/>
    <n v="2.8"/>
    <n v="21.07"/>
    <n v="18.5"/>
    <s v="Action"/>
    <n v="7"/>
    <n v="1"/>
    <n v="0"/>
  </r>
  <r>
    <s v="U04007"/>
    <x v="8"/>
    <n v="51"/>
    <s v="Male"/>
    <x v="2"/>
    <x v="0"/>
    <n v="11.69"/>
    <n v="5"/>
    <n v="3.3"/>
    <n v="24.49"/>
    <n v="89.5"/>
    <s v="Action"/>
    <n v="9"/>
    <n v="2"/>
    <n v="1"/>
  </r>
  <r>
    <s v="U04008"/>
    <x v="6"/>
    <n v="61"/>
    <s v="Male"/>
    <x v="0"/>
    <x v="2"/>
    <n v="9.5299999999999994"/>
    <n v="4"/>
    <n v="3.6"/>
    <n v="8.5299999999999994"/>
    <n v="46.8"/>
    <s v="Family"/>
    <n v="5"/>
    <n v="1"/>
    <n v="0"/>
  </r>
  <r>
    <s v="U04009"/>
    <x v="9"/>
    <n v="22"/>
    <s v="Female"/>
    <x v="0"/>
    <x v="3"/>
    <n v="14.9"/>
    <n v="3"/>
    <n v="2.5"/>
    <n v="7.27"/>
    <n v="71.900000000000006"/>
    <s v="Family"/>
    <n v="6"/>
    <n v="3"/>
    <n v="0"/>
  </r>
  <r>
    <s v="U04010"/>
    <x v="11"/>
    <n v="22"/>
    <s v="Female"/>
    <x v="2"/>
    <x v="2"/>
    <n v="17.309999999999999"/>
    <n v="5"/>
    <n v="8.6"/>
    <n v="10.5"/>
    <n v="87.2"/>
    <s v="Drama"/>
    <n v="9"/>
    <n v="3"/>
    <n v="1"/>
  </r>
  <r>
    <s v="U04011"/>
    <x v="9"/>
    <n v="48"/>
    <s v="Male"/>
    <x v="2"/>
    <x v="2"/>
    <n v="12.83"/>
    <n v="4"/>
    <n v="6.5"/>
    <n v="22.32"/>
    <n v="43.7"/>
    <s v="Thriller"/>
    <n v="10"/>
    <n v="4"/>
    <n v="0"/>
  </r>
  <r>
    <s v="U04012"/>
    <x v="0"/>
    <n v="62"/>
    <s v="Male"/>
    <x v="1"/>
    <x v="3"/>
    <n v="11.92"/>
    <n v="1"/>
    <n v="8.5"/>
    <n v="3.31"/>
    <n v="33.5"/>
    <s v="Thriller"/>
    <n v="6"/>
    <n v="2"/>
    <n v="0"/>
  </r>
  <r>
    <s v="U04013"/>
    <x v="11"/>
    <n v="26"/>
    <s v="Male"/>
    <x v="1"/>
    <x v="3"/>
    <n v="9.36"/>
    <n v="5"/>
    <n v="5.4"/>
    <n v="3.23"/>
    <n v="25.3"/>
    <s v="Comedy"/>
    <n v="11"/>
    <n v="0"/>
    <n v="1"/>
  </r>
  <r>
    <s v="U04014"/>
    <x v="8"/>
    <n v="59"/>
    <s v="Female"/>
    <x v="2"/>
    <x v="4"/>
    <n v="10.5"/>
    <n v="4"/>
    <n v="5.7"/>
    <n v="7.77"/>
    <n v="64.599999999999994"/>
    <s v="Family"/>
    <n v="1"/>
    <n v="3"/>
    <n v="0"/>
  </r>
  <r>
    <s v="U04015"/>
    <x v="4"/>
    <n v="49"/>
    <s v="Female"/>
    <x v="2"/>
    <x v="1"/>
    <n v="18.46"/>
    <n v="1"/>
    <n v="6.5"/>
    <n v="11.27"/>
    <n v="32.700000000000003"/>
    <s v="Family"/>
    <n v="4"/>
    <n v="4"/>
    <n v="0"/>
  </r>
  <r>
    <s v="U04016"/>
    <x v="1"/>
    <n v="50"/>
    <s v="Male"/>
    <x v="2"/>
    <x v="4"/>
    <n v="12.4"/>
    <n v="4"/>
    <n v="4.3"/>
    <n v="9.65"/>
    <n v="67.099999999999994"/>
    <s v="Action"/>
    <n v="4"/>
    <n v="4"/>
    <n v="0"/>
  </r>
  <r>
    <s v="U04017"/>
    <x v="8"/>
    <n v="20"/>
    <s v="Male"/>
    <x v="1"/>
    <x v="1"/>
    <n v="6.6"/>
    <n v="5"/>
    <n v="5.5"/>
    <n v="21.15"/>
    <n v="38.5"/>
    <s v="Action"/>
    <n v="3"/>
    <n v="0"/>
    <n v="0"/>
  </r>
  <r>
    <s v="U04018"/>
    <x v="11"/>
    <n v="47"/>
    <s v="Male"/>
    <x v="2"/>
    <x v="3"/>
    <n v="7.76"/>
    <n v="1"/>
    <n v="5.9"/>
    <n v="18.170000000000002"/>
    <n v="41.3"/>
    <s v="Thriller"/>
    <n v="8"/>
    <n v="1"/>
    <n v="0"/>
  </r>
  <r>
    <s v="U04019"/>
    <x v="11"/>
    <n v="67"/>
    <s v="Female"/>
    <x v="2"/>
    <x v="1"/>
    <n v="12.45"/>
    <n v="4"/>
    <n v="9.6"/>
    <n v="21.43"/>
    <n v="32.4"/>
    <s v="Thriller"/>
    <n v="6"/>
    <n v="2"/>
    <n v="0"/>
  </r>
  <r>
    <s v="U04020"/>
    <x v="7"/>
    <n v="29"/>
    <s v="Female"/>
    <x v="0"/>
    <x v="0"/>
    <n v="23.49"/>
    <n v="3"/>
    <n v="8.9"/>
    <n v="11.44"/>
    <n v="47.7"/>
    <s v="Family"/>
    <n v="7"/>
    <n v="0"/>
    <n v="0"/>
  </r>
  <r>
    <s v="U04021"/>
    <x v="2"/>
    <n v="46"/>
    <s v="Male"/>
    <x v="2"/>
    <x v="4"/>
    <n v="12.58"/>
    <n v="1"/>
    <n v="2.2000000000000002"/>
    <n v="16.11"/>
    <n v="24.6"/>
    <s v="Thriller"/>
    <n v="9"/>
    <n v="0"/>
    <n v="0"/>
  </r>
  <r>
    <s v="U04022"/>
    <x v="7"/>
    <n v="20"/>
    <s v="Male"/>
    <x v="1"/>
    <x v="4"/>
    <n v="6.21"/>
    <n v="4"/>
    <n v="1.4"/>
    <n v="14.34"/>
    <n v="38.799999999999997"/>
    <s v="Family"/>
    <n v="8"/>
    <n v="1"/>
    <n v="0"/>
  </r>
  <r>
    <s v="U04023"/>
    <x v="3"/>
    <n v="43"/>
    <s v="Female"/>
    <x v="1"/>
    <x v="4"/>
    <n v="13.36"/>
    <n v="3"/>
    <n v="7.1"/>
    <n v="13.44"/>
    <n v="80"/>
    <s v="Comedy"/>
    <n v="3"/>
    <n v="1"/>
    <n v="0"/>
  </r>
  <r>
    <s v="U04024"/>
    <x v="7"/>
    <n v="47"/>
    <s v="Female"/>
    <x v="1"/>
    <x v="2"/>
    <n v="18.38"/>
    <n v="1"/>
    <n v="1.4"/>
    <n v="9.34"/>
    <n v="29.4"/>
    <s v="Comedy"/>
    <n v="4"/>
    <n v="3"/>
    <n v="1"/>
  </r>
  <r>
    <s v="U04025"/>
    <x v="10"/>
    <n v="26"/>
    <s v="Male"/>
    <x v="0"/>
    <x v="2"/>
    <n v="16.87"/>
    <n v="4"/>
    <n v="1.5"/>
    <n v="18.600000000000001"/>
    <n v="95.2"/>
    <s v="Drama"/>
    <n v="1"/>
    <n v="1"/>
    <n v="0"/>
  </r>
  <r>
    <s v="U04026"/>
    <x v="1"/>
    <n v="43"/>
    <s v="Male"/>
    <x v="1"/>
    <x v="3"/>
    <n v="10.58"/>
    <n v="5"/>
    <n v="2.4"/>
    <n v="14.53"/>
    <n v="54.4"/>
    <s v="Action"/>
    <n v="4"/>
    <n v="1"/>
    <n v="0"/>
  </r>
  <r>
    <s v="U04027"/>
    <x v="0"/>
    <n v="19"/>
    <s v="Male"/>
    <x v="2"/>
    <x v="3"/>
    <n v="18.760000000000002"/>
    <n v="1"/>
    <n v="4.2"/>
    <n v="4.7300000000000004"/>
    <n v="19.600000000000001"/>
    <s v="Drama"/>
    <n v="9"/>
    <n v="2"/>
    <n v="1"/>
  </r>
  <r>
    <s v="U04028"/>
    <x v="8"/>
    <n v="20"/>
    <s v="Female"/>
    <x v="0"/>
    <x v="2"/>
    <n v="17.61"/>
    <n v="1"/>
    <n v="4.9000000000000004"/>
    <n v="3.01"/>
    <n v="94.9"/>
    <s v="Comedy"/>
    <n v="5"/>
    <n v="2"/>
    <n v="0"/>
  </r>
  <r>
    <s v="U04029"/>
    <x v="11"/>
    <n v="63"/>
    <s v="Male"/>
    <x v="1"/>
    <x v="4"/>
    <n v="8.44"/>
    <n v="3"/>
    <n v="5.7"/>
    <n v="3.45"/>
    <n v="51.1"/>
    <s v="Thriller"/>
    <n v="3"/>
    <n v="2"/>
    <n v="0"/>
  </r>
  <r>
    <s v="U04030"/>
    <x v="3"/>
    <n v="21"/>
    <s v="Female"/>
    <x v="2"/>
    <x v="2"/>
    <n v="8.24"/>
    <n v="4"/>
    <n v="9.9"/>
    <n v="4.67"/>
    <n v="60.1"/>
    <s v="Action"/>
    <n v="2"/>
    <n v="0"/>
    <n v="0"/>
  </r>
  <r>
    <s v="U04031"/>
    <x v="3"/>
    <n v="42"/>
    <s v="Female"/>
    <x v="1"/>
    <x v="1"/>
    <n v="15.94"/>
    <n v="5"/>
    <n v="4.5"/>
    <n v="11.16"/>
    <n v="26.7"/>
    <s v="Action"/>
    <n v="6"/>
    <n v="2"/>
    <n v="0"/>
  </r>
  <r>
    <s v="U04032"/>
    <x v="0"/>
    <n v="68"/>
    <s v="Male"/>
    <x v="1"/>
    <x v="4"/>
    <n v="18.190000000000001"/>
    <n v="3"/>
    <n v="3.2"/>
    <n v="9.7200000000000006"/>
    <n v="40"/>
    <s v="Drama"/>
    <n v="4"/>
    <n v="2"/>
    <n v="0"/>
  </r>
  <r>
    <s v="U04033"/>
    <x v="1"/>
    <n v="30"/>
    <s v="Male"/>
    <x v="1"/>
    <x v="2"/>
    <n v="24.24"/>
    <n v="1"/>
    <n v="6.2"/>
    <n v="6.45"/>
    <n v="73.3"/>
    <s v="Action"/>
    <n v="6"/>
    <n v="4"/>
    <n v="0"/>
  </r>
  <r>
    <s v="U04034"/>
    <x v="8"/>
    <n v="56"/>
    <s v="Female"/>
    <x v="1"/>
    <x v="3"/>
    <n v="13.44"/>
    <n v="3"/>
    <n v="2.9"/>
    <n v="14.34"/>
    <n v="21.2"/>
    <s v="Comedy"/>
    <n v="3"/>
    <n v="2"/>
    <n v="1"/>
  </r>
  <r>
    <s v="U04035"/>
    <x v="6"/>
    <n v="61"/>
    <s v="Male"/>
    <x v="1"/>
    <x v="2"/>
    <n v="20.3"/>
    <n v="3"/>
    <n v="9.5"/>
    <n v="24.34"/>
    <n v="61.3"/>
    <s v="Thriller"/>
    <n v="3"/>
    <n v="0"/>
    <n v="0"/>
  </r>
  <r>
    <s v="U04036"/>
    <x v="9"/>
    <n v="52"/>
    <s v="Female"/>
    <x v="2"/>
    <x v="0"/>
    <n v="7.33"/>
    <n v="3"/>
    <n v="3.3"/>
    <n v="6.54"/>
    <n v="72.400000000000006"/>
    <s v="Drama"/>
    <n v="1"/>
    <n v="4"/>
    <n v="0"/>
  </r>
  <r>
    <s v="U04037"/>
    <x v="7"/>
    <n v="40"/>
    <s v="Male"/>
    <x v="1"/>
    <x v="2"/>
    <n v="22.79"/>
    <n v="1"/>
    <n v="9.9"/>
    <n v="8.51"/>
    <n v="10.199999999999999"/>
    <s v="Thriller"/>
    <n v="9"/>
    <n v="0"/>
    <n v="0"/>
  </r>
  <r>
    <s v="U04038"/>
    <x v="9"/>
    <n v="26"/>
    <s v="Male"/>
    <x v="2"/>
    <x v="4"/>
    <n v="17.66"/>
    <n v="2"/>
    <n v="4.8"/>
    <n v="13.17"/>
    <n v="85.4"/>
    <s v="Drama"/>
    <n v="7"/>
    <n v="0"/>
    <n v="0"/>
  </r>
  <r>
    <s v="U04039"/>
    <x v="9"/>
    <n v="19"/>
    <s v="Male"/>
    <x v="1"/>
    <x v="2"/>
    <n v="17.579999999999998"/>
    <n v="3"/>
    <n v="8.3000000000000007"/>
    <n v="17.100000000000001"/>
    <n v="15.1"/>
    <s v="Family"/>
    <n v="9"/>
    <n v="4"/>
    <n v="0"/>
  </r>
  <r>
    <s v="U04040"/>
    <x v="4"/>
    <n v="58"/>
    <s v="Male"/>
    <x v="1"/>
    <x v="3"/>
    <n v="7.85"/>
    <n v="2"/>
    <n v="6.8"/>
    <n v="16.21"/>
    <n v="32.200000000000003"/>
    <s v="Action"/>
    <n v="11"/>
    <n v="4"/>
    <n v="0"/>
  </r>
  <r>
    <s v="U04041"/>
    <x v="9"/>
    <n v="61"/>
    <s v="Female"/>
    <x v="1"/>
    <x v="1"/>
    <n v="5.79"/>
    <n v="5"/>
    <n v="9.4"/>
    <n v="14.47"/>
    <n v="96.7"/>
    <s v="Family"/>
    <n v="1"/>
    <n v="4"/>
    <n v="0"/>
  </r>
  <r>
    <s v="U04042"/>
    <x v="3"/>
    <n v="48"/>
    <s v="Female"/>
    <x v="2"/>
    <x v="0"/>
    <n v="19.03"/>
    <n v="5"/>
    <n v="6.6"/>
    <n v="19.22"/>
    <n v="17.3"/>
    <s v="Action"/>
    <n v="8"/>
    <n v="4"/>
    <n v="0"/>
  </r>
  <r>
    <s v="U04043"/>
    <x v="7"/>
    <n v="61"/>
    <s v="Female"/>
    <x v="1"/>
    <x v="4"/>
    <n v="7.34"/>
    <n v="5"/>
    <n v="6.2"/>
    <n v="21.61"/>
    <n v="84.3"/>
    <s v="Family"/>
    <n v="2"/>
    <n v="0"/>
    <n v="1"/>
  </r>
  <r>
    <s v="U04044"/>
    <x v="7"/>
    <n v="64"/>
    <s v="Male"/>
    <x v="0"/>
    <x v="3"/>
    <n v="7.54"/>
    <n v="4"/>
    <n v="6.9"/>
    <n v="24.98"/>
    <n v="68.7"/>
    <s v="Thriller"/>
    <n v="3"/>
    <n v="4"/>
    <n v="0"/>
  </r>
  <r>
    <s v="U04045"/>
    <x v="10"/>
    <n v="19"/>
    <s v="Female"/>
    <x v="0"/>
    <x v="0"/>
    <n v="8.75"/>
    <n v="1"/>
    <n v="8.1"/>
    <n v="13.24"/>
    <n v="63.9"/>
    <s v="Comedy"/>
    <n v="1"/>
    <n v="1"/>
    <n v="0"/>
  </r>
  <r>
    <s v="U04046"/>
    <x v="1"/>
    <n v="49"/>
    <s v="Female"/>
    <x v="0"/>
    <x v="2"/>
    <n v="6.95"/>
    <n v="2"/>
    <n v="9.1"/>
    <n v="24.89"/>
    <n v="62.4"/>
    <s v="Drama"/>
    <n v="7"/>
    <n v="2"/>
    <n v="0"/>
  </r>
  <r>
    <s v="U04047"/>
    <x v="4"/>
    <n v="35"/>
    <s v="Female"/>
    <x v="0"/>
    <x v="0"/>
    <n v="17.510000000000002"/>
    <n v="4"/>
    <n v="3.4"/>
    <n v="19.07"/>
    <n v="25"/>
    <s v="Action"/>
    <n v="11"/>
    <n v="2"/>
    <n v="1"/>
  </r>
  <r>
    <s v="U04048"/>
    <x v="9"/>
    <n v="30"/>
    <s v="Male"/>
    <x v="1"/>
    <x v="1"/>
    <n v="13.44"/>
    <n v="2"/>
    <n v="2.8"/>
    <n v="17.46"/>
    <n v="70.2"/>
    <s v="Drama"/>
    <n v="5"/>
    <n v="1"/>
    <n v="1"/>
  </r>
  <r>
    <s v="U04049"/>
    <x v="2"/>
    <n v="63"/>
    <s v="Female"/>
    <x v="0"/>
    <x v="0"/>
    <n v="10.32"/>
    <n v="1"/>
    <n v="1.3"/>
    <n v="17.07"/>
    <n v="95.6"/>
    <s v="Comedy"/>
    <n v="11"/>
    <n v="0"/>
    <n v="0"/>
  </r>
  <r>
    <s v="U04050"/>
    <x v="6"/>
    <n v="22"/>
    <s v="Male"/>
    <x v="2"/>
    <x v="0"/>
    <n v="13.81"/>
    <n v="3"/>
    <n v="4.3"/>
    <n v="23.04"/>
    <n v="16.899999999999999"/>
    <s v="Family"/>
    <n v="3"/>
    <n v="0"/>
    <n v="0"/>
  </r>
  <r>
    <s v="U04051"/>
    <x v="11"/>
    <n v="59"/>
    <s v="Male"/>
    <x v="0"/>
    <x v="2"/>
    <n v="21.88"/>
    <n v="4"/>
    <n v="8.6"/>
    <n v="23.85"/>
    <n v="39.9"/>
    <s v="Thriller"/>
    <n v="4"/>
    <n v="2"/>
    <n v="1"/>
  </r>
  <r>
    <s v="U04052"/>
    <x v="10"/>
    <n v="61"/>
    <s v="Female"/>
    <x v="1"/>
    <x v="2"/>
    <n v="23.54"/>
    <n v="1"/>
    <n v="1.6"/>
    <n v="6.93"/>
    <n v="52.5"/>
    <s v="Drama"/>
    <n v="10"/>
    <n v="3"/>
    <n v="1"/>
  </r>
  <r>
    <s v="U04053"/>
    <x v="7"/>
    <n v="27"/>
    <s v="Male"/>
    <x v="1"/>
    <x v="4"/>
    <n v="14.75"/>
    <n v="4"/>
    <n v="5.8"/>
    <n v="13.86"/>
    <n v="30.9"/>
    <s v="Family"/>
    <n v="6"/>
    <n v="1"/>
    <n v="0"/>
  </r>
  <r>
    <s v="U04054"/>
    <x v="7"/>
    <n v="60"/>
    <s v="Female"/>
    <x v="0"/>
    <x v="2"/>
    <n v="16.34"/>
    <n v="5"/>
    <n v="7.3"/>
    <n v="23.71"/>
    <n v="76.7"/>
    <s v="Action"/>
    <n v="6"/>
    <n v="1"/>
    <n v="1"/>
  </r>
  <r>
    <s v="U04055"/>
    <x v="5"/>
    <n v="42"/>
    <s v="Female"/>
    <x v="2"/>
    <x v="0"/>
    <n v="10.14"/>
    <n v="4"/>
    <n v="8.5"/>
    <n v="11.41"/>
    <n v="72"/>
    <s v="Drama"/>
    <n v="2"/>
    <n v="2"/>
    <n v="1"/>
  </r>
  <r>
    <s v="U04056"/>
    <x v="4"/>
    <n v="51"/>
    <s v="Female"/>
    <x v="0"/>
    <x v="1"/>
    <n v="15.27"/>
    <n v="3"/>
    <n v="6.3"/>
    <n v="8.1199999999999992"/>
    <n v="20.6"/>
    <s v="Drama"/>
    <n v="7"/>
    <n v="4"/>
    <n v="0"/>
  </r>
  <r>
    <s v="U04057"/>
    <x v="9"/>
    <n v="54"/>
    <s v="Female"/>
    <x v="1"/>
    <x v="2"/>
    <n v="19.96"/>
    <n v="3"/>
    <n v="2.7"/>
    <n v="5.26"/>
    <n v="61.3"/>
    <s v="Action"/>
    <n v="2"/>
    <n v="3"/>
    <n v="0"/>
  </r>
  <r>
    <s v="U04058"/>
    <x v="4"/>
    <n v="47"/>
    <s v="Female"/>
    <x v="2"/>
    <x v="4"/>
    <n v="14.84"/>
    <n v="2"/>
    <n v="9.6999999999999993"/>
    <n v="16.14"/>
    <n v="43.2"/>
    <s v="Comedy"/>
    <n v="9"/>
    <n v="0"/>
    <n v="0"/>
  </r>
  <r>
    <s v="U04059"/>
    <x v="5"/>
    <n v="24"/>
    <s v="Male"/>
    <x v="1"/>
    <x v="4"/>
    <n v="11.04"/>
    <n v="4"/>
    <n v="1.9"/>
    <n v="18.41"/>
    <n v="30.6"/>
    <s v="Family"/>
    <n v="2"/>
    <n v="0"/>
    <n v="0"/>
  </r>
  <r>
    <s v="U04060"/>
    <x v="4"/>
    <n v="23"/>
    <s v="Female"/>
    <x v="0"/>
    <x v="0"/>
    <n v="16.64"/>
    <n v="5"/>
    <n v="7.9"/>
    <n v="7.3"/>
    <n v="86.3"/>
    <s v="Drama"/>
    <n v="5"/>
    <n v="0"/>
    <n v="0"/>
  </r>
  <r>
    <s v="U04061"/>
    <x v="7"/>
    <n v="20"/>
    <s v="Male"/>
    <x v="1"/>
    <x v="2"/>
    <n v="23.93"/>
    <n v="3"/>
    <n v="1.8"/>
    <n v="17.82"/>
    <n v="14.9"/>
    <s v="Family"/>
    <n v="8"/>
    <n v="0"/>
    <n v="1"/>
  </r>
  <r>
    <s v="U04062"/>
    <x v="3"/>
    <n v="30"/>
    <s v="Female"/>
    <x v="2"/>
    <x v="2"/>
    <n v="22.76"/>
    <n v="2"/>
    <n v="2.2999999999999998"/>
    <n v="22.79"/>
    <n v="52.1"/>
    <s v="Thriller"/>
    <n v="8"/>
    <n v="1"/>
    <n v="0"/>
  </r>
  <r>
    <s v="U04063"/>
    <x v="8"/>
    <n v="20"/>
    <s v="Female"/>
    <x v="2"/>
    <x v="4"/>
    <n v="20.38"/>
    <n v="5"/>
    <n v="9.1"/>
    <n v="8.36"/>
    <n v="52.8"/>
    <s v="Family"/>
    <n v="11"/>
    <n v="1"/>
    <n v="0"/>
  </r>
  <r>
    <s v="U04064"/>
    <x v="7"/>
    <n v="43"/>
    <s v="Female"/>
    <x v="2"/>
    <x v="2"/>
    <n v="10.52"/>
    <n v="5"/>
    <n v="7.8"/>
    <n v="5.68"/>
    <n v="61.3"/>
    <s v="Family"/>
    <n v="4"/>
    <n v="4"/>
    <n v="0"/>
  </r>
  <r>
    <s v="U04065"/>
    <x v="10"/>
    <n v="41"/>
    <s v="Male"/>
    <x v="1"/>
    <x v="0"/>
    <n v="9.83"/>
    <n v="5"/>
    <n v="4.3"/>
    <n v="21.38"/>
    <n v="27.8"/>
    <s v="Action"/>
    <n v="7"/>
    <n v="1"/>
    <n v="0"/>
  </r>
  <r>
    <s v="U04066"/>
    <x v="1"/>
    <n v="23"/>
    <s v="Male"/>
    <x v="2"/>
    <x v="1"/>
    <n v="21.77"/>
    <n v="1"/>
    <n v="6.7"/>
    <n v="23.16"/>
    <n v="88.4"/>
    <s v="Family"/>
    <n v="8"/>
    <n v="4"/>
    <n v="0"/>
  </r>
  <r>
    <s v="U04067"/>
    <x v="5"/>
    <n v="60"/>
    <s v="Male"/>
    <x v="0"/>
    <x v="0"/>
    <n v="8.6300000000000008"/>
    <n v="3"/>
    <n v="5.0999999999999996"/>
    <n v="7.73"/>
    <n v="96.9"/>
    <s v="Comedy"/>
    <n v="8"/>
    <n v="4"/>
    <n v="0"/>
  </r>
  <r>
    <s v="U04068"/>
    <x v="6"/>
    <n v="66"/>
    <s v="Male"/>
    <x v="0"/>
    <x v="2"/>
    <n v="17.11"/>
    <n v="1"/>
    <n v="1.6"/>
    <n v="18.87"/>
    <n v="59.4"/>
    <s v="Family"/>
    <n v="5"/>
    <n v="0"/>
    <n v="0"/>
  </r>
  <r>
    <s v="U04069"/>
    <x v="11"/>
    <n v="59"/>
    <s v="Female"/>
    <x v="2"/>
    <x v="0"/>
    <n v="13.78"/>
    <n v="1"/>
    <n v="7.5"/>
    <n v="16"/>
    <n v="33.1"/>
    <s v="Thriller"/>
    <n v="10"/>
    <n v="0"/>
    <n v="0"/>
  </r>
  <r>
    <s v="U04070"/>
    <x v="6"/>
    <n v="29"/>
    <s v="Female"/>
    <x v="0"/>
    <x v="3"/>
    <n v="14.36"/>
    <n v="3"/>
    <n v="7.9"/>
    <n v="8.26"/>
    <n v="88.9"/>
    <s v="Family"/>
    <n v="2"/>
    <n v="1"/>
    <n v="0"/>
  </r>
  <r>
    <s v="U04071"/>
    <x v="7"/>
    <n v="66"/>
    <s v="Male"/>
    <x v="0"/>
    <x v="3"/>
    <n v="14.09"/>
    <n v="4"/>
    <n v="8.9"/>
    <n v="21.12"/>
    <n v="98.9"/>
    <s v="Action"/>
    <n v="2"/>
    <n v="1"/>
    <n v="1"/>
  </r>
  <r>
    <s v="U04072"/>
    <x v="10"/>
    <n v="53"/>
    <s v="Male"/>
    <x v="0"/>
    <x v="2"/>
    <n v="23"/>
    <n v="2"/>
    <n v="5.9"/>
    <n v="13.35"/>
    <n v="76.8"/>
    <s v="Thriller"/>
    <n v="5"/>
    <n v="4"/>
    <n v="0"/>
  </r>
  <r>
    <s v="U04073"/>
    <x v="9"/>
    <n v="19"/>
    <s v="Male"/>
    <x v="1"/>
    <x v="2"/>
    <n v="6.74"/>
    <n v="3"/>
    <n v="7.1"/>
    <n v="18.41"/>
    <n v="40"/>
    <s v="Action"/>
    <n v="4"/>
    <n v="2"/>
    <n v="0"/>
  </r>
  <r>
    <s v="U04074"/>
    <x v="7"/>
    <n v="28"/>
    <s v="Female"/>
    <x v="2"/>
    <x v="1"/>
    <n v="20.66"/>
    <n v="2"/>
    <n v="4.9000000000000004"/>
    <n v="9.6300000000000008"/>
    <n v="31.2"/>
    <s v="Comedy"/>
    <n v="4"/>
    <n v="0"/>
    <n v="0"/>
  </r>
  <r>
    <s v="U04075"/>
    <x v="1"/>
    <n v="56"/>
    <s v="Male"/>
    <x v="1"/>
    <x v="0"/>
    <n v="21.7"/>
    <n v="4"/>
    <n v="3.9"/>
    <n v="20.95"/>
    <n v="24.1"/>
    <s v="Comedy"/>
    <n v="3"/>
    <n v="3"/>
    <n v="0"/>
  </r>
  <r>
    <s v="U04076"/>
    <x v="3"/>
    <n v="51"/>
    <s v="Male"/>
    <x v="0"/>
    <x v="1"/>
    <n v="23.86"/>
    <n v="3"/>
    <n v="4.7"/>
    <n v="8.81"/>
    <n v="31.1"/>
    <s v="Action"/>
    <n v="9"/>
    <n v="2"/>
    <n v="0"/>
  </r>
  <r>
    <s v="U04077"/>
    <x v="2"/>
    <n v="43"/>
    <s v="Female"/>
    <x v="1"/>
    <x v="2"/>
    <n v="14.05"/>
    <n v="5"/>
    <n v="9.1999999999999993"/>
    <n v="11.03"/>
    <n v="30.5"/>
    <s v="Comedy"/>
    <n v="8"/>
    <n v="0"/>
    <n v="0"/>
  </r>
  <r>
    <s v="U04078"/>
    <x v="11"/>
    <n v="35"/>
    <s v="Male"/>
    <x v="2"/>
    <x v="2"/>
    <n v="15"/>
    <n v="3"/>
    <n v="2.5"/>
    <n v="11.61"/>
    <n v="97.1"/>
    <s v="Action"/>
    <n v="4"/>
    <n v="0"/>
    <n v="0"/>
  </r>
  <r>
    <s v="U04079"/>
    <x v="1"/>
    <n v="38"/>
    <s v="Female"/>
    <x v="2"/>
    <x v="4"/>
    <n v="24.23"/>
    <n v="4"/>
    <n v="3.2"/>
    <n v="7.54"/>
    <n v="67.900000000000006"/>
    <s v="Drama"/>
    <n v="7"/>
    <n v="1"/>
    <n v="0"/>
  </r>
  <r>
    <s v="U04080"/>
    <x v="5"/>
    <n v="53"/>
    <s v="Female"/>
    <x v="1"/>
    <x v="1"/>
    <n v="14.17"/>
    <n v="1"/>
    <n v="6.5"/>
    <n v="22.24"/>
    <n v="25"/>
    <s v="Family"/>
    <n v="8"/>
    <n v="3"/>
    <n v="0"/>
  </r>
  <r>
    <s v="U04081"/>
    <x v="9"/>
    <n v="57"/>
    <s v="Female"/>
    <x v="2"/>
    <x v="2"/>
    <n v="15.07"/>
    <n v="3"/>
    <n v="2"/>
    <n v="5.5"/>
    <n v="53.9"/>
    <s v="Drama"/>
    <n v="6"/>
    <n v="3"/>
    <n v="0"/>
  </r>
  <r>
    <s v="U04082"/>
    <x v="5"/>
    <n v="69"/>
    <s v="Female"/>
    <x v="2"/>
    <x v="3"/>
    <n v="11.65"/>
    <n v="5"/>
    <n v="9"/>
    <n v="15.39"/>
    <n v="26.6"/>
    <s v="Comedy"/>
    <n v="2"/>
    <n v="0"/>
    <n v="0"/>
  </r>
  <r>
    <s v="U04083"/>
    <x v="7"/>
    <n v="63"/>
    <s v="Female"/>
    <x v="0"/>
    <x v="4"/>
    <n v="5.63"/>
    <n v="3"/>
    <n v="1.4"/>
    <n v="20.91"/>
    <n v="64.5"/>
    <s v="Action"/>
    <n v="8"/>
    <n v="4"/>
    <n v="0"/>
  </r>
  <r>
    <s v="U04084"/>
    <x v="10"/>
    <n v="61"/>
    <s v="Male"/>
    <x v="0"/>
    <x v="0"/>
    <n v="13.66"/>
    <n v="1"/>
    <n v="7.8"/>
    <n v="15.78"/>
    <n v="40.700000000000003"/>
    <s v="Action"/>
    <n v="3"/>
    <n v="3"/>
    <n v="0"/>
  </r>
  <r>
    <s v="U04085"/>
    <x v="1"/>
    <n v="39"/>
    <s v="Male"/>
    <x v="0"/>
    <x v="4"/>
    <n v="18.100000000000001"/>
    <n v="3"/>
    <n v="4.4000000000000004"/>
    <n v="10.19"/>
    <n v="27.6"/>
    <s v="Action"/>
    <n v="4"/>
    <n v="2"/>
    <n v="0"/>
  </r>
  <r>
    <s v="U04086"/>
    <x v="0"/>
    <n v="47"/>
    <s v="Female"/>
    <x v="2"/>
    <x v="0"/>
    <n v="18.8"/>
    <n v="5"/>
    <n v="1.5"/>
    <n v="20.190000000000001"/>
    <n v="31.9"/>
    <s v="Action"/>
    <n v="4"/>
    <n v="4"/>
    <n v="0"/>
  </r>
  <r>
    <s v="U04087"/>
    <x v="9"/>
    <n v="67"/>
    <s v="Female"/>
    <x v="0"/>
    <x v="3"/>
    <n v="5.13"/>
    <n v="4"/>
    <n v="8.6"/>
    <n v="13.98"/>
    <n v="70.8"/>
    <s v="Family"/>
    <n v="7"/>
    <n v="1"/>
    <n v="0"/>
  </r>
  <r>
    <s v="U04088"/>
    <x v="10"/>
    <n v="60"/>
    <s v="Male"/>
    <x v="1"/>
    <x v="0"/>
    <n v="21.02"/>
    <n v="5"/>
    <n v="6.8"/>
    <n v="6.59"/>
    <n v="46.7"/>
    <s v="Thriller"/>
    <n v="8"/>
    <n v="0"/>
    <n v="0"/>
  </r>
  <r>
    <s v="U04089"/>
    <x v="3"/>
    <n v="47"/>
    <s v="Male"/>
    <x v="0"/>
    <x v="1"/>
    <n v="14.85"/>
    <n v="4"/>
    <n v="1.1000000000000001"/>
    <n v="9.9700000000000006"/>
    <n v="56.2"/>
    <s v="Drama"/>
    <n v="9"/>
    <n v="0"/>
    <n v="0"/>
  </r>
  <r>
    <s v="U04090"/>
    <x v="9"/>
    <n v="25"/>
    <s v="Female"/>
    <x v="2"/>
    <x v="0"/>
    <n v="15.41"/>
    <n v="5"/>
    <n v="3.4"/>
    <n v="16.02"/>
    <n v="83.9"/>
    <s v="Comedy"/>
    <n v="1"/>
    <n v="2"/>
    <n v="0"/>
  </r>
  <r>
    <s v="U04091"/>
    <x v="5"/>
    <n v="51"/>
    <s v="Male"/>
    <x v="1"/>
    <x v="0"/>
    <n v="24.23"/>
    <n v="2"/>
    <n v="4.2"/>
    <n v="17.489999999999998"/>
    <n v="69"/>
    <s v="Action"/>
    <n v="1"/>
    <n v="2"/>
    <n v="0"/>
  </r>
  <r>
    <s v="U04092"/>
    <x v="9"/>
    <n v="64"/>
    <s v="Male"/>
    <x v="2"/>
    <x v="4"/>
    <n v="10.69"/>
    <n v="3"/>
    <n v="3.9"/>
    <n v="15.06"/>
    <n v="51.6"/>
    <s v="Drama"/>
    <n v="7"/>
    <n v="1"/>
    <n v="0"/>
  </r>
  <r>
    <s v="U04093"/>
    <x v="2"/>
    <n v="26"/>
    <s v="Female"/>
    <x v="2"/>
    <x v="3"/>
    <n v="20.23"/>
    <n v="3"/>
    <n v="5.5"/>
    <n v="8.98"/>
    <n v="95.9"/>
    <s v="Thriller"/>
    <n v="4"/>
    <n v="1"/>
    <n v="0"/>
  </r>
  <r>
    <s v="U04094"/>
    <x v="7"/>
    <n v="68"/>
    <s v="Male"/>
    <x v="0"/>
    <x v="0"/>
    <n v="16.5"/>
    <n v="1"/>
    <n v="5.7"/>
    <n v="16.059999999999999"/>
    <n v="29.3"/>
    <s v="Drama"/>
    <n v="10"/>
    <n v="3"/>
    <n v="1"/>
  </r>
  <r>
    <s v="U04095"/>
    <x v="4"/>
    <n v="37"/>
    <s v="Male"/>
    <x v="1"/>
    <x v="1"/>
    <n v="19.02"/>
    <n v="2"/>
    <n v="4.5999999999999996"/>
    <n v="10.31"/>
    <n v="36"/>
    <s v="Comedy"/>
    <n v="8"/>
    <n v="4"/>
    <n v="1"/>
  </r>
  <r>
    <s v="U04096"/>
    <x v="5"/>
    <n v="57"/>
    <s v="Male"/>
    <x v="0"/>
    <x v="4"/>
    <n v="13.36"/>
    <n v="1"/>
    <n v="4"/>
    <n v="7.95"/>
    <n v="92"/>
    <s v="Action"/>
    <n v="5"/>
    <n v="0"/>
    <n v="0"/>
  </r>
  <r>
    <s v="U04097"/>
    <x v="2"/>
    <n v="42"/>
    <s v="Male"/>
    <x v="2"/>
    <x v="3"/>
    <n v="10.58"/>
    <n v="3"/>
    <n v="5.5"/>
    <n v="23.8"/>
    <n v="86.8"/>
    <s v="Comedy"/>
    <n v="1"/>
    <n v="3"/>
    <n v="0"/>
  </r>
  <r>
    <s v="U04098"/>
    <x v="11"/>
    <n v="36"/>
    <s v="Female"/>
    <x v="1"/>
    <x v="3"/>
    <n v="15.92"/>
    <n v="1"/>
    <n v="1.3"/>
    <n v="9.93"/>
    <n v="21.7"/>
    <s v="Action"/>
    <n v="2"/>
    <n v="1"/>
    <n v="0"/>
  </r>
  <r>
    <s v="U04099"/>
    <x v="8"/>
    <n v="22"/>
    <s v="Male"/>
    <x v="0"/>
    <x v="2"/>
    <n v="12.5"/>
    <n v="4"/>
    <n v="6.8"/>
    <n v="10.38"/>
    <n v="93.7"/>
    <s v="Thriller"/>
    <n v="10"/>
    <n v="2"/>
    <n v="0"/>
  </r>
  <r>
    <s v="U04100"/>
    <x v="4"/>
    <n v="28"/>
    <s v="Female"/>
    <x v="0"/>
    <x v="1"/>
    <n v="9.4600000000000009"/>
    <n v="2"/>
    <n v="6.5"/>
    <n v="22.73"/>
    <n v="10.9"/>
    <s v="Comedy"/>
    <n v="3"/>
    <n v="3"/>
    <n v="0"/>
  </r>
  <r>
    <s v="U04101"/>
    <x v="7"/>
    <n v="32"/>
    <s v="Male"/>
    <x v="1"/>
    <x v="4"/>
    <n v="21.78"/>
    <n v="5"/>
    <n v="3.5"/>
    <n v="6.14"/>
    <n v="84"/>
    <s v="Drama"/>
    <n v="2"/>
    <n v="2"/>
    <n v="1"/>
  </r>
  <r>
    <s v="U04102"/>
    <x v="0"/>
    <n v="25"/>
    <s v="Female"/>
    <x v="2"/>
    <x v="4"/>
    <n v="14.52"/>
    <n v="4"/>
    <n v="2.6"/>
    <n v="15.86"/>
    <n v="35.1"/>
    <s v="Thriller"/>
    <n v="9"/>
    <n v="4"/>
    <n v="1"/>
  </r>
  <r>
    <s v="U04103"/>
    <x v="4"/>
    <n v="36"/>
    <s v="Female"/>
    <x v="1"/>
    <x v="1"/>
    <n v="21.95"/>
    <n v="5"/>
    <n v="1.7"/>
    <n v="20.239999999999998"/>
    <n v="27"/>
    <s v="Comedy"/>
    <n v="7"/>
    <n v="2"/>
    <n v="0"/>
  </r>
  <r>
    <s v="U04104"/>
    <x v="11"/>
    <n v="40"/>
    <s v="Male"/>
    <x v="2"/>
    <x v="3"/>
    <n v="14.48"/>
    <n v="1"/>
    <n v="6.3"/>
    <n v="9.02"/>
    <n v="50.4"/>
    <s v="Action"/>
    <n v="2"/>
    <n v="0"/>
    <n v="1"/>
  </r>
  <r>
    <s v="U04105"/>
    <x v="10"/>
    <n v="44"/>
    <s v="Female"/>
    <x v="1"/>
    <x v="0"/>
    <n v="16.14"/>
    <n v="3"/>
    <n v="6.1"/>
    <n v="21.57"/>
    <n v="90.7"/>
    <s v="Thriller"/>
    <n v="7"/>
    <n v="4"/>
    <n v="0"/>
  </r>
  <r>
    <s v="U04106"/>
    <x v="0"/>
    <n v="57"/>
    <s v="Female"/>
    <x v="0"/>
    <x v="1"/>
    <n v="24.91"/>
    <n v="4"/>
    <n v="5.8"/>
    <n v="19.93"/>
    <n v="80.7"/>
    <s v="Action"/>
    <n v="10"/>
    <n v="2"/>
    <n v="0"/>
  </r>
  <r>
    <s v="U04107"/>
    <x v="5"/>
    <n v="49"/>
    <s v="Female"/>
    <x v="2"/>
    <x v="4"/>
    <n v="24.03"/>
    <n v="2"/>
    <n v="9.9"/>
    <n v="13.69"/>
    <n v="97"/>
    <s v="Family"/>
    <n v="1"/>
    <n v="3"/>
    <n v="0"/>
  </r>
  <r>
    <s v="U04108"/>
    <x v="0"/>
    <n v="43"/>
    <s v="Female"/>
    <x v="0"/>
    <x v="1"/>
    <n v="10.43"/>
    <n v="5"/>
    <n v="5.8"/>
    <n v="5.61"/>
    <n v="58.7"/>
    <s v="Drama"/>
    <n v="5"/>
    <n v="0"/>
    <n v="0"/>
  </r>
  <r>
    <s v="U04109"/>
    <x v="1"/>
    <n v="44"/>
    <s v="Female"/>
    <x v="2"/>
    <x v="3"/>
    <n v="22.37"/>
    <n v="4"/>
    <n v="7.5"/>
    <n v="24.34"/>
    <n v="56"/>
    <s v="Action"/>
    <n v="5"/>
    <n v="0"/>
    <n v="1"/>
  </r>
  <r>
    <s v="U04110"/>
    <x v="11"/>
    <n v="36"/>
    <s v="Male"/>
    <x v="1"/>
    <x v="2"/>
    <n v="12.81"/>
    <n v="3"/>
    <n v="2"/>
    <n v="16.73"/>
    <n v="11.2"/>
    <s v="Comedy"/>
    <n v="9"/>
    <n v="1"/>
    <n v="0"/>
  </r>
  <r>
    <s v="U04111"/>
    <x v="9"/>
    <n v="67"/>
    <s v="Female"/>
    <x v="0"/>
    <x v="2"/>
    <n v="6.42"/>
    <n v="2"/>
    <n v="3.7"/>
    <n v="14.38"/>
    <n v="26.3"/>
    <s v="Family"/>
    <n v="4"/>
    <n v="1"/>
    <n v="0"/>
  </r>
  <r>
    <s v="U04112"/>
    <x v="2"/>
    <n v="59"/>
    <s v="Female"/>
    <x v="1"/>
    <x v="0"/>
    <n v="16.52"/>
    <n v="2"/>
    <n v="3.5"/>
    <n v="22.48"/>
    <n v="54.8"/>
    <s v="Thriller"/>
    <n v="4"/>
    <n v="3"/>
    <n v="1"/>
  </r>
  <r>
    <s v="U04113"/>
    <x v="4"/>
    <n v="46"/>
    <s v="Male"/>
    <x v="2"/>
    <x v="0"/>
    <n v="24.54"/>
    <n v="5"/>
    <n v="6.2"/>
    <n v="12.27"/>
    <n v="77.7"/>
    <s v="Comedy"/>
    <n v="6"/>
    <n v="1"/>
    <n v="0"/>
  </r>
  <r>
    <s v="U04114"/>
    <x v="1"/>
    <n v="56"/>
    <s v="Male"/>
    <x v="2"/>
    <x v="3"/>
    <n v="24.49"/>
    <n v="4"/>
    <n v="4"/>
    <n v="15.4"/>
    <n v="84"/>
    <s v="Thriller"/>
    <n v="11"/>
    <n v="2"/>
    <n v="0"/>
  </r>
  <r>
    <s v="U04115"/>
    <x v="0"/>
    <n v="58"/>
    <s v="Female"/>
    <x v="0"/>
    <x v="0"/>
    <n v="7.53"/>
    <n v="4"/>
    <n v="6.8"/>
    <n v="21.89"/>
    <n v="35.5"/>
    <s v="Family"/>
    <n v="2"/>
    <n v="1"/>
    <n v="0"/>
  </r>
  <r>
    <s v="U04116"/>
    <x v="1"/>
    <n v="50"/>
    <s v="Male"/>
    <x v="0"/>
    <x v="2"/>
    <n v="20.420000000000002"/>
    <n v="2"/>
    <n v="7.2"/>
    <n v="11.65"/>
    <n v="74.099999999999994"/>
    <s v="Comedy"/>
    <n v="10"/>
    <n v="0"/>
    <n v="1"/>
  </r>
  <r>
    <s v="U04117"/>
    <x v="6"/>
    <n v="36"/>
    <s v="Male"/>
    <x v="1"/>
    <x v="3"/>
    <n v="21.06"/>
    <n v="1"/>
    <n v="1.3"/>
    <n v="19.989999999999998"/>
    <n v="84.6"/>
    <s v="Action"/>
    <n v="6"/>
    <n v="3"/>
    <n v="1"/>
  </r>
  <r>
    <s v="U04118"/>
    <x v="11"/>
    <n v="54"/>
    <s v="Male"/>
    <x v="1"/>
    <x v="3"/>
    <n v="12.37"/>
    <n v="2"/>
    <n v="6.8"/>
    <n v="8.64"/>
    <n v="43.7"/>
    <s v="Comedy"/>
    <n v="7"/>
    <n v="2"/>
    <n v="1"/>
  </r>
  <r>
    <s v="U04119"/>
    <x v="2"/>
    <n v="36"/>
    <s v="Male"/>
    <x v="2"/>
    <x v="3"/>
    <n v="18.170000000000002"/>
    <n v="3"/>
    <n v="2.1"/>
    <n v="18.45"/>
    <n v="72.599999999999994"/>
    <s v="Drama"/>
    <n v="4"/>
    <n v="0"/>
    <n v="0"/>
  </r>
  <r>
    <s v="U04120"/>
    <x v="3"/>
    <n v="50"/>
    <s v="Male"/>
    <x v="0"/>
    <x v="1"/>
    <n v="14.76"/>
    <n v="4"/>
    <n v="5.2"/>
    <n v="14.23"/>
    <n v="49.4"/>
    <s v="Action"/>
    <n v="10"/>
    <n v="0"/>
    <n v="0"/>
  </r>
  <r>
    <s v="U04121"/>
    <x v="10"/>
    <n v="64"/>
    <s v="Male"/>
    <x v="2"/>
    <x v="0"/>
    <n v="9.56"/>
    <n v="5"/>
    <n v="7.5"/>
    <n v="6.63"/>
    <n v="98.7"/>
    <s v="Drama"/>
    <n v="9"/>
    <n v="4"/>
    <n v="0"/>
  </r>
  <r>
    <s v="U04122"/>
    <x v="0"/>
    <n v="33"/>
    <s v="Female"/>
    <x v="1"/>
    <x v="4"/>
    <n v="20.23"/>
    <n v="4"/>
    <n v="7.3"/>
    <n v="5.99"/>
    <n v="10.6"/>
    <s v="Comedy"/>
    <n v="5"/>
    <n v="1"/>
    <n v="0"/>
  </r>
  <r>
    <s v="U04123"/>
    <x v="11"/>
    <n v="40"/>
    <s v="Female"/>
    <x v="2"/>
    <x v="2"/>
    <n v="10.26"/>
    <n v="2"/>
    <n v="3.7"/>
    <n v="13.07"/>
    <n v="47.3"/>
    <s v="Comedy"/>
    <n v="3"/>
    <n v="2"/>
    <n v="0"/>
  </r>
  <r>
    <s v="U04124"/>
    <x v="3"/>
    <n v="24"/>
    <s v="Male"/>
    <x v="1"/>
    <x v="0"/>
    <n v="11.81"/>
    <n v="3"/>
    <n v="3.5"/>
    <n v="18.64"/>
    <n v="33.700000000000003"/>
    <s v="Thriller"/>
    <n v="9"/>
    <n v="3"/>
    <n v="0"/>
  </r>
  <r>
    <s v="U04125"/>
    <x v="3"/>
    <n v="43"/>
    <s v="Male"/>
    <x v="1"/>
    <x v="2"/>
    <n v="8.8000000000000007"/>
    <n v="1"/>
    <n v="5"/>
    <n v="16.27"/>
    <n v="86.5"/>
    <s v="Comedy"/>
    <n v="1"/>
    <n v="3"/>
    <n v="0"/>
  </r>
  <r>
    <s v="U04126"/>
    <x v="7"/>
    <n v="49"/>
    <s v="Female"/>
    <x v="2"/>
    <x v="0"/>
    <n v="19.39"/>
    <n v="4"/>
    <n v="2.7"/>
    <n v="21.8"/>
    <n v="35.799999999999997"/>
    <s v="Action"/>
    <n v="8"/>
    <n v="3"/>
    <n v="0"/>
  </r>
  <r>
    <s v="U04127"/>
    <x v="2"/>
    <n v="29"/>
    <s v="Male"/>
    <x v="1"/>
    <x v="4"/>
    <n v="14.17"/>
    <n v="2"/>
    <n v="9.8000000000000007"/>
    <n v="11.57"/>
    <n v="58.9"/>
    <s v="Drama"/>
    <n v="1"/>
    <n v="4"/>
    <n v="0"/>
  </r>
  <r>
    <s v="U04128"/>
    <x v="1"/>
    <n v="25"/>
    <s v="Female"/>
    <x v="2"/>
    <x v="2"/>
    <n v="13.87"/>
    <n v="2"/>
    <n v="4.0999999999999996"/>
    <n v="21.56"/>
    <n v="76.599999999999994"/>
    <s v="Family"/>
    <n v="10"/>
    <n v="2"/>
    <n v="0"/>
  </r>
  <r>
    <s v="U04129"/>
    <x v="3"/>
    <n v="22"/>
    <s v="Male"/>
    <x v="2"/>
    <x v="4"/>
    <n v="17.09"/>
    <n v="2"/>
    <n v="9.3000000000000007"/>
    <n v="3.81"/>
    <n v="54.8"/>
    <s v="Drama"/>
    <n v="8"/>
    <n v="0"/>
    <n v="1"/>
  </r>
  <r>
    <s v="U04130"/>
    <x v="6"/>
    <n v="59"/>
    <s v="Female"/>
    <x v="1"/>
    <x v="2"/>
    <n v="8.15"/>
    <n v="3"/>
    <n v="9.1999999999999993"/>
    <n v="11.05"/>
    <n v="46.9"/>
    <s v="Thriller"/>
    <n v="5"/>
    <n v="4"/>
    <n v="0"/>
  </r>
  <r>
    <s v="U04131"/>
    <x v="11"/>
    <n v="45"/>
    <s v="Female"/>
    <x v="1"/>
    <x v="1"/>
    <n v="22.96"/>
    <n v="2"/>
    <n v="4.3"/>
    <n v="4.6100000000000003"/>
    <n v="13.8"/>
    <s v="Family"/>
    <n v="7"/>
    <n v="1"/>
    <n v="0"/>
  </r>
  <r>
    <s v="U04132"/>
    <x v="8"/>
    <n v="22"/>
    <s v="Male"/>
    <x v="0"/>
    <x v="1"/>
    <n v="14.3"/>
    <n v="2"/>
    <n v="3.3"/>
    <n v="23.22"/>
    <n v="12.1"/>
    <s v="Family"/>
    <n v="8"/>
    <n v="0"/>
    <n v="1"/>
  </r>
  <r>
    <s v="U04133"/>
    <x v="8"/>
    <n v="66"/>
    <s v="Male"/>
    <x v="0"/>
    <x v="2"/>
    <n v="12.33"/>
    <n v="2"/>
    <n v="7.9"/>
    <n v="13.46"/>
    <n v="96.2"/>
    <s v="Comedy"/>
    <n v="11"/>
    <n v="3"/>
    <n v="0"/>
  </r>
  <r>
    <s v="U04134"/>
    <x v="9"/>
    <n v="43"/>
    <s v="Male"/>
    <x v="0"/>
    <x v="2"/>
    <n v="7.53"/>
    <n v="4"/>
    <n v="3.1"/>
    <n v="9.9600000000000009"/>
    <n v="67.900000000000006"/>
    <s v="Thriller"/>
    <n v="1"/>
    <n v="1"/>
    <n v="0"/>
  </r>
  <r>
    <s v="U04135"/>
    <x v="9"/>
    <n v="22"/>
    <s v="Male"/>
    <x v="0"/>
    <x v="4"/>
    <n v="8.36"/>
    <n v="2"/>
    <n v="5.7"/>
    <n v="13.83"/>
    <n v="84.3"/>
    <s v="Thriller"/>
    <n v="1"/>
    <n v="2"/>
    <n v="0"/>
  </r>
  <r>
    <s v="U04136"/>
    <x v="0"/>
    <n v="39"/>
    <s v="Female"/>
    <x v="0"/>
    <x v="3"/>
    <n v="23.41"/>
    <n v="3"/>
    <n v="2"/>
    <n v="14.72"/>
    <n v="53.2"/>
    <s v="Comedy"/>
    <n v="7"/>
    <n v="2"/>
    <n v="0"/>
  </r>
  <r>
    <s v="U04137"/>
    <x v="9"/>
    <n v="32"/>
    <s v="Male"/>
    <x v="1"/>
    <x v="2"/>
    <n v="14.13"/>
    <n v="4"/>
    <n v="4.5"/>
    <n v="21.62"/>
    <n v="33.5"/>
    <s v="Action"/>
    <n v="1"/>
    <n v="4"/>
    <n v="0"/>
  </r>
  <r>
    <s v="U04138"/>
    <x v="5"/>
    <n v="30"/>
    <s v="Female"/>
    <x v="1"/>
    <x v="0"/>
    <n v="19.440000000000001"/>
    <n v="2"/>
    <n v="1.7"/>
    <n v="14.93"/>
    <n v="36.5"/>
    <s v="Comedy"/>
    <n v="4"/>
    <n v="2"/>
    <n v="1"/>
  </r>
  <r>
    <s v="U04139"/>
    <x v="1"/>
    <n v="45"/>
    <s v="Male"/>
    <x v="1"/>
    <x v="0"/>
    <n v="6.61"/>
    <n v="1"/>
    <n v="3.6"/>
    <n v="12.49"/>
    <n v="13.9"/>
    <s v="Thriller"/>
    <n v="6"/>
    <n v="3"/>
    <n v="0"/>
  </r>
  <r>
    <s v="U04140"/>
    <x v="5"/>
    <n v="50"/>
    <s v="Female"/>
    <x v="0"/>
    <x v="0"/>
    <n v="17.87"/>
    <n v="3"/>
    <n v="7"/>
    <n v="24.15"/>
    <n v="81.2"/>
    <s v="Family"/>
    <n v="2"/>
    <n v="4"/>
    <n v="0"/>
  </r>
  <r>
    <s v="U04141"/>
    <x v="3"/>
    <n v="60"/>
    <s v="Male"/>
    <x v="0"/>
    <x v="1"/>
    <n v="23.43"/>
    <n v="1"/>
    <n v="9.9"/>
    <n v="24.31"/>
    <n v="62.3"/>
    <s v="Action"/>
    <n v="10"/>
    <n v="4"/>
    <n v="0"/>
  </r>
  <r>
    <s v="U04142"/>
    <x v="11"/>
    <n v="40"/>
    <s v="Male"/>
    <x v="1"/>
    <x v="4"/>
    <n v="11"/>
    <n v="3"/>
    <n v="3.3"/>
    <n v="3.85"/>
    <n v="53.3"/>
    <s v="Thriller"/>
    <n v="5"/>
    <n v="3"/>
    <n v="1"/>
  </r>
  <r>
    <s v="U04143"/>
    <x v="0"/>
    <n v="50"/>
    <s v="Female"/>
    <x v="1"/>
    <x v="1"/>
    <n v="16.579999999999998"/>
    <n v="1"/>
    <n v="5.3"/>
    <n v="18.55"/>
    <n v="86.7"/>
    <s v="Thriller"/>
    <n v="10"/>
    <n v="2"/>
    <n v="0"/>
  </r>
  <r>
    <s v="U04144"/>
    <x v="4"/>
    <n v="60"/>
    <s v="Male"/>
    <x v="1"/>
    <x v="0"/>
    <n v="23.8"/>
    <n v="2"/>
    <n v="5"/>
    <n v="11.18"/>
    <n v="50"/>
    <s v="Comedy"/>
    <n v="10"/>
    <n v="1"/>
    <n v="0"/>
  </r>
  <r>
    <s v="U04145"/>
    <x v="3"/>
    <n v="35"/>
    <s v="Male"/>
    <x v="1"/>
    <x v="2"/>
    <n v="19.39"/>
    <n v="1"/>
    <n v="2.7"/>
    <n v="17.850000000000001"/>
    <n v="95.3"/>
    <s v="Drama"/>
    <n v="11"/>
    <n v="4"/>
    <n v="1"/>
  </r>
  <r>
    <s v="U04146"/>
    <x v="1"/>
    <n v="67"/>
    <s v="Male"/>
    <x v="2"/>
    <x v="0"/>
    <n v="6.25"/>
    <n v="1"/>
    <n v="6.5"/>
    <n v="17.010000000000002"/>
    <n v="11.2"/>
    <s v="Thriller"/>
    <n v="11"/>
    <n v="1"/>
    <n v="1"/>
  </r>
  <r>
    <s v="U04147"/>
    <x v="8"/>
    <n v="47"/>
    <s v="Male"/>
    <x v="1"/>
    <x v="2"/>
    <n v="12.57"/>
    <n v="3"/>
    <n v="7.5"/>
    <n v="10.26"/>
    <n v="98.6"/>
    <s v="Drama"/>
    <n v="10"/>
    <n v="1"/>
    <n v="0"/>
  </r>
  <r>
    <s v="U04148"/>
    <x v="2"/>
    <n v="43"/>
    <s v="Male"/>
    <x v="1"/>
    <x v="4"/>
    <n v="6.72"/>
    <n v="2"/>
    <n v="2.2999999999999998"/>
    <n v="24.71"/>
    <n v="83.4"/>
    <s v="Action"/>
    <n v="11"/>
    <n v="1"/>
    <n v="0"/>
  </r>
  <r>
    <s v="U04149"/>
    <x v="9"/>
    <n v="33"/>
    <s v="Female"/>
    <x v="2"/>
    <x v="3"/>
    <n v="22.23"/>
    <n v="3"/>
    <n v="7.8"/>
    <n v="10.86"/>
    <n v="41.9"/>
    <s v="Family"/>
    <n v="6"/>
    <n v="1"/>
    <n v="0"/>
  </r>
  <r>
    <s v="U04150"/>
    <x v="7"/>
    <n v="30"/>
    <s v="Male"/>
    <x v="2"/>
    <x v="2"/>
    <n v="17.43"/>
    <n v="2"/>
    <n v="7.3"/>
    <n v="16.899999999999999"/>
    <n v="63.6"/>
    <s v="Drama"/>
    <n v="5"/>
    <n v="3"/>
    <n v="0"/>
  </r>
  <r>
    <s v="U04151"/>
    <x v="11"/>
    <n v="56"/>
    <s v="Female"/>
    <x v="1"/>
    <x v="1"/>
    <n v="24.13"/>
    <n v="5"/>
    <n v="2.8"/>
    <n v="20.89"/>
    <n v="87.8"/>
    <s v="Drama"/>
    <n v="10"/>
    <n v="0"/>
    <n v="1"/>
  </r>
  <r>
    <s v="U04152"/>
    <x v="10"/>
    <n v="50"/>
    <s v="Male"/>
    <x v="1"/>
    <x v="0"/>
    <n v="5.4"/>
    <n v="4"/>
    <n v="6.8"/>
    <n v="6.2"/>
    <n v="53.3"/>
    <s v="Drama"/>
    <n v="8"/>
    <n v="2"/>
    <n v="0"/>
  </r>
  <r>
    <s v="U04153"/>
    <x v="2"/>
    <n v="43"/>
    <s v="Male"/>
    <x v="0"/>
    <x v="0"/>
    <n v="13.46"/>
    <n v="4"/>
    <n v="4.5"/>
    <n v="9.61"/>
    <n v="14.6"/>
    <s v="Drama"/>
    <n v="11"/>
    <n v="0"/>
    <n v="0"/>
  </r>
  <r>
    <s v="U04154"/>
    <x v="5"/>
    <n v="65"/>
    <s v="Female"/>
    <x v="1"/>
    <x v="0"/>
    <n v="7.09"/>
    <n v="3"/>
    <n v="7.1"/>
    <n v="7.38"/>
    <n v="91.3"/>
    <s v="Drama"/>
    <n v="4"/>
    <n v="0"/>
    <n v="0"/>
  </r>
  <r>
    <s v="U04155"/>
    <x v="9"/>
    <n v="18"/>
    <s v="Female"/>
    <x v="2"/>
    <x v="2"/>
    <n v="12.01"/>
    <n v="2"/>
    <n v="5.5"/>
    <n v="20.2"/>
    <n v="56.5"/>
    <s v="Action"/>
    <n v="8"/>
    <n v="4"/>
    <n v="1"/>
  </r>
  <r>
    <s v="U04156"/>
    <x v="0"/>
    <n v="66"/>
    <s v="Female"/>
    <x v="1"/>
    <x v="4"/>
    <n v="8.24"/>
    <n v="1"/>
    <n v="1.4"/>
    <n v="20.63"/>
    <n v="59.1"/>
    <s v="Thriller"/>
    <n v="11"/>
    <n v="0"/>
    <n v="1"/>
  </r>
  <r>
    <s v="U04157"/>
    <x v="5"/>
    <n v="55"/>
    <s v="Female"/>
    <x v="2"/>
    <x v="2"/>
    <n v="11.58"/>
    <n v="4"/>
    <n v="8.1"/>
    <n v="8.6300000000000008"/>
    <n v="11.2"/>
    <s v="Family"/>
    <n v="3"/>
    <n v="0"/>
    <n v="0"/>
  </r>
  <r>
    <s v="U04158"/>
    <x v="11"/>
    <n v="19"/>
    <s v="Female"/>
    <x v="1"/>
    <x v="1"/>
    <n v="21.39"/>
    <n v="3"/>
    <n v="6"/>
    <n v="3.09"/>
    <n v="19"/>
    <s v="Thriller"/>
    <n v="7"/>
    <n v="3"/>
    <n v="1"/>
  </r>
  <r>
    <s v="U04159"/>
    <x v="5"/>
    <n v="66"/>
    <s v="Male"/>
    <x v="2"/>
    <x v="0"/>
    <n v="8.2100000000000009"/>
    <n v="3"/>
    <n v="7.5"/>
    <n v="12.31"/>
    <n v="80"/>
    <s v="Action"/>
    <n v="5"/>
    <n v="1"/>
    <n v="1"/>
  </r>
  <r>
    <s v="U04160"/>
    <x v="11"/>
    <n v="23"/>
    <s v="Female"/>
    <x v="1"/>
    <x v="2"/>
    <n v="14.47"/>
    <n v="3"/>
    <n v="2.1"/>
    <n v="18.12"/>
    <n v="49.1"/>
    <s v="Action"/>
    <n v="5"/>
    <n v="0"/>
    <n v="0"/>
  </r>
  <r>
    <s v="U04161"/>
    <x v="5"/>
    <n v="63"/>
    <s v="Female"/>
    <x v="0"/>
    <x v="0"/>
    <n v="23.43"/>
    <n v="2"/>
    <n v="7.5"/>
    <n v="16.7"/>
    <n v="99.8"/>
    <s v="Drama"/>
    <n v="6"/>
    <n v="0"/>
    <n v="0"/>
  </r>
  <r>
    <s v="U04162"/>
    <x v="2"/>
    <n v="67"/>
    <s v="Male"/>
    <x v="1"/>
    <x v="1"/>
    <n v="24.98"/>
    <n v="3"/>
    <n v="4.7"/>
    <n v="12.81"/>
    <n v="72.599999999999994"/>
    <s v="Action"/>
    <n v="5"/>
    <n v="4"/>
    <n v="0"/>
  </r>
  <r>
    <s v="U04163"/>
    <x v="6"/>
    <n v="55"/>
    <s v="Male"/>
    <x v="0"/>
    <x v="3"/>
    <n v="10.01"/>
    <n v="5"/>
    <n v="8.1999999999999993"/>
    <n v="9.64"/>
    <n v="95.5"/>
    <s v="Action"/>
    <n v="1"/>
    <n v="2"/>
    <n v="0"/>
  </r>
  <r>
    <s v="U04164"/>
    <x v="2"/>
    <n v="59"/>
    <s v="Female"/>
    <x v="0"/>
    <x v="3"/>
    <n v="23.71"/>
    <n v="1"/>
    <n v="6.4"/>
    <n v="13.44"/>
    <n v="35.1"/>
    <s v="Drama"/>
    <n v="9"/>
    <n v="4"/>
    <n v="0"/>
  </r>
  <r>
    <s v="U04165"/>
    <x v="4"/>
    <n v="41"/>
    <s v="Female"/>
    <x v="2"/>
    <x v="3"/>
    <n v="10.23"/>
    <n v="3"/>
    <n v="4.2"/>
    <n v="3.33"/>
    <n v="25.9"/>
    <s v="Action"/>
    <n v="11"/>
    <n v="2"/>
    <n v="0"/>
  </r>
  <r>
    <s v="U04166"/>
    <x v="3"/>
    <n v="35"/>
    <s v="Female"/>
    <x v="0"/>
    <x v="0"/>
    <n v="13.27"/>
    <n v="2"/>
    <n v="2.8"/>
    <n v="4.63"/>
    <n v="43.9"/>
    <s v="Action"/>
    <n v="4"/>
    <n v="2"/>
    <n v="1"/>
  </r>
  <r>
    <s v="U04167"/>
    <x v="3"/>
    <n v="44"/>
    <s v="Male"/>
    <x v="2"/>
    <x v="2"/>
    <n v="22.56"/>
    <n v="1"/>
    <n v="8.3000000000000007"/>
    <n v="6.58"/>
    <n v="33.799999999999997"/>
    <s v="Action"/>
    <n v="5"/>
    <n v="2"/>
    <n v="0"/>
  </r>
  <r>
    <s v="U04168"/>
    <x v="1"/>
    <n v="58"/>
    <s v="Female"/>
    <x v="0"/>
    <x v="0"/>
    <n v="20.72"/>
    <n v="1"/>
    <n v="6"/>
    <n v="16.760000000000002"/>
    <n v="65.2"/>
    <s v="Comedy"/>
    <n v="1"/>
    <n v="3"/>
    <n v="0"/>
  </r>
  <r>
    <s v="U04169"/>
    <x v="9"/>
    <n v="25"/>
    <s v="Male"/>
    <x v="0"/>
    <x v="4"/>
    <n v="22.15"/>
    <n v="4"/>
    <n v="9.9"/>
    <n v="7.81"/>
    <n v="77"/>
    <s v="Thriller"/>
    <n v="3"/>
    <n v="3"/>
    <n v="1"/>
  </r>
  <r>
    <s v="U04170"/>
    <x v="2"/>
    <n v="45"/>
    <s v="Male"/>
    <x v="2"/>
    <x v="2"/>
    <n v="21.01"/>
    <n v="3"/>
    <n v="4.4000000000000004"/>
    <n v="12.31"/>
    <n v="46.2"/>
    <s v="Comedy"/>
    <n v="3"/>
    <n v="1"/>
    <n v="0"/>
  </r>
  <r>
    <s v="U04171"/>
    <x v="2"/>
    <n v="27"/>
    <s v="Male"/>
    <x v="1"/>
    <x v="1"/>
    <n v="9.6999999999999993"/>
    <n v="3"/>
    <n v="7.2"/>
    <n v="16.670000000000002"/>
    <n v="18.100000000000001"/>
    <s v="Thriller"/>
    <n v="8"/>
    <n v="2"/>
    <n v="0"/>
  </r>
  <r>
    <s v="U04172"/>
    <x v="10"/>
    <n v="34"/>
    <s v="Male"/>
    <x v="1"/>
    <x v="3"/>
    <n v="16.18"/>
    <n v="2"/>
    <n v="6.6"/>
    <n v="21.27"/>
    <n v="12.4"/>
    <s v="Drama"/>
    <n v="11"/>
    <n v="3"/>
    <n v="0"/>
  </r>
  <r>
    <s v="U04173"/>
    <x v="10"/>
    <n v="46"/>
    <s v="Female"/>
    <x v="1"/>
    <x v="2"/>
    <n v="12.71"/>
    <n v="5"/>
    <n v="6.7"/>
    <n v="15.09"/>
    <n v="29.6"/>
    <s v="Drama"/>
    <n v="8"/>
    <n v="3"/>
    <n v="0"/>
  </r>
  <r>
    <s v="U04174"/>
    <x v="1"/>
    <n v="23"/>
    <s v="Male"/>
    <x v="1"/>
    <x v="2"/>
    <n v="14.19"/>
    <n v="5"/>
    <n v="7.6"/>
    <n v="6.9"/>
    <n v="75.900000000000006"/>
    <s v="Thriller"/>
    <n v="9"/>
    <n v="0"/>
    <n v="0"/>
  </r>
  <r>
    <s v="U04175"/>
    <x v="7"/>
    <n v="31"/>
    <s v="Male"/>
    <x v="2"/>
    <x v="3"/>
    <n v="8.08"/>
    <n v="4"/>
    <n v="2.2999999999999998"/>
    <n v="23.94"/>
    <n v="29.9"/>
    <s v="Thriller"/>
    <n v="10"/>
    <n v="2"/>
    <n v="0"/>
  </r>
  <r>
    <s v="U04176"/>
    <x v="3"/>
    <n v="39"/>
    <s v="Female"/>
    <x v="1"/>
    <x v="1"/>
    <n v="11.32"/>
    <n v="5"/>
    <n v="5.9"/>
    <n v="4.9800000000000004"/>
    <n v="92"/>
    <s v="Family"/>
    <n v="7"/>
    <n v="4"/>
    <n v="1"/>
  </r>
  <r>
    <s v="U04177"/>
    <x v="7"/>
    <n v="23"/>
    <s v="Male"/>
    <x v="1"/>
    <x v="0"/>
    <n v="22.15"/>
    <n v="2"/>
    <n v="5.6"/>
    <n v="11.08"/>
    <n v="68.599999999999994"/>
    <s v="Thriller"/>
    <n v="6"/>
    <n v="0"/>
    <n v="0"/>
  </r>
  <r>
    <s v="U04178"/>
    <x v="9"/>
    <n v="43"/>
    <s v="Female"/>
    <x v="2"/>
    <x v="0"/>
    <n v="22.95"/>
    <n v="4"/>
    <n v="4.0999999999999996"/>
    <n v="23.27"/>
    <n v="87.6"/>
    <s v="Thriller"/>
    <n v="8"/>
    <n v="3"/>
    <n v="0"/>
  </r>
  <r>
    <s v="U04179"/>
    <x v="11"/>
    <n v="56"/>
    <s v="Male"/>
    <x v="0"/>
    <x v="2"/>
    <n v="17.2"/>
    <n v="3"/>
    <n v="4.9000000000000004"/>
    <n v="16.25"/>
    <n v="44.7"/>
    <s v="Drama"/>
    <n v="3"/>
    <n v="3"/>
    <n v="0"/>
  </r>
  <r>
    <s v="U04180"/>
    <x v="11"/>
    <n v="29"/>
    <s v="Female"/>
    <x v="1"/>
    <x v="3"/>
    <n v="14.97"/>
    <n v="5"/>
    <n v="5.7"/>
    <n v="17.579999999999998"/>
    <n v="98.5"/>
    <s v="Drama"/>
    <n v="10"/>
    <n v="3"/>
    <n v="1"/>
  </r>
  <r>
    <s v="U04181"/>
    <x v="8"/>
    <n v="52"/>
    <s v="Male"/>
    <x v="2"/>
    <x v="4"/>
    <n v="19.260000000000002"/>
    <n v="2"/>
    <n v="3.9"/>
    <n v="9.64"/>
    <n v="71.2"/>
    <s v="Action"/>
    <n v="10"/>
    <n v="3"/>
    <n v="1"/>
  </r>
  <r>
    <s v="U04182"/>
    <x v="5"/>
    <n v="31"/>
    <s v="Male"/>
    <x v="1"/>
    <x v="1"/>
    <n v="17.18"/>
    <n v="2"/>
    <n v="3.6"/>
    <n v="4.7300000000000004"/>
    <n v="42.1"/>
    <s v="Action"/>
    <n v="10"/>
    <n v="4"/>
    <n v="0"/>
  </r>
  <r>
    <s v="U04183"/>
    <x v="10"/>
    <n v="39"/>
    <s v="Female"/>
    <x v="2"/>
    <x v="0"/>
    <n v="24.67"/>
    <n v="3"/>
    <n v="7.6"/>
    <n v="11.05"/>
    <n v="29.1"/>
    <s v="Drama"/>
    <n v="8"/>
    <n v="1"/>
    <n v="0"/>
  </r>
  <r>
    <s v="U04184"/>
    <x v="8"/>
    <n v="68"/>
    <s v="Male"/>
    <x v="1"/>
    <x v="1"/>
    <n v="8.8000000000000007"/>
    <n v="2"/>
    <n v="1.6"/>
    <n v="11.85"/>
    <n v="88"/>
    <s v="Action"/>
    <n v="3"/>
    <n v="1"/>
    <n v="0"/>
  </r>
  <r>
    <s v="U04185"/>
    <x v="4"/>
    <n v="40"/>
    <s v="Male"/>
    <x v="2"/>
    <x v="1"/>
    <n v="13.98"/>
    <n v="4"/>
    <n v="3.8"/>
    <n v="8.9499999999999993"/>
    <n v="38.6"/>
    <s v="Comedy"/>
    <n v="2"/>
    <n v="2"/>
    <n v="0"/>
  </r>
  <r>
    <s v="U04186"/>
    <x v="1"/>
    <n v="65"/>
    <s v="Female"/>
    <x v="2"/>
    <x v="1"/>
    <n v="23.36"/>
    <n v="4"/>
    <n v="6.9"/>
    <n v="7.74"/>
    <n v="14"/>
    <s v="Comedy"/>
    <n v="9"/>
    <n v="3"/>
    <n v="0"/>
  </r>
  <r>
    <s v="U04187"/>
    <x v="1"/>
    <n v="24"/>
    <s v="Male"/>
    <x v="0"/>
    <x v="3"/>
    <n v="23.29"/>
    <n v="1"/>
    <n v="2.9"/>
    <n v="10.82"/>
    <n v="35.1"/>
    <s v="Action"/>
    <n v="1"/>
    <n v="2"/>
    <n v="0"/>
  </r>
  <r>
    <s v="U04188"/>
    <x v="11"/>
    <n v="57"/>
    <s v="Male"/>
    <x v="0"/>
    <x v="3"/>
    <n v="14.91"/>
    <n v="3"/>
    <n v="6.2"/>
    <n v="17.07"/>
    <n v="26.2"/>
    <s v="Action"/>
    <n v="10"/>
    <n v="4"/>
    <n v="0"/>
  </r>
  <r>
    <s v="U04189"/>
    <x v="2"/>
    <n v="67"/>
    <s v="Female"/>
    <x v="1"/>
    <x v="3"/>
    <n v="7.7"/>
    <n v="2"/>
    <n v="3.7"/>
    <n v="23.88"/>
    <n v="38.799999999999997"/>
    <s v="Thriller"/>
    <n v="10"/>
    <n v="2"/>
    <n v="0"/>
  </r>
  <r>
    <s v="U04190"/>
    <x v="3"/>
    <n v="42"/>
    <s v="Female"/>
    <x v="2"/>
    <x v="2"/>
    <n v="21.3"/>
    <n v="5"/>
    <n v="8.6"/>
    <n v="18.48"/>
    <n v="65.2"/>
    <s v="Thriller"/>
    <n v="2"/>
    <n v="1"/>
    <n v="0"/>
  </r>
  <r>
    <s v="U04191"/>
    <x v="7"/>
    <n v="30"/>
    <s v="Female"/>
    <x v="0"/>
    <x v="3"/>
    <n v="16.7"/>
    <n v="4"/>
    <n v="4.0999999999999996"/>
    <n v="20.149999999999999"/>
    <n v="55"/>
    <s v="Comedy"/>
    <n v="7"/>
    <n v="1"/>
    <n v="0"/>
  </r>
  <r>
    <s v="U04192"/>
    <x v="10"/>
    <n v="38"/>
    <s v="Female"/>
    <x v="0"/>
    <x v="2"/>
    <n v="20.46"/>
    <n v="3"/>
    <n v="3.1"/>
    <n v="9.73"/>
    <n v="74"/>
    <s v="Comedy"/>
    <n v="1"/>
    <n v="1"/>
    <n v="0"/>
  </r>
  <r>
    <s v="U04193"/>
    <x v="8"/>
    <n v="58"/>
    <s v="Female"/>
    <x v="1"/>
    <x v="0"/>
    <n v="14.25"/>
    <n v="3"/>
    <n v="5.8"/>
    <n v="5.3"/>
    <n v="40"/>
    <s v="Thriller"/>
    <n v="5"/>
    <n v="2"/>
    <n v="1"/>
  </r>
  <r>
    <s v="U04194"/>
    <x v="7"/>
    <n v="27"/>
    <s v="Male"/>
    <x v="2"/>
    <x v="0"/>
    <n v="9.08"/>
    <n v="4"/>
    <n v="2.2000000000000002"/>
    <n v="9.41"/>
    <n v="20.8"/>
    <s v="Thriller"/>
    <n v="9"/>
    <n v="3"/>
    <n v="0"/>
  </r>
  <r>
    <s v="U04195"/>
    <x v="2"/>
    <n v="26"/>
    <s v="Female"/>
    <x v="1"/>
    <x v="0"/>
    <n v="5.48"/>
    <n v="1"/>
    <n v="8.1999999999999993"/>
    <n v="11.86"/>
    <n v="24.4"/>
    <s v="Thriller"/>
    <n v="9"/>
    <n v="0"/>
    <n v="0"/>
  </r>
  <r>
    <s v="U04196"/>
    <x v="8"/>
    <n v="32"/>
    <s v="Male"/>
    <x v="1"/>
    <x v="0"/>
    <n v="16.18"/>
    <n v="3"/>
    <n v="7.1"/>
    <n v="18.18"/>
    <n v="81.8"/>
    <s v="Action"/>
    <n v="11"/>
    <n v="1"/>
    <n v="0"/>
  </r>
  <r>
    <s v="U04197"/>
    <x v="5"/>
    <n v="69"/>
    <s v="Female"/>
    <x v="0"/>
    <x v="0"/>
    <n v="8.2200000000000006"/>
    <n v="2"/>
    <n v="7.9"/>
    <n v="23.67"/>
    <n v="18.8"/>
    <s v="Drama"/>
    <n v="4"/>
    <n v="2"/>
    <n v="0"/>
  </r>
  <r>
    <s v="U04198"/>
    <x v="4"/>
    <n v="19"/>
    <s v="Male"/>
    <x v="1"/>
    <x v="3"/>
    <n v="8.74"/>
    <n v="5"/>
    <n v="4.5999999999999996"/>
    <n v="20.8"/>
    <n v="81.8"/>
    <s v="Comedy"/>
    <n v="10"/>
    <n v="0"/>
    <n v="0"/>
  </r>
  <r>
    <s v="U04199"/>
    <x v="4"/>
    <n v="42"/>
    <s v="Male"/>
    <x v="0"/>
    <x v="4"/>
    <n v="13.73"/>
    <n v="5"/>
    <n v="8.5"/>
    <n v="8.86"/>
    <n v="29.1"/>
    <s v="Family"/>
    <n v="2"/>
    <n v="1"/>
    <n v="1"/>
  </r>
  <r>
    <s v="U04200"/>
    <x v="7"/>
    <n v="30"/>
    <s v="Female"/>
    <x v="0"/>
    <x v="3"/>
    <n v="13.84"/>
    <n v="4"/>
    <n v="5.4"/>
    <n v="21.05"/>
    <n v="71.099999999999994"/>
    <s v="Thriller"/>
    <n v="9"/>
    <n v="1"/>
    <n v="0"/>
  </r>
  <r>
    <s v="U04201"/>
    <x v="7"/>
    <n v="51"/>
    <s v="Male"/>
    <x v="2"/>
    <x v="4"/>
    <n v="10.49"/>
    <n v="3"/>
    <n v="1.9"/>
    <n v="12.06"/>
    <n v="66.099999999999994"/>
    <s v="Action"/>
    <n v="11"/>
    <n v="4"/>
    <n v="0"/>
  </r>
  <r>
    <s v="U04202"/>
    <x v="7"/>
    <n v="68"/>
    <s v="Male"/>
    <x v="2"/>
    <x v="3"/>
    <n v="7.64"/>
    <n v="5"/>
    <n v="3"/>
    <n v="6.86"/>
    <n v="18.8"/>
    <s v="Comedy"/>
    <n v="4"/>
    <n v="1"/>
    <n v="0"/>
  </r>
  <r>
    <s v="U04203"/>
    <x v="8"/>
    <n v="51"/>
    <s v="Female"/>
    <x v="0"/>
    <x v="0"/>
    <n v="23.9"/>
    <n v="3"/>
    <n v="7.4"/>
    <n v="13.15"/>
    <n v="69.900000000000006"/>
    <s v="Thriller"/>
    <n v="3"/>
    <n v="0"/>
    <n v="0"/>
  </r>
  <r>
    <s v="U04204"/>
    <x v="5"/>
    <n v="52"/>
    <s v="Female"/>
    <x v="0"/>
    <x v="1"/>
    <n v="7.63"/>
    <n v="4"/>
    <n v="9.1"/>
    <n v="15.39"/>
    <n v="50.3"/>
    <s v="Action"/>
    <n v="3"/>
    <n v="0"/>
    <n v="1"/>
  </r>
  <r>
    <s v="U04205"/>
    <x v="6"/>
    <n v="55"/>
    <s v="Female"/>
    <x v="1"/>
    <x v="4"/>
    <n v="12.02"/>
    <n v="1"/>
    <n v="1.9"/>
    <n v="19.79"/>
    <n v="73.599999999999994"/>
    <s v="Comedy"/>
    <n v="7"/>
    <n v="3"/>
    <n v="0"/>
  </r>
  <r>
    <s v="U04206"/>
    <x v="7"/>
    <n v="20"/>
    <s v="Female"/>
    <x v="1"/>
    <x v="1"/>
    <n v="11.1"/>
    <n v="5"/>
    <n v="8.8000000000000007"/>
    <n v="10.7"/>
    <n v="85.2"/>
    <s v="Comedy"/>
    <n v="2"/>
    <n v="0"/>
    <n v="0"/>
  </r>
  <r>
    <s v="U04207"/>
    <x v="3"/>
    <n v="59"/>
    <s v="Male"/>
    <x v="0"/>
    <x v="0"/>
    <n v="22.33"/>
    <n v="2"/>
    <n v="8.1999999999999993"/>
    <n v="6.23"/>
    <n v="13.6"/>
    <s v="Family"/>
    <n v="5"/>
    <n v="2"/>
    <n v="0"/>
  </r>
  <r>
    <s v="U04208"/>
    <x v="9"/>
    <n v="23"/>
    <s v="Male"/>
    <x v="1"/>
    <x v="4"/>
    <n v="13.2"/>
    <n v="4"/>
    <n v="4.2"/>
    <n v="5.08"/>
    <n v="68.3"/>
    <s v="Family"/>
    <n v="2"/>
    <n v="2"/>
    <n v="0"/>
  </r>
  <r>
    <s v="U04209"/>
    <x v="2"/>
    <n v="65"/>
    <s v="Male"/>
    <x v="0"/>
    <x v="1"/>
    <n v="7.48"/>
    <n v="1"/>
    <n v="7.2"/>
    <n v="5.47"/>
    <n v="19.399999999999999"/>
    <s v="Comedy"/>
    <n v="7"/>
    <n v="1"/>
    <n v="1"/>
  </r>
  <r>
    <s v="U04210"/>
    <x v="9"/>
    <n v="66"/>
    <s v="Male"/>
    <x v="2"/>
    <x v="3"/>
    <n v="5.21"/>
    <n v="2"/>
    <n v="2.7"/>
    <n v="23.9"/>
    <n v="44.1"/>
    <s v="Action"/>
    <n v="7"/>
    <n v="3"/>
    <n v="1"/>
  </r>
  <r>
    <s v="U04211"/>
    <x v="10"/>
    <n v="36"/>
    <s v="Male"/>
    <x v="2"/>
    <x v="0"/>
    <n v="19.440000000000001"/>
    <n v="2"/>
    <n v="8.3000000000000007"/>
    <n v="23.94"/>
    <n v="11.1"/>
    <s v="Thriller"/>
    <n v="3"/>
    <n v="1"/>
    <n v="0"/>
  </r>
  <r>
    <s v="U04212"/>
    <x v="10"/>
    <n v="20"/>
    <s v="Male"/>
    <x v="1"/>
    <x v="3"/>
    <n v="19.29"/>
    <n v="5"/>
    <n v="6.9"/>
    <n v="24.31"/>
    <n v="39.6"/>
    <s v="Thriller"/>
    <n v="3"/>
    <n v="3"/>
    <n v="1"/>
  </r>
  <r>
    <s v="U04213"/>
    <x v="2"/>
    <n v="35"/>
    <s v="Female"/>
    <x v="1"/>
    <x v="3"/>
    <n v="13.36"/>
    <n v="3"/>
    <n v="4.9000000000000004"/>
    <n v="9.65"/>
    <n v="25.2"/>
    <s v="Comedy"/>
    <n v="8"/>
    <n v="4"/>
    <n v="0"/>
  </r>
  <r>
    <s v="U04214"/>
    <x v="8"/>
    <n v="56"/>
    <s v="Male"/>
    <x v="2"/>
    <x v="0"/>
    <n v="7.53"/>
    <n v="4"/>
    <n v="8.8000000000000007"/>
    <n v="7.22"/>
    <n v="60.1"/>
    <s v="Thriller"/>
    <n v="7"/>
    <n v="3"/>
    <n v="0"/>
  </r>
  <r>
    <s v="U04215"/>
    <x v="2"/>
    <n v="26"/>
    <s v="Male"/>
    <x v="2"/>
    <x v="4"/>
    <n v="12.43"/>
    <n v="2"/>
    <n v="2.2999999999999998"/>
    <n v="24.58"/>
    <n v="56.1"/>
    <s v="Family"/>
    <n v="4"/>
    <n v="4"/>
    <n v="0"/>
  </r>
  <r>
    <s v="U04216"/>
    <x v="9"/>
    <n v="69"/>
    <s v="Male"/>
    <x v="0"/>
    <x v="2"/>
    <n v="16.8"/>
    <n v="5"/>
    <n v="8.6"/>
    <n v="24.74"/>
    <n v="81.400000000000006"/>
    <s v="Thriller"/>
    <n v="2"/>
    <n v="4"/>
    <n v="1"/>
  </r>
  <r>
    <s v="U04217"/>
    <x v="9"/>
    <n v="29"/>
    <s v="Female"/>
    <x v="0"/>
    <x v="2"/>
    <n v="19.079999999999998"/>
    <n v="1"/>
    <n v="1.2"/>
    <n v="4.72"/>
    <n v="67.599999999999994"/>
    <s v="Drama"/>
    <n v="3"/>
    <n v="1"/>
    <n v="0"/>
  </r>
  <r>
    <s v="U04218"/>
    <x v="7"/>
    <n v="22"/>
    <s v="Female"/>
    <x v="1"/>
    <x v="0"/>
    <n v="6.56"/>
    <n v="2"/>
    <n v="7.8"/>
    <n v="19.559999999999999"/>
    <n v="74.3"/>
    <s v="Family"/>
    <n v="11"/>
    <n v="2"/>
    <n v="0"/>
  </r>
  <r>
    <s v="U04219"/>
    <x v="11"/>
    <n v="20"/>
    <s v="Female"/>
    <x v="0"/>
    <x v="2"/>
    <n v="16.13"/>
    <n v="1"/>
    <n v="6.2"/>
    <n v="9.35"/>
    <n v="18.3"/>
    <s v="Family"/>
    <n v="11"/>
    <n v="3"/>
    <n v="0"/>
  </r>
  <r>
    <s v="U04220"/>
    <x v="1"/>
    <n v="28"/>
    <s v="Female"/>
    <x v="1"/>
    <x v="1"/>
    <n v="10.52"/>
    <n v="4"/>
    <n v="7.3"/>
    <n v="23"/>
    <n v="12.5"/>
    <s v="Comedy"/>
    <n v="11"/>
    <n v="1"/>
    <n v="1"/>
  </r>
  <r>
    <s v="U04221"/>
    <x v="6"/>
    <n v="47"/>
    <s v="Male"/>
    <x v="1"/>
    <x v="4"/>
    <n v="17.350000000000001"/>
    <n v="5"/>
    <n v="4.7"/>
    <n v="4.96"/>
    <n v="97.3"/>
    <s v="Comedy"/>
    <n v="3"/>
    <n v="4"/>
    <n v="0"/>
  </r>
  <r>
    <s v="U04222"/>
    <x v="9"/>
    <n v="21"/>
    <s v="Male"/>
    <x v="1"/>
    <x v="3"/>
    <n v="17.96"/>
    <n v="1"/>
    <n v="8.8000000000000007"/>
    <n v="22.55"/>
    <n v="48.4"/>
    <s v="Thriller"/>
    <n v="5"/>
    <n v="4"/>
    <n v="0"/>
  </r>
  <r>
    <s v="U04223"/>
    <x v="3"/>
    <n v="22"/>
    <s v="Male"/>
    <x v="1"/>
    <x v="3"/>
    <n v="23.21"/>
    <n v="3"/>
    <n v="3.8"/>
    <n v="3.06"/>
    <n v="45.5"/>
    <s v="Thriller"/>
    <n v="7"/>
    <n v="0"/>
    <n v="0"/>
  </r>
  <r>
    <s v="U04224"/>
    <x v="2"/>
    <n v="18"/>
    <s v="Female"/>
    <x v="1"/>
    <x v="0"/>
    <n v="13.21"/>
    <n v="1"/>
    <n v="3.5"/>
    <n v="14.48"/>
    <n v="13.2"/>
    <s v="Comedy"/>
    <n v="4"/>
    <n v="0"/>
    <n v="0"/>
  </r>
  <r>
    <s v="U04225"/>
    <x v="5"/>
    <n v="44"/>
    <s v="Male"/>
    <x v="2"/>
    <x v="3"/>
    <n v="15.75"/>
    <n v="1"/>
    <n v="3.7"/>
    <n v="10.38"/>
    <n v="20.7"/>
    <s v="Action"/>
    <n v="1"/>
    <n v="3"/>
    <n v="0"/>
  </r>
  <r>
    <s v="U04226"/>
    <x v="11"/>
    <n v="45"/>
    <s v="Male"/>
    <x v="0"/>
    <x v="1"/>
    <n v="10.36"/>
    <n v="5"/>
    <n v="8"/>
    <n v="12.4"/>
    <n v="94.6"/>
    <s v="Thriller"/>
    <n v="3"/>
    <n v="2"/>
    <n v="0"/>
  </r>
  <r>
    <s v="U04227"/>
    <x v="9"/>
    <n v="46"/>
    <s v="Male"/>
    <x v="1"/>
    <x v="1"/>
    <n v="10.73"/>
    <n v="5"/>
    <n v="5.5"/>
    <n v="12.54"/>
    <n v="72.5"/>
    <s v="Action"/>
    <n v="3"/>
    <n v="0"/>
    <n v="0"/>
  </r>
  <r>
    <s v="U04228"/>
    <x v="2"/>
    <n v="35"/>
    <s v="Female"/>
    <x v="0"/>
    <x v="0"/>
    <n v="5.92"/>
    <n v="2"/>
    <n v="5.8"/>
    <n v="17.38"/>
    <n v="46.8"/>
    <s v="Family"/>
    <n v="1"/>
    <n v="4"/>
    <n v="0"/>
  </r>
  <r>
    <s v="U04229"/>
    <x v="4"/>
    <n v="29"/>
    <s v="Female"/>
    <x v="0"/>
    <x v="3"/>
    <n v="10.72"/>
    <n v="1"/>
    <n v="8.5"/>
    <n v="3.51"/>
    <n v="91.4"/>
    <s v="Drama"/>
    <n v="8"/>
    <n v="1"/>
    <n v="0"/>
  </r>
  <r>
    <s v="U04230"/>
    <x v="11"/>
    <n v="30"/>
    <s v="Female"/>
    <x v="1"/>
    <x v="2"/>
    <n v="6.28"/>
    <n v="1"/>
    <n v="8.5"/>
    <n v="18.21"/>
    <n v="63.1"/>
    <s v="Action"/>
    <n v="4"/>
    <n v="2"/>
    <n v="1"/>
  </r>
  <r>
    <s v="U04231"/>
    <x v="8"/>
    <n v="58"/>
    <s v="Male"/>
    <x v="0"/>
    <x v="2"/>
    <n v="24.28"/>
    <n v="5"/>
    <n v="2.5"/>
    <n v="3.49"/>
    <n v="77.2"/>
    <s v="Thriller"/>
    <n v="5"/>
    <n v="3"/>
    <n v="0"/>
  </r>
  <r>
    <s v="U04232"/>
    <x v="6"/>
    <n v="19"/>
    <s v="Male"/>
    <x v="0"/>
    <x v="4"/>
    <n v="17.489999999999998"/>
    <n v="3"/>
    <n v="5.9"/>
    <n v="7.08"/>
    <n v="48.8"/>
    <s v="Comedy"/>
    <n v="3"/>
    <n v="1"/>
    <n v="0"/>
  </r>
  <r>
    <s v="U04233"/>
    <x v="0"/>
    <n v="54"/>
    <s v="Male"/>
    <x v="0"/>
    <x v="0"/>
    <n v="8.4600000000000009"/>
    <n v="5"/>
    <n v="2.1"/>
    <n v="16.350000000000001"/>
    <n v="48.8"/>
    <s v="Comedy"/>
    <n v="4"/>
    <n v="3"/>
    <n v="0"/>
  </r>
  <r>
    <s v="U04234"/>
    <x v="0"/>
    <n v="62"/>
    <s v="Male"/>
    <x v="1"/>
    <x v="4"/>
    <n v="7.34"/>
    <n v="3"/>
    <n v="8.8000000000000007"/>
    <n v="4.9000000000000004"/>
    <n v="16.2"/>
    <s v="Drama"/>
    <n v="1"/>
    <n v="1"/>
    <n v="0"/>
  </r>
  <r>
    <s v="U04235"/>
    <x v="7"/>
    <n v="33"/>
    <s v="Female"/>
    <x v="2"/>
    <x v="2"/>
    <n v="12.4"/>
    <n v="5"/>
    <n v="8.5"/>
    <n v="24.8"/>
    <n v="76.099999999999994"/>
    <s v="Drama"/>
    <n v="4"/>
    <n v="1"/>
    <n v="0"/>
  </r>
  <r>
    <s v="U04236"/>
    <x v="7"/>
    <n v="65"/>
    <s v="Male"/>
    <x v="0"/>
    <x v="2"/>
    <n v="11.15"/>
    <n v="4"/>
    <n v="8.6"/>
    <n v="20.260000000000002"/>
    <n v="18.899999999999999"/>
    <s v="Family"/>
    <n v="2"/>
    <n v="2"/>
    <n v="0"/>
  </r>
  <r>
    <s v="U04237"/>
    <x v="8"/>
    <n v="41"/>
    <s v="Female"/>
    <x v="1"/>
    <x v="2"/>
    <n v="10.59"/>
    <n v="1"/>
    <n v="7.3"/>
    <n v="18.52"/>
    <n v="78.8"/>
    <s v="Action"/>
    <n v="10"/>
    <n v="3"/>
    <n v="0"/>
  </r>
  <r>
    <s v="U04238"/>
    <x v="5"/>
    <n v="52"/>
    <s v="Male"/>
    <x v="0"/>
    <x v="4"/>
    <n v="14.36"/>
    <n v="3"/>
    <n v="5.2"/>
    <n v="8.89"/>
    <n v="27.2"/>
    <s v="Drama"/>
    <n v="6"/>
    <n v="0"/>
    <n v="0"/>
  </r>
  <r>
    <s v="U04239"/>
    <x v="7"/>
    <n v="39"/>
    <s v="Female"/>
    <x v="1"/>
    <x v="0"/>
    <n v="23.26"/>
    <n v="4"/>
    <n v="4.5999999999999996"/>
    <n v="4.07"/>
    <n v="32.299999999999997"/>
    <s v="Family"/>
    <n v="2"/>
    <n v="1"/>
    <n v="0"/>
  </r>
  <r>
    <s v="U04240"/>
    <x v="1"/>
    <n v="53"/>
    <s v="Male"/>
    <x v="1"/>
    <x v="1"/>
    <n v="16.36"/>
    <n v="3"/>
    <n v="4.5999999999999996"/>
    <n v="24.53"/>
    <n v="92.6"/>
    <s v="Family"/>
    <n v="9"/>
    <n v="1"/>
    <n v="0"/>
  </r>
  <r>
    <s v="U04241"/>
    <x v="9"/>
    <n v="28"/>
    <s v="Male"/>
    <x v="1"/>
    <x v="1"/>
    <n v="15.42"/>
    <n v="2"/>
    <n v="1.6"/>
    <n v="6.25"/>
    <n v="52.4"/>
    <s v="Family"/>
    <n v="2"/>
    <n v="0"/>
    <n v="1"/>
  </r>
  <r>
    <s v="U04242"/>
    <x v="6"/>
    <n v="63"/>
    <s v="Female"/>
    <x v="2"/>
    <x v="2"/>
    <n v="21.13"/>
    <n v="2"/>
    <n v="9.5"/>
    <n v="21.27"/>
    <n v="21.3"/>
    <s v="Thriller"/>
    <n v="4"/>
    <n v="2"/>
    <n v="0"/>
  </r>
  <r>
    <s v="U04243"/>
    <x v="2"/>
    <n v="46"/>
    <s v="Female"/>
    <x v="2"/>
    <x v="0"/>
    <n v="5.08"/>
    <n v="1"/>
    <n v="5.0999999999999996"/>
    <n v="7.35"/>
    <n v="91.5"/>
    <s v="Drama"/>
    <n v="4"/>
    <n v="2"/>
    <n v="0"/>
  </r>
  <r>
    <s v="U04244"/>
    <x v="8"/>
    <n v="52"/>
    <s v="Male"/>
    <x v="0"/>
    <x v="0"/>
    <n v="8.9499999999999993"/>
    <n v="4"/>
    <n v="9.4"/>
    <n v="11.23"/>
    <n v="50.7"/>
    <s v="Comedy"/>
    <n v="11"/>
    <n v="2"/>
    <n v="0"/>
  </r>
  <r>
    <s v="U04245"/>
    <x v="10"/>
    <n v="65"/>
    <s v="Male"/>
    <x v="2"/>
    <x v="3"/>
    <n v="14.92"/>
    <n v="4"/>
    <n v="8.9"/>
    <n v="18.260000000000002"/>
    <n v="21.7"/>
    <s v="Family"/>
    <n v="1"/>
    <n v="4"/>
    <n v="0"/>
  </r>
  <r>
    <s v="U04246"/>
    <x v="2"/>
    <n v="32"/>
    <s v="Male"/>
    <x v="0"/>
    <x v="3"/>
    <n v="19.11"/>
    <n v="2"/>
    <n v="8.5"/>
    <n v="23.8"/>
    <n v="45.2"/>
    <s v="Comedy"/>
    <n v="11"/>
    <n v="4"/>
    <n v="1"/>
  </r>
  <r>
    <s v="U04247"/>
    <x v="2"/>
    <n v="48"/>
    <s v="Female"/>
    <x v="2"/>
    <x v="4"/>
    <n v="14.7"/>
    <n v="1"/>
    <n v="6.3"/>
    <n v="3.44"/>
    <n v="63"/>
    <s v="Thriller"/>
    <n v="7"/>
    <n v="2"/>
    <n v="0"/>
  </r>
  <r>
    <s v="U04248"/>
    <x v="4"/>
    <n v="59"/>
    <s v="Male"/>
    <x v="0"/>
    <x v="3"/>
    <n v="8.27"/>
    <n v="2"/>
    <n v="1.9"/>
    <n v="8.74"/>
    <n v="42.6"/>
    <s v="Action"/>
    <n v="1"/>
    <n v="2"/>
    <n v="0"/>
  </r>
  <r>
    <s v="U04249"/>
    <x v="8"/>
    <n v="58"/>
    <s v="Female"/>
    <x v="1"/>
    <x v="4"/>
    <n v="23.6"/>
    <n v="4"/>
    <n v="3.9"/>
    <n v="19.829999999999998"/>
    <n v="93.2"/>
    <s v="Thriller"/>
    <n v="8"/>
    <n v="0"/>
    <n v="1"/>
  </r>
  <r>
    <s v="U04250"/>
    <x v="8"/>
    <n v="60"/>
    <s v="Male"/>
    <x v="0"/>
    <x v="1"/>
    <n v="11.57"/>
    <n v="3"/>
    <n v="6.4"/>
    <n v="6.81"/>
    <n v="34.299999999999997"/>
    <s v="Thriller"/>
    <n v="3"/>
    <n v="4"/>
    <n v="0"/>
  </r>
  <r>
    <s v="U04251"/>
    <x v="0"/>
    <n v="33"/>
    <s v="Male"/>
    <x v="0"/>
    <x v="2"/>
    <n v="20.76"/>
    <n v="4"/>
    <n v="1.1000000000000001"/>
    <n v="5.45"/>
    <n v="25.8"/>
    <s v="Drama"/>
    <n v="8"/>
    <n v="3"/>
    <n v="0"/>
  </r>
  <r>
    <s v="U04252"/>
    <x v="3"/>
    <n v="27"/>
    <s v="Male"/>
    <x v="2"/>
    <x v="0"/>
    <n v="22.83"/>
    <n v="1"/>
    <n v="1.4"/>
    <n v="4.0199999999999996"/>
    <n v="29.9"/>
    <s v="Family"/>
    <n v="8"/>
    <n v="2"/>
    <n v="1"/>
  </r>
  <r>
    <s v="U04253"/>
    <x v="5"/>
    <n v="66"/>
    <s v="Male"/>
    <x v="2"/>
    <x v="1"/>
    <n v="11.93"/>
    <n v="4"/>
    <n v="7.1"/>
    <n v="14.05"/>
    <n v="17.5"/>
    <s v="Thriller"/>
    <n v="10"/>
    <n v="2"/>
    <n v="0"/>
  </r>
  <r>
    <s v="U04254"/>
    <x v="3"/>
    <n v="49"/>
    <s v="Female"/>
    <x v="1"/>
    <x v="1"/>
    <n v="21.91"/>
    <n v="5"/>
    <n v="9"/>
    <n v="19.89"/>
    <n v="50.7"/>
    <s v="Family"/>
    <n v="10"/>
    <n v="2"/>
    <n v="0"/>
  </r>
  <r>
    <s v="U04255"/>
    <x v="1"/>
    <n v="68"/>
    <s v="Female"/>
    <x v="2"/>
    <x v="4"/>
    <n v="19.22"/>
    <n v="4"/>
    <n v="8.6999999999999993"/>
    <n v="24.16"/>
    <n v="89.1"/>
    <s v="Comedy"/>
    <n v="5"/>
    <n v="1"/>
    <n v="1"/>
  </r>
  <r>
    <s v="U04256"/>
    <x v="10"/>
    <n v="19"/>
    <s v="Male"/>
    <x v="2"/>
    <x v="2"/>
    <n v="23.09"/>
    <n v="5"/>
    <n v="2.5"/>
    <n v="8.8800000000000008"/>
    <n v="37.5"/>
    <s v="Action"/>
    <n v="3"/>
    <n v="4"/>
    <n v="0"/>
  </r>
  <r>
    <s v="U04257"/>
    <x v="2"/>
    <n v="41"/>
    <s v="Male"/>
    <x v="0"/>
    <x v="4"/>
    <n v="10.029999999999999"/>
    <n v="2"/>
    <n v="9.1999999999999993"/>
    <n v="5.67"/>
    <n v="33.299999999999997"/>
    <s v="Action"/>
    <n v="11"/>
    <n v="3"/>
    <n v="1"/>
  </r>
  <r>
    <s v="U04258"/>
    <x v="0"/>
    <n v="40"/>
    <s v="Male"/>
    <x v="0"/>
    <x v="1"/>
    <n v="23.63"/>
    <n v="5"/>
    <n v="7.3"/>
    <n v="11.86"/>
    <n v="85.4"/>
    <s v="Comedy"/>
    <n v="11"/>
    <n v="1"/>
    <n v="0"/>
  </r>
  <r>
    <s v="U04259"/>
    <x v="10"/>
    <n v="19"/>
    <s v="Female"/>
    <x v="0"/>
    <x v="0"/>
    <n v="6.31"/>
    <n v="4"/>
    <n v="7.4"/>
    <n v="4.22"/>
    <n v="37.5"/>
    <s v="Drama"/>
    <n v="11"/>
    <n v="1"/>
    <n v="1"/>
  </r>
  <r>
    <s v="U04260"/>
    <x v="2"/>
    <n v="55"/>
    <s v="Male"/>
    <x v="1"/>
    <x v="3"/>
    <n v="20.87"/>
    <n v="4"/>
    <n v="3.7"/>
    <n v="10.29"/>
    <n v="52.9"/>
    <s v="Comedy"/>
    <n v="9"/>
    <n v="3"/>
    <n v="0"/>
  </r>
  <r>
    <s v="U04261"/>
    <x v="1"/>
    <n v="48"/>
    <s v="Female"/>
    <x v="0"/>
    <x v="4"/>
    <n v="13.71"/>
    <n v="4"/>
    <n v="7.4"/>
    <n v="17.149999999999999"/>
    <n v="12.8"/>
    <s v="Comedy"/>
    <n v="1"/>
    <n v="3"/>
    <n v="0"/>
  </r>
  <r>
    <s v="U04262"/>
    <x v="3"/>
    <n v="68"/>
    <s v="Female"/>
    <x v="0"/>
    <x v="1"/>
    <n v="8.56"/>
    <n v="1"/>
    <n v="7.4"/>
    <n v="6.7"/>
    <n v="35.799999999999997"/>
    <s v="Drama"/>
    <n v="1"/>
    <n v="3"/>
    <n v="0"/>
  </r>
  <r>
    <s v="U04263"/>
    <x v="8"/>
    <n v="57"/>
    <s v="Female"/>
    <x v="0"/>
    <x v="3"/>
    <n v="6.59"/>
    <n v="2"/>
    <n v="6.4"/>
    <n v="16.899999999999999"/>
    <n v="21.8"/>
    <s v="Drama"/>
    <n v="2"/>
    <n v="3"/>
    <n v="0"/>
  </r>
  <r>
    <s v="U04264"/>
    <x v="7"/>
    <n v="43"/>
    <s v="Female"/>
    <x v="0"/>
    <x v="3"/>
    <n v="12.79"/>
    <n v="5"/>
    <n v="4.2"/>
    <n v="24.38"/>
    <n v="19.5"/>
    <s v="Thriller"/>
    <n v="10"/>
    <n v="3"/>
    <n v="0"/>
  </r>
  <r>
    <s v="U04265"/>
    <x v="7"/>
    <n v="46"/>
    <s v="Male"/>
    <x v="2"/>
    <x v="1"/>
    <n v="12.79"/>
    <n v="3"/>
    <n v="8.3000000000000007"/>
    <n v="22.01"/>
    <n v="48.8"/>
    <s v="Family"/>
    <n v="6"/>
    <n v="2"/>
    <n v="0"/>
  </r>
  <r>
    <s v="U04266"/>
    <x v="9"/>
    <n v="20"/>
    <s v="Male"/>
    <x v="0"/>
    <x v="2"/>
    <n v="9.6"/>
    <n v="5"/>
    <n v="9.4"/>
    <n v="10.85"/>
    <n v="35"/>
    <s v="Action"/>
    <n v="2"/>
    <n v="3"/>
    <n v="1"/>
  </r>
  <r>
    <s v="U04267"/>
    <x v="11"/>
    <n v="31"/>
    <s v="Female"/>
    <x v="1"/>
    <x v="1"/>
    <n v="9.31"/>
    <n v="4"/>
    <n v="8.8000000000000007"/>
    <n v="12.27"/>
    <n v="25"/>
    <s v="Drama"/>
    <n v="4"/>
    <n v="3"/>
    <n v="0"/>
  </r>
  <r>
    <s v="U04268"/>
    <x v="4"/>
    <n v="42"/>
    <s v="Male"/>
    <x v="1"/>
    <x v="0"/>
    <n v="12.99"/>
    <n v="3"/>
    <n v="3.2"/>
    <n v="12.23"/>
    <n v="56"/>
    <s v="Drama"/>
    <n v="6"/>
    <n v="4"/>
    <n v="1"/>
  </r>
  <r>
    <s v="U04269"/>
    <x v="5"/>
    <n v="65"/>
    <s v="Male"/>
    <x v="1"/>
    <x v="3"/>
    <n v="13.2"/>
    <n v="3"/>
    <n v="5"/>
    <n v="21.92"/>
    <n v="80.599999999999994"/>
    <s v="Thriller"/>
    <n v="2"/>
    <n v="2"/>
    <n v="1"/>
  </r>
  <r>
    <s v="U04270"/>
    <x v="1"/>
    <n v="18"/>
    <s v="Male"/>
    <x v="0"/>
    <x v="0"/>
    <n v="13.85"/>
    <n v="5"/>
    <n v="4.0999999999999996"/>
    <n v="24.86"/>
    <n v="76.099999999999994"/>
    <s v="Thriller"/>
    <n v="4"/>
    <n v="1"/>
    <n v="1"/>
  </r>
  <r>
    <s v="U04271"/>
    <x v="4"/>
    <n v="20"/>
    <s v="Female"/>
    <x v="1"/>
    <x v="4"/>
    <n v="22.38"/>
    <n v="5"/>
    <n v="7.4"/>
    <n v="21.17"/>
    <n v="32.6"/>
    <s v="Family"/>
    <n v="7"/>
    <n v="2"/>
    <n v="1"/>
  </r>
  <r>
    <s v="U04272"/>
    <x v="9"/>
    <n v="43"/>
    <s v="Male"/>
    <x v="0"/>
    <x v="3"/>
    <n v="17.23"/>
    <n v="5"/>
    <n v="8.5"/>
    <n v="15.28"/>
    <n v="33.700000000000003"/>
    <s v="Drama"/>
    <n v="1"/>
    <n v="0"/>
    <n v="0"/>
  </r>
  <r>
    <s v="U04273"/>
    <x v="9"/>
    <n v="35"/>
    <s v="Male"/>
    <x v="1"/>
    <x v="2"/>
    <n v="5.41"/>
    <n v="5"/>
    <n v="2.9"/>
    <n v="5.14"/>
    <n v="75.900000000000006"/>
    <s v="Drama"/>
    <n v="9"/>
    <n v="3"/>
    <n v="0"/>
  </r>
  <r>
    <s v="U04274"/>
    <x v="5"/>
    <n v="26"/>
    <s v="Male"/>
    <x v="0"/>
    <x v="1"/>
    <n v="15.38"/>
    <n v="2"/>
    <n v="9.5"/>
    <n v="24"/>
    <n v="60.1"/>
    <s v="Thriller"/>
    <n v="10"/>
    <n v="1"/>
    <n v="1"/>
  </r>
  <r>
    <s v="U04275"/>
    <x v="2"/>
    <n v="55"/>
    <s v="Male"/>
    <x v="1"/>
    <x v="4"/>
    <n v="20.25"/>
    <n v="1"/>
    <n v="7.1"/>
    <n v="21.92"/>
    <n v="76.8"/>
    <s v="Comedy"/>
    <n v="10"/>
    <n v="0"/>
    <n v="0"/>
  </r>
  <r>
    <s v="U04276"/>
    <x v="4"/>
    <n v="40"/>
    <s v="Male"/>
    <x v="1"/>
    <x v="0"/>
    <n v="6.13"/>
    <n v="1"/>
    <n v="3"/>
    <n v="21.51"/>
    <n v="10.1"/>
    <s v="Family"/>
    <n v="7"/>
    <n v="1"/>
    <n v="1"/>
  </r>
  <r>
    <s v="U04277"/>
    <x v="3"/>
    <n v="38"/>
    <s v="Male"/>
    <x v="1"/>
    <x v="4"/>
    <n v="13.45"/>
    <n v="5"/>
    <n v="4.3"/>
    <n v="11.62"/>
    <n v="17.8"/>
    <s v="Drama"/>
    <n v="9"/>
    <n v="2"/>
    <n v="0"/>
  </r>
  <r>
    <s v="U04278"/>
    <x v="5"/>
    <n v="18"/>
    <s v="Male"/>
    <x v="1"/>
    <x v="2"/>
    <n v="14.02"/>
    <n v="1"/>
    <n v="1.9"/>
    <n v="12.84"/>
    <n v="82.2"/>
    <s v="Action"/>
    <n v="7"/>
    <n v="0"/>
    <n v="0"/>
  </r>
  <r>
    <s v="U04279"/>
    <x v="9"/>
    <n v="38"/>
    <s v="Male"/>
    <x v="1"/>
    <x v="1"/>
    <n v="24.08"/>
    <n v="5"/>
    <n v="6.4"/>
    <n v="5.63"/>
    <n v="86.6"/>
    <s v="Action"/>
    <n v="11"/>
    <n v="3"/>
    <n v="0"/>
  </r>
  <r>
    <s v="U04280"/>
    <x v="3"/>
    <n v="44"/>
    <s v="Male"/>
    <x v="2"/>
    <x v="4"/>
    <n v="14.51"/>
    <n v="5"/>
    <n v="2.5"/>
    <n v="23.63"/>
    <n v="40.9"/>
    <s v="Thriller"/>
    <n v="1"/>
    <n v="3"/>
    <n v="0"/>
  </r>
  <r>
    <s v="U04281"/>
    <x v="8"/>
    <n v="59"/>
    <s v="Male"/>
    <x v="0"/>
    <x v="0"/>
    <n v="20"/>
    <n v="5"/>
    <n v="7.2"/>
    <n v="23.75"/>
    <n v="96.3"/>
    <s v="Action"/>
    <n v="7"/>
    <n v="0"/>
    <n v="0"/>
  </r>
  <r>
    <s v="U04282"/>
    <x v="0"/>
    <n v="23"/>
    <s v="Female"/>
    <x v="2"/>
    <x v="4"/>
    <n v="11.06"/>
    <n v="2"/>
    <n v="7.6"/>
    <n v="8.6"/>
    <n v="37.1"/>
    <s v="Thriller"/>
    <n v="11"/>
    <n v="2"/>
    <n v="0"/>
  </r>
  <r>
    <s v="U04283"/>
    <x v="3"/>
    <n v="61"/>
    <s v="Male"/>
    <x v="2"/>
    <x v="1"/>
    <n v="20.59"/>
    <n v="4"/>
    <n v="5.3"/>
    <n v="18.309999999999999"/>
    <n v="90.1"/>
    <s v="Comedy"/>
    <n v="9"/>
    <n v="0"/>
    <n v="1"/>
  </r>
  <r>
    <s v="U04284"/>
    <x v="2"/>
    <n v="53"/>
    <s v="Female"/>
    <x v="1"/>
    <x v="4"/>
    <n v="11.45"/>
    <n v="1"/>
    <n v="1.8"/>
    <n v="7.48"/>
    <n v="48"/>
    <s v="Thriller"/>
    <n v="8"/>
    <n v="2"/>
    <n v="1"/>
  </r>
  <r>
    <s v="U04285"/>
    <x v="7"/>
    <n v="45"/>
    <s v="Male"/>
    <x v="0"/>
    <x v="0"/>
    <n v="13.6"/>
    <n v="1"/>
    <n v="6.5"/>
    <n v="11.64"/>
    <n v="60.6"/>
    <s v="Drama"/>
    <n v="4"/>
    <n v="1"/>
    <n v="0"/>
  </r>
  <r>
    <s v="U04286"/>
    <x v="4"/>
    <n v="62"/>
    <s v="Female"/>
    <x v="1"/>
    <x v="1"/>
    <n v="14.59"/>
    <n v="2"/>
    <n v="4.3"/>
    <n v="9.65"/>
    <n v="67.900000000000006"/>
    <s v="Action"/>
    <n v="5"/>
    <n v="2"/>
    <n v="0"/>
  </r>
  <r>
    <s v="U04287"/>
    <x v="2"/>
    <n v="34"/>
    <s v="Female"/>
    <x v="0"/>
    <x v="2"/>
    <n v="23.53"/>
    <n v="2"/>
    <n v="9.5"/>
    <n v="11.57"/>
    <n v="22"/>
    <s v="Drama"/>
    <n v="3"/>
    <n v="0"/>
    <n v="0"/>
  </r>
  <r>
    <s v="U04288"/>
    <x v="11"/>
    <n v="57"/>
    <s v="Male"/>
    <x v="0"/>
    <x v="2"/>
    <n v="6.07"/>
    <n v="5"/>
    <n v="5.6"/>
    <n v="9.8000000000000007"/>
    <n v="13.3"/>
    <s v="Action"/>
    <n v="10"/>
    <n v="0"/>
    <n v="1"/>
  </r>
  <r>
    <s v="U04289"/>
    <x v="6"/>
    <n v="69"/>
    <s v="Female"/>
    <x v="0"/>
    <x v="3"/>
    <n v="8.94"/>
    <n v="5"/>
    <n v="1.7"/>
    <n v="10.6"/>
    <n v="48.4"/>
    <s v="Action"/>
    <n v="10"/>
    <n v="1"/>
    <n v="0"/>
  </r>
  <r>
    <s v="U04290"/>
    <x v="9"/>
    <n v="20"/>
    <s v="Female"/>
    <x v="0"/>
    <x v="4"/>
    <n v="19.11"/>
    <n v="4"/>
    <n v="6.7"/>
    <n v="20.399999999999999"/>
    <n v="24.4"/>
    <s v="Thriller"/>
    <n v="2"/>
    <n v="0"/>
    <n v="0"/>
  </r>
  <r>
    <s v="U04291"/>
    <x v="5"/>
    <n v="29"/>
    <s v="Female"/>
    <x v="1"/>
    <x v="0"/>
    <n v="16.55"/>
    <n v="1"/>
    <n v="8"/>
    <n v="9.6"/>
    <n v="59.4"/>
    <s v="Family"/>
    <n v="3"/>
    <n v="4"/>
    <n v="0"/>
  </r>
  <r>
    <s v="U04292"/>
    <x v="1"/>
    <n v="56"/>
    <s v="Male"/>
    <x v="2"/>
    <x v="4"/>
    <n v="10.029999999999999"/>
    <n v="2"/>
    <n v="2.4"/>
    <n v="20.92"/>
    <n v="50.8"/>
    <s v="Action"/>
    <n v="7"/>
    <n v="0"/>
    <n v="0"/>
  </r>
  <r>
    <s v="U04293"/>
    <x v="11"/>
    <n v="29"/>
    <s v="Female"/>
    <x v="0"/>
    <x v="1"/>
    <n v="10.78"/>
    <n v="4"/>
    <n v="5"/>
    <n v="15.49"/>
    <n v="21"/>
    <s v="Action"/>
    <n v="8"/>
    <n v="4"/>
    <n v="1"/>
  </r>
  <r>
    <s v="U04294"/>
    <x v="7"/>
    <n v="19"/>
    <s v="Female"/>
    <x v="2"/>
    <x v="3"/>
    <n v="12.35"/>
    <n v="1"/>
    <n v="7.7"/>
    <n v="20.170000000000002"/>
    <n v="69.900000000000006"/>
    <s v="Family"/>
    <n v="2"/>
    <n v="0"/>
    <n v="1"/>
  </r>
  <r>
    <s v="U04295"/>
    <x v="3"/>
    <n v="63"/>
    <s v="Male"/>
    <x v="2"/>
    <x v="0"/>
    <n v="14.01"/>
    <n v="4"/>
    <n v="1.2"/>
    <n v="23.22"/>
    <n v="11.8"/>
    <s v="Drama"/>
    <n v="9"/>
    <n v="0"/>
    <n v="0"/>
  </r>
  <r>
    <s v="U04296"/>
    <x v="0"/>
    <n v="39"/>
    <s v="Female"/>
    <x v="2"/>
    <x v="4"/>
    <n v="21.36"/>
    <n v="4"/>
    <n v="1.3"/>
    <n v="6.05"/>
    <n v="21.4"/>
    <s v="Action"/>
    <n v="4"/>
    <n v="1"/>
    <n v="0"/>
  </r>
  <r>
    <s v="U04297"/>
    <x v="2"/>
    <n v="40"/>
    <s v="Female"/>
    <x v="2"/>
    <x v="0"/>
    <n v="5.28"/>
    <n v="5"/>
    <n v="7.1"/>
    <n v="10.57"/>
    <n v="73"/>
    <s v="Thriller"/>
    <n v="2"/>
    <n v="4"/>
    <n v="0"/>
  </r>
  <r>
    <s v="U04298"/>
    <x v="8"/>
    <n v="47"/>
    <s v="Female"/>
    <x v="1"/>
    <x v="1"/>
    <n v="22.96"/>
    <n v="4"/>
    <n v="7.5"/>
    <n v="4.22"/>
    <n v="57.5"/>
    <s v="Family"/>
    <n v="7"/>
    <n v="1"/>
    <n v="0"/>
  </r>
  <r>
    <s v="U04299"/>
    <x v="6"/>
    <n v="22"/>
    <s v="Male"/>
    <x v="0"/>
    <x v="3"/>
    <n v="13.26"/>
    <n v="5"/>
    <n v="8.6"/>
    <n v="11.95"/>
    <n v="35.4"/>
    <s v="Family"/>
    <n v="11"/>
    <n v="4"/>
    <n v="0"/>
  </r>
  <r>
    <s v="U04300"/>
    <x v="10"/>
    <n v="26"/>
    <s v="Female"/>
    <x v="1"/>
    <x v="0"/>
    <n v="9.61"/>
    <n v="1"/>
    <n v="4.5999999999999996"/>
    <n v="8.2200000000000006"/>
    <n v="26.2"/>
    <s v="Action"/>
    <n v="2"/>
    <n v="4"/>
    <n v="0"/>
  </r>
  <r>
    <s v="U04301"/>
    <x v="11"/>
    <n v="38"/>
    <s v="Male"/>
    <x v="1"/>
    <x v="1"/>
    <n v="15.17"/>
    <n v="1"/>
    <n v="4.5"/>
    <n v="15.58"/>
    <n v="67.8"/>
    <s v="Drama"/>
    <n v="7"/>
    <n v="3"/>
    <n v="1"/>
  </r>
  <r>
    <s v="U04302"/>
    <x v="0"/>
    <n v="28"/>
    <s v="Female"/>
    <x v="2"/>
    <x v="2"/>
    <n v="18.190000000000001"/>
    <n v="5"/>
    <n v="6"/>
    <n v="20.23"/>
    <n v="28.5"/>
    <s v="Drama"/>
    <n v="8"/>
    <n v="4"/>
    <n v="1"/>
  </r>
  <r>
    <s v="U04303"/>
    <x v="10"/>
    <n v="22"/>
    <s v="Female"/>
    <x v="2"/>
    <x v="0"/>
    <n v="5.9"/>
    <n v="3"/>
    <n v="7.8"/>
    <n v="13.7"/>
    <n v="98.6"/>
    <s v="Comedy"/>
    <n v="9"/>
    <n v="1"/>
    <n v="1"/>
  </r>
  <r>
    <s v="U04304"/>
    <x v="6"/>
    <n v="52"/>
    <s v="Female"/>
    <x v="1"/>
    <x v="3"/>
    <n v="19.32"/>
    <n v="4"/>
    <n v="6.8"/>
    <n v="10.34"/>
    <n v="88.2"/>
    <s v="Comedy"/>
    <n v="11"/>
    <n v="1"/>
    <n v="0"/>
  </r>
  <r>
    <s v="U04305"/>
    <x v="1"/>
    <n v="44"/>
    <s v="Female"/>
    <x v="1"/>
    <x v="0"/>
    <n v="20.22"/>
    <n v="1"/>
    <n v="3.9"/>
    <n v="6.36"/>
    <n v="21.9"/>
    <s v="Thriller"/>
    <n v="1"/>
    <n v="2"/>
    <n v="0"/>
  </r>
  <r>
    <s v="U04306"/>
    <x v="1"/>
    <n v="66"/>
    <s v="Male"/>
    <x v="0"/>
    <x v="0"/>
    <n v="8.32"/>
    <n v="4"/>
    <n v="4.0999999999999996"/>
    <n v="3.59"/>
    <n v="87.3"/>
    <s v="Action"/>
    <n v="2"/>
    <n v="0"/>
    <n v="0"/>
  </r>
  <r>
    <s v="U04307"/>
    <x v="4"/>
    <n v="19"/>
    <s v="Female"/>
    <x v="0"/>
    <x v="1"/>
    <n v="8.36"/>
    <n v="3"/>
    <n v="7.9"/>
    <n v="17.91"/>
    <n v="41.1"/>
    <s v="Drama"/>
    <n v="2"/>
    <n v="3"/>
    <n v="0"/>
  </r>
  <r>
    <s v="U04308"/>
    <x v="6"/>
    <n v="41"/>
    <s v="Male"/>
    <x v="1"/>
    <x v="4"/>
    <n v="9.08"/>
    <n v="4"/>
    <n v="5.8"/>
    <n v="3.67"/>
    <n v="54.1"/>
    <s v="Comedy"/>
    <n v="7"/>
    <n v="0"/>
    <n v="1"/>
  </r>
  <r>
    <s v="U04309"/>
    <x v="6"/>
    <n v="48"/>
    <s v="Female"/>
    <x v="1"/>
    <x v="4"/>
    <n v="20.93"/>
    <n v="3"/>
    <n v="1.9"/>
    <n v="23.26"/>
    <n v="22.9"/>
    <s v="Action"/>
    <n v="6"/>
    <n v="1"/>
    <n v="1"/>
  </r>
  <r>
    <s v="U04310"/>
    <x v="10"/>
    <n v="50"/>
    <s v="Male"/>
    <x v="2"/>
    <x v="0"/>
    <n v="10.44"/>
    <n v="2"/>
    <n v="2.4"/>
    <n v="16.07"/>
    <n v="20.7"/>
    <s v="Action"/>
    <n v="11"/>
    <n v="3"/>
    <n v="0"/>
  </r>
  <r>
    <s v="U04311"/>
    <x v="0"/>
    <n v="56"/>
    <s v="Female"/>
    <x v="1"/>
    <x v="3"/>
    <n v="20.92"/>
    <n v="3"/>
    <n v="8.6999999999999993"/>
    <n v="10.77"/>
    <n v="87.9"/>
    <s v="Drama"/>
    <n v="9"/>
    <n v="4"/>
    <n v="0"/>
  </r>
  <r>
    <s v="U04312"/>
    <x v="2"/>
    <n v="47"/>
    <s v="Female"/>
    <x v="2"/>
    <x v="3"/>
    <n v="15.81"/>
    <n v="1"/>
    <n v="10"/>
    <n v="3.92"/>
    <n v="66.7"/>
    <s v="Action"/>
    <n v="3"/>
    <n v="1"/>
    <n v="0"/>
  </r>
  <r>
    <s v="U04313"/>
    <x v="5"/>
    <n v="63"/>
    <s v="Male"/>
    <x v="1"/>
    <x v="1"/>
    <n v="20.34"/>
    <n v="5"/>
    <n v="4"/>
    <n v="12.1"/>
    <n v="51.4"/>
    <s v="Family"/>
    <n v="8"/>
    <n v="1"/>
    <n v="0"/>
  </r>
  <r>
    <s v="U04314"/>
    <x v="10"/>
    <n v="54"/>
    <s v="Male"/>
    <x v="2"/>
    <x v="0"/>
    <n v="16.07"/>
    <n v="5"/>
    <n v="4.5"/>
    <n v="22.08"/>
    <n v="13.3"/>
    <s v="Comedy"/>
    <n v="5"/>
    <n v="1"/>
    <n v="0"/>
  </r>
  <r>
    <s v="U04315"/>
    <x v="8"/>
    <n v="68"/>
    <s v="Male"/>
    <x v="0"/>
    <x v="0"/>
    <n v="11.72"/>
    <n v="4"/>
    <n v="2.4"/>
    <n v="24.34"/>
    <n v="93"/>
    <s v="Thriller"/>
    <n v="5"/>
    <n v="1"/>
    <n v="1"/>
  </r>
  <r>
    <s v="U04316"/>
    <x v="1"/>
    <n v="45"/>
    <s v="Male"/>
    <x v="2"/>
    <x v="4"/>
    <n v="23.21"/>
    <n v="2"/>
    <n v="3.1"/>
    <n v="4.87"/>
    <n v="43.8"/>
    <s v="Comedy"/>
    <n v="10"/>
    <n v="3"/>
    <n v="0"/>
  </r>
  <r>
    <s v="U04317"/>
    <x v="1"/>
    <n v="48"/>
    <s v="Female"/>
    <x v="1"/>
    <x v="1"/>
    <n v="19.309999999999999"/>
    <n v="4"/>
    <n v="4.8"/>
    <n v="20.100000000000001"/>
    <n v="47.5"/>
    <s v="Action"/>
    <n v="11"/>
    <n v="0"/>
    <n v="1"/>
  </r>
  <r>
    <s v="U04318"/>
    <x v="4"/>
    <n v="28"/>
    <s v="Male"/>
    <x v="0"/>
    <x v="2"/>
    <n v="14.68"/>
    <n v="3"/>
    <n v="3.6"/>
    <n v="8.68"/>
    <n v="36.1"/>
    <s v="Family"/>
    <n v="5"/>
    <n v="0"/>
    <n v="0"/>
  </r>
  <r>
    <s v="U04319"/>
    <x v="2"/>
    <n v="40"/>
    <s v="Male"/>
    <x v="0"/>
    <x v="3"/>
    <n v="17.75"/>
    <n v="5"/>
    <n v="7.3"/>
    <n v="11.35"/>
    <n v="90.2"/>
    <s v="Comedy"/>
    <n v="8"/>
    <n v="4"/>
    <n v="0"/>
  </r>
  <r>
    <s v="U04320"/>
    <x v="8"/>
    <n v="19"/>
    <s v="Male"/>
    <x v="2"/>
    <x v="3"/>
    <n v="17.32"/>
    <n v="3"/>
    <n v="5.8"/>
    <n v="15.05"/>
    <n v="41"/>
    <s v="Drama"/>
    <n v="7"/>
    <n v="1"/>
    <n v="0"/>
  </r>
  <r>
    <s v="U04321"/>
    <x v="1"/>
    <n v="57"/>
    <s v="Female"/>
    <x v="0"/>
    <x v="0"/>
    <n v="12.16"/>
    <n v="5"/>
    <n v="8.4"/>
    <n v="24.88"/>
    <n v="25.7"/>
    <s v="Family"/>
    <n v="11"/>
    <n v="1"/>
    <n v="1"/>
  </r>
  <r>
    <s v="U04322"/>
    <x v="10"/>
    <n v="58"/>
    <s v="Female"/>
    <x v="1"/>
    <x v="1"/>
    <n v="13.48"/>
    <n v="5"/>
    <n v="7.5"/>
    <n v="7.59"/>
    <n v="55.1"/>
    <s v="Comedy"/>
    <n v="7"/>
    <n v="0"/>
    <n v="0"/>
  </r>
  <r>
    <s v="U04323"/>
    <x v="8"/>
    <n v="44"/>
    <s v="Female"/>
    <x v="1"/>
    <x v="2"/>
    <n v="11.37"/>
    <n v="5"/>
    <n v="2.2000000000000002"/>
    <n v="5.87"/>
    <n v="80.3"/>
    <s v="Action"/>
    <n v="4"/>
    <n v="4"/>
    <n v="1"/>
  </r>
  <r>
    <s v="U04324"/>
    <x v="10"/>
    <n v="52"/>
    <s v="Female"/>
    <x v="1"/>
    <x v="3"/>
    <n v="24.99"/>
    <n v="1"/>
    <n v="2.1"/>
    <n v="16.09"/>
    <n v="43.4"/>
    <s v="Drama"/>
    <n v="6"/>
    <n v="2"/>
    <n v="0"/>
  </r>
  <r>
    <s v="U04325"/>
    <x v="5"/>
    <n v="19"/>
    <s v="Male"/>
    <x v="2"/>
    <x v="1"/>
    <n v="16.600000000000001"/>
    <n v="3"/>
    <n v="9.1"/>
    <n v="21.77"/>
    <n v="68.7"/>
    <s v="Action"/>
    <n v="1"/>
    <n v="3"/>
    <n v="1"/>
  </r>
  <r>
    <s v="U04326"/>
    <x v="5"/>
    <n v="56"/>
    <s v="Female"/>
    <x v="1"/>
    <x v="2"/>
    <n v="6.84"/>
    <n v="4"/>
    <n v="8.4"/>
    <n v="17.260000000000002"/>
    <n v="37.4"/>
    <s v="Action"/>
    <n v="6"/>
    <n v="0"/>
    <n v="0"/>
  </r>
  <r>
    <s v="U04327"/>
    <x v="1"/>
    <n v="54"/>
    <s v="Male"/>
    <x v="1"/>
    <x v="0"/>
    <n v="15.38"/>
    <n v="2"/>
    <n v="5.2"/>
    <n v="10.65"/>
    <n v="74.8"/>
    <s v="Drama"/>
    <n v="5"/>
    <n v="3"/>
    <n v="0"/>
  </r>
  <r>
    <s v="U04328"/>
    <x v="1"/>
    <n v="38"/>
    <s v="Female"/>
    <x v="2"/>
    <x v="4"/>
    <n v="6"/>
    <n v="4"/>
    <n v="2.2000000000000002"/>
    <n v="24.49"/>
    <n v="70.2"/>
    <s v="Family"/>
    <n v="1"/>
    <n v="0"/>
    <n v="0"/>
  </r>
  <r>
    <s v="U04329"/>
    <x v="0"/>
    <n v="22"/>
    <s v="Male"/>
    <x v="2"/>
    <x v="3"/>
    <n v="10.77"/>
    <n v="3"/>
    <n v="9.1"/>
    <n v="24.89"/>
    <n v="71.3"/>
    <s v="Comedy"/>
    <n v="11"/>
    <n v="4"/>
    <n v="0"/>
  </r>
  <r>
    <s v="U04330"/>
    <x v="5"/>
    <n v="69"/>
    <s v="Male"/>
    <x v="2"/>
    <x v="3"/>
    <n v="13.92"/>
    <n v="2"/>
    <n v="3.1"/>
    <n v="19.95"/>
    <n v="68.099999999999994"/>
    <s v="Family"/>
    <n v="1"/>
    <n v="1"/>
    <n v="0"/>
  </r>
  <r>
    <s v="U04331"/>
    <x v="2"/>
    <n v="62"/>
    <s v="Male"/>
    <x v="1"/>
    <x v="2"/>
    <n v="15.69"/>
    <n v="4"/>
    <n v="1.3"/>
    <n v="20.65"/>
    <n v="24.1"/>
    <s v="Drama"/>
    <n v="3"/>
    <n v="2"/>
    <n v="0"/>
  </r>
  <r>
    <s v="U04332"/>
    <x v="2"/>
    <n v="38"/>
    <s v="Male"/>
    <x v="0"/>
    <x v="4"/>
    <n v="24.52"/>
    <n v="2"/>
    <n v="9.3000000000000007"/>
    <n v="19.739999999999998"/>
    <n v="89.9"/>
    <s v="Comedy"/>
    <n v="4"/>
    <n v="3"/>
    <n v="1"/>
  </r>
  <r>
    <s v="U04333"/>
    <x v="11"/>
    <n v="46"/>
    <s v="Male"/>
    <x v="1"/>
    <x v="1"/>
    <n v="24.64"/>
    <n v="3"/>
    <n v="8.3000000000000007"/>
    <n v="8.67"/>
    <n v="62.7"/>
    <s v="Drama"/>
    <n v="1"/>
    <n v="2"/>
    <n v="0"/>
  </r>
  <r>
    <s v="U04334"/>
    <x v="11"/>
    <n v="37"/>
    <s v="Female"/>
    <x v="2"/>
    <x v="0"/>
    <n v="6.96"/>
    <n v="5"/>
    <n v="7.2"/>
    <n v="6.31"/>
    <n v="44.4"/>
    <s v="Thriller"/>
    <n v="10"/>
    <n v="1"/>
    <n v="0"/>
  </r>
  <r>
    <s v="U04335"/>
    <x v="4"/>
    <n v="55"/>
    <s v="Male"/>
    <x v="0"/>
    <x v="1"/>
    <n v="15.76"/>
    <n v="3"/>
    <n v="1.3"/>
    <n v="15.2"/>
    <n v="25.5"/>
    <s v="Thriller"/>
    <n v="7"/>
    <n v="0"/>
    <n v="1"/>
  </r>
  <r>
    <s v="U04336"/>
    <x v="5"/>
    <n v="37"/>
    <s v="Male"/>
    <x v="0"/>
    <x v="2"/>
    <n v="21.34"/>
    <n v="1"/>
    <n v="5.8"/>
    <n v="23.99"/>
    <n v="80.5"/>
    <s v="Family"/>
    <n v="2"/>
    <n v="4"/>
    <n v="1"/>
  </r>
  <r>
    <s v="U04337"/>
    <x v="10"/>
    <n v="67"/>
    <s v="Male"/>
    <x v="0"/>
    <x v="3"/>
    <n v="9.75"/>
    <n v="2"/>
    <n v="6.9"/>
    <n v="22.32"/>
    <n v="55.8"/>
    <s v="Drama"/>
    <n v="11"/>
    <n v="1"/>
    <n v="1"/>
  </r>
  <r>
    <s v="U04338"/>
    <x v="10"/>
    <n v="42"/>
    <s v="Male"/>
    <x v="1"/>
    <x v="3"/>
    <n v="20.010000000000002"/>
    <n v="3"/>
    <n v="7.8"/>
    <n v="5.35"/>
    <n v="23.3"/>
    <s v="Comedy"/>
    <n v="4"/>
    <n v="2"/>
    <n v="0"/>
  </r>
  <r>
    <s v="U04339"/>
    <x v="7"/>
    <n v="19"/>
    <s v="Female"/>
    <x v="2"/>
    <x v="1"/>
    <n v="22.57"/>
    <n v="5"/>
    <n v="5.2"/>
    <n v="4.25"/>
    <n v="92.9"/>
    <s v="Family"/>
    <n v="9"/>
    <n v="2"/>
    <n v="0"/>
  </r>
  <r>
    <s v="U04340"/>
    <x v="8"/>
    <n v="49"/>
    <s v="Female"/>
    <x v="0"/>
    <x v="0"/>
    <n v="18.25"/>
    <n v="5"/>
    <n v="9.6"/>
    <n v="22.22"/>
    <n v="19.5"/>
    <s v="Thriller"/>
    <n v="8"/>
    <n v="2"/>
    <n v="0"/>
  </r>
  <r>
    <s v="U04341"/>
    <x v="3"/>
    <n v="43"/>
    <s v="Male"/>
    <x v="1"/>
    <x v="2"/>
    <n v="11.55"/>
    <n v="3"/>
    <n v="3.2"/>
    <n v="16.489999999999998"/>
    <n v="57.2"/>
    <s v="Thriller"/>
    <n v="2"/>
    <n v="0"/>
    <n v="0"/>
  </r>
  <r>
    <s v="U04342"/>
    <x v="11"/>
    <n v="23"/>
    <s v="Male"/>
    <x v="2"/>
    <x v="0"/>
    <n v="23.46"/>
    <n v="4"/>
    <n v="1.6"/>
    <n v="9.6999999999999993"/>
    <n v="65"/>
    <s v="Thriller"/>
    <n v="11"/>
    <n v="2"/>
    <n v="0"/>
  </r>
  <r>
    <s v="U04343"/>
    <x v="1"/>
    <n v="58"/>
    <s v="Male"/>
    <x v="0"/>
    <x v="2"/>
    <n v="22.67"/>
    <n v="3"/>
    <n v="4"/>
    <n v="15.36"/>
    <n v="99.9"/>
    <s v="Family"/>
    <n v="11"/>
    <n v="0"/>
    <n v="0"/>
  </r>
  <r>
    <s v="U04344"/>
    <x v="4"/>
    <n v="20"/>
    <s v="Male"/>
    <x v="1"/>
    <x v="0"/>
    <n v="19.32"/>
    <n v="5"/>
    <n v="7"/>
    <n v="7.88"/>
    <n v="22.7"/>
    <s v="Comedy"/>
    <n v="9"/>
    <n v="2"/>
    <n v="0"/>
  </r>
  <r>
    <s v="U04345"/>
    <x v="2"/>
    <n v="50"/>
    <s v="Female"/>
    <x v="2"/>
    <x v="1"/>
    <n v="12.27"/>
    <n v="3"/>
    <n v="7.6"/>
    <n v="23.83"/>
    <n v="65.2"/>
    <s v="Thriller"/>
    <n v="1"/>
    <n v="3"/>
    <n v="0"/>
  </r>
  <r>
    <s v="U04346"/>
    <x v="3"/>
    <n v="18"/>
    <s v="Female"/>
    <x v="2"/>
    <x v="4"/>
    <n v="20.84"/>
    <n v="1"/>
    <n v="7.6"/>
    <n v="21.2"/>
    <n v="52.9"/>
    <s v="Family"/>
    <n v="6"/>
    <n v="3"/>
    <n v="0"/>
  </r>
  <r>
    <s v="U04347"/>
    <x v="6"/>
    <n v="68"/>
    <s v="Male"/>
    <x v="0"/>
    <x v="2"/>
    <n v="11.32"/>
    <n v="4"/>
    <n v="2"/>
    <n v="24.17"/>
    <n v="33.1"/>
    <s v="Family"/>
    <n v="3"/>
    <n v="1"/>
    <n v="0"/>
  </r>
  <r>
    <s v="U04348"/>
    <x v="4"/>
    <n v="22"/>
    <s v="Male"/>
    <x v="0"/>
    <x v="1"/>
    <n v="10.06"/>
    <n v="3"/>
    <n v="9"/>
    <n v="7.12"/>
    <n v="94.8"/>
    <s v="Action"/>
    <n v="1"/>
    <n v="1"/>
    <n v="0"/>
  </r>
  <r>
    <s v="U04349"/>
    <x v="6"/>
    <n v="30"/>
    <s v="Male"/>
    <x v="0"/>
    <x v="3"/>
    <n v="15.3"/>
    <n v="5"/>
    <n v="3.5"/>
    <n v="21.56"/>
    <n v="81.2"/>
    <s v="Action"/>
    <n v="8"/>
    <n v="4"/>
    <n v="0"/>
  </r>
  <r>
    <s v="U04350"/>
    <x v="9"/>
    <n v="36"/>
    <s v="Male"/>
    <x v="2"/>
    <x v="3"/>
    <n v="24.94"/>
    <n v="3"/>
    <n v="2.9"/>
    <n v="15.33"/>
    <n v="79.900000000000006"/>
    <s v="Comedy"/>
    <n v="6"/>
    <n v="2"/>
    <n v="0"/>
  </r>
  <r>
    <s v="U04351"/>
    <x v="5"/>
    <n v="29"/>
    <s v="Male"/>
    <x v="2"/>
    <x v="0"/>
    <n v="21.09"/>
    <n v="3"/>
    <n v="6.5"/>
    <n v="10.15"/>
    <n v="90.9"/>
    <s v="Thriller"/>
    <n v="4"/>
    <n v="2"/>
    <n v="0"/>
  </r>
  <r>
    <s v="U04352"/>
    <x v="6"/>
    <n v="65"/>
    <s v="Female"/>
    <x v="1"/>
    <x v="3"/>
    <n v="19.600000000000001"/>
    <n v="2"/>
    <n v="2.9"/>
    <n v="13.55"/>
    <n v="75.3"/>
    <s v="Action"/>
    <n v="3"/>
    <n v="0"/>
    <n v="1"/>
  </r>
  <r>
    <s v="U04353"/>
    <x v="6"/>
    <n v="42"/>
    <s v="Female"/>
    <x v="1"/>
    <x v="4"/>
    <n v="14.04"/>
    <n v="3"/>
    <n v="5.6"/>
    <n v="23.78"/>
    <n v="55.6"/>
    <s v="Comedy"/>
    <n v="10"/>
    <n v="1"/>
    <n v="0"/>
  </r>
  <r>
    <s v="U04354"/>
    <x v="9"/>
    <n v="68"/>
    <s v="Male"/>
    <x v="0"/>
    <x v="2"/>
    <n v="11.24"/>
    <n v="1"/>
    <n v="4.7"/>
    <n v="18.21"/>
    <n v="45.2"/>
    <s v="Action"/>
    <n v="2"/>
    <n v="3"/>
    <n v="0"/>
  </r>
  <r>
    <s v="U04355"/>
    <x v="0"/>
    <n v="52"/>
    <s v="Female"/>
    <x v="1"/>
    <x v="0"/>
    <n v="22.12"/>
    <n v="5"/>
    <n v="3.1"/>
    <n v="10.92"/>
    <n v="73.400000000000006"/>
    <s v="Thriller"/>
    <n v="5"/>
    <n v="0"/>
    <n v="1"/>
  </r>
  <r>
    <s v="U04356"/>
    <x v="0"/>
    <n v="29"/>
    <s v="Female"/>
    <x v="1"/>
    <x v="2"/>
    <n v="16.350000000000001"/>
    <n v="2"/>
    <n v="3.6"/>
    <n v="25"/>
    <n v="64.3"/>
    <s v="Family"/>
    <n v="8"/>
    <n v="3"/>
    <n v="0"/>
  </r>
  <r>
    <s v="U04357"/>
    <x v="0"/>
    <n v="47"/>
    <s v="Female"/>
    <x v="2"/>
    <x v="2"/>
    <n v="21.27"/>
    <n v="3"/>
    <n v="4.8"/>
    <n v="10.61"/>
    <n v="58.9"/>
    <s v="Thriller"/>
    <n v="8"/>
    <n v="0"/>
    <n v="0"/>
  </r>
  <r>
    <s v="U04358"/>
    <x v="5"/>
    <n v="22"/>
    <s v="Male"/>
    <x v="1"/>
    <x v="1"/>
    <n v="14.76"/>
    <n v="4"/>
    <n v="4.0999999999999996"/>
    <n v="20.9"/>
    <n v="63"/>
    <s v="Action"/>
    <n v="3"/>
    <n v="1"/>
    <n v="0"/>
  </r>
  <r>
    <s v="U04359"/>
    <x v="3"/>
    <n v="51"/>
    <s v="Female"/>
    <x v="1"/>
    <x v="3"/>
    <n v="20.079999999999998"/>
    <n v="1"/>
    <n v="4.4000000000000004"/>
    <n v="20.260000000000002"/>
    <n v="69"/>
    <s v="Thriller"/>
    <n v="9"/>
    <n v="2"/>
    <n v="0"/>
  </r>
  <r>
    <s v="U04360"/>
    <x v="4"/>
    <n v="39"/>
    <s v="Female"/>
    <x v="0"/>
    <x v="2"/>
    <n v="22.35"/>
    <n v="1"/>
    <n v="7.6"/>
    <n v="18.899999999999999"/>
    <n v="97.2"/>
    <s v="Family"/>
    <n v="10"/>
    <n v="2"/>
    <n v="0"/>
  </r>
  <r>
    <s v="U04361"/>
    <x v="4"/>
    <n v="56"/>
    <s v="Male"/>
    <x v="0"/>
    <x v="4"/>
    <n v="12.83"/>
    <n v="1"/>
    <n v="2.5"/>
    <n v="17.73"/>
    <n v="77.8"/>
    <s v="Drama"/>
    <n v="5"/>
    <n v="1"/>
    <n v="0"/>
  </r>
  <r>
    <s v="U04362"/>
    <x v="1"/>
    <n v="30"/>
    <s v="Female"/>
    <x v="0"/>
    <x v="4"/>
    <n v="5.27"/>
    <n v="2"/>
    <n v="6.6"/>
    <n v="5.39"/>
    <n v="25.9"/>
    <s v="Family"/>
    <n v="7"/>
    <n v="3"/>
    <n v="0"/>
  </r>
  <r>
    <s v="U04363"/>
    <x v="0"/>
    <n v="64"/>
    <s v="Male"/>
    <x v="0"/>
    <x v="3"/>
    <n v="10.1"/>
    <n v="3"/>
    <n v="7.1"/>
    <n v="24.89"/>
    <n v="52"/>
    <s v="Action"/>
    <n v="11"/>
    <n v="4"/>
    <n v="0"/>
  </r>
  <r>
    <s v="U04364"/>
    <x v="5"/>
    <n v="20"/>
    <s v="Female"/>
    <x v="1"/>
    <x v="3"/>
    <n v="23.3"/>
    <n v="1"/>
    <n v="8.1999999999999993"/>
    <n v="6.54"/>
    <n v="71"/>
    <s v="Family"/>
    <n v="9"/>
    <n v="4"/>
    <n v="0"/>
  </r>
  <r>
    <s v="U04365"/>
    <x v="1"/>
    <n v="37"/>
    <s v="Male"/>
    <x v="0"/>
    <x v="0"/>
    <n v="18.75"/>
    <n v="3"/>
    <n v="8.6"/>
    <n v="16.11"/>
    <n v="25.8"/>
    <s v="Comedy"/>
    <n v="7"/>
    <n v="1"/>
    <n v="1"/>
  </r>
  <r>
    <s v="U04366"/>
    <x v="8"/>
    <n v="48"/>
    <s v="Male"/>
    <x v="0"/>
    <x v="0"/>
    <n v="19.739999999999998"/>
    <n v="4"/>
    <n v="2.4"/>
    <n v="8.48"/>
    <n v="93.9"/>
    <s v="Thriller"/>
    <n v="10"/>
    <n v="0"/>
    <n v="0"/>
  </r>
  <r>
    <s v="U04367"/>
    <x v="1"/>
    <n v="22"/>
    <s v="Female"/>
    <x v="2"/>
    <x v="0"/>
    <n v="11.51"/>
    <n v="3"/>
    <n v="2.2000000000000002"/>
    <n v="6.71"/>
    <n v="16.899999999999999"/>
    <s v="Drama"/>
    <n v="3"/>
    <n v="2"/>
    <n v="0"/>
  </r>
  <r>
    <s v="U04368"/>
    <x v="3"/>
    <n v="41"/>
    <s v="Female"/>
    <x v="1"/>
    <x v="3"/>
    <n v="19.03"/>
    <n v="3"/>
    <n v="6.5"/>
    <n v="15.31"/>
    <n v="65"/>
    <s v="Drama"/>
    <n v="2"/>
    <n v="3"/>
    <n v="1"/>
  </r>
  <r>
    <s v="U04369"/>
    <x v="11"/>
    <n v="57"/>
    <s v="Male"/>
    <x v="1"/>
    <x v="2"/>
    <n v="17.93"/>
    <n v="3"/>
    <n v="7.8"/>
    <n v="21.4"/>
    <n v="97.8"/>
    <s v="Thriller"/>
    <n v="7"/>
    <n v="4"/>
    <n v="0"/>
  </r>
  <r>
    <s v="U04370"/>
    <x v="6"/>
    <n v="50"/>
    <s v="Male"/>
    <x v="2"/>
    <x v="1"/>
    <n v="8.57"/>
    <n v="5"/>
    <n v="3.5"/>
    <n v="11.29"/>
    <n v="75.5"/>
    <s v="Thriller"/>
    <n v="10"/>
    <n v="2"/>
    <n v="0"/>
  </r>
  <r>
    <s v="U04371"/>
    <x v="0"/>
    <n v="25"/>
    <s v="Female"/>
    <x v="1"/>
    <x v="0"/>
    <n v="24.37"/>
    <n v="2"/>
    <n v="5.7"/>
    <n v="4.7"/>
    <n v="71"/>
    <s v="Comedy"/>
    <n v="8"/>
    <n v="1"/>
    <n v="0"/>
  </r>
  <r>
    <s v="U04372"/>
    <x v="9"/>
    <n v="41"/>
    <s v="Female"/>
    <x v="2"/>
    <x v="1"/>
    <n v="12.08"/>
    <n v="3"/>
    <n v="8"/>
    <n v="16.72"/>
    <n v="99.8"/>
    <s v="Family"/>
    <n v="4"/>
    <n v="2"/>
    <n v="0"/>
  </r>
  <r>
    <s v="U04373"/>
    <x v="11"/>
    <n v="67"/>
    <s v="Female"/>
    <x v="0"/>
    <x v="4"/>
    <n v="11.59"/>
    <n v="1"/>
    <n v="7.9"/>
    <n v="19.86"/>
    <n v="81.3"/>
    <s v="Drama"/>
    <n v="1"/>
    <n v="4"/>
    <n v="0"/>
  </r>
  <r>
    <s v="U04374"/>
    <x v="2"/>
    <n v="37"/>
    <s v="Female"/>
    <x v="2"/>
    <x v="3"/>
    <n v="12.38"/>
    <n v="5"/>
    <n v="6.9"/>
    <n v="9.51"/>
    <n v="97.3"/>
    <s v="Action"/>
    <n v="6"/>
    <n v="3"/>
    <n v="0"/>
  </r>
  <r>
    <s v="U04375"/>
    <x v="1"/>
    <n v="33"/>
    <s v="Male"/>
    <x v="2"/>
    <x v="4"/>
    <n v="6.83"/>
    <n v="3"/>
    <n v="1.7"/>
    <n v="18.190000000000001"/>
    <n v="72.900000000000006"/>
    <s v="Thriller"/>
    <n v="9"/>
    <n v="0"/>
    <n v="0"/>
  </r>
  <r>
    <s v="U04376"/>
    <x v="5"/>
    <n v="67"/>
    <s v="Male"/>
    <x v="2"/>
    <x v="0"/>
    <n v="17.5"/>
    <n v="5"/>
    <n v="1.5"/>
    <n v="4.67"/>
    <n v="69.900000000000006"/>
    <s v="Thriller"/>
    <n v="4"/>
    <n v="0"/>
    <n v="1"/>
  </r>
  <r>
    <s v="U04377"/>
    <x v="6"/>
    <n v="69"/>
    <s v="Male"/>
    <x v="0"/>
    <x v="2"/>
    <n v="9.77"/>
    <n v="2"/>
    <n v="4.5"/>
    <n v="10.95"/>
    <n v="78.599999999999994"/>
    <s v="Drama"/>
    <n v="3"/>
    <n v="2"/>
    <n v="0"/>
  </r>
  <r>
    <s v="U04378"/>
    <x v="4"/>
    <n v="29"/>
    <s v="Female"/>
    <x v="1"/>
    <x v="0"/>
    <n v="21.07"/>
    <n v="5"/>
    <n v="1.2"/>
    <n v="13.43"/>
    <n v="27"/>
    <s v="Thriller"/>
    <n v="6"/>
    <n v="0"/>
    <n v="0"/>
  </r>
  <r>
    <s v="U04379"/>
    <x v="10"/>
    <n v="30"/>
    <s v="Female"/>
    <x v="0"/>
    <x v="1"/>
    <n v="12.88"/>
    <n v="1"/>
    <n v="9.1"/>
    <n v="20.2"/>
    <n v="82.5"/>
    <s v="Drama"/>
    <n v="6"/>
    <n v="4"/>
    <n v="1"/>
  </r>
  <r>
    <s v="U04380"/>
    <x v="6"/>
    <n v="62"/>
    <s v="Male"/>
    <x v="1"/>
    <x v="0"/>
    <n v="14.17"/>
    <n v="3"/>
    <n v="1.2"/>
    <n v="10.44"/>
    <n v="97.3"/>
    <s v="Action"/>
    <n v="4"/>
    <n v="3"/>
    <n v="0"/>
  </r>
  <r>
    <s v="U04381"/>
    <x v="3"/>
    <n v="59"/>
    <s v="Male"/>
    <x v="2"/>
    <x v="2"/>
    <n v="17.93"/>
    <n v="1"/>
    <n v="1.3"/>
    <n v="12.98"/>
    <n v="65"/>
    <s v="Action"/>
    <n v="7"/>
    <n v="0"/>
    <n v="0"/>
  </r>
  <r>
    <s v="U04382"/>
    <x v="2"/>
    <n v="56"/>
    <s v="Male"/>
    <x v="1"/>
    <x v="2"/>
    <n v="20.239999999999998"/>
    <n v="4"/>
    <n v="2.5"/>
    <n v="16.82"/>
    <n v="11.1"/>
    <s v="Drama"/>
    <n v="11"/>
    <n v="0"/>
    <n v="1"/>
  </r>
  <r>
    <s v="U04383"/>
    <x v="3"/>
    <n v="42"/>
    <s v="Male"/>
    <x v="1"/>
    <x v="3"/>
    <n v="9.6199999999999992"/>
    <n v="5"/>
    <n v="6.6"/>
    <n v="16.73"/>
    <n v="16.5"/>
    <s v="Thriller"/>
    <n v="2"/>
    <n v="1"/>
    <n v="0"/>
  </r>
  <r>
    <s v="U04384"/>
    <x v="1"/>
    <n v="63"/>
    <s v="Male"/>
    <x v="1"/>
    <x v="3"/>
    <n v="24.33"/>
    <n v="5"/>
    <n v="5.9"/>
    <n v="14.39"/>
    <n v="31.1"/>
    <s v="Comedy"/>
    <n v="1"/>
    <n v="0"/>
    <n v="0"/>
  </r>
  <r>
    <s v="U04385"/>
    <x v="8"/>
    <n v="49"/>
    <s v="Male"/>
    <x v="1"/>
    <x v="2"/>
    <n v="17.45"/>
    <n v="5"/>
    <n v="6.9"/>
    <n v="10.23"/>
    <n v="54.2"/>
    <s v="Comedy"/>
    <n v="11"/>
    <n v="0"/>
    <n v="0"/>
  </r>
  <r>
    <s v="U04386"/>
    <x v="3"/>
    <n v="41"/>
    <s v="Female"/>
    <x v="2"/>
    <x v="2"/>
    <n v="5.1100000000000003"/>
    <n v="2"/>
    <n v="9"/>
    <n v="17.739999999999998"/>
    <n v="47.2"/>
    <s v="Family"/>
    <n v="6"/>
    <n v="4"/>
    <n v="1"/>
  </r>
  <r>
    <s v="U04387"/>
    <x v="3"/>
    <n v="65"/>
    <s v="Male"/>
    <x v="2"/>
    <x v="1"/>
    <n v="13.31"/>
    <n v="1"/>
    <n v="5.0999999999999996"/>
    <n v="21.42"/>
    <n v="98.1"/>
    <s v="Comedy"/>
    <n v="3"/>
    <n v="0"/>
    <n v="0"/>
  </r>
  <r>
    <s v="U04388"/>
    <x v="5"/>
    <n v="64"/>
    <s v="Male"/>
    <x v="0"/>
    <x v="0"/>
    <n v="13.74"/>
    <n v="4"/>
    <n v="1.4"/>
    <n v="6.38"/>
    <n v="95.1"/>
    <s v="Thriller"/>
    <n v="3"/>
    <n v="1"/>
    <n v="0"/>
  </r>
  <r>
    <s v="U04389"/>
    <x v="1"/>
    <n v="61"/>
    <s v="Male"/>
    <x v="1"/>
    <x v="3"/>
    <n v="21.18"/>
    <n v="2"/>
    <n v="7.9"/>
    <n v="10.49"/>
    <n v="45.3"/>
    <s v="Comedy"/>
    <n v="1"/>
    <n v="1"/>
    <n v="0"/>
  </r>
  <r>
    <s v="U04390"/>
    <x v="6"/>
    <n v="26"/>
    <s v="Male"/>
    <x v="0"/>
    <x v="1"/>
    <n v="11.1"/>
    <n v="2"/>
    <n v="8.3000000000000007"/>
    <n v="17.71"/>
    <n v="81.5"/>
    <s v="Family"/>
    <n v="2"/>
    <n v="1"/>
    <n v="0"/>
  </r>
  <r>
    <s v="U04391"/>
    <x v="8"/>
    <n v="57"/>
    <s v="Male"/>
    <x v="1"/>
    <x v="0"/>
    <n v="11.62"/>
    <n v="3"/>
    <n v="1.4"/>
    <n v="19.63"/>
    <n v="67.3"/>
    <s v="Action"/>
    <n v="3"/>
    <n v="0"/>
    <n v="0"/>
  </r>
  <r>
    <s v="U04392"/>
    <x v="11"/>
    <n v="67"/>
    <s v="Male"/>
    <x v="2"/>
    <x v="3"/>
    <n v="6.41"/>
    <n v="4"/>
    <n v="3.2"/>
    <n v="20.190000000000001"/>
    <n v="31.9"/>
    <s v="Drama"/>
    <n v="1"/>
    <n v="2"/>
    <n v="0"/>
  </r>
  <r>
    <s v="U04393"/>
    <x v="10"/>
    <n v="40"/>
    <s v="Male"/>
    <x v="2"/>
    <x v="1"/>
    <n v="10.67"/>
    <n v="5"/>
    <n v="7.9"/>
    <n v="17.37"/>
    <n v="93.8"/>
    <s v="Comedy"/>
    <n v="8"/>
    <n v="2"/>
    <n v="0"/>
  </r>
  <r>
    <s v="U04394"/>
    <x v="0"/>
    <n v="67"/>
    <s v="Female"/>
    <x v="1"/>
    <x v="4"/>
    <n v="19.34"/>
    <n v="5"/>
    <n v="4.4000000000000004"/>
    <n v="13.52"/>
    <n v="33.4"/>
    <s v="Drama"/>
    <n v="6"/>
    <n v="4"/>
    <n v="0"/>
  </r>
  <r>
    <s v="U04395"/>
    <x v="4"/>
    <n v="30"/>
    <s v="Male"/>
    <x v="0"/>
    <x v="4"/>
    <n v="17.7"/>
    <n v="3"/>
    <n v="5.3"/>
    <n v="17.21"/>
    <n v="88.3"/>
    <s v="Drama"/>
    <n v="9"/>
    <n v="2"/>
    <n v="0"/>
  </r>
  <r>
    <s v="U04396"/>
    <x v="3"/>
    <n v="49"/>
    <s v="Female"/>
    <x v="0"/>
    <x v="3"/>
    <n v="6.63"/>
    <n v="5"/>
    <n v="8.4"/>
    <n v="5.97"/>
    <n v="67.400000000000006"/>
    <s v="Action"/>
    <n v="1"/>
    <n v="4"/>
    <n v="0"/>
  </r>
  <r>
    <s v="U04397"/>
    <x v="1"/>
    <n v="67"/>
    <s v="Female"/>
    <x v="1"/>
    <x v="1"/>
    <n v="7.29"/>
    <n v="1"/>
    <n v="1.9"/>
    <n v="7.57"/>
    <n v="65.900000000000006"/>
    <s v="Family"/>
    <n v="11"/>
    <n v="4"/>
    <n v="0"/>
  </r>
  <r>
    <s v="U04398"/>
    <x v="0"/>
    <n v="32"/>
    <s v="Female"/>
    <x v="0"/>
    <x v="0"/>
    <n v="12.54"/>
    <n v="5"/>
    <n v="7.1"/>
    <n v="23.41"/>
    <n v="85.5"/>
    <s v="Thriller"/>
    <n v="4"/>
    <n v="1"/>
    <n v="0"/>
  </r>
  <r>
    <s v="U04399"/>
    <x v="4"/>
    <n v="53"/>
    <s v="Male"/>
    <x v="1"/>
    <x v="0"/>
    <n v="19.88"/>
    <n v="1"/>
    <n v="2.9"/>
    <n v="23.29"/>
    <n v="54.5"/>
    <s v="Thriller"/>
    <n v="4"/>
    <n v="3"/>
    <n v="1"/>
  </r>
  <r>
    <s v="U04400"/>
    <x v="4"/>
    <n v="66"/>
    <s v="Male"/>
    <x v="0"/>
    <x v="1"/>
    <n v="21.66"/>
    <n v="3"/>
    <n v="1.6"/>
    <n v="18.93"/>
    <n v="86.8"/>
    <s v="Thriller"/>
    <n v="5"/>
    <n v="4"/>
    <n v="0"/>
  </r>
  <r>
    <s v="U04401"/>
    <x v="11"/>
    <n v="22"/>
    <s v="Male"/>
    <x v="1"/>
    <x v="4"/>
    <n v="5.29"/>
    <n v="3"/>
    <n v="7"/>
    <n v="10.199999999999999"/>
    <n v="59.5"/>
    <s v="Family"/>
    <n v="11"/>
    <n v="0"/>
    <n v="0"/>
  </r>
  <r>
    <s v="U04402"/>
    <x v="11"/>
    <n v="39"/>
    <s v="Male"/>
    <x v="0"/>
    <x v="1"/>
    <n v="11.58"/>
    <n v="1"/>
    <n v="2.1"/>
    <n v="17.27"/>
    <n v="98.6"/>
    <s v="Family"/>
    <n v="2"/>
    <n v="1"/>
    <n v="0"/>
  </r>
  <r>
    <s v="U04403"/>
    <x v="11"/>
    <n v="33"/>
    <s v="Male"/>
    <x v="2"/>
    <x v="4"/>
    <n v="13.49"/>
    <n v="5"/>
    <n v="7.7"/>
    <n v="18.13"/>
    <n v="69.400000000000006"/>
    <s v="Family"/>
    <n v="1"/>
    <n v="0"/>
    <n v="0"/>
  </r>
  <r>
    <s v="U04404"/>
    <x v="9"/>
    <n v="58"/>
    <s v="Male"/>
    <x v="2"/>
    <x v="4"/>
    <n v="23.22"/>
    <n v="3"/>
    <n v="2.8"/>
    <n v="14.33"/>
    <n v="43.7"/>
    <s v="Comedy"/>
    <n v="9"/>
    <n v="0"/>
    <n v="1"/>
  </r>
  <r>
    <s v="U04405"/>
    <x v="7"/>
    <n v="27"/>
    <s v="Male"/>
    <x v="1"/>
    <x v="0"/>
    <n v="15.03"/>
    <n v="3"/>
    <n v="1.4"/>
    <n v="19.47"/>
    <n v="78.7"/>
    <s v="Drama"/>
    <n v="5"/>
    <n v="2"/>
    <n v="0"/>
  </r>
  <r>
    <s v="U04406"/>
    <x v="7"/>
    <n v="41"/>
    <s v="Male"/>
    <x v="0"/>
    <x v="3"/>
    <n v="10.39"/>
    <n v="1"/>
    <n v="1.9"/>
    <n v="3.65"/>
    <n v="55.9"/>
    <s v="Family"/>
    <n v="8"/>
    <n v="0"/>
    <n v="0"/>
  </r>
  <r>
    <s v="U04407"/>
    <x v="4"/>
    <n v="35"/>
    <s v="Male"/>
    <x v="1"/>
    <x v="2"/>
    <n v="12.8"/>
    <n v="3"/>
    <n v="8.6"/>
    <n v="8.64"/>
    <n v="82.5"/>
    <s v="Family"/>
    <n v="3"/>
    <n v="4"/>
    <n v="0"/>
  </r>
  <r>
    <s v="U04408"/>
    <x v="11"/>
    <n v="66"/>
    <s v="Male"/>
    <x v="0"/>
    <x v="1"/>
    <n v="13.73"/>
    <n v="5"/>
    <n v="4.3"/>
    <n v="20.48"/>
    <n v="85"/>
    <s v="Comedy"/>
    <n v="4"/>
    <n v="0"/>
    <n v="1"/>
  </r>
  <r>
    <s v="U04409"/>
    <x v="5"/>
    <n v="35"/>
    <s v="Female"/>
    <x v="1"/>
    <x v="4"/>
    <n v="18.399999999999999"/>
    <n v="3"/>
    <n v="3.7"/>
    <n v="23.65"/>
    <n v="65.5"/>
    <s v="Drama"/>
    <n v="4"/>
    <n v="0"/>
    <n v="0"/>
  </r>
  <r>
    <s v="U04410"/>
    <x v="3"/>
    <n v="24"/>
    <s v="Male"/>
    <x v="2"/>
    <x v="1"/>
    <n v="5.82"/>
    <n v="1"/>
    <n v="5.4"/>
    <n v="22.27"/>
    <n v="88.5"/>
    <s v="Thriller"/>
    <n v="6"/>
    <n v="2"/>
    <n v="1"/>
  </r>
  <r>
    <s v="U04411"/>
    <x v="0"/>
    <n v="21"/>
    <s v="Male"/>
    <x v="1"/>
    <x v="3"/>
    <n v="12.79"/>
    <n v="5"/>
    <n v="6.7"/>
    <n v="18.760000000000002"/>
    <n v="46.3"/>
    <s v="Action"/>
    <n v="4"/>
    <n v="0"/>
    <n v="0"/>
  </r>
  <r>
    <s v="U04412"/>
    <x v="0"/>
    <n v="43"/>
    <s v="Male"/>
    <x v="1"/>
    <x v="3"/>
    <n v="17.93"/>
    <n v="4"/>
    <n v="1.3"/>
    <n v="6.64"/>
    <n v="15.2"/>
    <s v="Family"/>
    <n v="5"/>
    <n v="4"/>
    <n v="0"/>
  </r>
  <r>
    <s v="U04413"/>
    <x v="7"/>
    <n v="22"/>
    <s v="Female"/>
    <x v="1"/>
    <x v="2"/>
    <n v="10.67"/>
    <n v="1"/>
    <n v="9.1"/>
    <n v="11.11"/>
    <n v="69.599999999999994"/>
    <s v="Family"/>
    <n v="5"/>
    <n v="4"/>
    <n v="0"/>
  </r>
  <r>
    <s v="U04414"/>
    <x v="4"/>
    <n v="33"/>
    <s v="Male"/>
    <x v="2"/>
    <x v="2"/>
    <n v="16.84"/>
    <n v="4"/>
    <n v="9.6"/>
    <n v="4.0999999999999996"/>
    <n v="78.8"/>
    <s v="Action"/>
    <n v="8"/>
    <n v="0"/>
    <n v="1"/>
  </r>
  <r>
    <s v="U04415"/>
    <x v="1"/>
    <n v="52"/>
    <s v="Male"/>
    <x v="2"/>
    <x v="4"/>
    <n v="12.15"/>
    <n v="3"/>
    <n v="4.8"/>
    <n v="17.079999999999998"/>
    <n v="16.600000000000001"/>
    <s v="Family"/>
    <n v="9"/>
    <n v="4"/>
    <n v="0"/>
  </r>
  <r>
    <s v="U04416"/>
    <x v="6"/>
    <n v="43"/>
    <s v="Female"/>
    <x v="1"/>
    <x v="2"/>
    <n v="20.170000000000002"/>
    <n v="5"/>
    <n v="4.7"/>
    <n v="12.9"/>
    <n v="79.400000000000006"/>
    <s v="Family"/>
    <n v="11"/>
    <n v="4"/>
    <n v="0"/>
  </r>
  <r>
    <s v="U04417"/>
    <x v="6"/>
    <n v="35"/>
    <s v="Male"/>
    <x v="1"/>
    <x v="4"/>
    <n v="6.21"/>
    <n v="3"/>
    <n v="8.9"/>
    <n v="15.61"/>
    <n v="67.5"/>
    <s v="Family"/>
    <n v="8"/>
    <n v="2"/>
    <n v="0"/>
  </r>
  <r>
    <s v="U04418"/>
    <x v="7"/>
    <n v="46"/>
    <s v="Female"/>
    <x v="1"/>
    <x v="0"/>
    <n v="23.36"/>
    <n v="5"/>
    <n v="4.9000000000000004"/>
    <n v="24.55"/>
    <n v="20.5"/>
    <s v="Action"/>
    <n v="5"/>
    <n v="1"/>
    <n v="1"/>
  </r>
  <r>
    <s v="U04419"/>
    <x v="1"/>
    <n v="40"/>
    <s v="Female"/>
    <x v="0"/>
    <x v="4"/>
    <n v="8.43"/>
    <n v="2"/>
    <n v="8.6999999999999993"/>
    <n v="11.85"/>
    <n v="58.6"/>
    <s v="Comedy"/>
    <n v="6"/>
    <n v="1"/>
    <n v="0"/>
  </r>
  <r>
    <s v="U04420"/>
    <x v="9"/>
    <n v="31"/>
    <s v="Female"/>
    <x v="1"/>
    <x v="2"/>
    <n v="8.17"/>
    <n v="3"/>
    <n v="1.3"/>
    <n v="9.75"/>
    <n v="19.8"/>
    <s v="Comedy"/>
    <n v="4"/>
    <n v="3"/>
    <n v="1"/>
  </r>
  <r>
    <s v="U04421"/>
    <x v="9"/>
    <n v="32"/>
    <s v="Female"/>
    <x v="1"/>
    <x v="1"/>
    <n v="21.81"/>
    <n v="3"/>
    <n v="5.4"/>
    <n v="6.31"/>
    <n v="38.9"/>
    <s v="Action"/>
    <n v="2"/>
    <n v="1"/>
    <n v="0"/>
  </r>
  <r>
    <s v="U04422"/>
    <x v="7"/>
    <n v="66"/>
    <s v="Male"/>
    <x v="0"/>
    <x v="2"/>
    <n v="22.39"/>
    <n v="3"/>
    <n v="9.6"/>
    <n v="6.16"/>
    <n v="82.4"/>
    <s v="Comedy"/>
    <n v="11"/>
    <n v="0"/>
    <n v="0"/>
  </r>
  <r>
    <s v="U04423"/>
    <x v="6"/>
    <n v="50"/>
    <s v="Female"/>
    <x v="0"/>
    <x v="3"/>
    <n v="6.86"/>
    <n v="1"/>
    <n v="3.3"/>
    <n v="14.41"/>
    <n v="19.100000000000001"/>
    <s v="Thriller"/>
    <n v="11"/>
    <n v="4"/>
    <n v="0"/>
  </r>
  <r>
    <s v="U04424"/>
    <x v="1"/>
    <n v="42"/>
    <s v="Female"/>
    <x v="1"/>
    <x v="2"/>
    <n v="23.17"/>
    <n v="5"/>
    <n v="3.4"/>
    <n v="19.48"/>
    <n v="51.3"/>
    <s v="Thriller"/>
    <n v="5"/>
    <n v="1"/>
    <n v="0"/>
  </r>
  <r>
    <s v="U04425"/>
    <x v="11"/>
    <n v="38"/>
    <s v="Male"/>
    <x v="2"/>
    <x v="0"/>
    <n v="10.47"/>
    <n v="5"/>
    <n v="6.7"/>
    <n v="15.42"/>
    <n v="64.5"/>
    <s v="Action"/>
    <n v="1"/>
    <n v="2"/>
    <n v="0"/>
  </r>
  <r>
    <s v="U04426"/>
    <x v="4"/>
    <n v="34"/>
    <s v="Male"/>
    <x v="1"/>
    <x v="4"/>
    <n v="17.37"/>
    <n v="5"/>
    <n v="9.3000000000000007"/>
    <n v="22.21"/>
    <n v="94.6"/>
    <s v="Drama"/>
    <n v="1"/>
    <n v="3"/>
    <n v="0"/>
  </r>
  <r>
    <s v="U04427"/>
    <x v="0"/>
    <n v="40"/>
    <s v="Male"/>
    <x v="1"/>
    <x v="3"/>
    <n v="6.37"/>
    <n v="1"/>
    <n v="2.8"/>
    <n v="9.9499999999999993"/>
    <n v="76.400000000000006"/>
    <s v="Family"/>
    <n v="1"/>
    <n v="0"/>
    <n v="0"/>
  </r>
  <r>
    <s v="U04428"/>
    <x v="5"/>
    <n v="60"/>
    <s v="Female"/>
    <x v="1"/>
    <x v="4"/>
    <n v="12.61"/>
    <n v="5"/>
    <n v="9.3000000000000007"/>
    <n v="16.09"/>
    <n v="22.5"/>
    <s v="Drama"/>
    <n v="4"/>
    <n v="1"/>
    <n v="0"/>
  </r>
  <r>
    <s v="U04429"/>
    <x v="8"/>
    <n v="34"/>
    <s v="Male"/>
    <x v="1"/>
    <x v="4"/>
    <n v="14.01"/>
    <n v="3"/>
    <n v="7"/>
    <n v="17.55"/>
    <n v="97.2"/>
    <s v="Family"/>
    <n v="5"/>
    <n v="4"/>
    <n v="0"/>
  </r>
  <r>
    <s v="U04430"/>
    <x v="4"/>
    <n v="31"/>
    <s v="Female"/>
    <x v="1"/>
    <x v="2"/>
    <n v="17"/>
    <n v="4"/>
    <n v="9.9"/>
    <n v="9.18"/>
    <n v="53"/>
    <s v="Comedy"/>
    <n v="4"/>
    <n v="2"/>
    <n v="0"/>
  </r>
  <r>
    <s v="U04431"/>
    <x v="11"/>
    <n v="46"/>
    <s v="Female"/>
    <x v="1"/>
    <x v="1"/>
    <n v="15.51"/>
    <n v="2"/>
    <n v="7.6"/>
    <n v="11.72"/>
    <n v="43.3"/>
    <s v="Comedy"/>
    <n v="6"/>
    <n v="1"/>
    <n v="0"/>
  </r>
  <r>
    <s v="U04432"/>
    <x v="2"/>
    <n v="37"/>
    <s v="Male"/>
    <x v="0"/>
    <x v="3"/>
    <n v="14.23"/>
    <n v="5"/>
    <n v="7"/>
    <n v="16"/>
    <n v="21.6"/>
    <s v="Thriller"/>
    <n v="2"/>
    <n v="4"/>
    <n v="0"/>
  </r>
  <r>
    <s v="U04433"/>
    <x v="6"/>
    <n v="47"/>
    <s v="Male"/>
    <x v="1"/>
    <x v="0"/>
    <n v="24.19"/>
    <n v="1"/>
    <n v="8.3000000000000007"/>
    <n v="3.46"/>
    <n v="94"/>
    <s v="Drama"/>
    <n v="5"/>
    <n v="1"/>
    <n v="1"/>
  </r>
  <r>
    <s v="U04434"/>
    <x v="11"/>
    <n v="36"/>
    <s v="Male"/>
    <x v="0"/>
    <x v="0"/>
    <n v="8.6999999999999993"/>
    <n v="1"/>
    <n v="2.6"/>
    <n v="22.51"/>
    <n v="62.8"/>
    <s v="Action"/>
    <n v="6"/>
    <n v="0"/>
    <n v="1"/>
  </r>
  <r>
    <s v="U04435"/>
    <x v="2"/>
    <n v="56"/>
    <s v="Male"/>
    <x v="1"/>
    <x v="1"/>
    <n v="8.16"/>
    <n v="5"/>
    <n v="9.5"/>
    <n v="5.44"/>
    <n v="98.9"/>
    <s v="Family"/>
    <n v="5"/>
    <n v="3"/>
    <n v="0"/>
  </r>
  <r>
    <s v="U04436"/>
    <x v="7"/>
    <n v="30"/>
    <s v="Male"/>
    <x v="2"/>
    <x v="1"/>
    <n v="19.27"/>
    <n v="4"/>
    <n v="2.5"/>
    <n v="4.05"/>
    <n v="25.6"/>
    <s v="Comedy"/>
    <n v="6"/>
    <n v="4"/>
    <n v="0"/>
  </r>
  <r>
    <s v="U04437"/>
    <x v="1"/>
    <n v="35"/>
    <s v="Male"/>
    <x v="0"/>
    <x v="2"/>
    <n v="6.49"/>
    <n v="5"/>
    <n v="1.2"/>
    <n v="7.73"/>
    <n v="59.1"/>
    <s v="Family"/>
    <n v="8"/>
    <n v="3"/>
    <n v="0"/>
  </r>
  <r>
    <s v="U04438"/>
    <x v="0"/>
    <n v="40"/>
    <s v="Female"/>
    <x v="1"/>
    <x v="0"/>
    <n v="14.66"/>
    <n v="1"/>
    <n v="7.3"/>
    <n v="14.05"/>
    <n v="19.899999999999999"/>
    <s v="Action"/>
    <n v="2"/>
    <n v="3"/>
    <n v="0"/>
  </r>
  <r>
    <s v="U04439"/>
    <x v="3"/>
    <n v="63"/>
    <s v="Female"/>
    <x v="1"/>
    <x v="3"/>
    <n v="14.68"/>
    <n v="2"/>
    <n v="2.7"/>
    <n v="10.23"/>
    <n v="57.2"/>
    <s v="Family"/>
    <n v="7"/>
    <n v="2"/>
    <n v="0"/>
  </r>
  <r>
    <s v="U04440"/>
    <x v="7"/>
    <n v="50"/>
    <s v="Male"/>
    <x v="2"/>
    <x v="1"/>
    <n v="11.2"/>
    <n v="4"/>
    <n v="7.8"/>
    <n v="12.68"/>
    <n v="90.1"/>
    <s v="Thriller"/>
    <n v="6"/>
    <n v="4"/>
    <n v="0"/>
  </r>
  <r>
    <s v="U04441"/>
    <x v="4"/>
    <n v="56"/>
    <s v="Female"/>
    <x v="1"/>
    <x v="1"/>
    <n v="23.61"/>
    <n v="5"/>
    <n v="8.1999999999999993"/>
    <n v="4.8499999999999996"/>
    <n v="19.8"/>
    <s v="Action"/>
    <n v="10"/>
    <n v="2"/>
    <n v="1"/>
  </r>
  <r>
    <s v="U04442"/>
    <x v="7"/>
    <n v="57"/>
    <s v="Female"/>
    <x v="2"/>
    <x v="1"/>
    <n v="10.65"/>
    <n v="2"/>
    <n v="3.1"/>
    <n v="8.1300000000000008"/>
    <n v="34.299999999999997"/>
    <s v="Action"/>
    <n v="8"/>
    <n v="3"/>
    <n v="0"/>
  </r>
  <r>
    <s v="U04443"/>
    <x v="4"/>
    <n v="35"/>
    <s v="Female"/>
    <x v="2"/>
    <x v="3"/>
    <n v="10.77"/>
    <n v="5"/>
    <n v="1.8"/>
    <n v="5.15"/>
    <n v="71.400000000000006"/>
    <s v="Family"/>
    <n v="9"/>
    <n v="0"/>
    <n v="0"/>
  </r>
  <r>
    <s v="U04444"/>
    <x v="3"/>
    <n v="26"/>
    <s v="Female"/>
    <x v="1"/>
    <x v="0"/>
    <n v="9.69"/>
    <n v="4"/>
    <n v="5.5"/>
    <n v="8.0500000000000007"/>
    <n v="16.899999999999999"/>
    <s v="Family"/>
    <n v="8"/>
    <n v="0"/>
    <n v="0"/>
  </r>
  <r>
    <s v="U04445"/>
    <x v="10"/>
    <n v="50"/>
    <s v="Female"/>
    <x v="1"/>
    <x v="3"/>
    <n v="7.92"/>
    <n v="1"/>
    <n v="9"/>
    <n v="18.47"/>
    <n v="50.9"/>
    <s v="Comedy"/>
    <n v="5"/>
    <n v="1"/>
    <n v="0"/>
  </r>
  <r>
    <s v="U04446"/>
    <x v="2"/>
    <n v="49"/>
    <s v="Female"/>
    <x v="1"/>
    <x v="3"/>
    <n v="12.28"/>
    <n v="4"/>
    <n v="8.6"/>
    <n v="15.66"/>
    <n v="40"/>
    <s v="Family"/>
    <n v="4"/>
    <n v="1"/>
    <n v="0"/>
  </r>
  <r>
    <s v="U04447"/>
    <x v="0"/>
    <n v="34"/>
    <s v="Male"/>
    <x v="2"/>
    <x v="2"/>
    <n v="18.62"/>
    <n v="3"/>
    <n v="2.1"/>
    <n v="10.35"/>
    <n v="85.4"/>
    <s v="Action"/>
    <n v="3"/>
    <n v="4"/>
    <n v="0"/>
  </r>
  <r>
    <s v="U04448"/>
    <x v="5"/>
    <n v="36"/>
    <s v="Male"/>
    <x v="0"/>
    <x v="1"/>
    <n v="19.84"/>
    <n v="5"/>
    <n v="9.6999999999999993"/>
    <n v="8.75"/>
    <n v="14.4"/>
    <s v="Family"/>
    <n v="10"/>
    <n v="0"/>
    <n v="0"/>
  </r>
  <r>
    <s v="U04449"/>
    <x v="5"/>
    <n v="44"/>
    <s v="Male"/>
    <x v="1"/>
    <x v="0"/>
    <n v="21.27"/>
    <n v="2"/>
    <n v="3.4"/>
    <n v="24.95"/>
    <n v="87.7"/>
    <s v="Comedy"/>
    <n v="9"/>
    <n v="3"/>
    <n v="1"/>
  </r>
  <r>
    <s v="U04450"/>
    <x v="2"/>
    <n v="23"/>
    <s v="Female"/>
    <x v="1"/>
    <x v="2"/>
    <n v="8.9499999999999993"/>
    <n v="2"/>
    <n v="4.0999999999999996"/>
    <n v="19.89"/>
    <n v="73.3"/>
    <s v="Drama"/>
    <n v="7"/>
    <n v="0"/>
    <n v="0"/>
  </r>
  <r>
    <s v="U04451"/>
    <x v="8"/>
    <n v="52"/>
    <s v="Male"/>
    <x v="1"/>
    <x v="2"/>
    <n v="5.71"/>
    <n v="4"/>
    <n v="2.2999999999999998"/>
    <n v="21.08"/>
    <n v="36.700000000000003"/>
    <s v="Thriller"/>
    <n v="1"/>
    <n v="4"/>
    <n v="1"/>
  </r>
  <r>
    <s v="U04452"/>
    <x v="11"/>
    <n v="54"/>
    <s v="Male"/>
    <x v="1"/>
    <x v="4"/>
    <n v="24.49"/>
    <n v="4"/>
    <n v="4.4000000000000004"/>
    <n v="3.58"/>
    <n v="27.8"/>
    <s v="Action"/>
    <n v="3"/>
    <n v="1"/>
    <n v="0"/>
  </r>
  <r>
    <s v="U04453"/>
    <x v="10"/>
    <n v="51"/>
    <s v="Male"/>
    <x v="1"/>
    <x v="1"/>
    <n v="5.29"/>
    <n v="4"/>
    <n v="6.7"/>
    <n v="4.3099999999999996"/>
    <n v="95.5"/>
    <s v="Comedy"/>
    <n v="3"/>
    <n v="1"/>
    <n v="1"/>
  </r>
  <r>
    <s v="U04454"/>
    <x v="2"/>
    <n v="37"/>
    <s v="Female"/>
    <x v="0"/>
    <x v="0"/>
    <n v="24.21"/>
    <n v="2"/>
    <n v="5.6"/>
    <n v="18.68"/>
    <n v="59.9"/>
    <s v="Thriller"/>
    <n v="6"/>
    <n v="2"/>
    <n v="0"/>
  </r>
  <r>
    <s v="U04455"/>
    <x v="5"/>
    <n v="42"/>
    <s v="Male"/>
    <x v="1"/>
    <x v="0"/>
    <n v="21.58"/>
    <n v="1"/>
    <n v="8.4"/>
    <n v="7.22"/>
    <n v="41"/>
    <s v="Family"/>
    <n v="2"/>
    <n v="1"/>
    <n v="1"/>
  </r>
  <r>
    <s v="U04456"/>
    <x v="7"/>
    <n v="21"/>
    <s v="Female"/>
    <x v="1"/>
    <x v="0"/>
    <n v="23.24"/>
    <n v="2"/>
    <n v="6.8"/>
    <n v="12.36"/>
    <n v="14"/>
    <s v="Family"/>
    <n v="4"/>
    <n v="3"/>
    <n v="1"/>
  </r>
  <r>
    <s v="U04457"/>
    <x v="11"/>
    <n v="27"/>
    <s v="Male"/>
    <x v="2"/>
    <x v="1"/>
    <n v="12.74"/>
    <n v="1"/>
    <n v="3.4"/>
    <n v="7.05"/>
    <n v="24.9"/>
    <s v="Drama"/>
    <n v="2"/>
    <n v="4"/>
    <n v="0"/>
  </r>
  <r>
    <s v="U04458"/>
    <x v="10"/>
    <n v="27"/>
    <s v="Male"/>
    <x v="0"/>
    <x v="0"/>
    <n v="8.94"/>
    <n v="4"/>
    <n v="6"/>
    <n v="6.9"/>
    <n v="63.8"/>
    <s v="Family"/>
    <n v="5"/>
    <n v="1"/>
    <n v="0"/>
  </r>
  <r>
    <s v="U04459"/>
    <x v="1"/>
    <n v="41"/>
    <s v="Male"/>
    <x v="2"/>
    <x v="3"/>
    <n v="17.13"/>
    <n v="3"/>
    <n v="1.6"/>
    <n v="5.4"/>
    <n v="56.2"/>
    <s v="Thriller"/>
    <n v="4"/>
    <n v="1"/>
    <n v="1"/>
  </r>
  <r>
    <s v="U04460"/>
    <x v="1"/>
    <n v="38"/>
    <s v="Female"/>
    <x v="1"/>
    <x v="3"/>
    <n v="19.829999999999998"/>
    <n v="2"/>
    <n v="6.2"/>
    <n v="16.07"/>
    <n v="78.2"/>
    <s v="Comedy"/>
    <n v="4"/>
    <n v="3"/>
    <n v="0"/>
  </r>
  <r>
    <s v="U04461"/>
    <x v="11"/>
    <n v="28"/>
    <s v="Female"/>
    <x v="0"/>
    <x v="1"/>
    <n v="7.62"/>
    <n v="4"/>
    <n v="4.5"/>
    <n v="19.260000000000002"/>
    <n v="85.1"/>
    <s v="Drama"/>
    <n v="4"/>
    <n v="1"/>
    <n v="0"/>
  </r>
  <r>
    <s v="U04462"/>
    <x v="2"/>
    <n v="44"/>
    <s v="Female"/>
    <x v="2"/>
    <x v="0"/>
    <n v="20.95"/>
    <n v="2"/>
    <n v="1.9"/>
    <n v="4.25"/>
    <n v="45.7"/>
    <s v="Thriller"/>
    <n v="4"/>
    <n v="3"/>
    <n v="1"/>
  </r>
  <r>
    <s v="U04463"/>
    <x v="4"/>
    <n v="33"/>
    <s v="Female"/>
    <x v="0"/>
    <x v="4"/>
    <n v="9.17"/>
    <n v="4"/>
    <n v="3.8"/>
    <n v="9.06"/>
    <n v="19.100000000000001"/>
    <s v="Comedy"/>
    <n v="5"/>
    <n v="1"/>
    <n v="0"/>
  </r>
  <r>
    <s v="U04464"/>
    <x v="4"/>
    <n v="43"/>
    <s v="Female"/>
    <x v="2"/>
    <x v="4"/>
    <n v="14.83"/>
    <n v="2"/>
    <n v="9.1"/>
    <n v="17.48"/>
    <n v="81.2"/>
    <s v="Thriller"/>
    <n v="2"/>
    <n v="3"/>
    <n v="0"/>
  </r>
  <r>
    <s v="U04465"/>
    <x v="7"/>
    <n v="47"/>
    <s v="Male"/>
    <x v="2"/>
    <x v="4"/>
    <n v="22.13"/>
    <n v="5"/>
    <n v="6.3"/>
    <n v="11.63"/>
    <n v="59.8"/>
    <s v="Family"/>
    <n v="6"/>
    <n v="1"/>
    <n v="0"/>
  </r>
  <r>
    <s v="U04466"/>
    <x v="10"/>
    <n v="66"/>
    <s v="Male"/>
    <x v="0"/>
    <x v="3"/>
    <n v="8.8699999999999992"/>
    <n v="2"/>
    <n v="9.1"/>
    <n v="18.5"/>
    <n v="98.2"/>
    <s v="Thriller"/>
    <n v="1"/>
    <n v="4"/>
    <n v="1"/>
  </r>
  <r>
    <s v="U04467"/>
    <x v="10"/>
    <n v="33"/>
    <s v="Female"/>
    <x v="0"/>
    <x v="4"/>
    <n v="9.84"/>
    <n v="5"/>
    <n v="4.7"/>
    <n v="19.7"/>
    <n v="81.7"/>
    <s v="Drama"/>
    <n v="10"/>
    <n v="2"/>
    <n v="1"/>
  </r>
  <r>
    <s v="U04468"/>
    <x v="11"/>
    <n v="24"/>
    <s v="Female"/>
    <x v="1"/>
    <x v="0"/>
    <n v="6.26"/>
    <n v="1"/>
    <n v="9.8000000000000007"/>
    <n v="3.71"/>
    <n v="39.6"/>
    <s v="Thriller"/>
    <n v="2"/>
    <n v="2"/>
    <n v="0"/>
  </r>
  <r>
    <s v="U04469"/>
    <x v="6"/>
    <n v="33"/>
    <s v="Male"/>
    <x v="1"/>
    <x v="0"/>
    <n v="7.93"/>
    <n v="2"/>
    <n v="4.2"/>
    <n v="11.38"/>
    <n v="48.6"/>
    <s v="Action"/>
    <n v="3"/>
    <n v="0"/>
    <n v="0"/>
  </r>
  <r>
    <s v="U04470"/>
    <x v="1"/>
    <n v="52"/>
    <s v="Female"/>
    <x v="1"/>
    <x v="4"/>
    <n v="7.93"/>
    <n v="1"/>
    <n v="7.8"/>
    <n v="19.04"/>
    <n v="31.2"/>
    <s v="Family"/>
    <n v="2"/>
    <n v="2"/>
    <n v="0"/>
  </r>
  <r>
    <s v="U04471"/>
    <x v="10"/>
    <n v="33"/>
    <s v="Male"/>
    <x v="1"/>
    <x v="2"/>
    <n v="9.07"/>
    <n v="3"/>
    <n v="3.7"/>
    <n v="11.33"/>
    <n v="56.1"/>
    <s v="Thriller"/>
    <n v="3"/>
    <n v="3"/>
    <n v="0"/>
  </r>
  <r>
    <s v="U04472"/>
    <x v="11"/>
    <n v="57"/>
    <s v="Female"/>
    <x v="1"/>
    <x v="4"/>
    <n v="10.72"/>
    <n v="5"/>
    <n v="2"/>
    <n v="3.13"/>
    <n v="74"/>
    <s v="Comedy"/>
    <n v="8"/>
    <n v="3"/>
    <n v="0"/>
  </r>
  <r>
    <s v="U04473"/>
    <x v="3"/>
    <n v="29"/>
    <s v="Male"/>
    <x v="0"/>
    <x v="2"/>
    <n v="21.3"/>
    <n v="2"/>
    <n v="8.5"/>
    <n v="10.4"/>
    <n v="65.099999999999994"/>
    <s v="Family"/>
    <n v="3"/>
    <n v="2"/>
    <n v="1"/>
  </r>
  <r>
    <s v="U04474"/>
    <x v="8"/>
    <n v="52"/>
    <s v="Female"/>
    <x v="2"/>
    <x v="1"/>
    <n v="23.32"/>
    <n v="1"/>
    <n v="7.9"/>
    <n v="22.2"/>
    <n v="40.799999999999997"/>
    <s v="Comedy"/>
    <n v="11"/>
    <n v="3"/>
    <n v="0"/>
  </r>
  <r>
    <s v="U04475"/>
    <x v="3"/>
    <n v="66"/>
    <s v="Female"/>
    <x v="2"/>
    <x v="1"/>
    <n v="13.13"/>
    <n v="4"/>
    <n v="8.4"/>
    <n v="23.94"/>
    <n v="84.1"/>
    <s v="Drama"/>
    <n v="10"/>
    <n v="4"/>
    <n v="0"/>
  </r>
  <r>
    <s v="U04476"/>
    <x v="0"/>
    <n v="38"/>
    <s v="Male"/>
    <x v="1"/>
    <x v="0"/>
    <n v="7.56"/>
    <n v="1"/>
    <n v="3.7"/>
    <n v="15.33"/>
    <n v="19.5"/>
    <s v="Action"/>
    <n v="1"/>
    <n v="3"/>
    <n v="0"/>
  </r>
  <r>
    <s v="U04477"/>
    <x v="2"/>
    <n v="67"/>
    <s v="Male"/>
    <x v="2"/>
    <x v="3"/>
    <n v="9.48"/>
    <n v="2"/>
    <n v="7.3"/>
    <n v="9.74"/>
    <n v="22.8"/>
    <s v="Thriller"/>
    <n v="11"/>
    <n v="4"/>
    <n v="1"/>
  </r>
  <r>
    <s v="U04478"/>
    <x v="7"/>
    <n v="60"/>
    <s v="Female"/>
    <x v="0"/>
    <x v="0"/>
    <n v="19.72"/>
    <n v="3"/>
    <n v="3"/>
    <n v="13.25"/>
    <n v="46.4"/>
    <s v="Family"/>
    <n v="8"/>
    <n v="4"/>
    <n v="0"/>
  </r>
  <r>
    <s v="U04479"/>
    <x v="10"/>
    <n v="53"/>
    <s v="Female"/>
    <x v="0"/>
    <x v="0"/>
    <n v="18.55"/>
    <n v="5"/>
    <n v="1.1000000000000001"/>
    <n v="8.1999999999999993"/>
    <n v="73.2"/>
    <s v="Thriller"/>
    <n v="8"/>
    <n v="4"/>
    <n v="0"/>
  </r>
  <r>
    <s v="U04480"/>
    <x v="0"/>
    <n v="65"/>
    <s v="Male"/>
    <x v="1"/>
    <x v="3"/>
    <n v="24.34"/>
    <n v="4"/>
    <n v="8.8000000000000007"/>
    <n v="6.7"/>
    <n v="72.5"/>
    <s v="Thriller"/>
    <n v="7"/>
    <n v="1"/>
    <n v="1"/>
  </r>
  <r>
    <s v="U04481"/>
    <x v="5"/>
    <n v="34"/>
    <s v="Female"/>
    <x v="1"/>
    <x v="0"/>
    <n v="5.29"/>
    <n v="1"/>
    <n v="5.7"/>
    <n v="13.86"/>
    <n v="43"/>
    <s v="Family"/>
    <n v="4"/>
    <n v="0"/>
    <n v="0"/>
  </r>
  <r>
    <s v="U04482"/>
    <x v="0"/>
    <n v="49"/>
    <s v="Male"/>
    <x v="1"/>
    <x v="3"/>
    <n v="20.02"/>
    <n v="2"/>
    <n v="9.9"/>
    <n v="19.21"/>
    <n v="72.7"/>
    <s v="Action"/>
    <n v="5"/>
    <n v="3"/>
    <n v="0"/>
  </r>
  <r>
    <s v="U04483"/>
    <x v="11"/>
    <n v="58"/>
    <s v="Male"/>
    <x v="2"/>
    <x v="0"/>
    <n v="15.12"/>
    <n v="2"/>
    <n v="4.5"/>
    <n v="7.89"/>
    <n v="15.5"/>
    <s v="Action"/>
    <n v="11"/>
    <n v="1"/>
    <n v="0"/>
  </r>
  <r>
    <s v="U04484"/>
    <x v="10"/>
    <n v="23"/>
    <s v="Female"/>
    <x v="2"/>
    <x v="1"/>
    <n v="23.05"/>
    <n v="5"/>
    <n v="9.6"/>
    <n v="23.01"/>
    <n v="36.1"/>
    <s v="Drama"/>
    <n v="10"/>
    <n v="0"/>
    <n v="0"/>
  </r>
  <r>
    <s v="U04485"/>
    <x v="8"/>
    <n v="41"/>
    <s v="Male"/>
    <x v="1"/>
    <x v="2"/>
    <n v="16.52"/>
    <n v="4"/>
    <n v="6.5"/>
    <n v="6.7"/>
    <n v="72.400000000000006"/>
    <s v="Family"/>
    <n v="6"/>
    <n v="1"/>
    <n v="0"/>
  </r>
  <r>
    <s v="U04486"/>
    <x v="2"/>
    <n v="44"/>
    <s v="Male"/>
    <x v="2"/>
    <x v="0"/>
    <n v="13.93"/>
    <n v="1"/>
    <n v="5.6"/>
    <n v="15.29"/>
    <n v="26.6"/>
    <s v="Family"/>
    <n v="6"/>
    <n v="3"/>
    <n v="0"/>
  </r>
  <r>
    <s v="U04487"/>
    <x v="11"/>
    <n v="37"/>
    <s v="Female"/>
    <x v="0"/>
    <x v="2"/>
    <n v="18.32"/>
    <n v="1"/>
    <n v="3.7"/>
    <n v="20.079999999999998"/>
    <n v="29.1"/>
    <s v="Comedy"/>
    <n v="7"/>
    <n v="4"/>
    <n v="0"/>
  </r>
  <r>
    <s v="U04488"/>
    <x v="11"/>
    <n v="42"/>
    <s v="Male"/>
    <x v="0"/>
    <x v="4"/>
    <n v="21.67"/>
    <n v="1"/>
    <n v="8.4"/>
    <n v="7.69"/>
    <n v="17.8"/>
    <s v="Comedy"/>
    <n v="4"/>
    <n v="1"/>
    <n v="0"/>
  </r>
  <r>
    <s v="U04489"/>
    <x v="7"/>
    <n v="19"/>
    <s v="Male"/>
    <x v="2"/>
    <x v="0"/>
    <n v="10.65"/>
    <n v="5"/>
    <n v="8.5"/>
    <n v="9.52"/>
    <n v="42.8"/>
    <s v="Comedy"/>
    <n v="8"/>
    <n v="0"/>
    <n v="1"/>
  </r>
  <r>
    <s v="U04490"/>
    <x v="7"/>
    <n v="26"/>
    <s v="Male"/>
    <x v="1"/>
    <x v="1"/>
    <n v="7.15"/>
    <n v="5"/>
    <n v="4.8"/>
    <n v="4.13"/>
    <n v="84.2"/>
    <s v="Action"/>
    <n v="2"/>
    <n v="0"/>
    <n v="1"/>
  </r>
  <r>
    <s v="U04491"/>
    <x v="1"/>
    <n v="45"/>
    <s v="Male"/>
    <x v="1"/>
    <x v="3"/>
    <n v="13.66"/>
    <n v="4"/>
    <n v="7.5"/>
    <n v="23.77"/>
    <n v="85.3"/>
    <s v="Drama"/>
    <n v="9"/>
    <n v="0"/>
    <n v="0"/>
  </r>
  <r>
    <s v="U04492"/>
    <x v="1"/>
    <n v="55"/>
    <s v="Female"/>
    <x v="1"/>
    <x v="1"/>
    <n v="9.2899999999999991"/>
    <n v="1"/>
    <n v="5"/>
    <n v="13.71"/>
    <n v="87.6"/>
    <s v="Drama"/>
    <n v="6"/>
    <n v="1"/>
    <n v="1"/>
  </r>
  <r>
    <s v="U04493"/>
    <x v="4"/>
    <n v="20"/>
    <s v="Male"/>
    <x v="1"/>
    <x v="2"/>
    <n v="13.59"/>
    <n v="1"/>
    <n v="7.7"/>
    <n v="4.41"/>
    <n v="13.3"/>
    <s v="Thriller"/>
    <n v="1"/>
    <n v="0"/>
    <n v="1"/>
  </r>
  <r>
    <s v="U04494"/>
    <x v="6"/>
    <n v="37"/>
    <s v="Female"/>
    <x v="0"/>
    <x v="3"/>
    <n v="24.82"/>
    <n v="4"/>
    <n v="9.9"/>
    <n v="21.26"/>
    <n v="99.4"/>
    <s v="Drama"/>
    <n v="1"/>
    <n v="2"/>
    <n v="0"/>
  </r>
  <r>
    <s v="U04495"/>
    <x v="10"/>
    <n v="23"/>
    <s v="Male"/>
    <x v="1"/>
    <x v="1"/>
    <n v="16.48"/>
    <n v="4"/>
    <n v="3.4"/>
    <n v="15.53"/>
    <n v="55.2"/>
    <s v="Comedy"/>
    <n v="8"/>
    <n v="0"/>
    <n v="0"/>
  </r>
  <r>
    <s v="U04496"/>
    <x v="10"/>
    <n v="56"/>
    <s v="Female"/>
    <x v="0"/>
    <x v="1"/>
    <n v="18.87"/>
    <n v="4"/>
    <n v="6.7"/>
    <n v="4.22"/>
    <n v="88.5"/>
    <s v="Family"/>
    <n v="10"/>
    <n v="0"/>
    <n v="1"/>
  </r>
  <r>
    <s v="U04497"/>
    <x v="9"/>
    <n v="50"/>
    <s v="Male"/>
    <x v="0"/>
    <x v="1"/>
    <n v="18.559999999999999"/>
    <n v="2"/>
    <n v="4.4000000000000004"/>
    <n v="12.92"/>
    <n v="91.5"/>
    <s v="Thriller"/>
    <n v="10"/>
    <n v="1"/>
    <n v="1"/>
  </r>
  <r>
    <s v="U04498"/>
    <x v="0"/>
    <n v="18"/>
    <s v="Female"/>
    <x v="1"/>
    <x v="3"/>
    <n v="21.41"/>
    <n v="4"/>
    <n v="5.9"/>
    <n v="12.56"/>
    <n v="56.3"/>
    <s v="Action"/>
    <n v="7"/>
    <n v="3"/>
    <n v="0"/>
  </r>
  <r>
    <s v="U04499"/>
    <x v="10"/>
    <n v="54"/>
    <s v="Male"/>
    <x v="0"/>
    <x v="1"/>
    <n v="23.88"/>
    <n v="3"/>
    <n v="8.9"/>
    <n v="6.21"/>
    <n v="14.6"/>
    <s v="Drama"/>
    <n v="3"/>
    <n v="1"/>
    <n v="1"/>
  </r>
  <r>
    <s v="U04500"/>
    <x v="10"/>
    <n v="23"/>
    <s v="Male"/>
    <x v="2"/>
    <x v="1"/>
    <n v="18.18"/>
    <n v="5"/>
    <n v="4.0999999999999996"/>
    <n v="12.25"/>
    <n v="63.8"/>
    <s v="Family"/>
    <n v="8"/>
    <n v="1"/>
    <n v="0"/>
  </r>
  <r>
    <s v="U04501"/>
    <x v="6"/>
    <n v="62"/>
    <s v="Male"/>
    <x v="0"/>
    <x v="2"/>
    <n v="14.52"/>
    <n v="4"/>
    <n v="1.7"/>
    <n v="9.2200000000000006"/>
    <n v="40.1"/>
    <s v="Comedy"/>
    <n v="8"/>
    <n v="2"/>
    <n v="0"/>
  </r>
  <r>
    <s v="U04502"/>
    <x v="5"/>
    <n v="51"/>
    <s v="Male"/>
    <x v="0"/>
    <x v="1"/>
    <n v="11.36"/>
    <n v="2"/>
    <n v="8.1999999999999993"/>
    <n v="18.399999999999999"/>
    <n v="28.6"/>
    <s v="Action"/>
    <n v="7"/>
    <n v="3"/>
    <n v="0"/>
  </r>
  <r>
    <s v="U04503"/>
    <x v="1"/>
    <n v="64"/>
    <s v="Female"/>
    <x v="1"/>
    <x v="1"/>
    <n v="12.21"/>
    <n v="3"/>
    <n v="6"/>
    <n v="3.12"/>
    <n v="26.4"/>
    <s v="Action"/>
    <n v="5"/>
    <n v="1"/>
    <n v="0"/>
  </r>
  <r>
    <s v="U04504"/>
    <x v="1"/>
    <n v="32"/>
    <s v="Female"/>
    <x v="1"/>
    <x v="4"/>
    <n v="11.69"/>
    <n v="2"/>
    <n v="5"/>
    <n v="5.34"/>
    <n v="60.3"/>
    <s v="Drama"/>
    <n v="8"/>
    <n v="2"/>
    <n v="0"/>
  </r>
  <r>
    <s v="U04505"/>
    <x v="8"/>
    <n v="62"/>
    <s v="Male"/>
    <x v="0"/>
    <x v="3"/>
    <n v="11.49"/>
    <n v="2"/>
    <n v="2.6"/>
    <n v="23.21"/>
    <n v="19.399999999999999"/>
    <s v="Family"/>
    <n v="5"/>
    <n v="1"/>
    <n v="0"/>
  </r>
  <r>
    <s v="U04506"/>
    <x v="10"/>
    <n v="43"/>
    <s v="Female"/>
    <x v="0"/>
    <x v="4"/>
    <n v="18.89"/>
    <n v="2"/>
    <n v="1.8"/>
    <n v="12.53"/>
    <n v="83.9"/>
    <s v="Comedy"/>
    <n v="1"/>
    <n v="2"/>
    <n v="0"/>
  </r>
  <r>
    <s v="U04507"/>
    <x v="6"/>
    <n v="31"/>
    <s v="Male"/>
    <x v="2"/>
    <x v="2"/>
    <n v="16.75"/>
    <n v="2"/>
    <n v="3.5"/>
    <n v="6.88"/>
    <n v="30.5"/>
    <s v="Comedy"/>
    <n v="8"/>
    <n v="4"/>
    <n v="0"/>
  </r>
  <r>
    <s v="U04508"/>
    <x v="2"/>
    <n v="24"/>
    <s v="Male"/>
    <x v="1"/>
    <x v="4"/>
    <n v="9.0399999999999991"/>
    <n v="1"/>
    <n v="7.5"/>
    <n v="20.45"/>
    <n v="59.4"/>
    <s v="Comedy"/>
    <n v="7"/>
    <n v="0"/>
    <n v="0"/>
  </r>
  <r>
    <s v="U04509"/>
    <x v="1"/>
    <n v="63"/>
    <s v="Female"/>
    <x v="1"/>
    <x v="0"/>
    <n v="24.39"/>
    <n v="5"/>
    <n v="4.7"/>
    <n v="21.74"/>
    <n v="21.3"/>
    <s v="Comedy"/>
    <n v="7"/>
    <n v="0"/>
    <n v="0"/>
  </r>
  <r>
    <s v="U04510"/>
    <x v="6"/>
    <n v="48"/>
    <s v="Female"/>
    <x v="1"/>
    <x v="3"/>
    <n v="13.55"/>
    <n v="1"/>
    <n v="6.1"/>
    <n v="7.65"/>
    <n v="87.4"/>
    <s v="Drama"/>
    <n v="2"/>
    <n v="1"/>
    <n v="1"/>
  </r>
  <r>
    <s v="U04511"/>
    <x v="3"/>
    <n v="41"/>
    <s v="Female"/>
    <x v="0"/>
    <x v="1"/>
    <n v="16.32"/>
    <n v="3"/>
    <n v="1.7"/>
    <n v="18.7"/>
    <n v="72.3"/>
    <s v="Drama"/>
    <n v="11"/>
    <n v="2"/>
    <n v="0"/>
  </r>
  <r>
    <s v="U04512"/>
    <x v="5"/>
    <n v="48"/>
    <s v="Male"/>
    <x v="1"/>
    <x v="4"/>
    <n v="19.05"/>
    <n v="1"/>
    <n v="2.1"/>
    <n v="16.53"/>
    <n v="28.6"/>
    <s v="Family"/>
    <n v="3"/>
    <n v="4"/>
    <n v="0"/>
  </r>
  <r>
    <s v="U04513"/>
    <x v="10"/>
    <n v="46"/>
    <s v="Male"/>
    <x v="1"/>
    <x v="4"/>
    <n v="17.27"/>
    <n v="3"/>
    <n v="1.1000000000000001"/>
    <n v="19.39"/>
    <n v="74.400000000000006"/>
    <s v="Thriller"/>
    <n v="3"/>
    <n v="0"/>
    <n v="0"/>
  </r>
  <r>
    <s v="U04514"/>
    <x v="8"/>
    <n v="59"/>
    <s v="Female"/>
    <x v="2"/>
    <x v="1"/>
    <n v="11.22"/>
    <n v="4"/>
    <n v="7.1"/>
    <n v="20.329999999999998"/>
    <n v="17.5"/>
    <s v="Drama"/>
    <n v="11"/>
    <n v="1"/>
    <n v="1"/>
  </r>
  <r>
    <s v="U04515"/>
    <x v="0"/>
    <n v="49"/>
    <s v="Male"/>
    <x v="0"/>
    <x v="1"/>
    <n v="20.95"/>
    <n v="3"/>
    <n v="3.4"/>
    <n v="17.54"/>
    <n v="79.5"/>
    <s v="Comedy"/>
    <n v="10"/>
    <n v="1"/>
    <n v="0"/>
  </r>
  <r>
    <s v="U04516"/>
    <x v="1"/>
    <n v="34"/>
    <s v="Female"/>
    <x v="2"/>
    <x v="2"/>
    <n v="7.2"/>
    <n v="1"/>
    <n v="9.6999999999999993"/>
    <n v="24.04"/>
    <n v="54.1"/>
    <s v="Family"/>
    <n v="6"/>
    <n v="2"/>
    <n v="0"/>
  </r>
  <r>
    <s v="U04517"/>
    <x v="3"/>
    <n v="31"/>
    <s v="Female"/>
    <x v="0"/>
    <x v="4"/>
    <n v="16.38"/>
    <n v="1"/>
    <n v="3.8"/>
    <n v="22.01"/>
    <n v="20.8"/>
    <s v="Comedy"/>
    <n v="6"/>
    <n v="3"/>
    <n v="1"/>
  </r>
  <r>
    <s v="U04518"/>
    <x v="2"/>
    <n v="57"/>
    <s v="Female"/>
    <x v="0"/>
    <x v="4"/>
    <n v="10.47"/>
    <n v="3"/>
    <n v="4.3"/>
    <n v="8.0399999999999991"/>
    <n v="59.5"/>
    <s v="Drama"/>
    <n v="3"/>
    <n v="1"/>
    <n v="0"/>
  </r>
  <r>
    <s v="U04519"/>
    <x v="6"/>
    <n v="53"/>
    <s v="Female"/>
    <x v="0"/>
    <x v="0"/>
    <n v="17.32"/>
    <n v="1"/>
    <n v="5.2"/>
    <n v="23.1"/>
    <n v="28.1"/>
    <s v="Family"/>
    <n v="11"/>
    <n v="4"/>
    <n v="0"/>
  </r>
  <r>
    <s v="U04520"/>
    <x v="7"/>
    <n v="65"/>
    <s v="Female"/>
    <x v="0"/>
    <x v="0"/>
    <n v="9.36"/>
    <n v="3"/>
    <n v="3.9"/>
    <n v="10.91"/>
    <n v="70.5"/>
    <s v="Comedy"/>
    <n v="5"/>
    <n v="4"/>
    <n v="0"/>
  </r>
  <r>
    <s v="U04521"/>
    <x v="11"/>
    <n v="41"/>
    <s v="Female"/>
    <x v="2"/>
    <x v="4"/>
    <n v="20.440000000000001"/>
    <n v="2"/>
    <n v="8.4"/>
    <n v="18.98"/>
    <n v="73.8"/>
    <s v="Thriller"/>
    <n v="9"/>
    <n v="3"/>
    <n v="0"/>
  </r>
  <r>
    <s v="U04522"/>
    <x v="10"/>
    <n v="62"/>
    <s v="Male"/>
    <x v="1"/>
    <x v="0"/>
    <n v="9.5500000000000007"/>
    <n v="5"/>
    <n v="8.9"/>
    <n v="21.66"/>
    <n v="78.5"/>
    <s v="Action"/>
    <n v="7"/>
    <n v="4"/>
    <n v="0"/>
  </r>
  <r>
    <s v="U04523"/>
    <x v="10"/>
    <n v="44"/>
    <s v="Male"/>
    <x v="0"/>
    <x v="4"/>
    <n v="22.81"/>
    <n v="3"/>
    <n v="1.1000000000000001"/>
    <n v="12.6"/>
    <n v="90.5"/>
    <s v="Action"/>
    <n v="9"/>
    <n v="2"/>
    <n v="0"/>
  </r>
  <r>
    <s v="U04524"/>
    <x v="3"/>
    <n v="42"/>
    <s v="Female"/>
    <x v="2"/>
    <x v="3"/>
    <n v="22.23"/>
    <n v="2"/>
    <n v="6.9"/>
    <n v="4.13"/>
    <n v="68.900000000000006"/>
    <s v="Comedy"/>
    <n v="2"/>
    <n v="1"/>
    <n v="1"/>
  </r>
  <r>
    <s v="U04525"/>
    <x v="6"/>
    <n v="49"/>
    <s v="Female"/>
    <x v="2"/>
    <x v="2"/>
    <n v="12.25"/>
    <n v="2"/>
    <n v="7.2"/>
    <n v="23.89"/>
    <n v="54.3"/>
    <s v="Action"/>
    <n v="10"/>
    <n v="2"/>
    <n v="1"/>
  </r>
  <r>
    <s v="U04526"/>
    <x v="4"/>
    <n v="69"/>
    <s v="Female"/>
    <x v="2"/>
    <x v="0"/>
    <n v="12.72"/>
    <n v="2"/>
    <n v="9.6999999999999993"/>
    <n v="4.59"/>
    <n v="86.9"/>
    <s v="Thriller"/>
    <n v="10"/>
    <n v="3"/>
    <n v="1"/>
  </r>
  <r>
    <s v="U04527"/>
    <x v="10"/>
    <n v="35"/>
    <s v="Male"/>
    <x v="2"/>
    <x v="4"/>
    <n v="19.03"/>
    <n v="2"/>
    <n v="4.3"/>
    <n v="10.66"/>
    <n v="91"/>
    <s v="Thriller"/>
    <n v="1"/>
    <n v="3"/>
    <n v="0"/>
  </r>
  <r>
    <s v="U04528"/>
    <x v="4"/>
    <n v="63"/>
    <s v="Female"/>
    <x v="0"/>
    <x v="0"/>
    <n v="6.81"/>
    <n v="3"/>
    <n v="2.8"/>
    <n v="16.12"/>
    <n v="80.400000000000006"/>
    <s v="Comedy"/>
    <n v="2"/>
    <n v="2"/>
    <n v="0"/>
  </r>
  <r>
    <s v="U04529"/>
    <x v="2"/>
    <n v="35"/>
    <s v="Female"/>
    <x v="2"/>
    <x v="2"/>
    <n v="6.62"/>
    <n v="1"/>
    <n v="5.7"/>
    <n v="5.59"/>
    <n v="94.8"/>
    <s v="Thriller"/>
    <n v="6"/>
    <n v="0"/>
    <n v="0"/>
  </r>
  <r>
    <s v="U04530"/>
    <x v="7"/>
    <n v="54"/>
    <s v="Female"/>
    <x v="1"/>
    <x v="3"/>
    <n v="7.73"/>
    <n v="2"/>
    <n v="5"/>
    <n v="21.44"/>
    <n v="98.1"/>
    <s v="Action"/>
    <n v="10"/>
    <n v="3"/>
    <n v="0"/>
  </r>
  <r>
    <s v="U04531"/>
    <x v="3"/>
    <n v="43"/>
    <s v="Male"/>
    <x v="2"/>
    <x v="1"/>
    <n v="16.25"/>
    <n v="4"/>
    <n v="8.1"/>
    <n v="7.48"/>
    <n v="32.6"/>
    <s v="Comedy"/>
    <n v="7"/>
    <n v="1"/>
    <n v="0"/>
  </r>
  <r>
    <s v="U04532"/>
    <x v="6"/>
    <n v="26"/>
    <s v="Female"/>
    <x v="2"/>
    <x v="1"/>
    <n v="7.98"/>
    <n v="2"/>
    <n v="9.1"/>
    <n v="24.69"/>
    <n v="26.5"/>
    <s v="Action"/>
    <n v="8"/>
    <n v="3"/>
    <n v="0"/>
  </r>
  <r>
    <s v="U04533"/>
    <x v="6"/>
    <n v="52"/>
    <s v="Male"/>
    <x v="1"/>
    <x v="0"/>
    <n v="10.55"/>
    <n v="1"/>
    <n v="1.8"/>
    <n v="23.16"/>
    <n v="50.4"/>
    <s v="Thriller"/>
    <n v="11"/>
    <n v="2"/>
    <n v="0"/>
  </r>
  <r>
    <s v="U04534"/>
    <x v="9"/>
    <n v="25"/>
    <s v="Male"/>
    <x v="2"/>
    <x v="4"/>
    <n v="17.940000000000001"/>
    <n v="1"/>
    <n v="8.6"/>
    <n v="16.3"/>
    <n v="99.7"/>
    <s v="Thriller"/>
    <n v="6"/>
    <n v="2"/>
    <n v="1"/>
  </r>
  <r>
    <s v="U04535"/>
    <x v="2"/>
    <n v="37"/>
    <s v="Female"/>
    <x v="0"/>
    <x v="2"/>
    <n v="5.31"/>
    <n v="5"/>
    <n v="9.1999999999999993"/>
    <n v="17.52"/>
    <n v="18"/>
    <s v="Family"/>
    <n v="6"/>
    <n v="4"/>
    <n v="0"/>
  </r>
  <r>
    <s v="U04536"/>
    <x v="2"/>
    <n v="59"/>
    <s v="Male"/>
    <x v="1"/>
    <x v="3"/>
    <n v="8.6"/>
    <n v="5"/>
    <n v="9.3000000000000007"/>
    <n v="14.74"/>
    <n v="74.099999999999994"/>
    <s v="Drama"/>
    <n v="3"/>
    <n v="0"/>
    <n v="0"/>
  </r>
  <r>
    <s v="U04537"/>
    <x v="5"/>
    <n v="39"/>
    <s v="Male"/>
    <x v="0"/>
    <x v="3"/>
    <n v="23.6"/>
    <n v="2"/>
    <n v="7.9"/>
    <n v="11.6"/>
    <n v="86.6"/>
    <s v="Drama"/>
    <n v="9"/>
    <n v="2"/>
    <n v="0"/>
  </r>
  <r>
    <s v="U04538"/>
    <x v="11"/>
    <n v="36"/>
    <s v="Male"/>
    <x v="2"/>
    <x v="3"/>
    <n v="18.27"/>
    <n v="2"/>
    <n v="7.7"/>
    <n v="10.74"/>
    <n v="99.7"/>
    <s v="Comedy"/>
    <n v="11"/>
    <n v="4"/>
    <n v="0"/>
  </r>
  <r>
    <s v="U04539"/>
    <x v="1"/>
    <n v="47"/>
    <s v="Female"/>
    <x v="0"/>
    <x v="1"/>
    <n v="11.11"/>
    <n v="5"/>
    <n v="1.1000000000000001"/>
    <n v="22.62"/>
    <n v="65.8"/>
    <s v="Action"/>
    <n v="2"/>
    <n v="4"/>
    <n v="0"/>
  </r>
  <r>
    <s v="U04540"/>
    <x v="1"/>
    <n v="45"/>
    <s v="Male"/>
    <x v="1"/>
    <x v="2"/>
    <n v="5.91"/>
    <n v="2"/>
    <n v="9.3000000000000007"/>
    <n v="15.69"/>
    <n v="44.2"/>
    <s v="Drama"/>
    <n v="11"/>
    <n v="1"/>
    <n v="0"/>
  </r>
  <r>
    <s v="U04541"/>
    <x v="9"/>
    <n v="52"/>
    <s v="Female"/>
    <x v="1"/>
    <x v="1"/>
    <n v="16.72"/>
    <n v="4"/>
    <n v="4.2"/>
    <n v="21.11"/>
    <n v="25"/>
    <s v="Comedy"/>
    <n v="5"/>
    <n v="4"/>
    <n v="0"/>
  </r>
  <r>
    <s v="U04542"/>
    <x v="0"/>
    <n v="60"/>
    <s v="Female"/>
    <x v="2"/>
    <x v="0"/>
    <n v="9.4600000000000009"/>
    <n v="3"/>
    <n v="1.4"/>
    <n v="14.31"/>
    <n v="98.4"/>
    <s v="Thriller"/>
    <n v="3"/>
    <n v="0"/>
    <n v="0"/>
  </r>
  <r>
    <s v="U04543"/>
    <x v="8"/>
    <n v="28"/>
    <s v="Female"/>
    <x v="1"/>
    <x v="3"/>
    <n v="24.2"/>
    <n v="5"/>
    <n v="4.7"/>
    <n v="9.75"/>
    <n v="93.2"/>
    <s v="Drama"/>
    <n v="1"/>
    <n v="1"/>
    <n v="1"/>
  </r>
  <r>
    <s v="U04544"/>
    <x v="3"/>
    <n v="48"/>
    <s v="Male"/>
    <x v="2"/>
    <x v="2"/>
    <n v="18.739999999999998"/>
    <n v="5"/>
    <n v="7.6"/>
    <n v="5.0199999999999996"/>
    <n v="82.4"/>
    <s v="Action"/>
    <n v="2"/>
    <n v="2"/>
    <n v="0"/>
  </r>
  <r>
    <s v="U04545"/>
    <x v="7"/>
    <n v="66"/>
    <s v="Female"/>
    <x v="2"/>
    <x v="3"/>
    <n v="24.48"/>
    <n v="1"/>
    <n v="5"/>
    <n v="10.119999999999999"/>
    <n v="94.9"/>
    <s v="Family"/>
    <n v="6"/>
    <n v="2"/>
    <n v="1"/>
  </r>
  <r>
    <s v="U04546"/>
    <x v="6"/>
    <n v="65"/>
    <s v="Male"/>
    <x v="1"/>
    <x v="1"/>
    <n v="21.98"/>
    <n v="2"/>
    <n v="7.8"/>
    <n v="22.36"/>
    <n v="15.5"/>
    <s v="Family"/>
    <n v="10"/>
    <n v="4"/>
    <n v="1"/>
  </r>
  <r>
    <s v="U04547"/>
    <x v="11"/>
    <n v="56"/>
    <s v="Male"/>
    <x v="1"/>
    <x v="1"/>
    <n v="14.66"/>
    <n v="5"/>
    <n v="5.6"/>
    <n v="18.66"/>
    <n v="66.8"/>
    <s v="Drama"/>
    <n v="1"/>
    <n v="3"/>
    <n v="0"/>
  </r>
  <r>
    <s v="U04548"/>
    <x v="4"/>
    <n v="53"/>
    <s v="Male"/>
    <x v="2"/>
    <x v="1"/>
    <n v="18.39"/>
    <n v="5"/>
    <n v="3.7"/>
    <n v="20.29"/>
    <n v="34.700000000000003"/>
    <s v="Family"/>
    <n v="11"/>
    <n v="0"/>
    <n v="0"/>
  </r>
  <r>
    <s v="U04549"/>
    <x v="3"/>
    <n v="47"/>
    <s v="Male"/>
    <x v="2"/>
    <x v="3"/>
    <n v="21.24"/>
    <n v="4"/>
    <n v="2.8"/>
    <n v="20.02"/>
    <n v="78.900000000000006"/>
    <s v="Comedy"/>
    <n v="2"/>
    <n v="0"/>
    <n v="0"/>
  </r>
  <r>
    <s v="U04550"/>
    <x v="0"/>
    <n v="40"/>
    <s v="Female"/>
    <x v="2"/>
    <x v="2"/>
    <n v="16.559999999999999"/>
    <n v="2"/>
    <n v="4.8"/>
    <n v="5.64"/>
    <n v="18.600000000000001"/>
    <s v="Action"/>
    <n v="10"/>
    <n v="4"/>
    <n v="0"/>
  </r>
  <r>
    <s v="U04551"/>
    <x v="3"/>
    <n v="36"/>
    <s v="Female"/>
    <x v="0"/>
    <x v="2"/>
    <n v="6.23"/>
    <n v="3"/>
    <n v="1.3"/>
    <n v="6.49"/>
    <n v="33.299999999999997"/>
    <s v="Thriller"/>
    <n v="5"/>
    <n v="0"/>
    <n v="0"/>
  </r>
  <r>
    <s v="U04552"/>
    <x v="0"/>
    <n v="29"/>
    <s v="Male"/>
    <x v="2"/>
    <x v="0"/>
    <n v="14.41"/>
    <n v="4"/>
    <n v="4.8"/>
    <n v="9.98"/>
    <n v="86.5"/>
    <s v="Action"/>
    <n v="1"/>
    <n v="1"/>
    <n v="0"/>
  </r>
  <r>
    <s v="U04553"/>
    <x v="6"/>
    <n v="32"/>
    <s v="Female"/>
    <x v="1"/>
    <x v="3"/>
    <n v="7.61"/>
    <n v="3"/>
    <n v="1.6"/>
    <n v="9.6199999999999992"/>
    <n v="77.5"/>
    <s v="Thriller"/>
    <n v="11"/>
    <n v="4"/>
    <n v="0"/>
  </r>
  <r>
    <s v="U04554"/>
    <x v="8"/>
    <n v="48"/>
    <s v="Female"/>
    <x v="1"/>
    <x v="0"/>
    <n v="19.3"/>
    <n v="1"/>
    <n v="8.9"/>
    <n v="4.45"/>
    <n v="99.3"/>
    <s v="Family"/>
    <n v="11"/>
    <n v="3"/>
    <n v="0"/>
  </r>
  <r>
    <s v="U04555"/>
    <x v="0"/>
    <n v="60"/>
    <s v="Female"/>
    <x v="2"/>
    <x v="0"/>
    <n v="18.61"/>
    <n v="5"/>
    <n v="6.2"/>
    <n v="6.38"/>
    <n v="68"/>
    <s v="Comedy"/>
    <n v="10"/>
    <n v="2"/>
    <n v="0"/>
  </r>
  <r>
    <s v="U04556"/>
    <x v="6"/>
    <n v="54"/>
    <s v="Male"/>
    <x v="0"/>
    <x v="0"/>
    <n v="24.86"/>
    <n v="4"/>
    <n v="6.8"/>
    <n v="21.84"/>
    <n v="37.299999999999997"/>
    <s v="Thriller"/>
    <n v="4"/>
    <n v="0"/>
    <n v="1"/>
  </r>
  <r>
    <s v="U04557"/>
    <x v="6"/>
    <n v="54"/>
    <s v="Female"/>
    <x v="2"/>
    <x v="0"/>
    <n v="17.579999999999998"/>
    <n v="3"/>
    <n v="3.6"/>
    <n v="15.96"/>
    <n v="59.3"/>
    <s v="Family"/>
    <n v="5"/>
    <n v="2"/>
    <n v="0"/>
  </r>
  <r>
    <s v="U04558"/>
    <x v="8"/>
    <n v="32"/>
    <s v="Male"/>
    <x v="1"/>
    <x v="1"/>
    <n v="21"/>
    <n v="2"/>
    <n v="3"/>
    <n v="10.53"/>
    <n v="95"/>
    <s v="Thriller"/>
    <n v="5"/>
    <n v="3"/>
    <n v="0"/>
  </r>
  <r>
    <s v="U04559"/>
    <x v="1"/>
    <n v="46"/>
    <s v="Female"/>
    <x v="2"/>
    <x v="0"/>
    <n v="10.37"/>
    <n v="1"/>
    <n v="7.4"/>
    <n v="14.58"/>
    <n v="68.7"/>
    <s v="Drama"/>
    <n v="5"/>
    <n v="3"/>
    <n v="0"/>
  </r>
  <r>
    <s v="U04560"/>
    <x v="3"/>
    <n v="67"/>
    <s v="Male"/>
    <x v="0"/>
    <x v="2"/>
    <n v="11.8"/>
    <n v="1"/>
    <n v="7"/>
    <n v="8.75"/>
    <n v="89.3"/>
    <s v="Action"/>
    <n v="10"/>
    <n v="1"/>
    <n v="1"/>
  </r>
  <r>
    <s v="U04561"/>
    <x v="9"/>
    <n v="60"/>
    <s v="Male"/>
    <x v="1"/>
    <x v="0"/>
    <n v="23.34"/>
    <n v="5"/>
    <n v="2.1"/>
    <n v="15.84"/>
    <n v="12.1"/>
    <s v="Comedy"/>
    <n v="9"/>
    <n v="3"/>
    <n v="1"/>
  </r>
  <r>
    <s v="U04562"/>
    <x v="10"/>
    <n v="43"/>
    <s v="Male"/>
    <x v="2"/>
    <x v="1"/>
    <n v="20.100000000000001"/>
    <n v="5"/>
    <n v="3.1"/>
    <n v="4.6399999999999997"/>
    <n v="43.3"/>
    <s v="Family"/>
    <n v="9"/>
    <n v="3"/>
    <n v="0"/>
  </r>
  <r>
    <s v="U04563"/>
    <x v="10"/>
    <n v="61"/>
    <s v="Female"/>
    <x v="0"/>
    <x v="4"/>
    <n v="18.11"/>
    <n v="3"/>
    <n v="9.5"/>
    <n v="22.86"/>
    <n v="94.2"/>
    <s v="Comedy"/>
    <n v="5"/>
    <n v="0"/>
    <n v="0"/>
  </r>
  <r>
    <s v="U04564"/>
    <x v="9"/>
    <n v="19"/>
    <s v="Male"/>
    <x v="0"/>
    <x v="4"/>
    <n v="10.08"/>
    <n v="3"/>
    <n v="3.7"/>
    <n v="8.2899999999999991"/>
    <n v="13.5"/>
    <s v="Action"/>
    <n v="6"/>
    <n v="2"/>
    <n v="0"/>
  </r>
  <r>
    <s v="U04565"/>
    <x v="4"/>
    <n v="37"/>
    <s v="Female"/>
    <x v="2"/>
    <x v="4"/>
    <n v="18.97"/>
    <n v="1"/>
    <n v="1.2"/>
    <n v="21.02"/>
    <n v="56.7"/>
    <s v="Thriller"/>
    <n v="8"/>
    <n v="0"/>
    <n v="0"/>
  </r>
  <r>
    <s v="U04566"/>
    <x v="2"/>
    <n v="32"/>
    <s v="Male"/>
    <x v="0"/>
    <x v="3"/>
    <n v="22.74"/>
    <n v="3"/>
    <n v="1.6"/>
    <n v="17.52"/>
    <n v="41.2"/>
    <s v="Thriller"/>
    <n v="7"/>
    <n v="0"/>
    <n v="0"/>
  </r>
  <r>
    <s v="U04567"/>
    <x v="4"/>
    <n v="69"/>
    <s v="Female"/>
    <x v="2"/>
    <x v="2"/>
    <n v="9.6199999999999992"/>
    <n v="5"/>
    <n v="8"/>
    <n v="14.51"/>
    <n v="68.2"/>
    <s v="Comedy"/>
    <n v="6"/>
    <n v="4"/>
    <n v="0"/>
  </r>
  <r>
    <s v="U04568"/>
    <x v="2"/>
    <n v="21"/>
    <s v="Male"/>
    <x v="0"/>
    <x v="1"/>
    <n v="19.12"/>
    <n v="1"/>
    <n v="7.8"/>
    <n v="23.46"/>
    <n v="24.6"/>
    <s v="Thriller"/>
    <n v="4"/>
    <n v="4"/>
    <n v="0"/>
  </r>
  <r>
    <s v="U04569"/>
    <x v="9"/>
    <n v="39"/>
    <s v="Female"/>
    <x v="1"/>
    <x v="4"/>
    <n v="12.87"/>
    <n v="1"/>
    <n v="4.4000000000000004"/>
    <n v="6.45"/>
    <n v="68.8"/>
    <s v="Thriller"/>
    <n v="3"/>
    <n v="1"/>
    <n v="1"/>
  </r>
  <r>
    <s v="U04570"/>
    <x v="10"/>
    <n v="67"/>
    <s v="Male"/>
    <x v="2"/>
    <x v="1"/>
    <n v="7.38"/>
    <n v="2"/>
    <n v="2.4"/>
    <n v="5.62"/>
    <n v="99.3"/>
    <s v="Thriller"/>
    <n v="4"/>
    <n v="1"/>
    <n v="1"/>
  </r>
  <r>
    <s v="U04571"/>
    <x v="7"/>
    <n v="55"/>
    <s v="Male"/>
    <x v="1"/>
    <x v="1"/>
    <n v="20.27"/>
    <n v="2"/>
    <n v="5.5"/>
    <n v="10.08"/>
    <n v="34.4"/>
    <s v="Drama"/>
    <n v="3"/>
    <n v="3"/>
    <n v="0"/>
  </r>
  <r>
    <s v="U04572"/>
    <x v="10"/>
    <n v="40"/>
    <s v="Male"/>
    <x v="1"/>
    <x v="3"/>
    <n v="8.34"/>
    <n v="3"/>
    <n v="4"/>
    <n v="21.26"/>
    <n v="51.5"/>
    <s v="Family"/>
    <n v="8"/>
    <n v="1"/>
    <n v="1"/>
  </r>
  <r>
    <s v="U04573"/>
    <x v="4"/>
    <n v="43"/>
    <s v="Female"/>
    <x v="1"/>
    <x v="4"/>
    <n v="10.06"/>
    <n v="3"/>
    <n v="4.4000000000000004"/>
    <n v="3.77"/>
    <n v="12.7"/>
    <s v="Family"/>
    <n v="6"/>
    <n v="1"/>
    <n v="0"/>
  </r>
  <r>
    <s v="U04574"/>
    <x v="11"/>
    <n v="68"/>
    <s v="Male"/>
    <x v="2"/>
    <x v="0"/>
    <n v="20.66"/>
    <n v="5"/>
    <n v="3.3"/>
    <n v="8.27"/>
    <n v="49.1"/>
    <s v="Action"/>
    <n v="6"/>
    <n v="3"/>
    <n v="0"/>
  </r>
  <r>
    <s v="U04575"/>
    <x v="9"/>
    <n v="28"/>
    <s v="Male"/>
    <x v="0"/>
    <x v="1"/>
    <n v="19.84"/>
    <n v="5"/>
    <n v="1.6"/>
    <n v="12.34"/>
    <n v="46.5"/>
    <s v="Thriller"/>
    <n v="1"/>
    <n v="2"/>
    <n v="1"/>
  </r>
  <r>
    <s v="U04576"/>
    <x v="4"/>
    <n v="45"/>
    <s v="Male"/>
    <x v="1"/>
    <x v="4"/>
    <n v="10.08"/>
    <n v="2"/>
    <n v="8.1"/>
    <n v="18.68"/>
    <n v="60.8"/>
    <s v="Comedy"/>
    <n v="5"/>
    <n v="3"/>
    <n v="0"/>
  </r>
  <r>
    <s v="U04577"/>
    <x v="7"/>
    <n v="19"/>
    <s v="Male"/>
    <x v="0"/>
    <x v="1"/>
    <n v="23.82"/>
    <n v="1"/>
    <n v="6.6"/>
    <n v="9.58"/>
    <n v="33.1"/>
    <s v="Thriller"/>
    <n v="8"/>
    <n v="3"/>
    <n v="1"/>
  </r>
  <r>
    <s v="U04578"/>
    <x v="3"/>
    <n v="25"/>
    <s v="Female"/>
    <x v="1"/>
    <x v="3"/>
    <n v="9.31"/>
    <n v="4"/>
    <n v="8.5"/>
    <n v="12.86"/>
    <n v="39.6"/>
    <s v="Action"/>
    <n v="11"/>
    <n v="2"/>
    <n v="0"/>
  </r>
  <r>
    <s v="U04579"/>
    <x v="2"/>
    <n v="46"/>
    <s v="Male"/>
    <x v="0"/>
    <x v="3"/>
    <n v="24.87"/>
    <n v="4"/>
    <n v="5.5"/>
    <n v="10.41"/>
    <n v="64.900000000000006"/>
    <s v="Thriller"/>
    <n v="2"/>
    <n v="3"/>
    <n v="1"/>
  </r>
  <r>
    <s v="U04580"/>
    <x v="10"/>
    <n v="28"/>
    <s v="Male"/>
    <x v="1"/>
    <x v="0"/>
    <n v="19.760000000000002"/>
    <n v="3"/>
    <n v="9.9"/>
    <n v="5.03"/>
    <n v="91.8"/>
    <s v="Drama"/>
    <n v="3"/>
    <n v="4"/>
    <n v="1"/>
  </r>
  <r>
    <s v="U04581"/>
    <x v="8"/>
    <n v="54"/>
    <s v="Female"/>
    <x v="1"/>
    <x v="3"/>
    <n v="12.85"/>
    <n v="4"/>
    <n v="9.6999999999999993"/>
    <n v="19.25"/>
    <n v="31.2"/>
    <s v="Action"/>
    <n v="9"/>
    <n v="1"/>
    <n v="0"/>
  </r>
  <r>
    <s v="U04582"/>
    <x v="11"/>
    <n v="35"/>
    <s v="Female"/>
    <x v="0"/>
    <x v="4"/>
    <n v="7.61"/>
    <n v="4"/>
    <n v="3.4"/>
    <n v="13.15"/>
    <n v="71"/>
    <s v="Family"/>
    <n v="4"/>
    <n v="3"/>
    <n v="0"/>
  </r>
  <r>
    <s v="U04583"/>
    <x v="6"/>
    <n v="67"/>
    <s v="Female"/>
    <x v="0"/>
    <x v="3"/>
    <n v="11.41"/>
    <n v="2"/>
    <n v="4.5"/>
    <n v="20.88"/>
    <n v="57.1"/>
    <s v="Family"/>
    <n v="11"/>
    <n v="0"/>
    <n v="1"/>
  </r>
  <r>
    <s v="U04584"/>
    <x v="7"/>
    <n v="31"/>
    <s v="Male"/>
    <x v="1"/>
    <x v="0"/>
    <n v="8.8699999999999992"/>
    <n v="1"/>
    <n v="7.8"/>
    <n v="18.28"/>
    <n v="19.399999999999999"/>
    <s v="Drama"/>
    <n v="10"/>
    <n v="1"/>
    <n v="0"/>
  </r>
  <r>
    <s v="U04585"/>
    <x v="4"/>
    <n v="27"/>
    <s v="Female"/>
    <x v="1"/>
    <x v="2"/>
    <n v="17.440000000000001"/>
    <n v="5"/>
    <n v="8"/>
    <n v="4.2699999999999996"/>
    <n v="60.9"/>
    <s v="Family"/>
    <n v="5"/>
    <n v="4"/>
    <n v="0"/>
  </r>
  <r>
    <s v="U04586"/>
    <x v="2"/>
    <n v="52"/>
    <s v="Female"/>
    <x v="2"/>
    <x v="1"/>
    <n v="12.14"/>
    <n v="2"/>
    <n v="9.1999999999999993"/>
    <n v="14"/>
    <n v="73.8"/>
    <s v="Drama"/>
    <n v="11"/>
    <n v="4"/>
    <n v="0"/>
  </r>
  <r>
    <s v="U04587"/>
    <x v="8"/>
    <n v="26"/>
    <s v="Female"/>
    <x v="1"/>
    <x v="1"/>
    <n v="10.9"/>
    <n v="5"/>
    <n v="6.9"/>
    <n v="24.8"/>
    <n v="63.8"/>
    <s v="Family"/>
    <n v="7"/>
    <n v="3"/>
    <n v="0"/>
  </r>
  <r>
    <s v="U04588"/>
    <x v="0"/>
    <n v="52"/>
    <s v="Male"/>
    <x v="0"/>
    <x v="4"/>
    <n v="20.14"/>
    <n v="2"/>
    <n v="5.3"/>
    <n v="9.77"/>
    <n v="19.399999999999999"/>
    <s v="Family"/>
    <n v="5"/>
    <n v="2"/>
    <n v="1"/>
  </r>
  <r>
    <s v="U04589"/>
    <x v="1"/>
    <n v="28"/>
    <s v="Male"/>
    <x v="1"/>
    <x v="0"/>
    <n v="9.61"/>
    <n v="2"/>
    <n v="4.4000000000000004"/>
    <n v="13.85"/>
    <n v="86.9"/>
    <s v="Thriller"/>
    <n v="2"/>
    <n v="0"/>
    <n v="0"/>
  </r>
  <r>
    <s v="U04590"/>
    <x v="10"/>
    <n v="61"/>
    <s v="Male"/>
    <x v="0"/>
    <x v="0"/>
    <n v="16.739999999999998"/>
    <n v="4"/>
    <n v="4.8"/>
    <n v="17.34"/>
    <n v="13.7"/>
    <s v="Action"/>
    <n v="7"/>
    <n v="3"/>
    <n v="0"/>
  </r>
  <r>
    <s v="U04591"/>
    <x v="1"/>
    <n v="29"/>
    <s v="Female"/>
    <x v="2"/>
    <x v="0"/>
    <n v="8.89"/>
    <n v="5"/>
    <n v="8.6999999999999993"/>
    <n v="7.45"/>
    <n v="31.2"/>
    <s v="Family"/>
    <n v="11"/>
    <n v="2"/>
    <n v="0"/>
  </r>
  <r>
    <s v="U04592"/>
    <x v="7"/>
    <n v="20"/>
    <s v="Male"/>
    <x v="2"/>
    <x v="1"/>
    <n v="19.3"/>
    <n v="2"/>
    <n v="9.8000000000000007"/>
    <n v="18.46"/>
    <n v="65.400000000000006"/>
    <s v="Action"/>
    <n v="6"/>
    <n v="4"/>
    <n v="0"/>
  </r>
  <r>
    <s v="U04593"/>
    <x v="0"/>
    <n v="56"/>
    <s v="Female"/>
    <x v="1"/>
    <x v="3"/>
    <n v="17.5"/>
    <n v="4"/>
    <n v="1.5"/>
    <n v="17.52"/>
    <n v="29.6"/>
    <s v="Action"/>
    <n v="11"/>
    <n v="1"/>
    <n v="0"/>
  </r>
  <r>
    <s v="U04594"/>
    <x v="0"/>
    <n v="31"/>
    <s v="Female"/>
    <x v="1"/>
    <x v="1"/>
    <n v="20.96"/>
    <n v="3"/>
    <n v="6.2"/>
    <n v="11.25"/>
    <n v="19.2"/>
    <s v="Family"/>
    <n v="9"/>
    <n v="4"/>
    <n v="0"/>
  </r>
  <r>
    <s v="U04595"/>
    <x v="0"/>
    <n v="45"/>
    <s v="Female"/>
    <x v="0"/>
    <x v="1"/>
    <n v="6.37"/>
    <n v="5"/>
    <n v="5.7"/>
    <n v="9.26"/>
    <n v="56.1"/>
    <s v="Action"/>
    <n v="2"/>
    <n v="3"/>
    <n v="1"/>
  </r>
  <r>
    <s v="U04596"/>
    <x v="6"/>
    <n v="28"/>
    <s v="Male"/>
    <x v="1"/>
    <x v="1"/>
    <n v="9.1999999999999993"/>
    <n v="2"/>
    <n v="4.4000000000000004"/>
    <n v="23.22"/>
    <n v="75"/>
    <s v="Drama"/>
    <n v="2"/>
    <n v="2"/>
    <n v="0"/>
  </r>
  <r>
    <s v="U04597"/>
    <x v="7"/>
    <n v="56"/>
    <s v="Female"/>
    <x v="2"/>
    <x v="3"/>
    <n v="8.09"/>
    <n v="3"/>
    <n v="8.6999999999999993"/>
    <n v="5.79"/>
    <n v="47"/>
    <s v="Comedy"/>
    <n v="8"/>
    <n v="3"/>
    <n v="0"/>
  </r>
  <r>
    <s v="U04598"/>
    <x v="3"/>
    <n v="42"/>
    <s v="Female"/>
    <x v="0"/>
    <x v="2"/>
    <n v="8.81"/>
    <n v="4"/>
    <n v="6.2"/>
    <n v="12.5"/>
    <n v="72.900000000000006"/>
    <s v="Drama"/>
    <n v="10"/>
    <n v="4"/>
    <n v="0"/>
  </r>
  <r>
    <s v="U04599"/>
    <x v="1"/>
    <n v="38"/>
    <s v="Male"/>
    <x v="0"/>
    <x v="4"/>
    <n v="7.06"/>
    <n v="2"/>
    <n v="3.8"/>
    <n v="19.87"/>
    <n v="87.5"/>
    <s v="Family"/>
    <n v="11"/>
    <n v="0"/>
    <n v="0"/>
  </r>
  <r>
    <s v="U04600"/>
    <x v="3"/>
    <n v="27"/>
    <s v="Female"/>
    <x v="1"/>
    <x v="2"/>
    <n v="16.239999999999998"/>
    <n v="4"/>
    <n v="5"/>
    <n v="6.26"/>
    <n v="96.3"/>
    <s v="Drama"/>
    <n v="1"/>
    <n v="4"/>
    <n v="0"/>
  </r>
  <r>
    <s v="U04601"/>
    <x v="8"/>
    <n v="60"/>
    <s v="Female"/>
    <x v="2"/>
    <x v="2"/>
    <n v="16.87"/>
    <n v="4"/>
    <n v="4.2"/>
    <n v="23.52"/>
    <n v="31"/>
    <s v="Comedy"/>
    <n v="8"/>
    <n v="3"/>
    <n v="0"/>
  </r>
  <r>
    <s v="U04602"/>
    <x v="5"/>
    <n v="32"/>
    <s v="Female"/>
    <x v="1"/>
    <x v="1"/>
    <n v="21.87"/>
    <n v="4"/>
    <n v="4.9000000000000004"/>
    <n v="14.58"/>
    <n v="64.5"/>
    <s v="Drama"/>
    <n v="5"/>
    <n v="2"/>
    <n v="0"/>
  </r>
  <r>
    <s v="U04603"/>
    <x v="11"/>
    <n v="36"/>
    <s v="Male"/>
    <x v="2"/>
    <x v="2"/>
    <n v="13.35"/>
    <n v="5"/>
    <n v="1.6"/>
    <n v="14.11"/>
    <n v="34"/>
    <s v="Action"/>
    <n v="1"/>
    <n v="3"/>
    <n v="0"/>
  </r>
  <r>
    <s v="U04604"/>
    <x v="11"/>
    <n v="65"/>
    <s v="Female"/>
    <x v="0"/>
    <x v="1"/>
    <n v="15.65"/>
    <n v="3"/>
    <n v="2"/>
    <n v="12.33"/>
    <n v="88.4"/>
    <s v="Family"/>
    <n v="10"/>
    <n v="1"/>
    <n v="0"/>
  </r>
  <r>
    <s v="U04605"/>
    <x v="3"/>
    <n v="39"/>
    <s v="Male"/>
    <x v="1"/>
    <x v="1"/>
    <n v="24.83"/>
    <n v="3"/>
    <n v="6.6"/>
    <n v="22.08"/>
    <n v="90.1"/>
    <s v="Action"/>
    <n v="11"/>
    <n v="1"/>
    <n v="0"/>
  </r>
  <r>
    <s v="U04606"/>
    <x v="5"/>
    <n v="38"/>
    <s v="Male"/>
    <x v="2"/>
    <x v="4"/>
    <n v="15.64"/>
    <n v="1"/>
    <n v="7.2"/>
    <n v="23.87"/>
    <n v="39"/>
    <s v="Action"/>
    <n v="1"/>
    <n v="2"/>
    <n v="0"/>
  </r>
  <r>
    <s v="U04607"/>
    <x v="5"/>
    <n v="69"/>
    <s v="Female"/>
    <x v="0"/>
    <x v="0"/>
    <n v="16.47"/>
    <n v="2"/>
    <n v="6.7"/>
    <n v="11.36"/>
    <n v="68.099999999999994"/>
    <s v="Family"/>
    <n v="6"/>
    <n v="4"/>
    <n v="0"/>
  </r>
  <r>
    <s v="U04608"/>
    <x v="10"/>
    <n v="61"/>
    <s v="Female"/>
    <x v="1"/>
    <x v="1"/>
    <n v="24.92"/>
    <n v="4"/>
    <n v="7.9"/>
    <n v="14.93"/>
    <n v="89.9"/>
    <s v="Family"/>
    <n v="10"/>
    <n v="3"/>
    <n v="1"/>
  </r>
  <r>
    <s v="U04609"/>
    <x v="8"/>
    <n v="49"/>
    <s v="Female"/>
    <x v="0"/>
    <x v="2"/>
    <n v="24.88"/>
    <n v="2"/>
    <n v="9.5"/>
    <n v="9.94"/>
    <n v="55.8"/>
    <s v="Thriller"/>
    <n v="11"/>
    <n v="1"/>
    <n v="0"/>
  </r>
  <r>
    <s v="U04610"/>
    <x v="7"/>
    <n v="67"/>
    <s v="Female"/>
    <x v="0"/>
    <x v="4"/>
    <n v="13.48"/>
    <n v="3"/>
    <n v="8.6999999999999993"/>
    <n v="11.1"/>
    <n v="74.8"/>
    <s v="Comedy"/>
    <n v="2"/>
    <n v="0"/>
    <n v="0"/>
  </r>
  <r>
    <s v="U04611"/>
    <x v="5"/>
    <n v="40"/>
    <s v="Male"/>
    <x v="0"/>
    <x v="2"/>
    <n v="17.7"/>
    <n v="3"/>
    <n v="4.8"/>
    <n v="3.62"/>
    <n v="82.1"/>
    <s v="Action"/>
    <n v="2"/>
    <n v="1"/>
    <n v="0"/>
  </r>
  <r>
    <s v="U04612"/>
    <x v="4"/>
    <n v="30"/>
    <s v="Male"/>
    <x v="2"/>
    <x v="0"/>
    <n v="14.62"/>
    <n v="4"/>
    <n v="3"/>
    <n v="20.29"/>
    <n v="88.5"/>
    <s v="Action"/>
    <n v="1"/>
    <n v="4"/>
    <n v="0"/>
  </r>
  <r>
    <s v="U04613"/>
    <x v="9"/>
    <n v="22"/>
    <s v="Female"/>
    <x v="1"/>
    <x v="3"/>
    <n v="19.41"/>
    <n v="5"/>
    <n v="3.8"/>
    <n v="24.33"/>
    <n v="56.4"/>
    <s v="Family"/>
    <n v="1"/>
    <n v="2"/>
    <n v="0"/>
  </r>
  <r>
    <s v="U04614"/>
    <x v="11"/>
    <n v="21"/>
    <s v="Male"/>
    <x v="2"/>
    <x v="0"/>
    <n v="23.77"/>
    <n v="4"/>
    <n v="6.3"/>
    <n v="19.93"/>
    <n v="94.8"/>
    <s v="Family"/>
    <n v="4"/>
    <n v="0"/>
    <n v="0"/>
  </r>
  <r>
    <s v="U04615"/>
    <x v="4"/>
    <n v="45"/>
    <s v="Female"/>
    <x v="1"/>
    <x v="4"/>
    <n v="11.19"/>
    <n v="4"/>
    <n v="8.6999999999999993"/>
    <n v="14.4"/>
    <n v="66.599999999999994"/>
    <s v="Drama"/>
    <n v="5"/>
    <n v="3"/>
    <n v="0"/>
  </r>
  <r>
    <s v="U04616"/>
    <x v="8"/>
    <n v="31"/>
    <s v="Female"/>
    <x v="1"/>
    <x v="0"/>
    <n v="21.38"/>
    <n v="1"/>
    <n v="7.3"/>
    <n v="21.21"/>
    <n v="23.7"/>
    <s v="Action"/>
    <n v="4"/>
    <n v="3"/>
    <n v="0"/>
  </r>
  <r>
    <s v="U04617"/>
    <x v="5"/>
    <n v="25"/>
    <s v="Female"/>
    <x v="1"/>
    <x v="0"/>
    <n v="18.100000000000001"/>
    <n v="5"/>
    <n v="5.9"/>
    <n v="21.87"/>
    <n v="65.099999999999994"/>
    <s v="Action"/>
    <n v="6"/>
    <n v="2"/>
    <n v="0"/>
  </r>
  <r>
    <s v="U04618"/>
    <x v="1"/>
    <n v="26"/>
    <s v="Female"/>
    <x v="2"/>
    <x v="4"/>
    <n v="10.6"/>
    <n v="2"/>
    <n v="6.4"/>
    <n v="14.98"/>
    <n v="36.9"/>
    <s v="Family"/>
    <n v="8"/>
    <n v="0"/>
    <n v="0"/>
  </r>
  <r>
    <s v="U04619"/>
    <x v="11"/>
    <n v="68"/>
    <s v="Male"/>
    <x v="2"/>
    <x v="4"/>
    <n v="20.95"/>
    <n v="5"/>
    <n v="5.8"/>
    <n v="23.62"/>
    <n v="43.5"/>
    <s v="Action"/>
    <n v="11"/>
    <n v="0"/>
    <n v="1"/>
  </r>
  <r>
    <s v="U04620"/>
    <x v="10"/>
    <n v="52"/>
    <s v="Male"/>
    <x v="2"/>
    <x v="2"/>
    <n v="13.54"/>
    <n v="4"/>
    <n v="9.6999999999999993"/>
    <n v="3.66"/>
    <n v="82.8"/>
    <s v="Comedy"/>
    <n v="11"/>
    <n v="0"/>
    <n v="0"/>
  </r>
  <r>
    <s v="U04621"/>
    <x v="2"/>
    <n v="54"/>
    <s v="Female"/>
    <x v="0"/>
    <x v="1"/>
    <n v="7.41"/>
    <n v="4"/>
    <n v="8.3000000000000007"/>
    <n v="3.22"/>
    <n v="97.6"/>
    <s v="Thriller"/>
    <n v="2"/>
    <n v="2"/>
    <n v="1"/>
  </r>
  <r>
    <s v="U04622"/>
    <x v="10"/>
    <n v="38"/>
    <s v="Female"/>
    <x v="1"/>
    <x v="3"/>
    <n v="24.87"/>
    <n v="4"/>
    <n v="8"/>
    <n v="4.79"/>
    <n v="88.3"/>
    <s v="Family"/>
    <n v="1"/>
    <n v="2"/>
    <n v="0"/>
  </r>
  <r>
    <s v="U04623"/>
    <x v="9"/>
    <n v="35"/>
    <s v="Male"/>
    <x v="1"/>
    <x v="3"/>
    <n v="13.51"/>
    <n v="4"/>
    <n v="5.7"/>
    <n v="4.2699999999999996"/>
    <n v="39.299999999999997"/>
    <s v="Family"/>
    <n v="2"/>
    <n v="3"/>
    <n v="0"/>
  </r>
  <r>
    <s v="U04624"/>
    <x v="0"/>
    <n v="50"/>
    <s v="Male"/>
    <x v="2"/>
    <x v="3"/>
    <n v="15.83"/>
    <n v="4"/>
    <n v="4"/>
    <n v="12.34"/>
    <n v="50.8"/>
    <s v="Action"/>
    <n v="10"/>
    <n v="1"/>
    <n v="0"/>
  </r>
  <r>
    <s v="U04625"/>
    <x v="2"/>
    <n v="25"/>
    <s v="Male"/>
    <x v="0"/>
    <x v="0"/>
    <n v="21.16"/>
    <n v="5"/>
    <n v="1.2"/>
    <n v="23.69"/>
    <n v="98.5"/>
    <s v="Thriller"/>
    <n v="11"/>
    <n v="4"/>
    <n v="0"/>
  </r>
  <r>
    <s v="U04626"/>
    <x v="6"/>
    <n v="68"/>
    <s v="Female"/>
    <x v="0"/>
    <x v="4"/>
    <n v="24.22"/>
    <n v="4"/>
    <n v="1.4"/>
    <n v="17.850000000000001"/>
    <n v="93.1"/>
    <s v="Thriller"/>
    <n v="6"/>
    <n v="3"/>
    <n v="0"/>
  </r>
  <r>
    <s v="U04627"/>
    <x v="5"/>
    <n v="66"/>
    <s v="Male"/>
    <x v="1"/>
    <x v="4"/>
    <n v="22.46"/>
    <n v="3"/>
    <n v="1.3"/>
    <n v="17.510000000000002"/>
    <n v="97.9"/>
    <s v="Family"/>
    <n v="11"/>
    <n v="0"/>
    <n v="0"/>
  </r>
  <r>
    <s v="U04628"/>
    <x v="8"/>
    <n v="34"/>
    <s v="Female"/>
    <x v="0"/>
    <x v="4"/>
    <n v="15.5"/>
    <n v="3"/>
    <n v="9.8000000000000007"/>
    <n v="11.47"/>
    <n v="49"/>
    <s v="Family"/>
    <n v="4"/>
    <n v="1"/>
    <n v="0"/>
  </r>
  <r>
    <s v="U04629"/>
    <x v="11"/>
    <n v="60"/>
    <s v="Female"/>
    <x v="0"/>
    <x v="1"/>
    <n v="15.91"/>
    <n v="1"/>
    <n v="2"/>
    <n v="14.74"/>
    <n v="82.1"/>
    <s v="Family"/>
    <n v="7"/>
    <n v="4"/>
    <n v="0"/>
  </r>
  <r>
    <s v="U04630"/>
    <x v="6"/>
    <n v="48"/>
    <s v="Male"/>
    <x v="2"/>
    <x v="4"/>
    <n v="10.62"/>
    <n v="2"/>
    <n v="2.2999999999999998"/>
    <n v="9.69"/>
    <n v="88.4"/>
    <s v="Comedy"/>
    <n v="2"/>
    <n v="0"/>
    <n v="1"/>
  </r>
  <r>
    <s v="U04631"/>
    <x v="8"/>
    <n v="51"/>
    <s v="Female"/>
    <x v="1"/>
    <x v="4"/>
    <n v="14.26"/>
    <n v="3"/>
    <n v="5.4"/>
    <n v="14.39"/>
    <n v="14"/>
    <s v="Action"/>
    <n v="1"/>
    <n v="2"/>
    <n v="0"/>
  </r>
  <r>
    <s v="U04632"/>
    <x v="9"/>
    <n v="23"/>
    <s v="Male"/>
    <x v="2"/>
    <x v="0"/>
    <n v="23.94"/>
    <n v="1"/>
    <n v="5.3"/>
    <n v="19.43"/>
    <n v="33.9"/>
    <s v="Comedy"/>
    <n v="5"/>
    <n v="1"/>
    <n v="0"/>
  </r>
  <r>
    <s v="U04633"/>
    <x v="3"/>
    <n v="39"/>
    <s v="Female"/>
    <x v="2"/>
    <x v="2"/>
    <n v="19.54"/>
    <n v="5"/>
    <n v="9.3000000000000007"/>
    <n v="15.29"/>
    <n v="89.5"/>
    <s v="Family"/>
    <n v="9"/>
    <n v="2"/>
    <n v="0"/>
  </r>
  <r>
    <s v="U04634"/>
    <x v="5"/>
    <n v="31"/>
    <s v="Female"/>
    <x v="0"/>
    <x v="3"/>
    <n v="5.24"/>
    <n v="2"/>
    <n v="1.7"/>
    <n v="12.22"/>
    <n v="45"/>
    <s v="Thriller"/>
    <n v="6"/>
    <n v="4"/>
    <n v="1"/>
  </r>
  <r>
    <s v="U04635"/>
    <x v="7"/>
    <n v="20"/>
    <s v="Female"/>
    <x v="1"/>
    <x v="0"/>
    <n v="7.33"/>
    <n v="4"/>
    <n v="9.6"/>
    <n v="21.59"/>
    <n v="35.1"/>
    <s v="Action"/>
    <n v="6"/>
    <n v="4"/>
    <n v="0"/>
  </r>
  <r>
    <s v="U04636"/>
    <x v="7"/>
    <n v="29"/>
    <s v="Female"/>
    <x v="0"/>
    <x v="0"/>
    <n v="23.48"/>
    <n v="4"/>
    <n v="2.9"/>
    <n v="9.32"/>
    <n v="34.5"/>
    <s v="Action"/>
    <n v="1"/>
    <n v="0"/>
    <n v="0"/>
  </r>
  <r>
    <s v="U04637"/>
    <x v="5"/>
    <n v="53"/>
    <s v="Female"/>
    <x v="2"/>
    <x v="0"/>
    <n v="21.97"/>
    <n v="5"/>
    <n v="9.6999999999999993"/>
    <n v="13.59"/>
    <n v="43.8"/>
    <s v="Family"/>
    <n v="1"/>
    <n v="2"/>
    <n v="1"/>
  </r>
  <r>
    <s v="U04638"/>
    <x v="2"/>
    <n v="29"/>
    <s v="Female"/>
    <x v="1"/>
    <x v="3"/>
    <n v="14.72"/>
    <n v="2"/>
    <n v="5.9"/>
    <n v="24.52"/>
    <n v="32"/>
    <s v="Family"/>
    <n v="4"/>
    <n v="3"/>
    <n v="0"/>
  </r>
  <r>
    <s v="U04639"/>
    <x v="0"/>
    <n v="62"/>
    <s v="Male"/>
    <x v="1"/>
    <x v="0"/>
    <n v="17.34"/>
    <n v="3"/>
    <n v="6.9"/>
    <n v="24.28"/>
    <n v="10.3"/>
    <s v="Family"/>
    <n v="2"/>
    <n v="3"/>
    <n v="0"/>
  </r>
  <r>
    <s v="U04640"/>
    <x v="0"/>
    <n v="19"/>
    <s v="Male"/>
    <x v="1"/>
    <x v="2"/>
    <n v="10.79"/>
    <n v="2"/>
    <n v="3.8"/>
    <n v="3.14"/>
    <n v="25.5"/>
    <s v="Family"/>
    <n v="3"/>
    <n v="2"/>
    <n v="0"/>
  </r>
  <r>
    <s v="U04641"/>
    <x v="2"/>
    <n v="19"/>
    <s v="Female"/>
    <x v="1"/>
    <x v="4"/>
    <n v="20.86"/>
    <n v="1"/>
    <n v="6.5"/>
    <n v="14.71"/>
    <n v="89.4"/>
    <s v="Family"/>
    <n v="11"/>
    <n v="4"/>
    <n v="0"/>
  </r>
  <r>
    <s v="U04642"/>
    <x v="7"/>
    <n v="32"/>
    <s v="Male"/>
    <x v="0"/>
    <x v="2"/>
    <n v="17.07"/>
    <n v="5"/>
    <n v="7.4"/>
    <n v="10.41"/>
    <n v="16.8"/>
    <s v="Family"/>
    <n v="6"/>
    <n v="1"/>
    <n v="0"/>
  </r>
  <r>
    <s v="U04643"/>
    <x v="1"/>
    <n v="40"/>
    <s v="Female"/>
    <x v="1"/>
    <x v="4"/>
    <n v="18.899999999999999"/>
    <n v="3"/>
    <n v="1.1000000000000001"/>
    <n v="9.41"/>
    <n v="47.2"/>
    <s v="Action"/>
    <n v="10"/>
    <n v="2"/>
    <n v="0"/>
  </r>
  <r>
    <s v="U04644"/>
    <x v="2"/>
    <n v="46"/>
    <s v="Male"/>
    <x v="2"/>
    <x v="4"/>
    <n v="12.5"/>
    <n v="2"/>
    <n v="1.3"/>
    <n v="16.12"/>
    <n v="51.1"/>
    <s v="Comedy"/>
    <n v="1"/>
    <n v="0"/>
    <n v="0"/>
  </r>
  <r>
    <s v="U04645"/>
    <x v="11"/>
    <n v="34"/>
    <s v="Male"/>
    <x v="2"/>
    <x v="0"/>
    <n v="13.61"/>
    <n v="2"/>
    <n v="9.9"/>
    <n v="12.82"/>
    <n v="80"/>
    <s v="Thriller"/>
    <n v="11"/>
    <n v="3"/>
    <n v="1"/>
  </r>
  <r>
    <s v="U04646"/>
    <x v="7"/>
    <n v="49"/>
    <s v="Female"/>
    <x v="1"/>
    <x v="0"/>
    <n v="9.15"/>
    <n v="3"/>
    <n v="5.0999999999999996"/>
    <n v="19.12"/>
    <n v="32.700000000000003"/>
    <s v="Family"/>
    <n v="11"/>
    <n v="0"/>
    <n v="0"/>
  </r>
  <r>
    <s v="U04647"/>
    <x v="1"/>
    <n v="24"/>
    <s v="Male"/>
    <x v="1"/>
    <x v="3"/>
    <n v="23.96"/>
    <n v="1"/>
    <n v="9.4"/>
    <n v="3.6"/>
    <n v="37.9"/>
    <s v="Thriller"/>
    <n v="10"/>
    <n v="1"/>
    <n v="0"/>
  </r>
  <r>
    <s v="U04648"/>
    <x v="9"/>
    <n v="47"/>
    <s v="Female"/>
    <x v="2"/>
    <x v="1"/>
    <n v="23.93"/>
    <n v="1"/>
    <n v="7.6"/>
    <n v="23.39"/>
    <n v="11.3"/>
    <s v="Action"/>
    <n v="2"/>
    <n v="3"/>
    <n v="1"/>
  </r>
  <r>
    <s v="U04649"/>
    <x v="6"/>
    <n v="45"/>
    <s v="Male"/>
    <x v="0"/>
    <x v="2"/>
    <n v="21.36"/>
    <n v="2"/>
    <n v="4.4000000000000004"/>
    <n v="15.49"/>
    <n v="91.3"/>
    <s v="Thriller"/>
    <n v="4"/>
    <n v="3"/>
    <n v="0"/>
  </r>
  <r>
    <s v="U04650"/>
    <x v="1"/>
    <n v="31"/>
    <s v="Female"/>
    <x v="2"/>
    <x v="3"/>
    <n v="23.71"/>
    <n v="4"/>
    <n v="2.4"/>
    <n v="18.05"/>
    <n v="71.7"/>
    <s v="Action"/>
    <n v="6"/>
    <n v="3"/>
    <n v="0"/>
  </r>
  <r>
    <s v="U04651"/>
    <x v="6"/>
    <n v="61"/>
    <s v="Male"/>
    <x v="0"/>
    <x v="3"/>
    <n v="18.309999999999999"/>
    <n v="3"/>
    <n v="9.8000000000000007"/>
    <n v="16.3"/>
    <n v="33.700000000000003"/>
    <s v="Drama"/>
    <n v="3"/>
    <n v="0"/>
    <n v="0"/>
  </r>
  <r>
    <s v="U04652"/>
    <x v="8"/>
    <n v="47"/>
    <s v="Female"/>
    <x v="1"/>
    <x v="2"/>
    <n v="9.69"/>
    <n v="1"/>
    <n v="6.3"/>
    <n v="24.76"/>
    <n v="89.9"/>
    <s v="Comedy"/>
    <n v="9"/>
    <n v="4"/>
    <n v="0"/>
  </r>
  <r>
    <s v="U04653"/>
    <x v="4"/>
    <n v="34"/>
    <s v="Male"/>
    <x v="1"/>
    <x v="2"/>
    <n v="20.2"/>
    <n v="1"/>
    <n v="2.7"/>
    <n v="24.7"/>
    <n v="17.8"/>
    <s v="Drama"/>
    <n v="10"/>
    <n v="0"/>
    <n v="0"/>
  </r>
  <r>
    <s v="U04654"/>
    <x v="8"/>
    <n v="49"/>
    <s v="Female"/>
    <x v="1"/>
    <x v="4"/>
    <n v="11.51"/>
    <n v="1"/>
    <n v="7.1"/>
    <n v="16.420000000000002"/>
    <n v="43.2"/>
    <s v="Action"/>
    <n v="4"/>
    <n v="4"/>
    <n v="0"/>
  </r>
  <r>
    <s v="U04655"/>
    <x v="7"/>
    <n v="63"/>
    <s v="Male"/>
    <x v="2"/>
    <x v="1"/>
    <n v="13.81"/>
    <n v="5"/>
    <n v="1.8"/>
    <n v="18.05"/>
    <n v="60.7"/>
    <s v="Drama"/>
    <n v="7"/>
    <n v="2"/>
    <n v="0"/>
  </r>
  <r>
    <s v="U04656"/>
    <x v="6"/>
    <n v="23"/>
    <s v="Female"/>
    <x v="0"/>
    <x v="0"/>
    <n v="10.49"/>
    <n v="4"/>
    <n v="8.8000000000000007"/>
    <n v="16.61"/>
    <n v="55.5"/>
    <s v="Action"/>
    <n v="11"/>
    <n v="3"/>
    <n v="0"/>
  </r>
  <r>
    <s v="U04657"/>
    <x v="7"/>
    <n v="68"/>
    <s v="Male"/>
    <x v="1"/>
    <x v="1"/>
    <n v="13.47"/>
    <n v="1"/>
    <n v="1.8"/>
    <n v="9.83"/>
    <n v="68.900000000000006"/>
    <s v="Drama"/>
    <n v="5"/>
    <n v="0"/>
    <n v="0"/>
  </r>
  <r>
    <s v="U04658"/>
    <x v="2"/>
    <n v="41"/>
    <s v="Female"/>
    <x v="1"/>
    <x v="1"/>
    <n v="18.59"/>
    <n v="4"/>
    <n v="3.1"/>
    <n v="7.24"/>
    <n v="36.799999999999997"/>
    <s v="Action"/>
    <n v="6"/>
    <n v="1"/>
    <n v="0"/>
  </r>
  <r>
    <s v="U04659"/>
    <x v="5"/>
    <n v="23"/>
    <s v="Male"/>
    <x v="2"/>
    <x v="0"/>
    <n v="7.21"/>
    <n v="2"/>
    <n v="1.8"/>
    <n v="11.86"/>
    <n v="78.2"/>
    <s v="Comedy"/>
    <n v="9"/>
    <n v="1"/>
    <n v="0"/>
  </r>
  <r>
    <s v="U04660"/>
    <x v="11"/>
    <n v="44"/>
    <s v="Female"/>
    <x v="0"/>
    <x v="1"/>
    <n v="7.1"/>
    <n v="2"/>
    <n v="1.9"/>
    <n v="18.02"/>
    <n v="46.5"/>
    <s v="Comedy"/>
    <n v="9"/>
    <n v="4"/>
    <n v="0"/>
  </r>
  <r>
    <s v="U04661"/>
    <x v="10"/>
    <n v="35"/>
    <s v="Female"/>
    <x v="2"/>
    <x v="3"/>
    <n v="18.68"/>
    <n v="5"/>
    <n v="5.7"/>
    <n v="4.2300000000000004"/>
    <n v="21.3"/>
    <s v="Comedy"/>
    <n v="6"/>
    <n v="4"/>
    <n v="0"/>
  </r>
  <r>
    <s v="U04662"/>
    <x v="7"/>
    <n v="41"/>
    <s v="Female"/>
    <x v="1"/>
    <x v="3"/>
    <n v="20.59"/>
    <n v="4"/>
    <n v="7.2"/>
    <n v="14.31"/>
    <n v="76.599999999999994"/>
    <s v="Action"/>
    <n v="2"/>
    <n v="3"/>
    <n v="0"/>
  </r>
  <r>
    <s v="U04663"/>
    <x v="11"/>
    <n v="54"/>
    <s v="Female"/>
    <x v="0"/>
    <x v="0"/>
    <n v="16.03"/>
    <n v="3"/>
    <n v="8.1"/>
    <n v="11.98"/>
    <n v="92.1"/>
    <s v="Thriller"/>
    <n v="9"/>
    <n v="4"/>
    <n v="0"/>
  </r>
  <r>
    <s v="U04664"/>
    <x v="2"/>
    <n v="41"/>
    <s v="Male"/>
    <x v="2"/>
    <x v="0"/>
    <n v="8.6300000000000008"/>
    <n v="5"/>
    <n v="7.3"/>
    <n v="14.6"/>
    <n v="42.8"/>
    <s v="Drama"/>
    <n v="11"/>
    <n v="1"/>
    <n v="0"/>
  </r>
  <r>
    <s v="U04665"/>
    <x v="1"/>
    <n v="55"/>
    <s v="Male"/>
    <x v="0"/>
    <x v="2"/>
    <n v="13.62"/>
    <n v="1"/>
    <n v="4.3"/>
    <n v="21.92"/>
    <n v="63.1"/>
    <s v="Drama"/>
    <n v="2"/>
    <n v="0"/>
    <n v="0"/>
  </r>
  <r>
    <s v="U04666"/>
    <x v="2"/>
    <n v="51"/>
    <s v="Male"/>
    <x v="1"/>
    <x v="2"/>
    <n v="20.16"/>
    <n v="2"/>
    <n v="6"/>
    <n v="4.05"/>
    <n v="71.900000000000006"/>
    <s v="Drama"/>
    <n v="2"/>
    <n v="0"/>
    <n v="0"/>
  </r>
  <r>
    <s v="U04667"/>
    <x v="9"/>
    <n v="57"/>
    <s v="Female"/>
    <x v="0"/>
    <x v="1"/>
    <n v="18.71"/>
    <n v="2"/>
    <n v="9.3000000000000007"/>
    <n v="19.8"/>
    <n v="84.8"/>
    <s v="Drama"/>
    <n v="2"/>
    <n v="4"/>
    <n v="0"/>
  </r>
  <r>
    <s v="U04668"/>
    <x v="8"/>
    <n v="64"/>
    <s v="Female"/>
    <x v="1"/>
    <x v="1"/>
    <n v="7.2"/>
    <n v="3"/>
    <n v="4.5"/>
    <n v="17.670000000000002"/>
    <n v="27.8"/>
    <s v="Comedy"/>
    <n v="7"/>
    <n v="4"/>
    <n v="0"/>
  </r>
  <r>
    <s v="U04669"/>
    <x v="1"/>
    <n v="32"/>
    <s v="Female"/>
    <x v="1"/>
    <x v="0"/>
    <n v="24.38"/>
    <n v="5"/>
    <n v="3.3"/>
    <n v="7.48"/>
    <n v="61.3"/>
    <s v="Thriller"/>
    <n v="11"/>
    <n v="1"/>
    <n v="0"/>
  </r>
  <r>
    <s v="U04670"/>
    <x v="10"/>
    <n v="28"/>
    <s v="Female"/>
    <x v="1"/>
    <x v="1"/>
    <n v="9.4700000000000006"/>
    <n v="4"/>
    <n v="5.7"/>
    <n v="19.149999999999999"/>
    <n v="76.599999999999994"/>
    <s v="Drama"/>
    <n v="4"/>
    <n v="2"/>
    <n v="0"/>
  </r>
  <r>
    <s v="U04671"/>
    <x v="6"/>
    <n v="39"/>
    <s v="Female"/>
    <x v="1"/>
    <x v="4"/>
    <n v="9.41"/>
    <n v="2"/>
    <n v="3.7"/>
    <n v="13.92"/>
    <n v="27.9"/>
    <s v="Thriller"/>
    <n v="8"/>
    <n v="0"/>
    <n v="1"/>
  </r>
  <r>
    <s v="U04672"/>
    <x v="5"/>
    <n v="41"/>
    <s v="Male"/>
    <x v="1"/>
    <x v="3"/>
    <n v="14.2"/>
    <n v="1"/>
    <n v="3.4"/>
    <n v="13.58"/>
    <n v="52.5"/>
    <s v="Action"/>
    <n v="8"/>
    <n v="4"/>
    <n v="0"/>
  </r>
  <r>
    <s v="U04673"/>
    <x v="11"/>
    <n v="18"/>
    <s v="Male"/>
    <x v="0"/>
    <x v="1"/>
    <n v="11.54"/>
    <n v="3"/>
    <n v="8"/>
    <n v="13.63"/>
    <n v="51.8"/>
    <s v="Action"/>
    <n v="1"/>
    <n v="3"/>
    <n v="0"/>
  </r>
  <r>
    <s v="U04674"/>
    <x v="5"/>
    <n v="35"/>
    <s v="Male"/>
    <x v="1"/>
    <x v="1"/>
    <n v="24.68"/>
    <n v="3"/>
    <n v="9"/>
    <n v="23.88"/>
    <n v="85.5"/>
    <s v="Drama"/>
    <n v="1"/>
    <n v="4"/>
    <n v="0"/>
  </r>
  <r>
    <s v="U04675"/>
    <x v="4"/>
    <n v="61"/>
    <s v="Female"/>
    <x v="2"/>
    <x v="2"/>
    <n v="6.53"/>
    <n v="3"/>
    <n v="5.5"/>
    <n v="23.78"/>
    <n v="80"/>
    <s v="Family"/>
    <n v="4"/>
    <n v="4"/>
    <n v="0"/>
  </r>
  <r>
    <s v="U04676"/>
    <x v="2"/>
    <n v="29"/>
    <s v="Female"/>
    <x v="2"/>
    <x v="4"/>
    <n v="11.13"/>
    <n v="1"/>
    <n v="8"/>
    <n v="23.1"/>
    <n v="30.9"/>
    <s v="Comedy"/>
    <n v="2"/>
    <n v="0"/>
    <n v="1"/>
  </r>
  <r>
    <s v="U04677"/>
    <x v="7"/>
    <n v="60"/>
    <s v="Female"/>
    <x v="0"/>
    <x v="1"/>
    <n v="12.65"/>
    <n v="3"/>
    <n v="2.7"/>
    <n v="22.51"/>
    <n v="31"/>
    <s v="Drama"/>
    <n v="3"/>
    <n v="4"/>
    <n v="0"/>
  </r>
  <r>
    <s v="U04678"/>
    <x v="6"/>
    <n v="45"/>
    <s v="Female"/>
    <x v="0"/>
    <x v="3"/>
    <n v="14.87"/>
    <n v="4"/>
    <n v="5.9"/>
    <n v="3.83"/>
    <n v="75.099999999999994"/>
    <s v="Comedy"/>
    <n v="10"/>
    <n v="3"/>
    <n v="1"/>
  </r>
  <r>
    <s v="U04679"/>
    <x v="4"/>
    <n v="57"/>
    <s v="Female"/>
    <x v="2"/>
    <x v="1"/>
    <n v="5.33"/>
    <n v="4"/>
    <n v="6.7"/>
    <n v="11.81"/>
    <n v="76.599999999999994"/>
    <s v="Drama"/>
    <n v="2"/>
    <n v="3"/>
    <n v="0"/>
  </r>
  <r>
    <s v="U04680"/>
    <x v="2"/>
    <n v="24"/>
    <s v="Female"/>
    <x v="1"/>
    <x v="0"/>
    <n v="6.65"/>
    <n v="5"/>
    <n v="5.4"/>
    <n v="22.69"/>
    <n v="26.1"/>
    <s v="Comedy"/>
    <n v="10"/>
    <n v="3"/>
    <n v="1"/>
  </r>
  <r>
    <s v="U04681"/>
    <x v="3"/>
    <n v="40"/>
    <s v="Female"/>
    <x v="1"/>
    <x v="4"/>
    <n v="10.16"/>
    <n v="5"/>
    <n v="2.1"/>
    <n v="19.61"/>
    <n v="47"/>
    <s v="Family"/>
    <n v="9"/>
    <n v="1"/>
    <n v="1"/>
  </r>
  <r>
    <s v="U04682"/>
    <x v="7"/>
    <n v="38"/>
    <s v="Male"/>
    <x v="2"/>
    <x v="1"/>
    <n v="16.079999999999998"/>
    <n v="4"/>
    <n v="7.6"/>
    <n v="13.05"/>
    <n v="84.3"/>
    <s v="Family"/>
    <n v="6"/>
    <n v="3"/>
    <n v="1"/>
  </r>
  <r>
    <s v="U04683"/>
    <x v="1"/>
    <n v="51"/>
    <s v="Male"/>
    <x v="1"/>
    <x v="4"/>
    <n v="20.36"/>
    <n v="1"/>
    <n v="8.6"/>
    <n v="20.010000000000002"/>
    <n v="17.100000000000001"/>
    <s v="Action"/>
    <n v="7"/>
    <n v="0"/>
    <n v="0"/>
  </r>
  <r>
    <s v="U04684"/>
    <x v="8"/>
    <n v="28"/>
    <s v="Female"/>
    <x v="1"/>
    <x v="1"/>
    <n v="18.73"/>
    <n v="5"/>
    <n v="6.7"/>
    <n v="7.58"/>
    <n v="43.7"/>
    <s v="Drama"/>
    <n v="6"/>
    <n v="2"/>
    <n v="1"/>
  </r>
  <r>
    <s v="U04685"/>
    <x v="11"/>
    <n v="39"/>
    <s v="Female"/>
    <x v="2"/>
    <x v="3"/>
    <n v="16.34"/>
    <n v="3"/>
    <n v="2.5"/>
    <n v="16.2"/>
    <n v="68"/>
    <s v="Family"/>
    <n v="1"/>
    <n v="4"/>
    <n v="0"/>
  </r>
  <r>
    <s v="U04686"/>
    <x v="9"/>
    <n v="59"/>
    <s v="Female"/>
    <x v="1"/>
    <x v="3"/>
    <n v="12.94"/>
    <n v="4"/>
    <n v="1.7"/>
    <n v="14.73"/>
    <n v="79.400000000000006"/>
    <s v="Family"/>
    <n v="5"/>
    <n v="4"/>
    <n v="0"/>
  </r>
  <r>
    <s v="U04687"/>
    <x v="10"/>
    <n v="52"/>
    <s v="Male"/>
    <x v="0"/>
    <x v="4"/>
    <n v="22.41"/>
    <n v="2"/>
    <n v="3.7"/>
    <n v="15.62"/>
    <n v="68.7"/>
    <s v="Drama"/>
    <n v="3"/>
    <n v="4"/>
    <n v="0"/>
  </r>
  <r>
    <s v="U04688"/>
    <x v="10"/>
    <n v="69"/>
    <s v="Male"/>
    <x v="0"/>
    <x v="2"/>
    <n v="14.2"/>
    <n v="1"/>
    <n v="1.3"/>
    <n v="18.88"/>
    <n v="45.8"/>
    <s v="Drama"/>
    <n v="10"/>
    <n v="3"/>
    <n v="0"/>
  </r>
  <r>
    <s v="U04689"/>
    <x v="1"/>
    <n v="46"/>
    <s v="Female"/>
    <x v="0"/>
    <x v="2"/>
    <n v="10.99"/>
    <n v="1"/>
    <n v="8.6"/>
    <n v="23.9"/>
    <n v="99.3"/>
    <s v="Action"/>
    <n v="8"/>
    <n v="3"/>
    <n v="0"/>
  </r>
  <r>
    <s v="U04690"/>
    <x v="0"/>
    <n v="59"/>
    <s v="Male"/>
    <x v="2"/>
    <x v="0"/>
    <n v="17.59"/>
    <n v="4"/>
    <n v="7.3"/>
    <n v="8.81"/>
    <n v="13.7"/>
    <s v="Family"/>
    <n v="7"/>
    <n v="3"/>
    <n v="1"/>
  </r>
  <r>
    <s v="U04691"/>
    <x v="10"/>
    <n v="45"/>
    <s v="Male"/>
    <x v="0"/>
    <x v="2"/>
    <n v="18.84"/>
    <n v="2"/>
    <n v="6.1"/>
    <n v="19.68"/>
    <n v="54.5"/>
    <s v="Comedy"/>
    <n v="9"/>
    <n v="2"/>
    <n v="1"/>
  </r>
  <r>
    <s v="U04692"/>
    <x v="11"/>
    <n v="35"/>
    <s v="Male"/>
    <x v="0"/>
    <x v="4"/>
    <n v="12.97"/>
    <n v="1"/>
    <n v="9"/>
    <n v="17.190000000000001"/>
    <n v="55.9"/>
    <s v="Drama"/>
    <n v="1"/>
    <n v="2"/>
    <n v="0"/>
  </r>
  <r>
    <s v="U04693"/>
    <x v="1"/>
    <n v="31"/>
    <s v="Female"/>
    <x v="2"/>
    <x v="2"/>
    <n v="5.56"/>
    <n v="5"/>
    <n v="2"/>
    <n v="18.29"/>
    <n v="31.6"/>
    <s v="Drama"/>
    <n v="2"/>
    <n v="2"/>
    <n v="0"/>
  </r>
  <r>
    <s v="U04694"/>
    <x v="6"/>
    <n v="35"/>
    <s v="Male"/>
    <x v="0"/>
    <x v="0"/>
    <n v="6.88"/>
    <n v="2"/>
    <n v="7.4"/>
    <n v="12.44"/>
    <n v="60.3"/>
    <s v="Drama"/>
    <n v="2"/>
    <n v="2"/>
    <n v="0"/>
  </r>
  <r>
    <s v="U04695"/>
    <x v="10"/>
    <n v="45"/>
    <s v="Male"/>
    <x v="0"/>
    <x v="1"/>
    <n v="21.91"/>
    <n v="3"/>
    <n v="2.2999999999999998"/>
    <n v="23.78"/>
    <n v="29.8"/>
    <s v="Drama"/>
    <n v="1"/>
    <n v="2"/>
    <n v="0"/>
  </r>
  <r>
    <s v="U04696"/>
    <x v="5"/>
    <n v="41"/>
    <s v="Female"/>
    <x v="0"/>
    <x v="2"/>
    <n v="6.13"/>
    <n v="5"/>
    <n v="1.5"/>
    <n v="13.55"/>
    <n v="49.9"/>
    <s v="Family"/>
    <n v="8"/>
    <n v="4"/>
    <n v="0"/>
  </r>
  <r>
    <s v="U04697"/>
    <x v="1"/>
    <n v="25"/>
    <s v="Female"/>
    <x v="0"/>
    <x v="4"/>
    <n v="16.84"/>
    <n v="2"/>
    <n v="2.2000000000000002"/>
    <n v="5.68"/>
    <n v="48.8"/>
    <s v="Comedy"/>
    <n v="4"/>
    <n v="4"/>
    <n v="0"/>
  </r>
  <r>
    <s v="U04698"/>
    <x v="11"/>
    <n v="59"/>
    <s v="Male"/>
    <x v="1"/>
    <x v="4"/>
    <n v="8.67"/>
    <n v="4"/>
    <n v="9.6"/>
    <n v="17.98"/>
    <n v="79.599999999999994"/>
    <s v="Action"/>
    <n v="7"/>
    <n v="2"/>
    <n v="1"/>
  </r>
  <r>
    <s v="U04699"/>
    <x v="5"/>
    <n v="62"/>
    <s v="Female"/>
    <x v="2"/>
    <x v="0"/>
    <n v="9.58"/>
    <n v="1"/>
    <n v="5"/>
    <n v="5.84"/>
    <n v="94.8"/>
    <s v="Thriller"/>
    <n v="10"/>
    <n v="4"/>
    <n v="0"/>
  </r>
  <r>
    <s v="U04700"/>
    <x v="7"/>
    <n v="25"/>
    <s v="Male"/>
    <x v="2"/>
    <x v="0"/>
    <n v="10.47"/>
    <n v="5"/>
    <n v="1.4"/>
    <n v="10.1"/>
    <n v="28.3"/>
    <s v="Family"/>
    <n v="1"/>
    <n v="2"/>
    <n v="1"/>
  </r>
  <r>
    <s v="U04701"/>
    <x v="7"/>
    <n v="21"/>
    <s v="Male"/>
    <x v="1"/>
    <x v="3"/>
    <n v="5.77"/>
    <n v="4"/>
    <n v="6.3"/>
    <n v="8.02"/>
    <n v="99.2"/>
    <s v="Family"/>
    <n v="8"/>
    <n v="2"/>
    <n v="0"/>
  </r>
  <r>
    <s v="U04702"/>
    <x v="10"/>
    <n v="44"/>
    <s v="Female"/>
    <x v="1"/>
    <x v="3"/>
    <n v="8.5399999999999991"/>
    <n v="2"/>
    <n v="2.8"/>
    <n v="14.86"/>
    <n v="94.6"/>
    <s v="Thriller"/>
    <n v="11"/>
    <n v="2"/>
    <n v="0"/>
  </r>
  <r>
    <s v="U04703"/>
    <x v="5"/>
    <n v="53"/>
    <s v="Female"/>
    <x v="1"/>
    <x v="3"/>
    <n v="18.010000000000002"/>
    <n v="3"/>
    <n v="1.1000000000000001"/>
    <n v="10.65"/>
    <n v="20.100000000000001"/>
    <s v="Thriller"/>
    <n v="8"/>
    <n v="4"/>
    <n v="0"/>
  </r>
  <r>
    <s v="U04704"/>
    <x v="8"/>
    <n v="22"/>
    <s v="Male"/>
    <x v="0"/>
    <x v="1"/>
    <n v="14.97"/>
    <n v="1"/>
    <n v="7.8"/>
    <n v="6.52"/>
    <n v="92.1"/>
    <s v="Drama"/>
    <n v="11"/>
    <n v="1"/>
    <n v="0"/>
  </r>
  <r>
    <s v="U04705"/>
    <x v="2"/>
    <n v="50"/>
    <s v="Female"/>
    <x v="0"/>
    <x v="4"/>
    <n v="20.95"/>
    <n v="1"/>
    <n v="2.4"/>
    <n v="20.399999999999999"/>
    <n v="60.8"/>
    <s v="Comedy"/>
    <n v="10"/>
    <n v="1"/>
    <n v="0"/>
  </r>
  <r>
    <s v="U04706"/>
    <x v="7"/>
    <n v="66"/>
    <s v="Female"/>
    <x v="2"/>
    <x v="3"/>
    <n v="6.22"/>
    <n v="5"/>
    <n v="9.5"/>
    <n v="13.31"/>
    <n v="89.1"/>
    <s v="Family"/>
    <n v="3"/>
    <n v="1"/>
    <n v="0"/>
  </r>
  <r>
    <s v="U04707"/>
    <x v="8"/>
    <n v="51"/>
    <s v="Male"/>
    <x v="0"/>
    <x v="4"/>
    <n v="22.78"/>
    <n v="4"/>
    <n v="6.3"/>
    <n v="13"/>
    <n v="95.1"/>
    <s v="Family"/>
    <n v="9"/>
    <n v="0"/>
    <n v="0"/>
  </r>
  <r>
    <s v="U04708"/>
    <x v="6"/>
    <n v="47"/>
    <s v="Male"/>
    <x v="0"/>
    <x v="0"/>
    <n v="24.93"/>
    <n v="2"/>
    <n v="1.8"/>
    <n v="22.5"/>
    <n v="87.3"/>
    <s v="Action"/>
    <n v="5"/>
    <n v="1"/>
    <n v="0"/>
  </r>
  <r>
    <s v="U04709"/>
    <x v="1"/>
    <n v="25"/>
    <s v="Male"/>
    <x v="1"/>
    <x v="1"/>
    <n v="5.31"/>
    <n v="2"/>
    <n v="3"/>
    <n v="14.85"/>
    <n v="46.3"/>
    <s v="Thriller"/>
    <n v="5"/>
    <n v="1"/>
    <n v="1"/>
  </r>
  <r>
    <s v="U04710"/>
    <x v="2"/>
    <n v="56"/>
    <s v="Male"/>
    <x v="1"/>
    <x v="0"/>
    <n v="24.35"/>
    <n v="4"/>
    <n v="6.5"/>
    <n v="18.62"/>
    <n v="67.3"/>
    <s v="Thriller"/>
    <n v="5"/>
    <n v="1"/>
    <n v="1"/>
  </r>
  <r>
    <s v="U04711"/>
    <x v="4"/>
    <n v="64"/>
    <s v="Male"/>
    <x v="0"/>
    <x v="4"/>
    <n v="9.7200000000000006"/>
    <n v="1"/>
    <n v="4"/>
    <n v="10.220000000000001"/>
    <n v="51.8"/>
    <s v="Family"/>
    <n v="1"/>
    <n v="3"/>
    <n v="0"/>
  </r>
  <r>
    <s v="U04712"/>
    <x v="11"/>
    <n v="43"/>
    <s v="Male"/>
    <x v="0"/>
    <x v="3"/>
    <n v="18.850000000000001"/>
    <n v="4"/>
    <n v="5.8"/>
    <n v="15.35"/>
    <n v="43"/>
    <s v="Thriller"/>
    <n v="10"/>
    <n v="2"/>
    <n v="0"/>
  </r>
  <r>
    <s v="U04713"/>
    <x v="9"/>
    <n v="54"/>
    <s v="Female"/>
    <x v="1"/>
    <x v="0"/>
    <n v="10.85"/>
    <n v="2"/>
    <n v="8.1999999999999993"/>
    <n v="18.98"/>
    <n v="32.6"/>
    <s v="Drama"/>
    <n v="2"/>
    <n v="4"/>
    <n v="0"/>
  </r>
  <r>
    <s v="U04714"/>
    <x v="1"/>
    <n v="51"/>
    <s v="Female"/>
    <x v="1"/>
    <x v="2"/>
    <n v="15.44"/>
    <n v="4"/>
    <n v="8.1"/>
    <n v="9.52"/>
    <n v="49.7"/>
    <s v="Action"/>
    <n v="1"/>
    <n v="3"/>
    <n v="0"/>
  </r>
  <r>
    <s v="U04715"/>
    <x v="2"/>
    <n v="24"/>
    <s v="Male"/>
    <x v="0"/>
    <x v="1"/>
    <n v="15.21"/>
    <n v="1"/>
    <n v="7.3"/>
    <n v="18.149999999999999"/>
    <n v="82.5"/>
    <s v="Family"/>
    <n v="2"/>
    <n v="2"/>
    <n v="1"/>
  </r>
  <r>
    <s v="U04716"/>
    <x v="11"/>
    <n v="57"/>
    <s v="Female"/>
    <x v="1"/>
    <x v="4"/>
    <n v="12.22"/>
    <n v="5"/>
    <n v="9"/>
    <n v="15.51"/>
    <n v="86"/>
    <s v="Action"/>
    <n v="9"/>
    <n v="1"/>
    <n v="0"/>
  </r>
  <r>
    <s v="U04717"/>
    <x v="2"/>
    <n v="45"/>
    <s v="Female"/>
    <x v="1"/>
    <x v="3"/>
    <n v="19.350000000000001"/>
    <n v="1"/>
    <n v="2.8"/>
    <n v="12.55"/>
    <n v="96.2"/>
    <s v="Drama"/>
    <n v="9"/>
    <n v="1"/>
    <n v="0"/>
  </r>
  <r>
    <s v="U04718"/>
    <x v="5"/>
    <n v="56"/>
    <s v="Male"/>
    <x v="2"/>
    <x v="0"/>
    <n v="16.989999999999998"/>
    <n v="3"/>
    <n v="2.6"/>
    <n v="18.690000000000001"/>
    <n v="36.200000000000003"/>
    <s v="Action"/>
    <n v="5"/>
    <n v="3"/>
    <n v="0"/>
  </r>
  <r>
    <s v="U04719"/>
    <x v="6"/>
    <n v="56"/>
    <s v="Female"/>
    <x v="1"/>
    <x v="1"/>
    <n v="15.17"/>
    <n v="3"/>
    <n v="8.1999999999999993"/>
    <n v="9.9700000000000006"/>
    <n v="68.5"/>
    <s v="Thriller"/>
    <n v="4"/>
    <n v="4"/>
    <n v="0"/>
  </r>
  <r>
    <s v="U04720"/>
    <x v="3"/>
    <n v="45"/>
    <s v="Female"/>
    <x v="0"/>
    <x v="3"/>
    <n v="24.66"/>
    <n v="4"/>
    <n v="3.9"/>
    <n v="18.72"/>
    <n v="72.400000000000006"/>
    <s v="Family"/>
    <n v="2"/>
    <n v="3"/>
    <n v="0"/>
  </r>
  <r>
    <s v="U04721"/>
    <x v="9"/>
    <n v="31"/>
    <s v="Male"/>
    <x v="1"/>
    <x v="0"/>
    <n v="23.8"/>
    <n v="1"/>
    <n v="5.6"/>
    <n v="15.12"/>
    <n v="27.2"/>
    <s v="Action"/>
    <n v="6"/>
    <n v="3"/>
    <n v="0"/>
  </r>
  <r>
    <s v="U04722"/>
    <x v="10"/>
    <n v="67"/>
    <s v="Female"/>
    <x v="2"/>
    <x v="4"/>
    <n v="24.11"/>
    <n v="1"/>
    <n v="7.7"/>
    <n v="8.4"/>
    <n v="43"/>
    <s v="Comedy"/>
    <n v="9"/>
    <n v="2"/>
    <n v="0"/>
  </r>
  <r>
    <s v="U04723"/>
    <x v="2"/>
    <n v="55"/>
    <s v="Female"/>
    <x v="0"/>
    <x v="2"/>
    <n v="22.63"/>
    <n v="2"/>
    <n v="4.5999999999999996"/>
    <n v="17.7"/>
    <n v="40.799999999999997"/>
    <s v="Family"/>
    <n v="8"/>
    <n v="0"/>
    <n v="1"/>
  </r>
  <r>
    <s v="U04724"/>
    <x v="11"/>
    <n v="21"/>
    <s v="Male"/>
    <x v="1"/>
    <x v="2"/>
    <n v="10.1"/>
    <n v="5"/>
    <n v="2.2000000000000002"/>
    <n v="22.46"/>
    <n v="98.7"/>
    <s v="Action"/>
    <n v="10"/>
    <n v="4"/>
    <n v="1"/>
  </r>
  <r>
    <s v="U04725"/>
    <x v="11"/>
    <n v="59"/>
    <s v="Female"/>
    <x v="0"/>
    <x v="4"/>
    <n v="12"/>
    <n v="1"/>
    <n v="7.1"/>
    <n v="9.82"/>
    <n v="96.3"/>
    <s v="Family"/>
    <n v="4"/>
    <n v="4"/>
    <n v="0"/>
  </r>
  <r>
    <s v="U04726"/>
    <x v="5"/>
    <n v="35"/>
    <s v="Female"/>
    <x v="0"/>
    <x v="1"/>
    <n v="9.6199999999999992"/>
    <n v="4"/>
    <n v="8.4"/>
    <n v="20.87"/>
    <n v="84"/>
    <s v="Action"/>
    <n v="6"/>
    <n v="3"/>
    <n v="0"/>
  </r>
  <r>
    <s v="U04727"/>
    <x v="8"/>
    <n v="61"/>
    <s v="Female"/>
    <x v="1"/>
    <x v="4"/>
    <n v="24.72"/>
    <n v="2"/>
    <n v="1.1000000000000001"/>
    <n v="10.39"/>
    <n v="52.6"/>
    <s v="Action"/>
    <n v="11"/>
    <n v="3"/>
    <n v="0"/>
  </r>
  <r>
    <s v="U04728"/>
    <x v="1"/>
    <n v="65"/>
    <s v="Male"/>
    <x v="0"/>
    <x v="0"/>
    <n v="8.0500000000000007"/>
    <n v="2"/>
    <n v="6.1"/>
    <n v="21.06"/>
    <n v="33.799999999999997"/>
    <s v="Thriller"/>
    <n v="9"/>
    <n v="1"/>
    <n v="1"/>
  </r>
  <r>
    <s v="U04729"/>
    <x v="3"/>
    <n v="42"/>
    <s v="Male"/>
    <x v="2"/>
    <x v="1"/>
    <n v="12.33"/>
    <n v="4"/>
    <n v="5.2"/>
    <n v="4.13"/>
    <n v="92.4"/>
    <s v="Action"/>
    <n v="10"/>
    <n v="3"/>
    <n v="0"/>
  </r>
  <r>
    <s v="U04730"/>
    <x v="0"/>
    <n v="24"/>
    <s v="Female"/>
    <x v="1"/>
    <x v="2"/>
    <n v="8.98"/>
    <n v="4"/>
    <n v="3.3"/>
    <n v="3.16"/>
    <n v="34.1"/>
    <s v="Comedy"/>
    <n v="10"/>
    <n v="2"/>
    <n v="0"/>
  </r>
  <r>
    <s v="U04731"/>
    <x v="10"/>
    <n v="55"/>
    <s v="Female"/>
    <x v="1"/>
    <x v="0"/>
    <n v="9.4700000000000006"/>
    <n v="1"/>
    <n v="2.4"/>
    <n v="5.49"/>
    <n v="57"/>
    <s v="Thriller"/>
    <n v="11"/>
    <n v="1"/>
    <n v="1"/>
  </r>
  <r>
    <s v="U04732"/>
    <x v="4"/>
    <n v="45"/>
    <s v="Male"/>
    <x v="1"/>
    <x v="3"/>
    <n v="9.94"/>
    <n v="1"/>
    <n v="2.7"/>
    <n v="22.23"/>
    <n v="32.1"/>
    <s v="Comedy"/>
    <n v="4"/>
    <n v="0"/>
    <n v="0"/>
  </r>
  <r>
    <s v="U04733"/>
    <x v="0"/>
    <n v="22"/>
    <s v="Male"/>
    <x v="1"/>
    <x v="3"/>
    <n v="17.79"/>
    <n v="2"/>
    <n v="7.5"/>
    <n v="14.74"/>
    <n v="97.4"/>
    <s v="Comedy"/>
    <n v="9"/>
    <n v="2"/>
    <n v="0"/>
  </r>
  <r>
    <s v="U04734"/>
    <x v="1"/>
    <n v="20"/>
    <s v="Female"/>
    <x v="0"/>
    <x v="3"/>
    <n v="6.52"/>
    <n v="2"/>
    <n v="5.8"/>
    <n v="16.07"/>
    <n v="13.8"/>
    <s v="Drama"/>
    <n v="8"/>
    <n v="4"/>
    <n v="0"/>
  </r>
  <r>
    <s v="U04735"/>
    <x v="10"/>
    <n v="61"/>
    <s v="Male"/>
    <x v="2"/>
    <x v="2"/>
    <n v="16.45"/>
    <n v="5"/>
    <n v="9.8000000000000007"/>
    <n v="21.53"/>
    <n v="25.7"/>
    <s v="Comedy"/>
    <n v="3"/>
    <n v="4"/>
    <n v="0"/>
  </r>
  <r>
    <s v="U04736"/>
    <x v="11"/>
    <n v="48"/>
    <s v="Female"/>
    <x v="2"/>
    <x v="4"/>
    <n v="21.39"/>
    <n v="2"/>
    <n v="3.2"/>
    <n v="4.1100000000000003"/>
    <n v="78.900000000000006"/>
    <s v="Action"/>
    <n v="9"/>
    <n v="2"/>
    <n v="0"/>
  </r>
  <r>
    <s v="U04737"/>
    <x v="4"/>
    <n v="64"/>
    <s v="Female"/>
    <x v="0"/>
    <x v="1"/>
    <n v="20.329999999999998"/>
    <n v="4"/>
    <n v="9.6"/>
    <n v="11.52"/>
    <n v="23.6"/>
    <s v="Family"/>
    <n v="5"/>
    <n v="3"/>
    <n v="0"/>
  </r>
  <r>
    <s v="U04738"/>
    <x v="2"/>
    <n v="59"/>
    <s v="Male"/>
    <x v="0"/>
    <x v="2"/>
    <n v="8.02"/>
    <n v="4"/>
    <n v="5.6"/>
    <n v="17.149999999999999"/>
    <n v="98.1"/>
    <s v="Thriller"/>
    <n v="1"/>
    <n v="3"/>
    <n v="0"/>
  </r>
  <r>
    <s v="U04739"/>
    <x v="8"/>
    <n v="37"/>
    <s v="Male"/>
    <x v="0"/>
    <x v="0"/>
    <n v="23.29"/>
    <n v="5"/>
    <n v="2.2999999999999998"/>
    <n v="11.9"/>
    <n v="38.9"/>
    <s v="Thriller"/>
    <n v="11"/>
    <n v="3"/>
    <n v="0"/>
  </r>
  <r>
    <s v="U04740"/>
    <x v="3"/>
    <n v="36"/>
    <s v="Female"/>
    <x v="1"/>
    <x v="0"/>
    <n v="20.399999999999999"/>
    <n v="3"/>
    <n v="2.2999999999999998"/>
    <n v="3.71"/>
    <n v="92.7"/>
    <s v="Thriller"/>
    <n v="8"/>
    <n v="4"/>
    <n v="1"/>
  </r>
  <r>
    <s v="U04741"/>
    <x v="2"/>
    <n v="65"/>
    <s v="Female"/>
    <x v="1"/>
    <x v="3"/>
    <n v="5.1100000000000003"/>
    <n v="3"/>
    <n v="6.5"/>
    <n v="17.32"/>
    <n v="69.599999999999994"/>
    <s v="Family"/>
    <n v="5"/>
    <n v="2"/>
    <n v="0"/>
  </r>
  <r>
    <s v="U04742"/>
    <x v="8"/>
    <n v="28"/>
    <s v="Male"/>
    <x v="2"/>
    <x v="1"/>
    <n v="19.75"/>
    <n v="4"/>
    <n v="8.5"/>
    <n v="11.61"/>
    <n v="67.099999999999994"/>
    <s v="Comedy"/>
    <n v="5"/>
    <n v="3"/>
    <n v="0"/>
  </r>
  <r>
    <s v="U04743"/>
    <x v="6"/>
    <n v="57"/>
    <s v="Female"/>
    <x v="2"/>
    <x v="3"/>
    <n v="19.75"/>
    <n v="3"/>
    <n v="7.7"/>
    <n v="3.42"/>
    <n v="92.4"/>
    <s v="Drama"/>
    <n v="2"/>
    <n v="1"/>
    <n v="0"/>
  </r>
  <r>
    <s v="U04744"/>
    <x v="5"/>
    <n v="20"/>
    <s v="Male"/>
    <x v="1"/>
    <x v="0"/>
    <n v="14.94"/>
    <n v="3"/>
    <n v="6.9"/>
    <n v="6.75"/>
    <n v="56.2"/>
    <s v="Action"/>
    <n v="9"/>
    <n v="4"/>
    <n v="0"/>
  </r>
  <r>
    <s v="U04745"/>
    <x v="10"/>
    <n v="40"/>
    <s v="Male"/>
    <x v="1"/>
    <x v="0"/>
    <n v="5.92"/>
    <n v="5"/>
    <n v="2.5"/>
    <n v="7.79"/>
    <n v="46.1"/>
    <s v="Thriller"/>
    <n v="6"/>
    <n v="2"/>
    <n v="0"/>
  </r>
  <r>
    <s v="U04746"/>
    <x v="2"/>
    <n v="24"/>
    <s v="Male"/>
    <x v="1"/>
    <x v="4"/>
    <n v="16.600000000000001"/>
    <n v="2"/>
    <n v="2"/>
    <n v="14.23"/>
    <n v="29.6"/>
    <s v="Action"/>
    <n v="11"/>
    <n v="2"/>
    <n v="0"/>
  </r>
  <r>
    <s v="U04747"/>
    <x v="8"/>
    <n v="40"/>
    <s v="Male"/>
    <x v="1"/>
    <x v="4"/>
    <n v="20.309999999999999"/>
    <n v="2"/>
    <n v="1"/>
    <n v="7.1"/>
    <n v="23"/>
    <s v="Comedy"/>
    <n v="10"/>
    <n v="2"/>
    <n v="1"/>
  </r>
  <r>
    <s v="U04748"/>
    <x v="0"/>
    <n v="24"/>
    <s v="Male"/>
    <x v="1"/>
    <x v="4"/>
    <n v="10.42"/>
    <n v="3"/>
    <n v="1.9"/>
    <n v="10.95"/>
    <n v="81.3"/>
    <s v="Drama"/>
    <n v="3"/>
    <n v="2"/>
    <n v="0"/>
  </r>
  <r>
    <s v="U04749"/>
    <x v="5"/>
    <n v="63"/>
    <s v="Female"/>
    <x v="1"/>
    <x v="3"/>
    <n v="18.34"/>
    <n v="1"/>
    <n v="7.9"/>
    <n v="19.510000000000002"/>
    <n v="21.5"/>
    <s v="Thriller"/>
    <n v="7"/>
    <n v="0"/>
    <n v="0"/>
  </r>
  <r>
    <s v="U04750"/>
    <x v="8"/>
    <n v="51"/>
    <s v="Male"/>
    <x v="1"/>
    <x v="1"/>
    <n v="12.08"/>
    <n v="5"/>
    <n v="9.1"/>
    <n v="20.77"/>
    <n v="45.5"/>
    <s v="Comedy"/>
    <n v="2"/>
    <n v="1"/>
    <n v="0"/>
  </r>
  <r>
    <s v="U04751"/>
    <x v="7"/>
    <n v="59"/>
    <s v="Male"/>
    <x v="1"/>
    <x v="4"/>
    <n v="16.48"/>
    <n v="3"/>
    <n v="3.2"/>
    <n v="20.5"/>
    <n v="46.8"/>
    <s v="Drama"/>
    <n v="7"/>
    <n v="0"/>
    <n v="0"/>
  </r>
  <r>
    <s v="U04752"/>
    <x v="6"/>
    <n v="36"/>
    <s v="Male"/>
    <x v="1"/>
    <x v="2"/>
    <n v="12.69"/>
    <n v="1"/>
    <n v="8.1999999999999993"/>
    <n v="18.29"/>
    <n v="69.8"/>
    <s v="Thriller"/>
    <n v="11"/>
    <n v="3"/>
    <n v="0"/>
  </r>
  <r>
    <s v="U04753"/>
    <x v="1"/>
    <n v="26"/>
    <s v="Male"/>
    <x v="2"/>
    <x v="4"/>
    <n v="11.08"/>
    <n v="1"/>
    <n v="2.8"/>
    <n v="14.92"/>
    <n v="35.1"/>
    <s v="Comedy"/>
    <n v="2"/>
    <n v="0"/>
    <n v="1"/>
  </r>
  <r>
    <s v="U04754"/>
    <x v="2"/>
    <n v="65"/>
    <s v="Male"/>
    <x v="1"/>
    <x v="3"/>
    <n v="22.12"/>
    <n v="5"/>
    <n v="3.2"/>
    <n v="15.11"/>
    <n v="85.4"/>
    <s v="Action"/>
    <n v="11"/>
    <n v="0"/>
    <n v="0"/>
  </r>
  <r>
    <s v="U04755"/>
    <x v="3"/>
    <n v="68"/>
    <s v="Male"/>
    <x v="1"/>
    <x v="1"/>
    <n v="20.079999999999998"/>
    <n v="2"/>
    <n v="3"/>
    <n v="23.97"/>
    <n v="28.7"/>
    <s v="Family"/>
    <n v="5"/>
    <n v="4"/>
    <n v="0"/>
  </r>
  <r>
    <s v="U04756"/>
    <x v="6"/>
    <n v="35"/>
    <s v="Male"/>
    <x v="1"/>
    <x v="4"/>
    <n v="11.91"/>
    <n v="4"/>
    <n v="1.5"/>
    <n v="22.31"/>
    <n v="81"/>
    <s v="Thriller"/>
    <n v="10"/>
    <n v="2"/>
    <n v="0"/>
  </r>
  <r>
    <s v="U04757"/>
    <x v="5"/>
    <n v="58"/>
    <s v="Female"/>
    <x v="1"/>
    <x v="1"/>
    <n v="13.69"/>
    <n v="1"/>
    <n v="2.7"/>
    <n v="17.3"/>
    <n v="86.5"/>
    <s v="Drama"/>
    <n v="10"/>
    <n v="0"/>
    <n v="1"/>
  </r>
  <r>
    <s v="U04758"/>
    <x v="7"/>
    <n v="65"/>
    <s v="Female"/>
    <x v="0"/>
    <x v="2"/>
    <n v="18.829999999999998"/>
    <n v="4"/>
    <n v="4.4000000000000004"/>
    <n v="13.31"/>
    <n v="27.4"/>
    <s v="Drama"/>
    <n v="9"/>
    <n v="2"/>
    <n v="1"/>
  </r>
  <r>
    <s v="U04759"/>
    <x v="10"/>
    <n v="62"/>
    <s v="Female"/>
    <x v="0"/>
    <x v="0"/>
    <n v="21.22"/>
    <n v="4"/>
    <n v="4.5999999999999996"/>
    <n v="19.04"/>
    <n v="82.8"/>
    <s v="Family"/>
    <n v="9"/>
    <n v="1"/>
    <n v="0"/>
  </r>
  <r>
    <s v="U04760"/>
    <x v="0"/>
    <n v="59"/>
    <s v="Female"/>
    <x v="1"/>
    <x v="1"/>
    <n v="18.690000000000001"/>
    <n v="5"/>
    <n v="3.8"/>
    <n v="4.38"/>
    <n v="74.2"/>
    <s v="Family"/>
    <n v="6"/>
    <n v="0"/>
    <n v="0"/>
  </r>
  <r>
    <s v="U04761"/>
    <x v="3"/>
    <n v="42"/>
    <s v="Male"/>
    <x v="1"/>
    <x v="4"/>
    <n v="15.82"/>
    <n v="2"/>
    <n v="5.6"/>
    <n v="23.78"/>
    <n v="88.7"/>
    <s v="Comedy"/>
    <n v="3"/>
    <n v="4"/>
    <n v="1"/>
  </r>
  <r>
    <s v="U04762"/>
    <x v="2"/>
    <n v="69"/>
    <s v="Female"/>
    <x v="2"/>
    <x v="3"/>
    <n v="24.09"/>
    <n v="5"/>
    <n v="4.4000000000000004"/>
    <n v="15.05"/>
    <n v="55.9"/>
    <s v="Family"/>
    <n v="4"/>
    <n v="4"/>
    <n v="0"/>
  </r>
  <r>
    <s v="U04763"/>
    <x v="3"/>
    <n v="31"/>
    <s v="Male"/>
    <x v="1"/>
    <x v="3"/>
    <n v="20.48"/>
    <n v="1"/>
    <n v="9.6999999999999993"/>
    <n v="14.06"/>
    <n v="31"/>
    <s v="Thriller"/>
    <n v="4"/>
    <n v="3"/>
    <n v="0"/>
  </r>
  <r>
    <s v="U04764"/>
    <x v="6"/>
    <n v="61"/>
    <s v="Female"/>
    <x v="1"/>
    <x v="3"/>
    <n v="7.31"/>
    <n v="2"/>
    <n v="8.3000000000000007"/>
    <n v="9.4"/>
    <n v="92.1"/>
    <s v="Family"/>
    <n v="9"/>
    <n v="0"/>
    <n v="0"/>
  </r>
  <r>
    <s v="U04765"/>
    <x v="5"/>
    <n v="42"/>
    <s v="Female"/>
    <x v="0"/>
    <x v="3"/>
    <n v="16.16"/>
    <n v="3"/>
    <n v="9.4"/>
    <n v="3.07"/>
    <n v="81.099999999999994"/>
    <s v="Thriller"/>
    <n v="4"/>
    <n v="1"/>
    <n v="0"/>
  </r>
  <r>
    <s v="U04766"/>
    <x v="10"/>
    <n v="36"/>
    <s v="Male"/>
    <x v="0"/>
    <x v="1"/>
    <n v="13.19"/>
    <n v="2"/>
    <n v="6"/>
    <n v="4.3499999999999996"/>
    <n v="11.9"/>
    <s v="Action"/>
    <n v="4"/>
    <n v="2"/>
    <n v="0"/>
  </r>
  <r>
    <s v="U04767"/>
    <x v="11"/>
    <n v="56"/>
    <s v="Male"/>
    <x v="2"/>
    <x v="3"/>
    <n v="20.9"/>
    <n v="5"/>
    <n v="7.1"/>
    <n v="8.7899999999999991"/>
    <n v="94.5"/>
    <s v="Family"/>
    <n v="5"/>
    <n v="0"/>
    <n v="1"/>
  </r>
  <r>
    <s v="U04768"/>
    <x v="7"/>
    <n v="32"/>
    <s v="Female"/>
    <x v="0"/>
    <x v="0"/>
    <n v="5.89"/>
    <n v="5"/>
    <n v="2.5"/>
    <n v="14.91"/>
    <n v="95.4"/>
    <s v="Action"/>
    <n v="6"/>
    <n v="3"/>
    <n v="1"/>
  </r>
  <r>
    <s v="U04769"/>
    <x v="2"/>
    <n v="33"/>
    <s v="Female"/>
    <x v="1"/>
    <x v="2"/>
    <n v="13.21"/>
    <n v="4"/>
    <n v="7.8"/>
    <n v="4.84"/>
    <n v="42"/>
    <s v="Drama"/>
    <n v="8"/>
    <n v="4"/>
    <n v="1"/>
  </r>
  <r>
    <s v="U04770"/>
    <x v="11"/>
    <n v="44"/>
    <s v="Female"/>
    <x v="1"/>
    <x v="1"/>
    <n v="11.37"/>
    <n v="3"/>
    <n v="3.1"/>
    <n v="24.39"/>
    <n v="10.9"/>
    <s v="Family"/>
    <n v="1"/>
    <n v="0"/>
    <n v="0"/>
  </r>
  <r>
    <s v="U04771"/>
    <x v="0"/>
    <n v="57"/>
    <s v="Female"/>
    <x v="1"/>
    <x v="1"/>
    <n v="7.82"/>
    <n v="2"/>
    <n v="2.2999999999999998"/>
    <n v="12.04"/>
    <n v="59.7"/>
    <s v="Drama"/>
    <n v="5"/>
    <n v="3"/>
    <n v="0"/>
  </r>
  <r>
    <s v="U04772"/>
    <x v="10"/>
    <n v="27"/>
    <s v="Male"/>
    <x v="2"/>
    <x v="3"/>
    <n v="12.58"/>
    <n v="3"/>
    <n v="1.4"/>
    <n v="9.9600000000000009"/>
    <n v="92.2"/>
    <s v="Action"/>
    <n v="9"/>
    <n v="1"/>
    <n v="0"/>
  </r>
  <r>
    <s v="U04773"/>
    <x v="9"/>
    <n v="21"/>
    <s v="Female"/>
    <x v="1"/>
    <x v="3"/>
    <n v="18.46"/>
    <n v="4"/>
    <n v="5.3"/>
    <n v="14.55"/>
    <n v="21.2"/>
    <s v="Drama"/>
    <n v="10"/>
    <n v="2"/>
    <n v="0"/>
  </r>
  <r>
    <s v="U04774"/>
    <x v="9"/>
    <n v="68"/>
    <s v="Female"/>
    <x v="0"/>
    <x v="1"/>
    <n v="12.23"/>
    <n v="3"/>
    <n v="3.6"/>
    <n v="4.43"/>
    <n v="63.1"/>
    <s v="Action"/>
    <n v="4"/>
    <n v="1"/>
    <n v="0"/>
  </r>
  <r>
    <s v="U04775"/>
    <x v="10"/>
    <n v="36"/>
    <s v="Female"/>
    <x v="2"/>
    <x v="3"/>
    <n v="16.600000000000001"/>
    <n v="3"/>
    <n v="9.9"/>
    <n v="21.71"/>
    <n v="75.900000000000006"/>
    <s v="Comedy"/>
    <n v="8"/>
    <n v="1"/>
    <n v="1"/>
  </r>
  <r>
    <s v="U04776"/>
    <x v="7"/>
    <n v="45"/>
    <s v="Female"/>
    <x v="2"/>
    <x v="3"/>
    <n v="16.86"/>
    <n v="2"/>
    <n v="3.2"/>
    <n v="13.13"/>
    <n v="22.1"/>
    <s v="Action"/>
    <n v="9"/>
    <n v="2"/>
    <n v="0"/>
  </r>
  <r>
    <s v="U04777"/>
    <x v="4"/>
    <n v="38"/>
    <s v="Female"/>
    <x v="0"/>
    <x v="3"/>
    <n v="16.739999999999998"/>
    <n v="3"/>
    <n v="8.8000000000000007"/>
    <n v="6.92"/>
    <n v="56.2"/>
    <s v="Comedy"/>
    <n v="1"/>
    <n v="0"/>
    <n v="0"/>
  </r>
  <r>
    <s v="U04778"/>
    <x v="11"/>
    <n v="64"/>
    <s v="Male"/>
    <x v="0"/>
    <x v="3"/>
    <n v="15.59"/>
    <n v="4"/>
    <n v="3.8"/>
    <n v="6.56"/>
    <n v="18"/>
    <s v="Drama"/>
    <n v="8"/>
    <n v="2"/>
    <n v="1"/>
  </r>
  <r>
    <s v="U04779"/>
    <x v="8"/>
    <n v="31"/>
    <s v="Male"/>
    <x v="0"/>
    <x v="3"/>
    <n v="7.34"/>
    <n v="1"/>
    <n v="7.7"/>
    <n v="10.94"/>
    <n v="60.2"/>
    <s v="Action"/>
    <n v="8"/>
    <n v="3"/>
    <n v="1"/>
  </r>
  <r>
    <s v="U04780"/>
    <x v="3"/>
    <n v="50"/>
    <s v="Male"/>
    <x v="0"/>
    <x v="4"/>
    <n v="9.3699999999999992"/>
    <n v="1"/>
    <n v="6.9"/>
    <n v="15.61"/>
    <n v="49.8"/>
    <s v="Comedy"/>
    <n v="5"/>
    <n v="1"/>
    <n v="0"/>
  </r>
  <r>
    <s v="U04781"/>
    <x v="2"/>
    <n v="65"/>
    <s v="Male"/>
    <x v="2"/>
    <x v="4"/>
    <n v="21"/>
    <n v="5"/>
    <n v="6.1"/>
    <n v="12.17"/>
    <n v="33.799999999999997"/>
    <s v="Action"/>
    <n v="10"/>
    <n v="2"/>
    <n v="0"/>
  </r>
  <r>
    <s v="U04782"/>
    <x v="4"/>
    <n v="27"/>
    <s v="Male"/>
    <x v="1"/>
    <x v="4"/>
    <n v="15.05"/>
    <n v="1"/>
    <n v="4.8"/>
    <n v="16.13"/>
    <n v="86.8"/>
    <s v="Thriller"/>
    <n v="2"/>
    <n v="4"/>
    <n v="1"/>
  </r>
  <r>
    <s v="U04783"/>
    <x v="8"/>
    <n v="36"/>
    <s v="Female"/>
    <x v="1"/>
    <x v="1"/>
    <n v="19.12"/>
    <n v="2"/>
    <n v="7"/>
    <n v="18.52"/>
    <n v="44.4"/>
    <s v="Thriller"/>
    <n v="7"/>
    <n v="2"/>
    <n v="0"/>
  </r>
  <r>
    <s v="U04784"/>
    <x v="5"/>
    <n v="47"/>
    <s v="Male"/>
    <x v="2"/>
    <x v="2"/>
    <n v="16.399999999999999"/>
    <n v="5"/>
    <n v="4.7"/>
    <n v="19.47"/>
    <n v="73"/>
    <s v="Drama"/>
    <n v="11"/>
    <n v="2"/>
    <n v="0"/>
  </r>
  <r>
    <s v="U04785"/>
    <x v="2"/>
    <n v="39"/>
    <s v="Male"/>
    <x v="1"/>
    <x v="1"/>
    <n v="5.77"/>
    <n v="1"/>
    <n v="5.9"/>
    <n v="11.82"/>
    <n v="81.2"/>
    <s v="Thriller"/>
    <n v="11"/>
    <n v="3"/>
    <n v="1"/>
  </r>
  <r>
    <s v="U04786"/>
    <x v="2"/>
    <n v="20"/>
    <s v="Female"/>
    <x v="1"/>
    <x v="4"/>
    <n v="20.92"/>
    <n v="1"/>
    <n v="6.3"/>
    <n v="18.77"/>
    <n v="26.1"/>
    <s v="Family"/>
    <n v="5"/>
    <n v="1"/>
    <n v="0"/>
  </r>
  <r>
    <s v="U04787"/>
    <x v="9"/>
    <n v="54"/>
    <s v="Male"/>
    <x v="2"/>
    <x v="1"/>
    <n v="6.29"/>
    <n v="5"/>
    <n v="3.4"/>
    <n v="6.11"/>
    <n v="20.7"/>
    <s v="Comedy"/>
    <n v="5"/>
    <n v="3"/>
    <n v="0"/>
  </r>
  <r>
    <s v="U04788"/>
    <x v="7"/>
    <n v="58"/>
    <s v="Male"/>
    <x v="2"/>
    <x v="2"/>
    <n v="23.86"/>
    <n v="2"/>
    <n v="4.0999999999999996"/>
    <n v="14.29"/>
    <n v="10.7"/>
    <s v="Family"/>
    <n v="6"/>
    <n v="3"/>
    <n v="0"/>
  </r>
  <r>
    <s v="U04789"/>
    <x v="5"/>
    <n v="35"/>
    <s v="Male"/>
    <x v="2"/>
    <x v="3"/>
    <n v="9.31"/>
    <n v="5"/>
    <n v="1.2"/>
    <n v="4.5999999999999996"/>
    <n v="37.5"/>
    <s v="Thriller"/>
    <n v="10"/>
    <n v="4"/>
    <n v="0"/>
  </r>
  <r>
    <s v="U04790"/>
    <x v="3"/>
    <n v="28"/>
    <s v="Male"/>
    <x v="1"/>
    <x v="0"/>
    <n v="15.25"/>
    <n v="2"/>
    <n v="8.6999999999999993"/>
    <n v="8.3699999999999992"/>
    <n v="83.4"/>
    <s v="Drama"/>
    <n v="8"/>
    <n v="3"/>
    <n v="1"/>
  </r>
  <r>
    <s v="U04791"/>
    <x v="1"/>
    <n v="65"/>
    <s v="Female"/>
    <x v="2"/>
    <x v="4"/>
    <n v="6.27"/>
    <n v="2"/>
    <n v="7.8"/>
    <n v="15.83"/>
    <n v="79.5"/>
    <s v="Family"/>
    <n v="11"/>
    <n v="3"/>
    <n v="1"/>
  </r>
  <r>
    <s v="U04792"/>
    <x v="8"/>
    <n v="19"/>
    <s v="Female"/>
    <x v="0"/>
    <x v="4"/>
    <n v="22.9"/>
    <n v="4"/>
    <n v="2.7"/>
    <n v="19.29"/>
    <n v="88.5"/>
    <s v="Drama"/>
    <n v="1"/>
    <n v="4"/>
    <n v="0"/>
  </r>
  <r>
    <s v="U04793"/>
    <x v="9"/>
    <n v="29"/>
    <s v="Male"/>
    <x v="1"/>
    <x v="2"/>
    <n v="24.6"/>
    <n v="1"/>
    <n v="4.3"/>
    <n v="5.0999999999999996"/>
    <n v="78.5"/>
    <s v="Action"/>
    <n v="3"/>
    <n v="0"/>
    <n v="0"/>
  </r>
  <r>
    <s v="U04794"/>
    <x v="2"/>
    <n v="23"/>
    <s v="Female"/>
    <x v="2"/>
    <x v="3"/>
    <n v="7.93"/>
    <n v="1"/>
    <n v="4.8"/>
    <n v="7.56"/>
    <n v="12.2"/>
    <s v="Family"/>
    <n v="7"/>
    <n v="3"/>
    <n v="1"/>
  </r>
  <r>
    <s v="U04795"/>
    <x v="4"/>
    <n v="60"/>
    <s v="Male"/>
    <x v="0"/>
    <x v="3"/>
    <n v="10.92"/>
    <n v="3"/>
    <n v="4"/>
    <n v="24.82"/>
    <n v="44.7"/>
    <s v="Action"/>
    <n v="11"/>
    <n v="2"/>
    <n v="0"/>
  </r>
  <r>
    <s v="U04796"/>
    <x v="9"/>
    <n v="57"/>
    <s v="Female"/>
    <x v="2"/>
    <x v="0"/>
    <n v="5.32"/>
    <n v="5"/>
    <n v="8.1999999999999993"/>
    <n v="10.43"/>
    <n v="10.5"/>
    <s v="Family"/>
    <n v="9"/>
    <n v="3"/>
    <n v="0"/>
  </r>
  <r>
    <s v="U04797"/>
    <x v="8"/>
    <n v="61"/>
    <s v="Female"/>
    <x v="1"/>
    <x v="3"/>
    <n v="20.74"/>
    <n v="4"/>
    <n v="7.5"/>
    <n v="9.25"/>
    <n v="13.2"/>
    <s v="Comedy"/>
    <n v="10"/>
    <n v="1"/>
    <n v="0"/>
  </r>
  <r>
    <s v="U04798"/>
    <x v="8"/>
    <n v="46"/>
    <s v="Female"/>
    <x v="0"/>
    <x v="2"/>
    <n v="11.23"/>
    <n v="1"/>
    <n v="7.9"/>
    <n v="4.88"/>
    <n v="53.1"/>
    <s v="Drama"/>
    <n v="2"/>
    <n v="2"/>
    <n v="0"/>
  </r>
  <r>
    <s v="U04799"/>
    <x v="7"/>
    <n v="47"/>
    <s v="Female"/>
    <x v="2"/>
    <x v="3"/>
    <n v="16.78"/>
    <n v="3"/>
    <n v="9.1"/>
    <n v="18.29"/>
    <n v="42.4"/>
    <s v="Action"/>
    <n v="4"/>
    <n v="2"/>
    <n v="0"/>
  </r>
  <r>
    <s v="U04800"/>
    <x v="2"/>
    <n v="19"/>
    <s v="Female"/>
    <x v="0"/>
    <x v="2"/>
    <n v="5.78"/>
    <n v="4"/>
    <n v="6.4"/>
    <n v="14.18"/>
    <n v="60.3"/>
    <s v="Thriller"/>
    <n v="11"/>
    <n v="0"/>
    <n v="0"/>
  </r>
  <r>
    <s v="U04801"/>
    <x v="5"/>
    <n v="26"/>
    <s v="Female"/>
    <x v="1"/>
    <x v="4"/>
    <n v="19.309999999999999"/>
    <n v="2"/>
    <n v="6.5"/>
    <n v="6.47"/>
    <n v="16"/>
    <s v="Family"/>
    <n v="4"/>
    <n v="1"/>
    <n v="0"/>
  </r>
  <r>
    <s v="U04802"/>
    <x v="11"/>
    <n v="64"/>
    <s v="Female"/>
    <x v="0"/>
    <x v="4"/>
    <n v="15.59"/>
    <n v="1"/>
    <n v="7.5"/>
    <n v="16.920000000000002"/>
    <n v="62.9"/>
    <s v="Action"/>
    <n v="11"/>
    <n v="1"/>
    <n v="0"/>
  </r>
  <r>
    <s v="U04803"/>
    <x v="1"/>
    <n v="19"/>
    <s v="Female"/>
    <x v="2"/>
    <x v="4"/>
    <n v="19.5"/>
    <n v="5"/>
    <n v="7.1"/>
    <n v="14.57"/>
    <n v="15.9"/>
    <s v="Family"/>
    <n v="7"/>
    <n v="1"/>
    <n v="0"/>
  </r>
  <r>
    <s v="U04804"/>
    <x v="7"/>
    <n v="46"/>
    <s v="Female"/>
    <x v="0"/>
    <x v="1"/>
    <n v="20.79"/>
    <n v="4"/>
    <n v="8.8000000000000007"/>
    <n v="15.43"/>
    <n v="48.1"/>
    <s v="Family"/>
    <n v="5"/>
    <n v="3"/>
    <n v="1"/>
  </r>
  <r>
    <s v="U04805"/>
    <x v="0"/>
    <n v="50"/>
    <s v="Female"/>
    <x v="0"/>
    <x v="4"/>
    <n v="6.78"/>
    <n v="3"/>
    <n v="7.9"/>
    <n v="24.89"/>
    <n v="41.7"/>
    <s v="Family"/>
    <n v="11"/>
    <n v="3"/>
    <n v="0"/>
  </r>
  <r>
    <s v="U04806"/>
    <x v="2"/>
    <n v="27"/>
    <s v="Female"/>
    <x v="0"/>
    <x v="2"/>
    <n v="16.559999999999999"/>
    <n v="5"/>
    <n v="2.1"/>
    <n v="3.63"/>
    <n v="30.2"/>
    <s v="Action"/>
    <n v="5"/>
    <n v="2"/>
    <n v="0"/>
  </r>
  <r>
    <s v="U04807"/>
    <x v="7"/>
    <n v="51"/>
    <s v="Male"/>
    <x v="2"/>
    <x v="0"/>
    <n v="18"/>
    <n v="2"/>
    <n v="9.4"/>
    <n v="23.13"/>
    <n v="38.1"/>
    <s v="Action"/>
    <n v="7"/>
    <n v="0"/>
    <n v="0"/>
  </r>
  <r>
    <s v="U04808"/>
    <x v="3"/>
    <n v="61"/>
    <s v="Female"/>
    <x v="2"/>
    <x v="3"/>
    <n v="15.33"/>
    <n v="5"/>
    <n v="7.1"/>
    <n v="21.52"/>
    <n v="10"/>
    <s v="Family"/>
    <n v="2"/>
    <n v="3"/>
    <n v="0"/>
  </r>
  <r>
    <s v="U04809"/>
    <x v="1"/>
    <n v="25"/>
    <s v="Male"/>
    <x v="2"/>
    <x v="4"/>
    <n v="8.65"/>
    <n v="3"/>
    <n v="2.1"/>
    <n v="12.14"/>
    <n v="39.200000000000003"/>
    <s v="Thriller"/>
    <n v="8"/>
    <n v="3"/>
    <n v="1"/>
  </r>
  <r>
    <s v="U04810"/>
    <x v="9"/>
    <n v="54"/>
    <s v="Female"/>
    <x v="1"/>
    <x v="1"/>
    <n v="20.91"/>
    <n v="2"/>
    <n v="7.9"/>
    <n v="22.38"/>
    <n v="17.100000000000001"/>
    <s v="Drama"/>
    <n v="6"/>
    <n v="0"/>
    <n v="0"/>
  </r>
  <r>
    <s v="U04811"/>
    <x v="10"/>
    <n v="50"/>
    <s v="Male"/>
    <x v="1"/>
    <x v="1"/>
    <n v="24.95"/>
    <n v="3"/>
    <n v="4.2"/>
    <n v="17.27"/>
    <n v="92.9"/>
    <s v="Family"/>
    <n v="5"/>
    <n v="1"/>
    <n v="0"/>
  </r>
  <r>
    <s v="U04812"/>
    <x v="0"/>
    <n v="64"/>
    <s v="Male"/>
    <x v="0"/>
    <x v="2"/>
    <n v="24.39"/>
    <n v="1"/>
    <n v="8.3000000000000007"/>
    <n v="22.57"/>
    <n v="16.7"/>
    <s v="Thriller"/>
    <n v="1"/>
    <n v="2"/>
    <n v="0"/>
  </r>
  <r>
    <s v="U04813"/>
    <x v="6"/>
    <n v="23"/>
    <s v="Male"/>
    <x v="1"/>
    <x v="0"/>
    <n v="20.55"/>
    <n v="3"/>
    <n v="9.6"/>
    <n v="16.079999999999998"/>
    <n v="95.8"/>
    <s v="Drama"/>
    <n v="2"/>
    <n v="3"/>
    <n v="0"/>
  </r>
  <r>
    <s v="U04814"/>
    <x v="7"/>
    <n v="61"/>
    <s v="Female"/>
    <x v="0"/>
    <x v="4"/>
    <n v="13.36"/>
    <n v="5"/>
    <n v="3.3"/>
    <n v="7.76"/>
    <n v="54.2"/>
    <s v="Family"/>
    <n v="6"/>
    <n v="0"/>
    <n v="0"/>
  </r>
  <r>
    <s v="U04815"/>
    <x v="8"/>
    <n v="57"/>
    <s v="Female"/>
    <x v="2"/>
    <x v="4"/>
    <n v="11.75"/>
    <n v="1"/>
    <n v="8.6999999999999993"/>
    <n v="15.68"/>
    <n v="56.2"/>
    <s v="Drama"/>
    <n v="6"/>
    <n v="0"/>
    <n v="0"/>
  </r>
  <r>
    <s v="U04816"/>
    <x v="11"/>
    <n v="62"/>
    <s v="Female"/>
    <x v="2"/>
    <x v="1"/>
    <n v="6.37"/>
    <n v="1"/>
    <n v="8"/>
    <n v="6.94"/>
    <n v="80.900000000000006"/>
    <s v="Family"/>
    <n v="11"/>
    <n v="1"/>
    <n v="0"/>
  </r>
  <r>
    <s v="U04817"/>
    <x v="10"/>
    <n v="36"/>
    <s v="Female"/>
    <x v="1"/>
    <x v="2"/>
    <n v="13.33"/>
    <n v="4"/>
    <n v="7"/>
    <n v="6.1"/>
    <n v="72.599999999999994"/>
    <s v="Action"/>
    <n v="9"/>
    <n v="4"/>
    <n v="0"/>
  </r>
  <r>
    <s v="U04818"/>
    <x v="7"/>
    <n v="49"/>
    <s v="Male"/>
    <x v="0"/>
    <x v="1"/>
    <n v="8.1199999999999992"/>
    <n v="5"/>
    <n v="4.5"/>
    <n v="17.39"/>
    <n v="31.3"/>
    <s v="Family"/>
    <n v="11"/>
    <n v="4"/>
    <n v="1"/>
  </r>
  <r>
    <s v="U04819"/>
    <x v="7"/>
    <n v="44"/>
    <s v="Female"/>
    <x v="2"/>
    <x v="1"/>
    <n v="10.09"/>
    <n v="5"/>
    <n v="2"/>
    <n v="23.84"/>
    <n v="12.3"/>
    <s v="Family"/>
    <n v="6"/>
    <n v="4"/>
    <n v="0"/>
  </r>
  <r>
    <s v="U04820"/>
    <x v="4"/>
    <n v="18"/>
    <s v="Female"/>
    <x v="0"/>
    <x v="0"/>
    <n v="22.84"/>
    <n v="2"/>
    <n v="5.4"/>
    <n v="15.95"/>
    <n v="80.099999999999994"/>
    <s v="Family"/>
    <n v="1"/>
    <n v="4"/>
    <n v="0"/>
  </r>
  <r>
    <s v="U04821"/>
    <x v="4"/>
    <n v="60"/>
    <s v="Female"/>
    <x v="0"/>
    <x v="2"/>
    <n v="24.37"/>
    <n v="3"/>
    <n v="2"/>
    <n v="20.51"/>
    <n v="21.7"/>
    <s v="Family"/>
    <n v="7"/>
    <n v="3"/>
    <n v="1"/>
  </r>
  <r>
    <s v="U04822"/>
    <x v="10"/>
    <n v="69"/>
    <s v="Female"/>
    <x v="0"/>
    <x v="0"/>
    <n v="23.97"/>
    <n v="3"/>
    <n v="5.5"/>
    <n v="6.7"/>
    <n v="63.9"/>
    <s v="Thriller"/>
    <n v="3"/>
    <n v="0"/>
    <n v="0"/>
  </r>
  <r>
    <s v="U04823"/>
    <x v="5"/>
    <n v="50"/>
    <s v="Female"/>
    <x v="1"/>
    <x v="2"/>
    <n v="8.8699999999999992"/>
    <n v="5"/>
    <n v="8.4"/>
    <n v="17.39"/>
    <n v="94.8"/>
    <s v="Comedy"/>
    <n v="8"/>
    <n v="2"/>
    <n v="0"/>
  </r>
  <r>
    <s v="U04824"/>
    <x v="9"/>
    <n v="57"/>
    <s v="Female"/>
    <x v="2"/>
    <x v="4"/>
    <n v="23.02"/>
    <n v="3"/>
    <n v="10"/>
    <n v="19.13"/>
    <n v="59.4"/>
    <s v="Thriller"/>
    <n v="6"/>
    <n v="3"/>
    <n v="0"/>
  </r>
  <r>
    <s v="U04825"/>
    <x v="4"/>
    <n v="49"/>
    <s v="Female"/>
    <x v="1"/>
    <x v="3"/>
    <n v="7.83"/>
    <n v="5"/>
    <n v="2.8"/>
    <n v="3.92"/>
    <n v="35.700000000000003"/>
    <s v="Thriller"/>
    <n v="3"/>
    <n v="4"/>
    <n v="0"/>
  </r>
  <r>
    <s v="U04826"/>
    <x v="8"/>
    <n v="22"/>
    <s v="Female"/>
    <x v="0"/>
    <x v="3"/>
    <n v="15.15"/>
    <n v="1"/>
    <n v="2.9"/>
    <n v="5.14"/>
    <n v="26.1"/>
    <s v="Action"/>
    <n v="3"/>
    <n v="2"/>
    <n v="0"/>
  </r>
  <r>
    <s v="U04827"/>
    <x v="0"/>
    <n v="34"/>
    <s v="Male"/>
    <x v="1"/>
    <x v="2"/>
    <n v="17.87"/>
    <n v="3"/>
    <n v="8.3000000000000007"/>
    <n v="20.190000000000001"/>
    <n v="12.4"/>
    <s v="Family"/>
    <n v="8"/>
    <n v="2"/>
    <n v="1"/>
  </r>
  <r>
    <s v="U04828"/>
    <x v="6"/>
    <n v="25"/>
    <s v="Male"/>
    <x v="2"/>
    <x v="3"/>
    <n v="14.25"/>
    <n v="3"/>
    <n v="5.2"/>
    <n v="12.68"/>
    <n v="66.099999999999994"/>
    <s v="Thriller"/>
    <n v="6"/>
    <n v="4"/>
    <n v="0"/>
  </r>
  <r>
    <s v="U04829"/>
    <x v="1"/>
    <n v="59"/>
    <s v="Female"/>
    <x v="0"/>
    <x v="1"/>
    <n v="24.04"/>
    <n v="5"/>
    <n v="9.1999999999999993"/>
    <n v="11.92"/>
    <n v="60.2"/>
    <s v="Drama"/>
    <n v="2"/>
    <n v="2"/>
    <n v="0"/>
  </r>
  <r>
    <s v="U04830"/>
    <x v="6"/>
    <n v="51"/>
    <s v="Female"/>
    <x v="0"/>
    <x v="4"/>
    <n v="11.66"/>
    <n v="5"/>
    <n v="7.9"/>
    <n v="23.25"/>
    <n v="51.6"/>
    <s v="Family"/>
    <n v="3"/>
    <n v="3"/>
    <n v="0"/>
  </r>
  <r>
    <s v="U04831"/>
    <x v="6"/>
    <n v="26"/>
    <s v="Female"/>
    <x v="2"/>
    <x v="4"/>
    <n v="15.55"/>
    <n v="2"/>
    <n v="7.6"/>
    <n v="24.82"/>
    <n v="27.4"/>
    <s v="Action"/>
    <n v="6"/>
    <n v="1"/>
    <n v="0"/>
  </r>
  <r>
    <s v="U04832"/>
    <x v="1"/>
    <n v="40"/>
    <s v="Female"/>
    <x v="2"/>
    <x v="3"/>
    <n v="6.51"/>
    <n v="3"/>
    <n v="1.9"/>
    <n v="19.82"/>
    <n v="31.3"/>
    <s v="Action"/>
    <n v="7"/>
    <n v="3"/>
    <n v="1"/>
  </r>
  <r>
    <s v="U04833"/>
    <x v="4"/>
    <n v="52"/>
    <s v="Male"/>
    <x v="2"/>
    <x v="2"/>
    <n v="22.04"/>
    <n v="4"/>
    <n v="1.3"/>
    <n v="20.440000000000001"/>
    <n v="96.3"/>
    <s v="Drama"/>
    <n v="4"/>
    <n v="3"/>
    <n v="0"/>
  </r>
  <r>
    <s v="U04834"/>
    <x v="10"/>
    <n v="67"/>
    <s v="Male"/>
    <x v="2"/>
    <x v="1"/>
    <n v="13.27"/>
    <n v="5"/>
    <n v="3.9"/>
    <n v="7.58"/>
    <n v="11.8"/>
    <s v="Action"/>
    <n v="8"/>
    <n v="1"/>
    <n v="0"/>
  </r>
  <r>
    <s v="U04835"/>
    <x v="1"/>
    <n v="24"/>
    <s v="Female"/>
    <x v="0"/>
    <x v="2"/>
    <n v="19.010000000000002"/>
    <n v="4"/>
    <n v="3"/>
    <n v="7.23"/>
    <n v="42.7"/>
    <s v="Family"/>
    <n v="3"/>
    <n v="4"/>
    <n v="0"/>
  </r>
  <r>
    <s v="U04836"/>
    <x v="9"/>
    <n v="32"/>
    <s v="Male"/>
    <x v="0"/>
    <x v="3"/>
    <n v="18.64"/>
    <n v="1"/>
    <n v="7.4"/>
    <n v="24.58"/>
    <n v="13.5"/>
    <s v="Comedy"/>
    <n v="6"/>
    <n v="4"/>
    <n v="0"/>
  </r>
  <r>
    <s v="U04837"/>
    <x v="9"/>
    <n v="37"/>
    <s v="Male"/>
    <x v="1"/>
    <x v="4"/>
    <n v="18.53"/>
    <n v="1"/>
    <n v="5.0999999999999996"/>
    <n v="18.29"/>
    <n v="27.2"/>
    <s v="Comedy"/>
    <n v="7"/>
    <n v="1"/>
    <n v="1"/>
  </r>
  <r>
    <s v="U04838"/>
    <x v="2"/>
    <n v="67"/>
    <s v="Female"/>
    <x v="1"/>
    <x v="4"/>
    <n v="15.14"/>
    <n v="4"/>
    <n v="5.7"/>
    <n v="18.11"/>
    <n v="94"/>
    <s v="Thriller"/>
    <n v="8"/>
    <n v="3"/>
    <n v="0"/>
  </r>
  <r>
    <s v="U04839"/>
    <x v="3"/>
    <n v="42"/>
    <s v="Female"/>
    <x v="2"/>
    <x v="2"/>
    <n v="10.55"/>
    <n v="1"/>
    <n v="8.3000000000000007"/>
    <n v="9.3000000000000007"/>
    <n v="23.5"/>
    <s v="Action"/>
    <n v="11"/>
    <n v="0"/>
    <n v="0"/>
  </r>
  <r>
    <s v="U04840"/>
    <x v="5"/>
    <n v="20"/>
    <s v="Female"/>
    <x v="2"/>
    <x v="0"/>
    <n v="17.5"/>
    <n v="4"/>
    <n v="5.3"/>
    <n v="22.5"/>
    <n v="64.099999999999994"/>
    <s v="Family"/>
    <n v="4"/>
    <n v="2"/>
    <n v="1"/>
  </r>
  <r>
    <s v="U04841"/>
    <x v="0"/>
    <n v="63"/>
    <s v="Male"/>
    <x v="2"/>
    <x v="2"/>
    <n v="24.24"/>
    <n v="2"/>
    <n v="5.9"/>
    <n v="3.98"/>
    <n v="41.2"/>
    <s v="Drama"/>
    <n v="5"/>
    <n v="2"/>
    <n v="0"/>
  </r>
  <r>
    <s v="U04842"/>
    <x v="11"/>
    <n v="41"/>
    <s v="Male"/>
    <x v="0"/>
    <x v="0"/>
    <n v="21.68"/>
    <n v="2"/>
    <n v="8.6"/>
    <n v="9.0399999999999991"/>
    <n v="67"/>
    <s v="Drama"/>
    <n v="6"/>
    <n v="2"/>
    <n v="1"/>
  </r>
  <r>
    <s v="U04843"/>
    <x v="4"/>
    <n v="51"/>
    <s v="Female"/>
    <x v="2"/>
    <x v="2"/>
    <n v="7.18"/>
    <n v="1"/>
    <n v="4.9000000000000004"/>
    <n v="6.96"/>
    <n v="86.7"/>
    <s v="Family"/>
    <n v="1"/>
    <n v="0"/>
    <n v="0"/>
  </r>
  <r>
    <s v="U04844"/>
    <x v="5"/>
    <n v="63"/>
    <s v="Female"/>
    <x v="2"/>
    <x v="0"/>
    <n v="5.46"/>
    <n v="4"/>
    <n v="1.7"/>
    <n v="18.64"/>
    <n v="35.799999999999997"/>
    <s v="Family"/>
    <n v="9"/>
    <n v="3"/>
    <n v="0"/>
  </r>
  <r>
    <s v="U04845"/>
    <x v="1"/>
    <n v="39"/>
    <s v="Male"/>
    <x v="0"/>
    <x v="0"/>
    <n v="14.98"/>
    <n v="4"/>
    <n v="5.7"/>
    <n v="18.739999999999998"/>
    <n v="17.100000000000001"/>
    <s v="Drama"/>
    <n v="3"/>
    <n v="4"/>
    <n v="1"/>
  </r>
  <r>
    <s v="U04846"/>
    <x v="3"/>
    <n v="28"/>
    <s v="Male"/>
    <x v="2"/>
    <x v="0"/>
    <n v="20.52"/>
    <n v="4"/>
    <n v="6.2"/>
    <n v="14.76"/>
    <n v="28.4"/>
    <s v="Action"/>
    <n v="2"/>
    <n v="1"/>
    <n v="1"/>
  </r>
  <r>
    <s v="U04847"/>
    <x v="11"/>
    <n v="65"/>
    <s v="Female"/>
    <x v="0"/>
    <x v="0"/>
    <n v="11.28"/>
    <n v="1"/>
    <n v="5.6"/>
    <n v="3.12"/>
    <n v="49.5"/>
    <s v="Thriller"/>
    <n v="11"/>
    <n v="2"/>
    <n v="0"/>
  </r>
  <r>
    <s v="U04848"/>
    <x v="0"/>
    <n v="25"/>
    <s v="Male"/>
    <x v="0"/>
    <x v="1"/>
    <n v="19.02"/>
    <n v="4"/>
    <n v="3.3"/>
    <n v="22.22"/>
    <n v="56.4"/>
    <s v="Thriller"/>
    <n v="7"/>
    <n v="0"/>
    <n v="0"/>
  </r>
  <r>
    <s v="U04849"/>
    <x v="0"/>
    <n v="56"/>
    <s v="Female"/>
    <x v="1"/>
    <x v="0"/>
    <n v="23.64"/>
    <n v="5"/>
    <n v="3"/>
    <n v="24.02"/>
    <n v="94.8"/>
    <s v="Thriller"/>
    <n v="11"/>
    <n v="1"/>
    <n v="0"/>
  </r>
  <r>
    <s v="U04850"/>
    <x v="4"/>
    <n v="60"/>
    <s v="Female"/>
    <x v="1"/>
    <x v="0"/>
    <n v="14.18"/>
    <n v="4"/>
    <n v="4.3"/>
    <n v="7.45"/>
    <n v="11.4"/>
    <s v="Family"/>
    <n v="11"/>
    <n v="3"/>
    <n v="0"/>
  </r>
  <r>
    <s v="U04851"/>
    <x v="1"/>
    <n v="52"/>
    <s v="Male"/>
    <x v="0"/>
    <x v="4"/>
    <n v="9.8800000000000008"/>
    <n v="5"/>
    <n v="2.5"/>
    <n v="21.53"/>
    <n v="78.2"/>
    <s v="Drama"/>
    <n v="4"/>
    <n v="0"/>
    <n v="0"/>
  </r>
  <r>
    <s v="U04852"/>
    <x v="5"/>
    <n v="66"/>
    <s v="Male"/>
    <x v="1"/>
    <x v="1"/>
    <n v="23.36"/>
    <n v="2"/>
    <n v="7"/>
    <n v="24.41"/>
    <n v="16.5"/>
    <s v="Drama"/>
    <n v="4"/>
    <n v="0"/>
    <n v="0"/>
  </r>
  <r>
    <s v="U04853"/>
    <x v="10"/>
    <n v="63"/>
    <s v="Male"/>
    <x v="2"/>
    <x v="0"/>
    <n v="14.45"/>
    <n v="5"/>
    <n v="6.5"/>
    <n v="10.19"/>
    <n v="17"/>
    <s v="Drama"/>
    <n v="10"/>
    <n v="1"/>
    <n v="1"/>
  </r>
  <r>
    <s v="U04854"/>
    <x v="5"/>
    <n v="55"/>
    <s v="Female"/>
    <x v="1"/>
    <x v="3"/>
    <n v="13.16"/>
    <n v="2"/>
    <n v="6.7"/>
    <n v="7.07"/>
    <n v="68.900000000000006"/>
    <s v="Drama"/>
    <n v="9"/>
    <n v="1"/>
    <n v="0"/>
  </r>
  <r>
    <s v="U04855"/>
    <x v="5"/>
    <n v="25"/>
    <s v="Female"/>
    <x v="2"/>
    <x v="1"/>
    <n v="12.07"/>
    <n v="1"/>
    <n v="3"/>
    <n v="24.51"/>
    <n v="91.8"/>
    <s v="Drama"/>
    <n v="7"/>
    <n v="2"/>
    <n v="1"/>
  </r>
  <r>
    <s v="U04856"/>
    <x v="0"/>
    <n v="54"/>
    <s v="Female"/>
    <x v="0"/>
    <x v="4"/>
    <n v="13.46"/>
    <n v="2"/>
    <n v="3.2"/>
    <n v="4.3099999999999996"/>
    <n v="35.9"/>
    <s v="Comedy"/>
    <n v="9"/>
    <n v="3"/>
    <n v="0"/>
  </r>
  <r>
    <s v="U04857"/>
    <x v="10"/>
    <n v="44"/>
    <s v="Female"/>
    <x v="0"/>
    <x v="2"/>
    <n v="18.47"/>
    <n v="2"/>
    <n v="8.1"/>
    <n v="9.07"/>
    <n v="34.200000000000003"/>
    <s v="Family"/>
    <n v="1"/>
    <n v="1"/>
    <n v="0"/>
  </r>
  <r>
    <s v="U04858"/>
    <x v="10"/>
    <n v="45"/>
    <s v="Female"/>
    <x v="0"/>
    <x v="4"/>
    <n v="13.67"/>
    <n v="4"/>
    <n v="7.2"/>
    <n v="19.32"/>
    <n v="65.599999999999994"/>
    <s v="Family"/>
    <n v="3"/>
    <n v="2"/>
    <n v="0"/>
  </r>
  <r>
    <s v="U04859"/>
    <x v="4"/>
    <n v="57"/>
    <s v="Female"/>
    <x v="0"/>
    <x v="4"/>
    <n v="11.48"/>
    <n v="3"/>
    <n v="8.9"/>
    <n v="16.579999999999998"/>
    <n v="79.900000000000006"/>
    <s v="Comedy"/>
    <n v="10"/>
    <n v="2"/>
    <n v="0"/>
  </r>
  <r>
    <s v="U04860"/>
    <x v="11"/>
    <n v="51"/>
    <s v="Male"/>
    <x v="0"/>
    <x v="1"/>
    <n v="19.87"/>
    <n v="2"/>
    <n v="4.5999999999999996"/>
    <n v="18.059999999999999"/>
    <n v="88.2"/>
    <s v="Thriller"/>
    <n v="11"/>
    <n v="1"/>
    <n v="1"/>
  </r>
  <r>
    <s v="U04861"/>
    <x v="7"/>
    <n v="49"/>
    <s v="Female"/>
    <x v="0"/>
    <x v="1"/>
    <n v="9.06"/>
    <n v="5"/>
    <n v="5.9"/>
    <n v="18.579999999999998"/>
    <n v="32.5"/>
    <s v="Action"/>
    <n v="10"/>
    <n v="0"/>
    <n v="1"/>
  </r>
  <r>
    <s v="U04862"/>
    <x v="6"/>
    <n v="32"/>
    <s v="Female"/>
    <x v="1"/>
    <x v="3"/>
    <n v="9.0399999999999991"/>
    <n v="1"/>
    <n v="7.6"/>
    <n v="18.100000000000001"/>
    <n v="76.599999999999994"/>
    <s v="Family"/>
    <n v="6"/>
    <n v="0"/>
    <n v="1"/>
  </r>
  <r>
    <s v="U04863"/>
    <x v="6"/>
    <n v="61"/>
    <s v="Female"/>
    <x v="1"/>
    <x v="3"/>
    <n v="18.93"/>
    <n v="5"/>
    <n v="9.8000000000000007"/>
    <n v="10.53"/>
    <n v="37.6"/>
    <s v="Family"/>
    <n v="11"/>
    <n v="0"/>
    <n v="1"/>
  </r>
  <r>
    <s v="U04864"/>
    <x v="0"/>
    <n v="34"/>
    <s v="Female"/>
    <x v="2"/>
    <x v="1"/>
    <n v="22.33"/>
    <n v="1"/>
    <n v="9.9"/>
    <n v="9.85"/>
    <n v="59"/>
    <s v="Comedy"/>
    <n v="1"/>
    <n v="2"/>
    <n v="0"/>
  </r>
  <r>
    <s v="U04865"/>
    <x v="7"/>
    <n v="50"/>
    <s v="Male"/>
    <x v="0"/>
    <x v="1"/>
    <n v="9.82"/>
    <n v="5"/>
    <n v="10"/>
    <n v="12.43"/>
    <n v="27.2"/>
    <s v="Family"/>
    <n v="5"/>
    <n v="0"/>
    <n v="0"/>
  </r>
  <r>
    <s v="U04866"/>
    <x v="11"/>
    <n v="64"/>
    <s v="Female"/>
    <x v="1"/>
    <x v="1"/>
    <n v="8.82"/>
    <n v="2"/>
    <n v="9"/>
    <n v="20.77"/>
    <n v="23.1"/>
    <s v="Family"/>
    <n v="4"/>
    <n v="3"/>
    <n v="0"/>
  </r>
  <r>
    <s v="U04867"/>
    <x v="7"/>
    <n v="63"/>
    <s v="Male"/>
    <x v="0"/>
    <x v="2"/>
    <n v="18.41"/>
    <n v="3"/>
    <n v="6.8"/>
    <n v="23.64"/>
    <n v="94.2"/>
    <s v="Thriller"/>
    <n v="4"/>
    <n v="0"/>
    <n v="0"/>
  </r>
  <r>
    <s v="U04868"/>
    <x v="4"/>
    <n v="69"/>
    <s v="Male"/>
    <x v="1"/>
    <x v="4"/>
    <n v="17.420000000000002"/>
    <n v="2"/>
    <n v="1.1000000000000001"/>
    <n v="13.02"/>
    <n v="59.2"/>
    <s v="Comedy"/>
    <n v="7"/>
    <n v="0"/>
    <n v="0"/>
  </r>
  <r>
    <s v="U04869"/>
    <x v="5"/>
    <n v="33"/>
    <s v="Female"/>
    <x v="0"/>
    <x v="3"/>
    <n v="13.95"/>
    <n v="4"/>
    <n v="7.3"/>
    <n v="4.8899999999999997"/>
    <n v="10.4"/>
    <s v="Family"/>
    <n v="5"/>
    <n v="2"/>
    <n v="1"/>
  </r>
  <r>
    <s v="U04870"/>
    <x v="0"/>
    <n v="46"/>
    <s v="Female"/>
    <x v="2"/>
    <x v="3"/>
    <n v="6.92"/>
    <n v="5"/>
    <n v="3.1"/>
    <n v="23.64"/>
    <n v="81.400000000000006"/>
    <s v="Drama"/>
    <n v="7"/>
    <n v="4"/>
    <n v="0"/>
  </r>
  <r>
    <s v="U04871"/>
    <x v="10"/>
    <n v="26"/>
    <s v="Male"/>
    <x v="2"/>
    <x v="0"/>
    <n v="6.84"/>
    <n v="3"/>
    <n v="1.5"/>
    <n v="4.7699999999999996"/>
    <n v="72.2"/>
    <s v="Comedy"/>
    <n v="1"/>
    <n v="3"/>
    <n v="0"/>
  </r>
  <r>
    <s v="U04872"/>
    <x v="9"/>
    <n v="50"/>
    <s v="Male"/>
    <x v="1"/>
    <x v="2"/>
    <n v="20.55"/>
    <n v="5"/>
    <n v="7.3"/>
    <n v="6.5"/>
    <n v="39.299999999999997"/>
    <s v="Thriller"/>
    <n v="11"/>
    <n v="2"/>
    <n v="1"/>
  </r>
  <r>
    <s v="U04873"/>
    <x v="0"/>
    <n v="66"/>
    <s v="Female"/>
    <x v="0"/>
    <x v="1"/>
    <n v="14.04"/>
    <n v="4"/>
    <n v="7.8"/>
    <n v="22.09"/>
    <n v="51.8"/>
    <s v="Action"/>
    <n v="9"/>
    <n v="3"/>
    <n v="0"/>
  </r>
  <r>
    <s v="U04874"/>
    <x v="6"/>
    <n v="46"/>
    <s v="Male"/>
    <x v="1"/>
    <x v="1"/>
    <n v="22.16"/>
    <n v="4"/>
    <n v="6.9"/>
    <n v="15.13"/>
    <n v="50.5"/>
    <s v="Family"/>
    <n v="8"/>
    <n v="3"/>
    <n v="0"/>
  </r>
  <r>
    <s v="U04875"/>
    <x v="11"/>
    <n v="30"/>
    <s v="Female"/>
    <x v="2"/>
    <x v="2"/>
    <n v="16.489999999999998"/>
    <n v="4"/>
    <n v="4.3"/>
    <n v="10.76"/>
    <n v="34.700000000000003"/>
    <s v="Drama"/>
    <n v="7"/>
    <n v="0"/>
    <n v="1"/>
  </r>
  <r>
    <s v="U04876"/>
    <x v="7"/>
    <n v="38"/>
    <s v="Female"/>
    <x v="0"/>
    <x v="3"/>
    <n v="17.37"/>
    <n v="2"/>
    <n v="5.6"/>
    <n v="23.48"/>
    <n v="98.3"/>
    <s v="Drama"/>
    <n v="10"/>
    <n v="3"/>
    <n v="0"/>
  </r>
  <r>
    <s v="U04877"/>
    <x v="11"/>
    <n v="38"/>
    <s v="Male"/>
    <x v="1"/>
    <x v="1"/>
    <n v="23.68"/>
    <n v="2"/>
    <n v="9.4"/>
    <n v="24.13"/>
    <n v="58.9"/>
    <s v="Action"/>
    <n v="2"/>
    <n v="0"/>
    <n v="0"/>
  </r>
  <r>
    <s v="U04878"/>
    <x v="4"/>
    <n v="22"/>
    <s v="Female"/>
    <x v="2"/>
    <x v="0"/>
    <n v="8.2899999999999991"/>
    <n v="3"/>
    <n v="7.6"/>
    <n v="10.28"/>
    <n v="90.8"/>
    <s v="Comedy"/>
    <n v="11"/>
    <n v="3"/>
    <n v="1"/>
  </r>
  <r>
    <s v="U04879"/>
    <x v="0"/>
    <n v="27"/>
    <s v="Female"/>
    <x v="2"/>
    <x v="3"/>
    <n v="15.86"/>
    <n v="4"/>
    <n v="5.5"/>
    <n v="22.11"/>
    <n v="62.7"/>
    <s v="Thriller"/>
    <n v="6"/>
    <n v="4"/>
    <n v="0"/>
  </r>
  <r>
    <s v="U04880"/>
    <x v="1"/>
    <n v="23"/>
    <s v="Female"/>
    <x v="2"/>
    <x v="4"/>
    <n v="6.16"/>
    <n v="2"/>
    <n v="6.3"/>
    <n v="17.93"/>
    <n v="72.099999999999994"/>
    <s v="Family"/>
    <n v="4"/>
    <n v="3"/>
    <n v="1"/>
  </r>
  <r>
    <s v="U04881"/>
    <x v="0"/>
    <n v="68"/>
    <s v="Male"/>
    <x v="2"/>
    <x v="2"/>
    <n v="12.18"/>
    <n v="1"/>
    <n v="9.3000000000000007"/>
    <n v="9.0399999999999991"/>
    <n v="12.7"/>
    <s v="Family"/>
    <n v="3"/>
    <n v="1"/>
    <n v="0"/>
  </r>
  <r>
    <s v="U04882"/>
    <x v="10"/>
    <n v="30"/>
    <s v="Male"/>
    <x v="2"/>
    <x v="3"/>
    <n v="7.96"/>
    <n v="1"/>
    <n v="4.5"/>
    <n v="23.71"/>
    <n v="56.1"/>
    <s v="Family"/>
    <n v="8"/>
    <n v="0"/>
    <n v="0"/>
  </r>
  <r>
    <s v="U04883"/>
    <x v="0"/>
    <n v="18"/>
    <s v="Male"/>
    <x v="1"/>
    <x v="4"/>
    <n v="8.76"/>
    <n v="2"/>
    <n v="1.9"/>
    <n v="4.3899999999999997"/>
    <n v="74.900000000000006"/>
    <s v="Drama"/>
    <n v="4"/>
    <n v="4"/>
    <n v="0"/>
  </r>
  <r>
    <s v="U04884"/>
    <x v="3"/>
    <n v="37"/>
    <s v="Female"/>
    <x v="1"/>
    <x v="0"/>
    <n v="23.7"/>
    <n v="3"/>
    <n v="3.9"/>
    <n v="9.99"/>
    <n v="21"/>
    <s v="Comedy"/>
    <n v="3"/>
    <n v="0"/>
    <n v="1"/>
  </r>
  <r>
    <s v="U04885"/>
    <x v="4"/>
    <n v="64"/>
    <s v="Male"/>
    <x v="2"/>
    <x v="2"/>
    <n v="17.21"/>
    <n v="5"/>
    <n v="4.7"/>
    <n v="11.72"/>
    <n v="71"/>
    <s v="Action"/>
    <n v="11"/>
    <n v="4"/>
    <n v="1"/>
  </r>
  <r>
    <s v="U04886"/>
    <x v="8"/>
    <n v="63"/>
    <s v="Male"/>
    <x v="1"/>
    <x v="1"/>
    <n v="22.84"/>
    <n v="4"/>
    <n v="3.5"/>
    <n v="18.190000000000001"/>
    <n v="17.600000000000001"/>
    <s v="Comedy"/>
    <n v="5"/>
    <n v="0"/>
    <n v="1"/>
  </r>
  <r>
    <s v="U04887"/>
    <x v="4"/>
    <n v="25"/>
    <s v="Male"/>
    <x v="2"/>
    <x v="1"/>
    <n v="13.87"/>
    <n v="2"/>
    <n v="5.8"/>
    <n v="3.85"/>
    <n v="82.6"/>
    <s v="Thriller"/>
    <n v="9"/>
    <n v="1"/>
    <n v="0"/>
  </r>
  <r>
    <s v="U04888"/>
    <x v="7"/>
    <n v="27"/>
    <s v="Female"/>
    <x v="0"/>
    <x v="4"/>
    <n v="16.95"/>
    <n v="3"/>
    <n v="3.7"/>
    <n v="22.58"/>
    <n v="98"/>
    <s v="Thriller"/>
    <n v="10"/>
    <n v="1"/>
    <n v="0"/>
  </r>
  <r>
    <s v="U04889"/>
    <x v="9"/>
    <n v="26"/>
    <s v="Female"/>
    <x v="1"/>
    <x v="3"/>
    <n v="5.64"/>
    <n v="5"/>
    <n v="1.9"/>
    <n v="17.5"/>
    <n v="66.400000000000006"/>
    <s v="Action"/>
    <n v="3"/>
    <n v="4"/>
    <n v="0"/>
  </r>
  <r>
    <s v="U04890"/>
    <x v="8"/>
    <n v="66"/>
    <s v="Male"/>
    <x v="0"/>
    <x v="0"/>
    <n v="14.39"/>
    <n v="3"/>
    <n v="2.7"/>
    <n v="9.0500000000000007"/>
    <n v="16.899999999999999"/>
    <s v="Drama"/>
    <n v="9"/>
    <n v="2"/>
    <n v="0"/>
  </r>
  <r>
    <s v="U04891"/>
    <x v="7"/>
    <n v="58"/>
    <s v="Male"/>
    <x v="0"/>
    <x v="4"/>
    <n v="16.28"/>
    <n v="5"/>
    <n v="9.3000000000000007"/>
    <n v="17.48"/>
    <n v="62.8"/>
    <s v="Action"/>
    <n v="4"/>
    <n v="0"/>
    <n v="1"/>
  </r>
  <r>
    <s v="U04892"/>
    <x v="7"/>
    <n v="20"/>
    <s v="Male"/>
    <x v="0"/>
    <x v="0"/>
    <n v="5.34"/>
    <n v="1"/>
    <n v="6.7"/>
    <n v="14.81"/>
    <n v="76.7"/>
    <s v="Thriller"/>
    <n v="10"/>
    <n v="2"/>
    <n v="0"/>
  </r>
  <r>
    <s v="U04893"/>
    <x v="10"/>
    <n v="28"/>
    <s v="Female"/>
    <x v="2"/>
    <x v="0"/>
    <n v="20.79"/>
    <n v="5"/>
    <n v="3.8"/>
    <n v="10.4"/>
    <n v="94"/>
    <s v="Drama"/>
    <n v="4"/>
    <n v="3"/>
    <n v="0"/>
  </r>
  <r>
    <s v="U04894"/>
    <x v="10"/>
    <n v="29"/>
    <s v="Male"/>
    <x v="0"/>
    <x v="0"/>
    <n v="10.91"/>
    <n v="1"/>
    <n v="4.3"/>
    <n v="3.63"/>
    <n v="14.1"/>
    <s v="Comedy"/>
    <n v="2"/>
    <n v="1"/>
    <n v="0"/>
  </r>
  <r>
    <s v="U04895"/>
    <x v="2"/>
    <n v="27"/>
    <s v="Female"/>
    <x v="2"/>
    <x v="2"/>
    <n v="14.05"/>
    <n v="4"/>
    <n v="5.4"/>
    <n v="15.12"/>
    <n v="79.8"/>
    <s v="Thriller"/>
    <n v="8"/>
    <n v="0"/>
    <n v="0"/>
  </r>
  <r>
    <s v="U04896"/>
    <x v="5"/>
    <n v="42"/>
    <s v="Female"/>
    <x v="1"/>
    <x v="4"/>
    <n v="15.71"/>
    <n v="2"/>
    <n v="7.1"/>
    <n v="4.8099999999999996"/>
    <n v="21.9"/>
    <s v="Drama"/>
    <n v="4"/>
    <n v="1"/>
    <n v="0"/>
  </r>
  <r>
    <s v="U04897"/>
    <x v="6"/>
    <n v="66"/>
    <s v="Female"/>
    <x v="0"/>
    <x v="2"/>
    <n v="24.84"/>
    <n v="1"/>
    <n v="6.2"/>
    <n v="20.82"/>
    <n v="81.2"/>
    <s v="Drama"/>
    <n v="3"/>
    <n v="3"/>
    <n v="0"/>
  </r>
  <r>
    <s v="U04898"/>
    <x v="5"/>
    <n v="66"/>
    <s v="Male"/>
    <x v="0"/>
    <x v="3"/>
    <n v="6.98"/>
    <n v="3"/>
    <n v="9.4"/>
    <n v="4.95"/>
    <n v="90"/>
    <s v="Family"/>
    <n v="3"/>
    <n v="4"/>
    <n v="0"/>
  </r>
  <r>
    <s v="U04899"/>
    <x v="5"/>
    <n v="42"/>
    <s v="Male"/>
    <x v="1"/>
    <x v="3"/>
    <n v="16.11"/>
    <n v="5"/>
    <n v="6.6"/>
    <n v="12.43"/>
    <n v="87.5"/>
    <s v="Comedy"/>
    <n v="1"/>
    <n v="0"/>
    <n v="1"/>
  </r>
  <r>
    <s v="U04900"/>
    <x v="9"/>
    <n v="28"/>
    <s v="Female"/>
    <x v="2"/>
    <x v="1"/>
    <n v="15.61"/>
    <n v="3"/>
    <n v="9.1999999999999993"/>
    <n v="12.56"/>
    <n v="68.8"/>
    <s v="Drama"/>
    <n v="8"/>
    <n v="0"/>
    <n v="0"/>
  </r>
  <r>
    <s v="U04901"/>
    <x v="6"/>
    <n v="53"/>
    <s v="Female"/>
    <x v="2"/>
    <x v="1"/>
    <n v="6.38"/>
    <n v="1"/>
    <n v="1"/>
    <n v="15.24"/>
    <n v="55.1"/>
    <s v="Action"/>
    <n v="11"/>
    <n v="0"/>
    <n v="1"/>
  </r>
  <r>
    <s v="U04902"/>
    <x v="1"/>
    <n v="56"/>
    <s v="Female"/>
    <x v="2"/>
    <x v="1"/>
    <n v="17.68"/>
    <n v="3"/>
    <n v="9"/>
    <n v="3.87"/>
    <n v="88.7"/>
    <s v="Comedy"/>
    <n v="5"/>
    <n v="4"/>
    <n v="0"/>
  </r>
  <r>
    <s v="U04903"/>
    <x v="8"/>
    <n v="43"/>
    <s v="Female"/>
    <x v="2"/>
    <x v="3"/>
    <n v="10.74"/>
    <n v="5"/>
    <n v="7.5"/>
    <n v="7.48"/>
    <n v="56.7"/>
    <s v="Comedy"/>
    <n v="5"/>
    <n v="1"/>
    <n v="0"/>
  </r>
  <r>
    <s v="U04904"/>
    <x v="11"/>
    <n v="31"/>
    <s v="Male"/>
    <x v="1"/>
    <x v="0"/>
    <n v="7.08"/>
    <n v="2"/>
    <n v="2.5"/>
    <n v="7.39"/>
    <n v="27.1"/>
    <s v="Thriller"/>
    <n v="4"/>
    <n v="4"/>
    <n v="0"/>
  </r>
  <r>
    <s v="U04905"/>
    <x v="5"/>
    <n v="56"/>
    <s v="Male"/>
    <x v="2"/>
    <x v="0"/>
    <n v="8.57"/>
    <n v="3"/>
    <n v="3.4"/>
    <n v="16.18"/>
    <n v="94.9"/>
    <s v="Comedy"/>
    <n v="5"/>
    <n v="1"/>
    <n v="1"/>
  </r>
  <r>
    <s v="U04906"/>
    <x v="9"/>
    <n v="57"/>
    <s v="Female"/>
    <x v="2"/>
    <x v="4"/>
    <n v="21.47"/>
    <n v="4"/>
    <n v="5.9"/>
    <n v="8.8000000000000007"/>
    <n v="43.6"/>
    <s v="Comedy"/>
    <n v="5"/>
    <n v="0"/>
    <n v="1"/>
  </r>
  <r>
    <s v="U04907"/>
    <x v="2"/>
    <n v="18"/>
    <s v="Female"/>
    <x v="2"/>
    <x v="3"/>
    <n v="7.08"/>
    <n v="5"/>
    <n v="2.1"/>
    <n v="6.17"/>
    <n v="66.2"/>
    <s v="Family"/>
    <n v="9"/>
    <n v="4"/>
    <n v="0"/>
  </r>
  <r>
    <s v="U04908"/>
    <x v="0"/>
    <n v="21"/>
    <s v="Female"/>
    <x v="0"/>
    <x v="1"/>
    <n v="14.34"/>
    <n v="5"/>
    <n v="8.1"/>
    <n v="3.4"/>
    <n v="27.9"/>
    <s v="Comedy"/>
    <n v="11"/>
    <n v="3"/>
    <n v="0"/>
  </r>
  <r>
    <s v="U04909"/>
    <x v="0"/>
    <n v="47"/>
    <s v="Male"/>
    <x v="2"/>
    <x v="3"/>
    <n v="8.91"/>
    <n v="4"/>
    <n v="8.1"/>
    <n v="21.49"/>
    <n v="19.899999999999999"/>
    <s v="Drama"/>
    <n v="6"/>
    <n v="4"/>
    <n v="0"/>
  </r>
  <r>
    <s v="U04910"/>
    <x v="7"/>
    <n v="29"/>
    <s v="Female"/>
    <x v="1"/>
    <x v="0"/>
    <n v="8.25"/>
    <n v="1"/>
    <n v="3.7"/>
    <n v="24.37"/>
    <n v="59.6"/>
    <s v="Action"/>
    <n v="9"/>
    <n v="1"/>
    <n v="0"/>
  </r>
  <r>
    <s v="U04911"/>
    <x v="6"/>
    <n v="52"/>
    <s v="Male"/>
    <x v="2"/>
    <x v="0"/>
    <n v="9.11"/>
    <n v="4"/>
    <n v="1.6"/>
    <n v="18.47"/>
    <n v="59.9"/>
    <s v="Family"/>
    <n v="8"/>
    <n v="0"/>
    <n v="1"/>
  </r>
  <r>
    <s v="U04912"/>
    <x v="7"/>
    <n v="30"/>
    <s v="Female"/>
    <x v="0"/>
    <x v="2"/>
    <n v="14.86"/>
    <n v="1"/>
    <n v="9.9"/>
    <n v="12.08"/>
    <n v="43.3"/>
    <s v="Family"/>
    <n v="3"/>
    <n v="1"/>
    <n v="0"/>
  </r>
  <r>
    <s v="U04913"/>
    <x v="9"/>
    <n v="69"/>
    <s v="Male"/>
    <x v="1"/>
    <x v="2"/>
    <n v="9.76"/>
    <n v="2"/>
    <n v="3.3"/>
    <n v="5.68"/>
    <n v="38.1"/>
    <s v="Family"/>
    <n v="2"/>
    <n v="2"/>
    <n v="0"/>
  </r>
  <r>
    <s v="U04914"/>
    <x v="3"/>
    <n v="48"/>
    <s v="Male"/>
    <x v="0"/>
    <x v="4"/>
    <n v="6.93"/>
    <n v="1"/>
    <n v="1.6"/>
    <n v="13.45"/>
    <n v="43.7"/>
    <s v="Family"/>
    <n v="6"/>
    <n v="0"/>
    <n v="0"/>
  </r>
  <r>
    <s v="U04915"/>
    <x v="3"/>
    <n v="55"/>
    <s v="Female"/>
    <x v="0"/>
    <x v="3"/>
    <n v="21.03"/>
    <n v="2"/>
    <n v="4"/>
    <n v="13.06"/>
    <n v="81.599999999999994"/>
    <s v="Thriller"/>
    <n v="2"/>
    <n v="3"/>
    <n v="1"/>
  </r>
  <r>
    <s v="U04916"/>
    <x v="2"/>
    <n v="60"/>
    <s v="Male"/>
    <x v="0"/>
    <x v="2"/>
    <n v="15.8"/>
    <n v="2"/>
    <n v="9.6999999999999993"/>
    <n v="12.24"/>
    <n v="42.2"/>
    <s v="Family"/>
    <n v="3"/>
    <n v="3"/>
    <n v="0"/>
  </r>
  <r>
    <s v="U04917"/>
    <x v="11"/>
    <n v="40"/>
    <s v="Male"/>
    <x v="2"/>
    <x v="2"/>
    <n v="8.14"/>
    <n v="4"/>
    <n v="8.1"/>
    <n v="11.32"/>
    <n v="92.9"/>
    <s v="Thriller"/>
    <n v="3"/>
    <n v="2"/>
    <n v="0"/>
  </r>
  <r>
    <s v="U04918"/>
    <x v="10"/>
    <n v="21"/>
    <s v="Male"/>
    <x v="0"/>
    <x v="3"/>
    <n v="14.43"/>
    <n v="2"/>
    <n v="5.3"/>
    <n v="13.93"/>
    <n v="20.2"/>
    <s v="Thriller"/>
    <n v="1"/>
    <n v="1"/>
    <n v="0"/>
  </r>
  <r>
    <s v="U04919"/>
    <x v="10"/>
    <n v="69"/>
    <s v="Male"/>
    <x v="1"/>
    <x v="0"/>
    <n v="6.37"/>
    <n v="1"/>
    <n v="3.7"/>
    <n v="4.6100000000000003"/>
    <n v="93.8"/>
    <s v="Comedy"/>
    <n v="5"/>
    <n v="3"/>
    <n v="0"/>
  </r>
  <r>
    <s v="U04920"/>
    <x v="6"/>
    <n v="33"/>
    <s v="Female"/>
    <x v="0"/>
    <x v="4"/>
    <n v="16.61"/>
    <n v="3"/>
    <n v="4.8"/>
    <n v="3.84"/>
    <n v="72.099999999999994"/>
    <s v="Action"/>
    <n v="8"/>
    <n v="1"/>
    <n v="0"/>
  </r>
  <r>
    <s v="U04921"/>
    <x v="6"/>
    <n v="24"/>
    <s v="Female"/>
    <x v="1"/>
    <x v="4"/>
    <n v="11.81"/>
    <n v="5"/>
    <n v="1.2"/>
    <n v="4.41"/>
    <n v="41"/>
    <s v="Comedy"/>
    <n v="9"/>
    <n v="0"/>
    <n v="0"/>
  </r>
  <r>
    <s v="U04922"/>
    <x v="5"/>
    <n v="39"/>
    <s v="Female"/>
    <x v="0"/>
    <x v="4"/>
    <n v="7.07"/>
    <n v="5"/>
    <n v="7.5"/>
    <n v="7.4"/>
    <n v="10.6"/>
    <s v="Thriller"/>
    <n v="7"/>
    <n v="4"/>
    <n v="0"/>
  </r>
  <r>
    <s v="U04923"/>
    <x v="3"/>
    <n v="46"/>
    <s v="Female"/>
    <x v="0"/>
    <x v="2"/>
    <n v="8.67"/>
    <n v="1"/>
    <n v="1.9"/>
    <n v="9.1199999999999992"/>
    <n v="82.2"/>
    <s v="Comedy"/>
    <n v="5"/>
    <n v="0"/>
    <n v="1"/>
  </r>
  <r>
    <s v="U04924"/>
    <x v="5"/>
    <n v="28"/>
    <s v="Female"/>
    <x v="1"/>
    <x v="0"/>
    <n v="11.91"/>
    <n v="3"/>
    <n v="5.7"/>
    <n v="6.73"/>
    <n v="97.2"/>
    <s v="Drama"/>
    <n v="8"/>
    <n v="1"/>
    <n v="0"/>
  </r>
  <r>
    <s v="U04925"/>
    <x v="10"/>
    <n v="50"/>
    <s v="Male"/>
    <x v="1"/>
    <x v="4"/>
    <n v="21.13"/>
    <n v="2"/>
    <n v="6.1"/>
    <n v="8.5399999999999991"/>
    <n v="98.4"/>
    <s v="Family"/>
    <n v="9"/>
    <n v="2"/>
    <n v="0"/>
  </r>
  <r>
    <s v="U04926"/>
    <x v="8"/>
    <n v="46"/>
    <s v="Male"/>
    <x v="0"/>
    <x v="3"/>
    <n v="8.48"/>
    <n v="1"/>
    <n v="1"/>
    <n v="7.09"/>
    <n v="48.1"/>
    <s v="Family"/>
    <n v="9"/>
    <n v="0"/>
    <n v="1"/>
  </r>
  <r>
    <s v="U04927"/>
    <x v="8"/>
    <n v="56"/>
    <s v="Male"/>
    <x v="0"/>
    <x v="4"/>
    <n v="7.19"/>
    <n v="2"/>
    <n v="9.8000000000000007"/>
    <n v="6.32"/>
    <n v="16.3"/>
    <s v="Thriller"/>
    <n v="9"/>
    <n v="3"/>
    <n v="0"/>
  </r>
  <r>
    <s v="U04928"/>
    <x v="6"/>
    <n v="29"/>
    <s v="Male"/>
    <x v="0"/>
    <x v="1"/>
    <n v="15.32"/>
    <n v="4"/>
    <n v="3.7"/>
    <n v="9.4499999999999993"/>
    <n v="38.200000000000003"/>
    <s v="Comedy"/>
    <n v="11"/>
    <n v="0"/>
    <n v="0"/>
  </r>
  <r>
    <s v="U04929"/>
    <x v="7"/>
    <n v="24"/>
    <s v="Female"/>
    <x v="2"/>
    <x v="0"/>
    <n v="16.170000000000002"/>
    <n v="3"/>
    <n v="1.7"/>
    <n v="11.75"/>
    <n v="37.9"/>
    <s v="Drama"/>
    <n v="2"/>
    <n v="0"/>
    <n v="0"/>
  </r>
  <r>
    <s v="U04930"/>
    <x v="10"/>
    <n v="56"/>
    <s v="Female"/>
    <x v="1"/>
    <x v="1"/>
    <n v="6.8"/>
    <n v="5"/>
    <n v="8.6999999999999993"/>
    <n v="19.37"/>
    <n v="19.2"/>
    <s v="Drama"/>
    <n v="3"/>
    <n v="0"/>
    <n v="1"/>
  </r>
  <r>
    <s v="U04931"/>
    <x v="8"/>
    <n v="59"/>
    <s v="Male"/>
    <x v="1"/>
    <x v="0"/>
    <n v="10.69"/>
    <n v="1"/>
    <n v="2.4"/>
    <n v="24.02"/>
    <n v="57.2"/>
    <s v="Drama"/>
    <n v="2"/>
    <n v="2"/>
    <n v="0"/>
  </r>
  <r>
    <s v="U04932"/>
    <x v="10"/>
    <n v="65"/>
    <s v="Female"/>
    <x v="0"/>
    <x v="3"/>
    <n v="10.26"/>
    <n v="5"/>
    <n v="1.2"/>
    <n v="23.22"/>
    <n v="64.400000000000006"/>
    <s v="Thriller"/>
    <n v="11"/>
    <n v="1"/>
    <n v="1"/>
  </r>
  <r>
    <s v="U04933"/>
    <x v="4"/>
    <n v="43"/>
    <s v="Male"/>
    <x v="1"/>
    <x v="2"/>
    <n v="8.7200000000000006"/>
    <n v="2"/>
    <n v="5.5"/>
    <n v="13.47"/>
    <n v="75.599999999999994"/>
    <s v="Comedy"/>
    <n v="11"/>
    <n v="2"/>
    <n v="0"/>
  </r>
  <r>
    <s v="U04934"/>
    <x v="0"/>
    <n v="57"/>
    <s v="Male"/>
    <x v="0"/>
    <x v="2"/>
    <n v="11.31"/>
    <n v="2"/>
    <n v="2.2000000000000002"/>
    <n v="13.15"/>
    <n v="14.6"/>
    <s v="Drama"/>
    <n v="5"/>
    <n v="3"/>
    <n v="0"/>
  </r>
  <r>
    <s v="U04935"/>
    <x v="3"/>
    <n v="26"/>
    <s v="Female"/>
    <x v="0"/>
    <x v="0"/>
    <n v="5.74"/>
    <n v="4"/>
    <n v="9.8000000000000007"/>
    <n v="5.77"/>
    <n v="34.799999999999997"/>
    <s v="Drama"/>
    <n v="3"/>
    <n v="1"/>
    <n v="1"/>
  </r>
  <r>
    <s v="U04936"/>
    <x v="5"/>
    <n v="58"/>
    <s v="Female"/>
    <x v="1"/>
    <x v="4"/>
    <n v="18.03"/>
    <n v="2"/>
    <n v="1.1000000000000001"/>
    <n v="24.38"/>
    <n v="42"/>
    <s v="Comedy"/>
    <n v="9"/>
    <n v="3"/>
    <n v="0"/>
  </r>
  <r>
    <s v="U04937"/>
    <x v="10"/>
    <n v="51"/>
    <s v="Female"/>
    <x v="1"/>
    <x v="1"/>
    <n v="24.77"/>
    <n v="2"/>
    <n v="1.5"/>
    <n v="19.72"/>
    <n v="90.3"/>
    <s v="Comedy"/>
    <n v="2"/>
    <n v="1"/>
    <n v="0"/>
  </r>
  <r>
    <s v="U04938"/>
    <x v="0"/>
    <n v="62"/>
    <s v="Female"/>
    <x v="0"/>
    <x v="3"/>
    <n v="17.68"/>
    <n v="5"/>
    <n v="8.5"/>
    <n v="21.65"/>
    <n v="91.1"/>
    <s v="Family"/>
    <n v="5"/>
    <n v="1"/>
    <n v="0"/>
  </r>
  <r>
    <s v="U04939"/>
    <x v="4"/>
    <n v="30"/>
    <s v="Female"/>
    <x v="1"/>
    <x v="4"/>
    <n v="12.22"/>
    <n v="5"/>
    <n v="3.2"/>
    <n v="8.15"/>
    <n v="33.4"/>
    <s v="Action"/>
    <n v="5"/>
    <n v="0"/>
    <n v="0"/>
  </r>
  <r>
    <s v="U04940"/>
    <x v="5"/>
    <n v="53"/>
    <s v="Female"/>
    <x v="2"/>
    <x v="2"/>
    <n v="18.36"/>
    <n v="1"/>
    <n v="9.1999999999999993"/>
    <n v="11.82"/>
    <n v="53.9"/>
    <s v="Action"/>
    <n v="5"/>
    <n v="0"/>
    <n v="0"/>
  </r>
  <r>
    <s v="U04941"/>
    <x v="10"/>
    <n v="42"/>
    <s v="Female"/>
    <x v="1"/>
    <x v="4"/>
    <n v="16.43"/>
    <n v="1"/>
    <n v="3.8"/>
    <n v="5.26"/>
    <n v="48.2"/>
    <s v="Drama"/>
    <n v="1"/>
    <n v="2"/>
    <n v="0"/>
  </r>
  <r>
    <s v="U04942"/>
    <x v="6"/>
    <n v="41"/>
    <s v="Male"/>
    <x v="1"/>
    <x v="1"/>
    <n v="21.94"/>
    <n v="2"/>
    <n v="1.6"/>
    <n v="23.7"/>
    <n v="57.4"/>
    <s v="Comedy"/>
    <n v="10"/>
    <n v="1"/>
    <n v="0"/>
  </r>
  <r>
    <s v="U04943"/>
    <x v="0"/>
    <n v="61"/>
    <s v="Female"/>
    <x v="2"/>
    <x v="2"/>
    <n v="17.440000000000001"/>
    <n v="3"/>
    <n v="1.1000000000000001"/>
    <n v="9.2899999999999991"/>
    <n v="35.799999999999997"/>
    <s v="Family"/>
    <n v="7"/>
    <n v="3"/>
    <n v="0"/>
  </r>
  <r>
    <s v="U04944"/>
    <x v="5"/>
    <n v="34"/>
    <s v="Male"/>
    <x v="2"/>
    <x v="0"/>
    <n v="17.68"/>
    <n v="1"/>
    <n v="3.5"/>
    <n v="16.11"/>
    <n v="51.7"/>
    <s v="Thriller"/>
    <n v="2"/>
    <n v="0"/>
    <n v="0"/>
  </r>
  <r>
    <s v="U04945"/>
    <x v="10"/>
    <n v="19"/>
    <s v="Male"/>
    <x v="1"/>
    <x v="3"/>
    <n v="9.43"/>
    <n v="2"/>
    <n v="5.3"/>
    <n v="6.35"/>
    <n v="23.1"/>
    <s v="Action"/>
    <n v="2"/>
    <n v="3"/>
    <n v="1"/>
  </r>
  <r>
    <s v="U04946"/>
    <x v="0"/>
    <n v="30"/>
    <s v="Female"/>
    <x v="2"/>
    <x v="3"/>
    <n v="13.31"/>
    <n v="5"/>
    <n v="1"/>
    <n v="20.66"/>
    <n v="73.900000000000006"/>
    <s v="Action"/>
    <n v="9"/>
    <n v="0"/>
    <n v="0"/>
  </r>
  <r>
    <s v="U04947"/>
    <x v="4"/>
    <n v="48"/>
    <s v="Male"/>
    <x v="0"/>
    <x v="2"/>
    <n v="11.89"/>
    <n v="4"/>
    <n v="6.2"/>
    <n v="7.1"/>
    <n v="43.3"/>
    <s v="Comedy"/>
    <n v="1"/>
    <n v="1"/>
    <n v="0"/>
  </r>
  <r>
    <s v="U04948"/>
    <x v="10"/>
    <n v="46"/>
    <s v="Female"/>
    <x v="1"/>
    <x v="0"/>
    <n v="5.23"/>
    <n v="5"/>
    <n v="4"/>
    <n v="20.81"/>
    <n v="58.8"/>
    <s v="Thriller"/>
    <n v="9"/>
    <n v="3"/>
    <n v="0"/>
  </r>
  <r>
    <s v="U04949"/>
    <x v="10"/>
    <n v="67"/>
    <s v="Male"/>
    <x v="0"/>
    <x v="1"/>
    <n v="11.27"/>
    <n v="5"/>
    <n v="4.5"/>
    <n v="11.84"/>
    <n v="64.400000000000006"/>
    <s v="Action"/>
    <n v="6"/>
    <n v="2"/>
    <n v="0"/>
  </r>
  <r>
    <s v="U04950"/>
    <x v="10"/>
    <n v="45"/>
    <s v="Male"/>
    <x v="0"/>
    <x v="3"/>
    <n v="14.72"/>
    <n v="4"/>
    <n v="3.4"/>
    <n v="15.71"/>
    <n v="85.3"/>
    <s v="Family"/>
    <n v="5"/>
    <n v="2"/>
    <n v="0"/>
  </r>
  <r>
    <s v="U04951"/>
    <x v="2"/>
    <n v="44"/>
    <s v="Male"/>
    <x v="1"/>
    <x v="2"/>
    <n v="17"/>
    <n v="5"/>
    <n v="5.8"/>
    <n v="8.93"/>
    <n v="17.399999999999999"/>
    <s v="Action"/>
    <n v="5"/>
    <n v="2"/>
    <n v="0"/>
  </r>
  <r>
    <s v="U04952"/>
    <x v="11"/>
    <n v="32"/>
    <s v="Female"/>
    <x v="0"/>
    <x v="3"/>
    <n v="23.69"/>
    <n v="1"/>
    <n v="3.1"/>
    <n v="22.42"/>
    <n v="53.4"/>
    <s v="Comedy"/>
    <n v="5"/>
    <n v="0"/>
    <n v="0"/>
  </r>
  <r>
    <s v="U04953"/>
    <x v="2"/>
    <n v="48"/>
    <s v="Male"/>
    <x v="1"/>
    <x v="0"/>
    <n v="9.7799999999999994"/>
    <n v="5"/>
    <n v="2.2000000000000002"/>
    <n v="19.72"/>
    <n v="90.5"/>
    <s v="Comedy"/>
    <n v="6"/>
    <n v="0"/>
    <n v="0"/>
  </r>
  <r>
    <s v="U04954"/>
    <x v="6"/>
    <n v="57"/>
    <s v="Male"/>
    <x v="1"/>
    <x v="1"/>
    <n v="8.0500000000000007"/>
    <n v="4"/>
    <n v="9"/>
    <n v="10.79"/>
    <n v="39.700000000000003"/>
    <s v="Thriller"/>
    <n v="7"/>
    <n v="2"/>
    <n v="1"/>
  </r>
  <r>
    <s v="U04955"/>
    <x v="4"/>
    <n v="32"/>
    <s v="Male"/>
    <x v="1"/>
    <x v="0"/>
    <n v="22.39"/>
    <n v="2"/>
    <n v="4.5"/>
    <n v="15.88"/>
    <n v="50"/>
    <s v="Action"/>
    <n v="11"/>
    <n v="3"/>
    <n v="0"/>
  </r>
  <r>
    <s v="U04956"/>
    <x v="2"/>
    <n v="50"/>
    <s v="Female"/>
    <x v="0"/>
    <x v="4"/>
    <n v="23.84"/>
    <n v="2"/>
    <n v="1.7"/>
    <n v="5.84"/>
    <n v="17.7"/>
    <s v="Thriller"/>
    <n v="9"/>
    <n v="0"/>
    <n v="0"/>
  </r>
  <r>
    <s v="U04957"/>
    <x v="5"/>
    <n v="37"/>
    <s v="Male"/>
    <x v="0"/>
    <x v="0"/>
    <n v="14.76"/>
    <n v="2"/>
    <n v="3.1"/>
    <n v="6.53"/>
    <n v="77.599999999999994"/>
    <s v="Action"/>
    <n v="2"/>
    <n v="2"/>
    <n v="0"/>
  </r>
  <r>
    <s v="U04958"/>
    <x v="9"/>
    <n v="59"/>
    <s v="Female"/>
    <x v="1"/>
    <x v="0"/>
    <n v="7.3"/>
    <n v="4"/>
    <n v="3.8"/>
    <n v="14.74"/>
    <n v="17.7"/>
    <s v="Drama"/>
    <n v="4"/>
    <n v="0"/>
    <n v="0"/>
  </r>
  <r>
    <s v="U04959"/>
    <x v="11"/>
    <n v="29"/>
    <s v="Male"/>
    <x v="2"/>
    <x v="3"/>
    <n v="14.71"/>
    <n v="4"/>
    <n v="7.9"/>
    <n v="17.09"/>
    <n v="66.8"/>
    <s v="Action"/>
    <n v="11"/>
    <n v="4"/>
    <n v="0"/>
  </r>
  <r>
    <s v="U04960"/>
    <x v="7"/>
    <n v="54"/>
    <s v="Male"/>
    <x v="0"/>
    <x v="0"/>
    <n v="7.19"/>
    <n v="1"/>
    <n v="1.2"/>
    <n v="15.26"/>
    <n v="43.7"/>
    <s v="Comedy"/>
    <n v="5"/>
    <n v="3"/>
    <n v="0"/>
  </r>
  <r>
    <s v="U04961"/>
    <x v="9"/>
    <n v="26"/>
    <s v="Male"/>
    <x v="0"/>
    <x v="2"/>
    <n v="22.66"/>
    <n v="4"/>
    <n v="5.3"/>
    <n v="15.31"/>
    <n v="40.4"/>
    <s v="Comedy"/>
    <n v="6"/>
    <n v="1"/>
    <n v="0"/>
  </r>
  <r>
    <s v="U04962"/>
    <x v="11"/>
    <n v="40"/>
    <s v="Female"/>
    <x v="2"/>
    <x v="3"/>
    <n v="19.16"/>
    <n v="2"/>
    <n v="4.7"/>
    <n v="19.329999999999998"/>
    <n v="62.7"/>
    <s v="Drama"/>
    <n v="7"/>
    <n v="3"/>
    <n v="0"/>
  </r>
  <r>
    <s v="U04963"/>
    <x v="3"/>
    <n v="25"/>
    <s v="Male"/>
    <x v="0"/>
    <x v="3"/>
    <n v="9.82"/>
    <n v="4"/>
    <n v="9.6999999999999993"/>
    <n v="22.85"/>
    <n v="61.1"/>
    <s v="Action"/>
    <n v="3"/>
    <n v="1"/>
    <n v="0"/>
  </r>
  <r>
    <s v="U04964"/>
    <x v="3"/>
    <n v="49"/>
    <s v="Male"/>
    <x v="2"/>
    <x v="4"/>
    <n v="22.73"/>
    <n v="3"/>
    <n v="2.6"/>
    <n v="11.53"/>
    <n v="46.5"/>
    <s v="Action"/>
    <n v="3"/>
    <n v="2"/>
    <n v="0"/>
  </r>
  <r>
    <s v="U04965"/>
    <x v="10"/>
    <n v="65"/>
    <s v="Male"/>
    <x v="1"/>
    <x v="2"/>
    <n v="17.760000000000002"/>
    <n v="5"/>
    <n v="6.7"/>
    <n v="14.81"/>
    <n v="35.1"/>
    <s v="Comedy"/>
    <n v="9"/>
    <n v="0"/>
    <n v="0"/>
  </r>
  <r>
    <s v="U04966"/>
    <x v="11"/>
    <n v="31"/>
    <s v="Male"/>
    <x v="1"/>
    <x v="0"/>
    <n v="24.07"/>
    <n v="1"/>
    <n v="2.8"/>
    <n v="22.65"/>
    <n v="55.7"/>
    <s v="Drama"/>
    <n v="9"/>
    <n v="2"/>
    <n v="0"/>
  </r>
  <r>
    <s v="U04967"/>
    <x v="7"/>
    <n v="44"/>
    <s v="Female"/>
    <x v="1"/>
    <x v="4"/>
    <n v="24.61"/>
    <n v="2"/>
    <n v="5.9"/>
    <n v="13.21"/>
    <n v="34"/>
    <s v="Comedy"/>
    <n v="2"/>
    <n v="1"/>
    <n v="0"/>
  </r>
  <r>
    <s v="U04968"/>
    <x v="11"/>
    <n v="42"/>
    <s v="Male"/>
    <x v="0"/>
    <x v="2"/>
    <n v="5.07"/>
    <n v="2"/>
    <n v="6"/>
    <n v="12.79"/>
    <n v="19.2"/>
    <s v="Drama"/>
    <n v="4"/>
    <n v="4"/>
    <n v="0"/>
  </r>
  <r>
    <s v="U04969"/>
    <x v="6"/>
    <n v="30"/>
    <s v="Male"/>
    <x v="1"/>
    <x v="4"/>
    <n v="7.4"/>
    <n v="3"/>
    <n v="1.7"/>
    <n v="19.86"/>
    <n v="81.900000000000006"/>
    <s v="Comedy"/>
    <n v="4"/>
    <n v="1"/>
    <n v="0"/>
  </r>
  <r>
    <s v="U04970"/>
    <x v="9"/>
    <n v="38"/>
    <s v="Male"/>
    <x v="2"/>
    <x v="1"/>
    <n v="15.94"/>
    <n v="1"/>
    <n v="5.0999999999999996"/>
    <n v="22.3"/>
    <n v="73.2"/>
    <s v="Family"/>
    <n v="5"/>
    <n v="0"/>
    <n v="1"/>
  </r>
  <r>
    <s v="U04971"/>
    <x v="6"/>
    <n v="62"/>
    <s v="Male"/>
    <x v="2"/>
    <x v="0"/>
    <n v="24.12"/>
    <n v="5"/>
    <n v="5.2"/>
    <n v="19.23"/>
    <n v="17.600000000000001"/>
    <s v="Action"/>
    <n v="2"/>
    <n v="4"/>
    <n v="0"/>
  </r>
  <r>
    <s v="U04972"/>
    <x v="7"/>
    <n v="48"/>
    <s v="Female"/>
    <x v="1"/>
    <x v="4"/>
    <n v="24.88"/>
    <n v="1"/>
    <n v="3.9"/>
    <n v="5.2"/>
    <n v="24.6"/>
    <s v="Thriller"/>
    <n v="11"/>
    <n v="0"/>
    <n v="1"/>
  </r>
  <r>
    <s v="U04973"/>
    <x v="11"/>
    <n v="54"/>
    <s v="Male"/>
    <x v="2"/>
    <x v="1"/>
    <n v="16.350000000000001"/>
    <n v="1"/>
    <n v="3.5"/>
    <n v="13.22"/>
    <n v="19"/>
    <s v="Family"/>
    <n v="11"/>
    <n v="4"/>
    <n v="0"/>
  </r>
  <r>
    <s v="U04974"/>
    <x v="0"/>
    <n v="65"/>
    <s v="Male"/>
    <x v="0"/>
    <x v="0"/>
    <n v="8.48"/>
    <n v="2"/>
    <n v="3"/>
    <n v="7.66"/>
    <n v="81.2"/>
    <s v="Comedy"/>
    <n v="4"/>
    <n v="0"/>
    <n v="0"/>
  </r>
  <r>
    <s v="U04975"/>
    <x v="6"/>
    <n v="60"/>
    <s v="Female"/>
    <x v="1"/>
    <x v="4"/>
    <n v="8.26"/>
    <n v="4"/>
    <n v="1.1000000000000001"/>
    <n v="9.98"/>
    <n v="79.599999999999994"/>
    <s v="Drama"/>
    <n v="11"/>
    <n v="1"/>
    <n v="0"/>
  </r>
  <r>
    <s v="U04976"/>
    <x v="6"/>
    <n v="22"/>
    <s v="Male"/>
    <x v="1"/>
    <x v="4"/>
    <n v="20.28"/>
    <n v="5"/>
    <n v="1"/>
    <n v="13.31"/>
    <n v="46.7"/>
    <s v="Thriller"/>
    <n v="3"/>
    <n v="1"/>
    <n v="0"/>
  </r>
  <r>
    <s v="U04977"/>
    <x v="8"/>
    <n v="30"/>
    <s v="Male"/>
    <x v="2"/>
    <x v="4"/>
    <n v="16.84"/>
    <n v="1"/>
    <n v="6.3"/>
    <n v="7.87"/>
    <n v="83.9"/>
    <s v="Drama"/>
    <n v="11"/>
    <n v="1"/>
    <n v="0"/>
  </r>
  <r>
    <s v="U04978"/>
    <x v="11"/>
    <n v="45"/>
    <s v="Male"/>
    <x v="1"/>
    <x v="4"/>
    <n v="15.98"/>
    <n v="3"/>
    <n v="3.6"/>
    <n v="14.35"/>
    <n v="97.7"/>
    <s v="Drama"/>
    <n v="6"/>
    <n v="1"/>
    <n v="0"/>
  </r>
  <r>
    <s v="U04979"/>
    <x v="6"/>
    <n v="60"/>
    <s v="Female"/>
    <x v="1"/>
    <x v="3"/>
    <n v="14.32"/>
    <n v="2"/>
    <n v="2.5"/>
    <n v="17.149999999999999"/>
    <n v="97.3"/>
    <s v="Action"/>
    <n v="4"/>
    <n v="4"/>
    <n v="0"/>
  </r>
  <r>
    <s v="U04980"/>
    <x v="2"/>
    <n v="42"/>
    <s v="Male"/>
    <x v="2"/>
    <x v="4"/>
    <n v="19.5"/>
    <n v="4"/>
    <n v="7.2"/>
    <n v="22.25"/>
    <n v="98.3"/>
    <s v="Comedy"/>
    <n v="1"/>
    <n v="3"/>
    <n v="0"/>
  </r>
  <r>
    <s v="U04981"/>
    <x v="4"/>
    <n v="68"/>
    <s v="Female"/>
    <x v="1"/>
    <x v="3"/>
    <n v="22.16"/>
    <n v="4"/>
    <n v="5.8"/>
    <n v="7.65"/>
    <n v="86.2"/>
    <s v="Action"/>
    <n v="3"/>
    <n v="3"/>
    <n v="1"/>
  </r>
  <r>
    <s v="U04982"/>
    <x v="11"/>
    <n v="52"/>
    <s v="Female"/>
    <x v="0"/>
    <x v="3"/>
    <n v="11.06"/>
    <n v="2"/>
    <n v="9.1999999999999993"/>
    <n v="9.83"/>
    <n v="29.5"/>
    <s v="Drama"/>
    <n v="8"/>
    <n v="2"/>
    <n v="0"/>
  </r>
  <r>
    <s v="U04983"/>
    <x v="3"/>
    <n v="64"/>
    <s v="Female"/>
    <x v="1"/>
    <x v="1"/>
    <n v="9.42"/>
    <n v="1"/>
    <n v="8.5"/>
    <n v="11.93"/>
    <n v="15.2"/>
    <s v="Action"/>
    <n v="3"/>
    <n v="3"/>
    <n v="0"/>
  </r>
  <r>
    <s v="U04984"/>
    <x v="8"/>
    <n v="56"/>
    <s v="Female"/>
    <x v="1"/>
    <x v="0"/>
    <n v="18.399999999999999"/>
    <n v="2"/>
    <n v="7.5"/>
    <n v="7.94"/>
    <n v="83"/>
    <s v="Family"/>
    <n v="7"/>
    <n v="2"/>
    <n v="1"/>
  </r>
  <r>
    <s v="U04985"/>
    <x v="6"/>
    <n v="24"/>
    <s v="Female"/>
    <x v="1"/>
    <x v="3"/>
    <n v="23.29"/>
    <n v="4"/>
    <n v="2.1"/>
    <n v="10.3"/>
    <n v="37.799999999999997"/>
    <s v="Drama"/>
    <n v="2"/>
    <n v="1"/>
    <n v="0"/>
  </r>
  <r>
    <s v="U04986"/>
    <x v="8"/>
    <n v="55"/>
    <s v="Female"/>
    <x v="2"/>
    <x v="2"/>
    <n v="11.96"/>
    <n v="4"/>
    <n v="7"/>
    <n v="22.43"/>
    <n v="40.4"/>
    <s v="Drama"/>
    <n v="5"/>
    <n v="0"/>
    <n v="0"/>
  </r>
  <r>
    <s v="U04987"/>
    <x v="3"/>
    <n v="49"/>
    <s v="Female"/>
    <x v="1"/>
    <x v="3"/>
    <n v="10.45"/>
    <n v="3"/>
    <n v="7.2"/>
    <n v="6.05"/>
    <n v="16.600000000000001"/>
    <s v="Family"/>
    <n v="7"/>
    <n v="3"/>
    <n v="0"/>
  </r>
  <r>
    <s v="U04988"/>
    <x v="7"/>
    <n v="20"/>
    <s v="Male"/>
    <x v="1"/>
    <x v="2"/>
    <n v="9.52"/>
    <n v="3"/>
    <n v="7.9"/>
    <n v="12.76"/>
    <n v="74.3"/>
    <s v="Drama"/>
    <n v="1"/>
    <n v="3"/>
    <n v="0"/>
  </r>
  <r>
    <s v="U04989"/>
    <x v="7"/>
    <n v="62"/>
    <s v="Male"/>
    <x v="1"/>
    <x v="1"/>
    <n v="10.09"/>
    <n v="4"/>
    <n v="3.4"/>
    <n v="9.84"/>
    <n v="48.8"/>
    <s v="Thriller"/>
    <n v="11"/>
    <n v="1"/>
    <n v="0"/>
  </r>
  <r>
    <s v="U04990"/>
    <x v="9"/>
    <n v="56"/>
    <s v="Female"/>
    <x v="0"/>
    <x v="2"/>
    <n v="7.7"/>
    <n v="3"/>
    <n v="6.8"/>
    <n v="4.7"/>
    <n v="28.4"/>
    <s v="Thriller"/>
    <n v="1"/>
    <n v="1"/>
    <n v="0"/>
  </r>
  <r>
    <s v="U04991"/>
    <x v="11"/>
    <n v="54"/>
    <s v="Female"/>
    <x v="0"/>
    <x v="1"/>
    <n v="16.940000000000001"/>
    <n v="3"/>
    <n v="6.6"/>
    <n v="5.1100000000000003"/>
    <n v="68.7"/>
    <s v="Comedy"/>
    <n v="11"/>
    <n v="3"/>
    <n v="0"/>
  </r>
  <r>
    <s v="U04992"/>
    <x v="3"/>
    <n v="67"/>
    <s v="Female"/>
    <x v="2"/>
    <x v="1"/>
    <n v="10.62"/>
    <n v="3"/>
    <n v="4.5"/>
    <n v="20.27"/>
    <n v="98.2"/>
    <s v="Comedy"/>
    <n v="8"/>
    <n v="1"/>
    <n v="0"/>
  </r>
  <r>
    <s v="U04993"/>
    <x v="1"/>
    <n v="39"/>
    <s v="Female"/>
    <x v="1"/>
    <x v="1"/>
    <n v="17.3"/>
    <n v="4"/>
    <n v="7"/>
    <n v="21.75"/>
    <n v="54.9"/>
    <s v="Action"/>
    <n v="2"/>
    <n v="3"/>
    <n v="0"/>
  </r>
  <r>
    <s v="U04994"/>
    <x v="9"/>
    <n v="25"/>
    <s v="Female"/>
    <x v="0"/>
    <x v="2"/>
    <n v="6.66"/>
    <n v="1"/>
    <n v="1.8"/>
    <n v="19.309999999999999"/>
    <n v="64.599999999999994"/>
    <s v="Action"/>
    <n v="11"/>
    <n v="0"/>
    <n v="0"/>
  </r>
  <r>
    <s v="U04995"/>
    <x v="1"/>
    <n v="34"/>
    <s v="Female"/>
    <x v="0"/>
    <x v="2"/>
    <n v="7.31"/>
    <n v="1"/>
    <n v="6.8"/>
    <n v="14.86"/>
    <n v="24.7"/>
    <s v="Family"/>
    <n v="4"/>
    <n v="0"/>
    <n v="0"/>
  </r>
  <r>
    <s v="U04996"/>
    <x v="11"/>
    <n v="69"/>
    <s v="Male"/>
    <x v="1"/>
    <x v="1"/>
    <n v="15.72"/>
    <n v="5"/>
    <n v="6.5"/>
    <n v="20"/>
    <n v="24.5"/>
    <s v="Family"/>
    <n v="3"/>
    <n v="2"/>
    <n v="0"/>
  </r>
  <r>
    <s v="U04997"/>
    <x v="10"/>
    <n v="44"/>
    <s v="Male"/>
    <x v="2"/>
    <x v="1"/>
    <n v="15.23"/>
    <n v="3"/>
    <n v="2.9"/>
    <n v="6.34"/>
    <n v="51.2"/>
    <s v="Drama"/>
    <n v="5"/>
    <n v="3"/>
    <n v="0"/>
  </r>
  <r>
    <s v="U04998"/>
    <x v="8"/>
    <n v="50"/>
    <s v="Female"/>
    <x v="2"/>
    <x v="0"/>
    <n v="10.43"/>
    <n v="1"/>
    <n v="8.4"/>
    <n v="20.16"/>
    <n v="86"/>
    <s v="Comedy"/>
    <n v="2"/>
    <n v="0"/>
    <n v="0"/>
  </r>
  <r>
    <s v="U04999"/>
    <x v="8"/>
    <n v="63"/>
    <s v="Female"/>
    <x v="0"/>
    <x v="1"/>
    <n v="21.54"/>
    <n v="5"/>
    <n v="8.9"/>
    <n v="12.32"/>
    <n v="91.8"/>
    <s v="Comedy"/>
    <n v="6"/>
    <n v="0"/>
    <n v="1"/>
  </r>
  <r>
    <s v="U05000"/>
    <x v="7"/>
    <n v="34"/>
    <s v="Female"/>
    <x v="2"/>
    <x v="4"/>
    <n v="8.74"/>
    <n v="2"/>
    <n v="2.9"/>
    <n v="19.510000000000002"/>
    <n v="67.8"/>
    <s v="Comedy"/>
    <n v="8"/>
    <n v="4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BBDE3-E372-4473-AD14-E72E29E605A2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T58:U62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scription_Plan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55CBA-B06A-4046-AF87-4E48C3E5ABC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K6:AL10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bscription_Plan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1C911-0AFC-4C8D-94E4-64667BC381C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BB5:BC18" firstHeaderRow="1" firstDataRow="1" firstDataCol="1"/>
  <pivotFields count="15">
    <pivotField showAll="0"/>
    <pivotField axis="axisRow" showAll="0">
      <items count="13">
        <item x="10"/>
        <item x="8"/>
        <item x="6"/>
        <item x="1"/>
        <item x="4"/>
        <item x="7"/>
        <item x="0"/>
        <item x="3"/>
        <item x="11"/>
        <item x="5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Watch_Hours_Month" fld="10" subtotal="average" baseField="1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2CFB8-8ACE-4B51-850D-A4609AFE09B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P14:AQ17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2BA1D-690A-414C-BF37-05CDB6326D09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M59:AN62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208A00-2E20-4C93-834D-D2221AF1AF8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V7:AW11" firstHeaderRow="1" firstDataRow="1" firstDataCol="1"/>
  <pivotFields count="15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tisfaction_Score" fld="8" subtotal="average" baseField="4" baseItem="0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8E589-330D-4607-B66A-0509CC716D6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H15:CL22" firstHeaderRow="1" firstDataRow="2" firstDataCol="1"/>
  <pivotFields count="15"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Average of Watch_Hours_Month" fld="10" subtotal="average" baseField="5" baseItem="0"/>
  </dataFields>
  <chartFormats count="6">
    <chartFormat chart="0" format="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5001"/>
  <sheetViews>
    <sheetView tabSelected="1" topLeftCell="L49" zoomScale="82" workbookViewId="0">
      <selection activeCell="Y62" sqref="Y62"/>
    </sheetView>
  </sheetViews>
  <sheetFormatPr defaultRowHeight="14.4" x14ac:dyDescent="0.3"/>
  <cols>
    <col min="2" max="2" width="12.77734375" customWidth="1"/>
    <col min="5" max="5" width="15.44140625" customWidth="1"/>
    <col min="7" max="7" width="15.44140625" customWidth="1"/>
    <col min="8" max="8" width="15.88671875" customWidth="1"/>
    <col min="9" max="9" width="16.6640625" customWidth="1"/>
    <col min="10" max="10" width="17.5546875" customWidth="1"/>
    <col min="11" max="11" width="21.109375" customWidth="1"/>
    <col min="12" max="12" width="16.33203125" bestFit="1" customWidth="1"/>
    <col min="13" max="13" width="21.21875" customWidth="1"/>
    <col min="14" max="14" width="18.77734375" customWidth="1"/>
    <col min="19" max="19" width="11.77734375" customWidth="1"/>
    <col min="20" max="20" width="13" bestFit="1" customWidth="1"/>
    <col min="21" max="21" width="24.21875" bestFit="1" customWidth="1"/>
    <col min="25" max="25" width="17" customWidth="1"/>
    <col min="26" max="26" width="15.33203125" customWidth="1"/>
    <col min="29" max="29" width="16.109375" customWidth="1"/>
    <col min="30" max="30" width="18" customWidth="1"/>
    <col min="33" max="33" width="18.6640625" customWidth="1"/>
    <col min="34" max="34" width="16.44140625" customWidth="1"/>
    <col min="37" max="37" width="12.5546875" bestFit="1" customWidth="1"/>
    <col min="38" max="38" width="24.21875" bestFit="1" customWidth="1"/>
    <col min="39" max="39" width="13" bestFit="1" customWidth="1"/>
    <col min="40" max="40" width="15" bestFit="1" customWidth="1"/>
    <col min="41" max="41" width="21.44140625" customWidth="1"/>
    <col min="42" max="42" width="12.5546875" bestFit="1" customWidth="1"/>
    <col min="43" max="43" width="15" bestFit="1" customWidth="1"/>
    <col min="44" max="44" width="16.77734375" customWidth="1"/>
    <col min="48" max="48" width="13.44140625" bestFit="1" customWidth="1"/>
    <col min="49" max="49" width="27.21875" bestFit="1" customWidth="1"/>
    <col min="54" max="54" width="12.5546875" bestFit="1" customWidth="1"/>
    <col min="55" max="55" width="29.33203125" bestFit="1" customWidth="1"/>
    <col min="72" max="72" width="16.6640625" customWidth="1"/>
    <col min="73" max="73" width="12.77734375" customWidth="1"/>
    <col min="74" max="74" width="12.109375" customWidth="1"/>
    <col min="80" max="80" width="18.88671875" customWidth="1"/>
    <col min="81" max="81" width="25.109375" customWidth="1"/>
    <col min="82" max="82" width="20.33203125" customWidth="1"/>
    <col min="84" max="84" width="14.44140625" customWidth="1"/>
    <col min="85" max="85" width="14.33203125" customWidth="1"/>
    <col min="86" max="86" width="30.109375" bestFit="1" customWidth="1"/>
    <col min="87" max="87" width="16.109375" bestFit="1" customWidth="1"/>
    <col min="88" max="90" width="13.33203125" bestFit="1" customWidth="1"/>
  </cols>
  <sheetData>
    <row r="1" spans="1:9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90" x14ac:dyDescent="0.3">
      <c r="A2" t="s">
        <v>15</v>
      </c>
      <c r="B2">
        <v>7</v>
      </c>
      <c r="C2">
        <v>32</v>
      </c>
      <c r="D2" t="s">
        <v>5015</v>
      </c>
      <c r="E2" t="s">
        <v>5017</v>
      </c>
      <c r="F2" t="s">
        <v>5020</v>
      </c>
      <c r="G2">
        <v>7.68</v>
      </c>
      <c r="H2">
        <v>2</v>
      </c>
      <c r="I2">
        <v>8.1</v>
      </c>
      <c r="J2">
        <v>4.67</v>
      </c>
      <c r="K2">
        <v>30.5</v>
      </c>
      <c r="L2" t="s">
        <v>5025</v>
      </c>
      <c r="M2">
        <v>11</v>
      </c>
      <c r="N2">
        <v>4</v>
      </c>
      <c r="O2">
        <v>0</v>
      </c>
    </row>
    <row r="3" spans="1:90" x14ac:dyDescent="0.3">
      <c r="A3" t="s">
        <v>16</v>
      </c>
      <c r="B3">
        <v>4</v>
      </c>
      <c r="C3">
        <v>37</v>
      </c>
      <c r="D3" t="s">
        <v>5015</v>
      </c>
      <c r="E3" t="s">
        <v>5017</v>
      </c>
      <c r="F3" t="s">
        <v>5021</v>
      </c>
      <c r="G3">
        <v>21.39</v>
      </c>
      <c r="H3">
        <v>4</v>
      </c>
      <c r="I3">
        <v>3.9</v>
      </c>
      <c r="J3">
        <v>16.28</v>
      </c>
      <c r="K3">
        <v>84.9</v>
      </c>
      <c r="L3" t="s">
        <v>5029</v>
      </c>
      <c r="M3">
        <v>9</v>
      </c>
      <c r="N3">
        <v>4</v>
      </c>
      <c r="O3">
        <v>0</v>
      </c>
      <c r="S3" s="16" t="s">
        <v>5030</v>
      </c>
      <c r="T3" s="16"/>
      <c r="U3" s="16"/>
    </row>
    <row r="4" spans="1:90" x14ac:dyDescent="0.3">
      <c r="A4" t="s">
        <v>17</v>
      </c>
      <c r="B4">
        <v>11</v>
      </c>
      <c r="C4">
        <v>46</v>
      </c>
      <c r="D4" t="s">
        <v>5015</v>
      </c>
      <c r="E4" t="s">
        <v>5018</v>
      </c>
      <c r="F4" t="s">
        <v>5022</v>
      </c>
      <c r="G4">
        <v>12.61</v>
      </c>
      <c r="H4">
        <v>2</v>
      </c>
      <c r="I4">
        <v>8.3000000000000007</v>
      </c>
      <c r="J4">
        <v>13.56</v>
      </c>
      <c r="K4">
        <v>61.1</v>
      </c>
      <c r="L4" t="s">
        <v>5025</v>
      </c>
      <c r="M4">
        <v>4</v>
      </c>
      <c r="N4">
        <v>4</v>
      </c>
      <c r="O4">
        <v>1</v>
      </c>
      <c r="S4" s="2" t="s">
        <v>2</v>
      </c>
    </row>
    <row r="5" spans="1:90" x14ac:dyDescent="0.3">
      <c r="A5" t="s">
        <v>18</v>
      </c>
      <c r="B5">
        <v>8</v>
      </c>
      <c r="C5">
        <v>59</v>
      </c>
      <c r="D5" t="s">
        <v>5015</v>
      </c>
      <c r="E5" t="s">
        <v>5018</v>
      </c>
      <c r="F5" t="s">
        <v>5022</v>
      </c>
      <c r="G5">
        <v>15.55</v>
      </c>
      <c r="H5">
        <v>5</v>
      </c>
      <c r="I5">
        <v>4.5999999999999996</v>
      </c>
      <c r="J5">
        <v>12.41</v>
      </c>
      <c r="K5">
        <v>10.7</v>
      </c>
      <c r="L5" t="s">
        <v>5026</v>
      </c>
      <c r="M5">
        <v>6</v>
      </c>
      <c r="N5">
        <v>0</v>
      </c>
      <c r="O5">
        <v>0</v>
      </c>
      <c r="BB5" s="7" t="s">
        <v>5055</v>
      </c>
      <c r="BC5" s="3" t="s">
        <v>5065</v>
      </c>
    </row>
    <row r="6" spans="1:90" x14ac:dyDescent="0.3">
      <c r="A6" t="s">
        <v>19</v>
      </c>
      <c r="B6">
        <v>5</v>
      </c>
      <c r="C6">
        <v>46</v>
      </c>
      <c r="D6" t="s">
        <v>5015</v>
      </c>
      <c r="E6" t="s">
        <v>5017</v>
      </c>
      <c r="F6" t="s">
        <v>5020</v>
      </c>
      <c r="G6">
        <v>5.59</v>
      </c>
      <c r="H6">
        <v>5</v>
      </c>
      <c r="I6">
        <v>6</v>
      </c>
      <c r="J6">
        <v>19.739999999999998</v>
      </c>
      <c r="K6">
        <v>56.7</v>
      </c>
      <c r="L6" t="s">
        <v>5026</v>
      </c>
      <c r="M6">
        <v>3</v>
      </c>
      <c r="N6">
        <v>3</v>
      </c>
      <c r="O6">
        <v>0</v>
      </c>
      <c r="S6" s="3" t="s">
        <v>5031</v>
      </c>
      <c r="T6" s="3">
        <f>AVERAGE(C2:C50001)</f>
        <v>43.487200000000001</v>
      </c>
      <c r="AG6" s="8">
        <v>8.1</v>
      </c>
      <c r="AH6" s="8"/>
      <c r="AK6" s="7" t="s">
        <v>5055</v>
      </c>
      <c r="AL6" s="3" t="s">
        <v>5057</v>
      </c>
      <c r="AM6" s="3" t="s">
        <v>5058</v>
      </c>
      <c r="AO6" s="3" t="s">
        <v>5059</v>
      </c>
      <c r="AP6" s="3" t="s">
        <v>5060</v>
      </c>
      <c r="AQ6" s="3" t="s">
        <v>5061</v>
      </c>
      <c r="AR6" s="3" t="s">
        <v>5062</v>
      </c>
      <c r="BB6" s="6">
        <v>1</v>
      </c>
      <c r="BC6" s="3">
        <v>55.667108167770422</v>
      </c>
    </row>
    <row r="7" spans="1:90" x14ac:dyDescent="0.3">
      <c r="A7" t="s">
        <v>20</v>
      </c>
      <c r="B7">
        <v>7</v>
      </c>
      <c r="C7">
        <v>20</v>
      </c>
      <c r="D7" t="s">
        <v>5016</v>
      </c>
      <c r="E7" t="s">
        <v>5019</v>
      </c>
      <c r="F7" t="s">
        <v>5020</v>
      </c>
      <c r="G7">
        <v>6.17</v>
      </c>
      <c r="H7">
        <v>3</v>
      </c>
      <c r="I7">
        <v>2.6</v>
      </c>
      <c r="J7">
        <v>24.33</v>
      </c>
      <c r="K7">
        <v>37.9</v>
      </c>
      <c r="L7" t="s">
        <v>5029</v>
      </c>
      <c r="M7">
        <v>3</v>
      </c>
      <c r="N7">
        <v>2</v>
      </c>
      <c r="O7">
        <v>1</v>
      </c>
      <c r="S7" s="3" t="s">
        <v>5032</v>
      </c>
      <c r="T7" s="3">
        <f>MEDIAN(C2:C50001)</f>
        <v>43</v>
      </c>
      <c r="AC7" s="18"/>
      <c r="AD7" s="18"/>
      <c r="AG7" s="3"/>
      <c r="AH7" s="3"/>
      <c r="AK7" s="6" t="s">
        <v>5017</v>
      </c>
      <c r="AL7" s="3">
        <v>1504</v>
      </c>
      <c r="AM7" s="3">
        <f>GETPIVOTDATA("Subscription_Plan",$AK$6,"Subscription_Plan","Basic")/GETPIVOTDATA("Subscription_Plan",$AK$6)</f>
        <v>0.30080000000000001</v>
      </c>
      <c r="AO7" s="6" t="s">
        <v>5017</v>
      </c>
      <c r="AP7" s="3">
        <v>1504</v>
      </c>
      <c r="AQ7" s="3">
        <f>AP7/5000</f>
        <v>0.30080000000000001</v>
      </c>
      <c r="AR7" s="3">
        <f>AQ7*100</f>
        <v>30.080000000000002</v>
      </c>
      <c r="AV7" s="7" t="s">
        <v>5055</v>
      </c>
      <c r="AW7" s="3" t="s">
        <v>5063</v>
      </c>
      <c r="BB7" s="6">
        <v>2</v>
      </c>
      <c r="BC7" s="3">
        <v>54.225373134328365</v>
      </c>
    </row>
    <row r="8" spans="1:90" x14ac:dyDescent="0.3">
      <c r="A8" t="s">
        <v>21</v>
      </c>
      <c r="B8">
        <v>10</v>
      </c>
      <c r="C8">
        <v>36</v>
      </c>
      <c r="D8" t="s">
        <v>5015</v>
      </c>
      <c r="E8" t="s">
        <v>5018</v>
      </c>
      <c r="F8" t="s">
        <v>5021</v>
      </c>
      <c r="G8">
        <v>18.5</v>
      </c>
      <c r="H8">
        <v>2</v>
      </c>
      <c r="I8">
        <v>9.3000000000000007</v>
      </c>
      <c r="J8">
        <v>13.51</v>
      </c>
      <c r="K8">
        <v>15.2</v>
      </c>
      <c r="L8" t="s">
        <v>5025</v>
      </c>
      <c r="M8">
        <v>9</v>
      </c>
      <c r="N8">
        <v>1</v>
      </c>
      <c r="O8">
        <v>0</v>
      </c>
      <c r="S8" s="3" t="s">
        <v>5033</v>
      </c>
      <c r="T8" s="3">
        <f>MODE(C2:C50001)</f>
        <v>40</v>
      </c>
      <c r="AC8" s="3"/>
      <c r="AD8" s="3"/>
      <c r="AG8" s="3" t="s">
        <v>5031</v>
      </c>
      <c r="AH8" s="3">
        <v>5.5420284056811457</v>
      </c>
      <c r="AK8" s="6" t="s">
        <v>5019</v>
      </c>
      <c r="AL8" s="3">
        <v>1498</v>
      </c>
      <c r="AM8" s="3">
        <f>GETPIVOTDATA("Subscription_Plan",$AK$6,"Subscription_Plan","Premium")/GETPIVOTDATA("Subscription_Plan",$AK$6)</f>
        <v>0.29959999999999998</v>
      </c>
      <c r="AO8" s="6" t="s">
        <v>5019</v>
      </c>
      <c r="AP8" s="3">
        <v>1498</v>
      </c>
      <c r="AQ8" s="3">
        <f t="shared" ref="AQ8" si="0">AP8/5000</f>
        <v>0.29959999999999998</v>
      </c>
      <c r="AR8" s="3">
        <f t="shared" ref="AR8:AR9" si="1">AQ8*100</f>
        <v>29.959999999999997</v>
      </c>
      <c r="AV8" s="6" t="s">
        <v>5017</v>
      </c>
      <c r="AW8" s="3">
        <v>5.5786569148936094</v>
      </c>
      <c r="BB8" s="6">
        <v>3</v>
      </c>
      <c r="BC8" s="3">
        <v>54.926036866359418</v>
      </c>
      <c r="CB8" s="9" t="s">
        <v>5066</v>
      </c>
      <c r="CC8" s="9" t="s">
        <v>5074</v>
      </c>
      <c r="CD8" s="9" t="s">
        <v>5072</v>
      </c>
    </row>
    <row r="9" spans="1:90" x14ac:dyDescent="0.3">
      <c r="A9" t="s">
        <v>22</v>
      </c>
      <c r="B9">
        <v>3</v>
      </c>
      <c r="C9">
        <v>20</v>
      </c>
      <c r="D9" t="s">
        <v>5015</v>
      </c>
      <c r="E9" t="s">
        <v>5019</v>
      </c>
      <c r="F9" t="s">
        <v>5023</v>
      </c>
      <c r="G9">
        <v>20.34</v>
      </c>
      <c r="H9">
        <v>3</v>
      </c>
      <c r="I9">
        <v>7.3</v>
      </c>
      <c r="J9">
        <v>3.14</v>
      </c>
      <c r="K9">
        <v>50.3</v>
      </c>
      <c r="L9" t="s">
        <v>5025</v>
      </c>
      <c r="M9">
        <v>9</v>
      </c>
      <c r="N9">
        <v>2</v>
      </c>
      <c r="O9">
        <v>0</v>
      </c>
      <c r="S9" s="3" t="s">
        <v>5034</v>
      </c>
      <c r="T9" s="3">
        <f>MAX(C2:C5001)</f>
        <v>69</v>
      </c>
      <c r="Y9" s="17" t="s">
        <v>5054</v>
      </c>
      <c r="Z9" s="17"/>
      <c r="AC9" s="3" t="s">
        <v>5031</v>
      </c>
      <c r="AD9" s="3">
        <v>14.974694938987739</v>
      </c>
      <c r="AG9" s="3" t="s">
        <v>5047</v>
      </c>
      <c r="AH9" s="3">
        <v>3.6602324026962105E-2</v>
      </c>
      <c r="AK9" s="6" t="s">
        <v>5018</v>
      </c>
      <c r="AL9" s="3">
        <v>1998</v>
      </c>
      <c r="AM9" s="3">
        <f>GETPIVOTDATA("Subscription_Plan",$AK$6,"Subscription_Plan","Standard")/GETPIVOTDATA("Subscription_Plan",$AK$6)</f>
        <v>0.39960000000000001</v>
      </c>
      <c r="AO9" s="6" t="s">
        <v>5018</v>
      </c>
      <c r="AP9" s="3">
        <v>1998</v>
      </c>
      <c r="AQ9" s="3"/>
      <c r="AR9" s="3">
        <f t="shared" si="1"/>
        <v>0</v>
      </c>
      <c r="AV9" s="6" t="s">
        <v>5019</v>
      </c>
      <c r="AW9" s="3">
        <v>5.51415220293726</v>
      </c>
      <c r="BB9" s="6">
        <v>4</v>
      </c>
      <c r="BC9" s="3">
        <v>56.387684729064013</v>
      </c>
      <c r="CB9" s="3"/>
      <c r="CC9" s="3"/>
      <c r="CD9" s="3">
        <v>0</v>
      </c>
    </row>
    <row r="10" spans="1:90" x14ac:dyDescent="0.3">
      <c r="A10" t="s">
        <v>23</v>
      </c>
      <c r="B10">
        <v>7</v>
      </c>
      <c r="C10">
        <v>31</v>
      </c>
      <c r="D10" t="s">
        <v>5016</v>
      </c>
      <c r="E10" t="s">
        <v>5019</v>
      </c>
      <c r="F10" t="s">
        <v>5024</v>
      </c>
      <c r="G10">
        <v>19.2</v>
      </c>
      <c r="H10">
        <v>4</v>
      </c>
      <c r="I10">
        <v>8.6999999999999993</v>
      </c>
      <c r="J10">
        <v>16.12</v>
      </c>
      <c r="K10">
        <v>38</v>
      </c>
      <c r="L10" t="s">
        <v>5027</v>
      </c>
      <c r="M10">
        <v>3</v>
      </c>
      <c r="N10">
        <v>0</v>
      </c>
      <c r="O10">
        <v>1</v>
      </c>
      <c r="S10" s="3" t="s">
        <v>5035</v>
      </c>
      <c r="T10" s="3">
        <f>MIN(C2:C5001)</f>
        <v>18</v>
      </c>
      <c r="Y10" s="3" t="s">
        <v>5031</v>
      </c>
      <c r="Z10" s="3">
        <v>13.888521704340862</v>
      </c>
      <c r="AC10" s="3" t="s">
        <v>5047</v>
      </c>
      <c r="AD10" s="3">
        <v>8.185491768307461E-2</v>
      </c>
      <c r="AG10" s="3" t="s">
        <v>5048</v>
      </c>
      <c r="AH10" s="3">
        <v>5.6</v>
      </c>
      <c r="AK10" s="6" t="s">
        <v>5056</v>
      </c>
      <c r="AL10" s="3">
        <v>5000</v>
      </c>
      <c r="AM10" s="3"/>
      <c r="AO10" s="5"/>
      <c r="AV10" s="6" t="s">
        <v>5018</v>
      </c>
      <c r="AW10" s="3">
        <v>5.5366366366366364</v>
      </c>
      <c r="BB10" s="6">
        <v>5</v>
      </c>
      <c r="BC10" s="3">
        <v>55.46643518518519</v>
      </c>
      <c r="CB10" s="3" t="s">
        <v>5067</v>
      </c>
      <c r="CC10" s="3">
        <f>CD10/5000</f>
        <v>0.2324</v>
      </c>
      <c r="CD10" s="3">
        <v>1162</v>
      </c>
    </row>
    <row r="11" spans="1:90" x14ac:dyDescent="0.3">
      <c r="A11" t="s">
        <v>24</v>
      </c>
      <c r="B11">
        <v>11</v>
      </c>
      <c r="C11">
        <v>57</v>
      </c>
      <c r="D11" t="s">
        <v>5015</v>
      </c>
      <c r="E11" t="s">
        <v>5019</v>
      </c>
      <c r="F11" t="s">
        <v>5022</v>
      </c>
      <c r="G11">
        <v>19.739999999999998</v>
      </c>
      <c r="H11">
        <v>3</v>
      </c>
      <c r="I11">
        <v>2.9</v>
      </c>
      <c r="J11">
        <v>17.39</v>
      </c>
      <c r="K11">
        <v>28.4</v>
      </c>
      <c r="L11" t="s">
        <v>5028</v>
      </c>
      <c r="M11">
        <v>3</v>
      </c>
      <c r="N11">
        <v>1</v>
      </c>
      <c r="O11">
        <v>0</v>
      </c>
      <c r="S11" s="3" t="s">
        <v>5036</v>
      </c>
      <c r="T11" s="3">
        <f>T9-T10</f>
        <v>51</v>
      </c>
      <c r="Y11" s="3" t="s">
        <v>5047</v>
      </c>
      <c r="Z11" s="3">
        <v>8.9792643625788884E-2</v>
      </c>
      <c r="AC11" s="3" t="s">
        <v>5048</v>
      </c>
      <c r="AD11" s="3">
        <v>14.89</v>
      </c>
      <c r="AG11" s="3" t="s">
        <v>5049</v>
      </c>
      <c r="AH11" s="3">
        <v>7.1</v>
      </c>
      <c r="AV11" s="6" t="s">
        <v>5056</v>
      </c>
      <c r="AW11" s="3">
        <v>5.5425400000000078</v>
      </c>
      <c r="BB11" s="6">
        <v>6</v>
      </c>
      <c r="BC11" s="3">
        <v>53.800237529691216</v>
      </c>
      <c r="BT11" s="9" t="s">
        <v>5066</v>
      </c>
      <c r="BU11" s="9" t="s">
        <v>5072</v>
      </c>
      <c r="BV11" s="9" t="s">
        <v>5073</v>
      </c>
      <c r="CB11" s="3" t="s">
        <v>5068</v>
      </c>
      <c r="CC11" s="3">
        <f t="shared" ref="CC11:CC14" si="2">CD11/5000</f>
        <v>0.2306</v>
      </c>
      <c r="CD11" s="3">
        <v>1153</v>
      </c>
    </row>
    <row r="12" spans="1:90" x14ac:dyDescent="0.3">
      <c r="A12" t="s">
        <v>25</v>
      </c>
      <c r="B12">
        <v>11</v>
      </c>
      <c r="C12">
        <v>21</v>
      </c>
      <c r="D12" t="s">
        <v>5015</v>
      </c>
      <c r="E12" t="s">
        <v>5018</v>
      </c>
      <c r="F12" t="s">
        <v>5020</v>
      </c>
      <c r="G12">
        <v>7.09</v>
      </c>
      <c r="H12">
        <v>2</v>
      </c>
      <c r="I12">
        <v>1.6</v>
      </c>
      <c r="J12">
        <v>21.22</v>
      </c>
      <c r="K12">
        <v>41.4</v>
      </c>
      <c r="L12" t="s">
        <v>5029</v>
      </c>
      <c r="M12">
        <v>6</v>
      </c>
      <c r="N12">
        <v>0</v>
      </c>
      <c r="O12">
        <v>0</v>
      </c>
      <c r="S12" s="3" t="s">
        <v>5037</v>
      </c>
      <c r="T12" s="3">
        <f>QUARTILE(C2:C5001,1)</f>
        <v>31</v>
      </c>
      <c r="Y12" s="3" t="s">
        <v>5048</v>
      </c>
      <c r="Z12" s="3">
        <v>13.86</v>
      </c>
      <c r="AC12" s="3" t="s">
        <v>5049</v>
      </c>
      <c r="AD12" s="3">
        <v>7.71</v>
      </c>
      <c r="AG12" s="3" t="s">
        <v>5050</v>
      </c>
      <c r="AH12" s="3">
        <v>2.5879163222077839</v>
      </c>
      <c r="BB12" s="6">
        <v>7</v>
      </c>
      <c r="BC12" s="3">
        <v>54.462690355329983</v>
      </c>
      <c r="BT12" s="3"/>
      <c r="BU12" s="3">
        <v>0</v>
      </c>
      <c r="BV12" s="3">
        <v>0.5</v>
      </c>
      <c r="CB12" s="3" t="s">
        <v>5069</v>
      </c>
      <c r="CC12" s="3">
        <f t="shared" si="2"/>
        <v>0.22939999999999999</v>
      </c>
      <c r="CD12" s="3">
        <v>1147</v>
      </c>
    </row>
    <row r="13" spans="1:90" x14ac:dyDescent="0.3">
      <c r="A13" t="s">
        <v>26</v>
      </c>
      <c r="B13">
        <v>8</v>
      </c>
      <c r="C13">
        <v>69</v>
      </c>
      <c r="D13" t="s">
        <v>5016</v>
      </c>
      <c r="E13" t="s">
        <v>5018</v>
      </c>
      <c r="F13" t="s">
        <v>5024</v>
      </c>
      <c r="G13">
        <v>18.87</v>
      </c>
      <c r="H13">
        <v>5</v>
      </c>
      <c r="I13">
        <v>4</v>
      </c>
      <c r="J13">
        <v>7.39</v>
      </c>
      <c r="K13">
        <v>26.2</v>
      </c>
      <c r="L13" t="s">
        <v>5025</v>
      </c>
      <c r="M13">
        <v>1</v>
      </c>
      <c r="N13">
        <v>2</v>
      </c>
      <c r="O13">
        <v>1</v>
      </c>
      <c r="S13" s="3" t="s">
        <v>5045</v>
      </c>
      <c r="T13" s="3">
        <f>QUARTILE(C2:C5001,3)</f>
        <v>56</v>
      </c>
      <c r="Y13" s="3" t="s">
        <v>5049</v>
      </c>
      <c r="Z13" s="3">
        <v>7.17</v>
      </c>
      <c r="AC13" s="3" t="s">
        <v>5050</v>
      </c>
      <c r="AD13" s="3">
        <v>5.7874379061002195</v>
      </c>
      <c r="AG13" s="3" t="s">
        <v>5051</v>
      </c>
      <c r="AH13" s="3">
        <v>6.6973108907494616</v>
      </c>
      <c r="BB13" s="6">
        <v>8</v>
      </c>
      <c r="BC13" s="3">
        <v>55.373860911271009</v>
      </c>
      <c r="BT13" s="3" t="s">
        <v>5067</v>
      </c>
      <c r="BU13" s="3">
        <v>1162</v>
      </c>
      <c r="BV13" s="3">
        <v>5.5</v>
      </c>
      <c r="CB13" s="3" t="s">
        <v>5070</v>
      </c>
      <c r="CC13" s="3">
        <f t="shared" si="2"/>
        <v>0.2172</v>
      </c>
      <c r="CD13" s="3">
        <v>1086</v>
      </c>
    </row>
    <row r="14" spans="1:90" x14ac:dyDescent="0.3">
      <c r="A14" t="s">
        <v>27</v>
      </c>
      <c r="B14">
        <v>5</v>
      </c>
      <c r="C14">
        <v>28</v>
      </c>
      <c r="D14" t="s">
        <v>5016</v>
      </c>
      <c r="E14" t="s">
        <v>5018</v>
      </c>
      <c r="F14" t="s">
        <v>5024</v>
      </c>
      <c r="G14">
        <v>8.6300000000000008</v>
      </c>
      <c r="H14">
        <v>4</v>
      </c>
      <c r="I14">
        <v>5.7</v>
      </c>
      <c r="J14">
        <v>14.54</v>
      </c>
      <c r="K14">
        <v>37</v>
      </c>
      <c r="L14" t="s">
        <v>5028</v>
      </c>
      <c r="M14">
        <v>5</v>
      </c>
      <c r="N14">
        <v>1</v>
      </c>
      <c r="O14">
        <v>0</v>
      </c>
      <c r="S14" s="3" t="s">
        <v>5038</v>
      </c>
      <c r="T14" s="3">
        <f>T13-T12</f>
        <v>25</v>
      </c>
      <c r="Y14" s="3" t="s">
        <v>5050</v>
      </c>
      <c r="Z14" s="3">
        <v>6.3486637592244808</v>
      </c>
      <c r="AC14" s="3" t="s">
        <v>5051</v>
      </c>
      <c r="AD14" s="3">
        <v>33.494437516965696</v>
      </c>
      <c r="AG14" s="3" t="s">
        <v>5042</v>
      </c>
      <c r="AH14" s="3">
        <v>-1.1950981503924862</v>
      </c>
      <c r="AP14" s="7" t="s">
        <v>5055</v>
      </c>
      <c r="AQ14" s="3" t="s">
        <v>5064</v>
      </c>
      <c r="BB14" s="6">
        <v>9</v>
      </c>
      <c r="BC14" s="3">
        <v>52.896904761904779</v>
      </c>
      <c r="BT14" s="3" t="s">
        <v>5068</v>
      </c>
      <c r="BU14" s="3">
        <v>1153</v>
      </c>
      <c r="BV14" s="3">
        <v>10.5</v>
      </c>
      <c r="CB14" s="3" t="s">
        <v>5071</v>
      </c>
      <c r="CC14" s="3">
        <f t="shared" si="2"/>
        <v>9.0399999999999994E-2</v>
      </c>
      <c r="CD14" s="3">
        <v>452</v>
      </c>
    </row>
    <row r="15" spans="1:90" x14ac:dyDescent="0.3">
      <c r="A15" t="s">
        <v>28</v>
      </c>
      <c r="B15">
        <v>4</v>
      </c>
      <c r="C15">
        <v>48</v>
      </c>
      <c r="D15" t="s">
        <v>5015</v>
      </c>
      <c r="E15" t="s">
        <v>5018</v>
      </c>
      <c r="F15" t="s">
        <v>5024</v>
      </c>
      <c r="G15">
        <v>6.96</v>
      </c>
      <c r="H15">
        <v>2</v>
      </c>
      <c r="I15">
        <v>8.1999999999999993</v>
      </c>
      <c r="J15">
        <v>12.84</v>
      </c>
      <c r="K15">
        <v>20.399999999999999</v>
      </c>
      <c r="L15" t="s">
        <v>5029</v>
      </c>
      <c r="M15">
        <v>9</v>
      </c>
      <c r="N15">
        <v>2</v>
      </c>
      <c r="O15">
        <v>0</v>
      </c>
      <c r="S15" s="3" t="s">
        <v>5039</v>
      </c>
      <c r="T15" s="3">
        <f>VAR(C2:C5001)</f>
        <v>220.65636743348674</v>
      </c>
      <c r="Y15" s="3" t="s">
        <v>5051</v>
      </c>
      <c r="Z15" s="3">
        <v>40.30553152769032</v>
      </c>
      <c r="AC15" s="3" t="s">
        <v>5042</v>
      </c>
      <c r="AD15" s="3">
        <v>-1.2148440220488879</v>
      </c>
      <c r="AG15" s="3" t="s">
        <v>5041</v>
      </c>
      <c r="AH15" s="3">
        <v>-3.5569492373512368E-2</v>
      </c>
      <c r="AP15" s="6" t="s">
        <v>5015</v>
      </c>
      <c r="AQ15" s="3">
        <v>2447</v>
      </c>
      <c r="BB15" s="6">
        <v>10</v>
      </c>
      <c r="BC15" s="3">
        <v>56.971960297766721</v>
      </c>
      <c r="BT15" s="3" t="s">
        <v>5069</v>
      </c>
      <c r="BU15" s="3">
        <v>1147</v>
      </c>
      <c r="BV15" s="3">
        <v>15.5</v>
      </c>
      <c r="CB15" s="3"/>
      <c r="CC15" s="3"/>
      <c r="CD15" s="3">
        <v>0</v>
      </c>
      <c r="CH15" s="4" t="s">
        <v>5065</v>
      </c>
      <c r="CI15" s="4" t="s">
        <v>5075</v>
      </c>
    </row>
    <row r="16" spans="1:90" x14ac:dyDescent="0.3">
      <c r="A16" t="s">
        <v>29</v>
      </c>
      <c r="B16">
        <v>8</v>
      </c>
      <c r="C16">
        <v>60</v>
      </c>
      <c r="D16" t="s">
        <v>5016</v>
      </c>
      <c r="E16" t="s">
        <v>5018</v>
      </c>
      <c r="F16" t="s">
        <v>5023</v>
      </c>
      <c r="G16">
        <v>20.14</v>
      </c>
      <c r="H16">
        <v>4</v>
      </c>
      <c r="I16">
        <v>4.5999999999999996</v>
      </c>
      <c r="J16">
        <v>17.62</v>
      </c>
      <c r="K16">
        <v>17.600000000000001</v>
      </c>
      <c r="L16" t="s">
        <v>5025</v>
      </c>
      <c r="M16">
        <v>9</v>
      </c>
      <c r="N16">
        <v>3</v>
      </c>
      <c r="O16">
        <v>0</v>
      </c>
      <c r="S16" s="3" t="s">
        <v>5040</v>
      </c>
      <c r="T16" s="3">
        <f>SQRT(T15)</f>
        <v>14.854506637161894</v>
      </c>
      <c r="Y16" s="3" t="s">
        <v>5042</v>
      </c>
      <c r="Z16" s="3">
        <v>-1.1876452196456631</v>
      </c>
      <c r="AC16" s="3" t="s">
        <v>5041</v>
      </c>
      <c r="AD16" s="3">
        <v>2.3050403399017823E-2</v>
      </c>
      <c r="AG16" s="3" t="s">
        <v>5036</v>
      </c>
      <c r="AH16" s="3">
        <v>9</v>
      </c>
      <c r="AP16" s="6" t="s">
        <v>5016</v>
      </c>
      <c r="AQ16" s="3">
        <v>2553</v>
      </c>
      <c r="BB16" s="6">
        <v>11</v>
      </c>
      <c r="BC16" s="3">
        <v>54.478306878306867</v>
      </c>
      <c r="BT16" s="3" t="s">
        <v>5070</v>
      </c>
      <c r="BU16" s="3">
        <v>1086</v>
      </c>
      <c r="BV16" s="3">
        <v>20.5</v>
      </c>
      <c r="CH16" s="4" t="s">
        <v>5055</v>
      </c>
      <c r="CI16" t="s">
        <v>5017</v>
      </c>
      <c r="CJ16" t="s">
        <v>5019</v>
      </c>
      <c r="CK16" t="s">
        <v>5018</v>
      </c>
      <c r="CL16" t="s">
        <v>5056</v>
      </c>
    </row>
    <row r="17" spans="1:90" x14ac:dyDescent="0.3">
      <c r="A17" t="s">
        <v>30</v>
      </c>
      <c r="B17">
        <v>8</v>
      </c>
      <c r="C17">
        <v>49</v>
      </c>
      <c r="D17" t="s">
        <v>5015</v>
      </c>
      <c r="E17" t="s">
        <v>5019</v>
      </c>
      <c r="F17" t="s">
        <v>5020</v>
      </c>
      <c r="G17">
        <v>22.79</v>
      </c>
      <c r="H17">
        <v>1</v>
      </c>
      <c r="I17">
        <v>3.4</v>
      </c>
      <c r="J17">
        <v>4.41</v>
      </c>
      <c r="K17">
        <v>91.9</v>
      </c>
      <c r="L17" t="s">
        <v>5026</v>
      </c>
      <c r="M17">
        <v>8</v>
      </c>
      <c r="N17">
        <v>0</v>
      </c>
      <c r="O17">
        <v>0</v>
      </c>
      <c r="S17" s="3" t="s">
        <v>5041</v>
      </c>
      <c r="T17" s="3">
        <f>SKEW(C2:C5001)</f>
        <v>1.6088623451559411E-2</v>
      </c>
      <c r="Y17" s="3" t="s">
        <v>5041</v>
      </c>
      <c r="Z17" s="3">
        <v>3.1417327565239704E-2</v>
      </c>
      <c r="AC17" s="3" t="s">
        <v>5036</v>
      </c>
      <c r="AD17" s="3">
        <v>19.989999999999998</v>
      </c>
      <c r="AG17" s="3" t="s">
        <v>5035</v>
      </c>
      <c r="AH17" s="3">
        <v>1</v>
      </c>
      <c r="AP17" s="6" t="s">
        <v>5056</v>
      </c>
      <c r="AQ17" s="3">
        <v>5000</v>
      </c>
      <c r="BB17" s="6">
        <v>12</v>
      </c>
      <c r="BC17" s="3">
        <v>55.267500000000034</v>
      </c>
      <c r="BT17" s="3" t="s">
        <v>5071</v>
      </c>
      <c r="BU17" s="3">
        <v>452</v>
      </c>
      <c r="BV17" s="3">
        <v>25.5</v>
      </c>
      <c r="CH17" s="5" t="s">
        <v>5024</v>
      </c>
      <c r="CI17">
        <v>56.779783393501795</v>
      </c>
      <c r="CJ17">
        <v>54.372401433691728</v>
      </c>
      <c r="CK17">
        <v>55.702010050251239</v>
      </c>
      <c r="CL17">
        <v>55.626100628930843</v>
      </c>
    </row>
    <row r="18" spans="1:90" x14ac:dyDescent="0.3">
      <c r="A18" t="s">
        <v>31</v>
      </c>
      <c r="B18">
        <v>3</v>
      </c>
      <c r="C18">
        <v>44</v>
      </c>
      <c r="D18" t="s">
        <v>5016</v>
      </c>
      <c r="E18" t="s">
        <v>5019</v>
      </c>
      <c r="F18" t="s">
        <v>5022</v>
      </c>
      <c r="G18">
        <v>19.329999999999998</v>
      </c>
      <c r="H18">
        <v>2</v>
      </c>
      <c r="I18">
        <v>4.4000000000000004</v>
      </c>
      <c r="J18">
        <v>22.45</v>
      </c>
      <c r="K18">
        <v>91.2</v>
      </c>
      <c r="L18" t="s">
        <v>5025</v>
      </c>
      <c r="M18">
        <v>6</v>
      </c>
      <c r="N18">
        <v>3</v>
      </c>
      <c r="O18">
        <v>0</v>
      </c>
      <c r="S18" s="3" t="s">
        <v>5042</v>
      </c>
      <c r="T18" s="3">
        <f>KURT(C2:C5001)</f>
        <v>-1.1825048282232513</v>
      </c>
      <c r="Y18" s="3" t="s">
        <v>5036</v>
      </c>
      <c r="Z18" s="3">
        <v>22</v>
      </c>
      <c r="AC18" s="3" t="s">
        <v>5035</v>
      </c>
      <c r="AD18" s="3">
        <v>5</v>
      </c>
      <c r="AG18" s="3" t="s">
        <v>5034</v>
      </c>
      <c r="AH18" s="3">
        <v>10</v>
      </c>
      <c r="BB18" s="6" t="s">
        <v>5056</v>
      </c>
      <c r="BC18" s="3">
        <v>54.998920000000098</v>
      </c>
      <c r="BT18" s="3"/>
      <c r="BU18" s="3">
        <v>0</v>
      </c>
      <c r="BV18" s="3">
        <v>30.5</v>
      </c>
      <c r="CH18" s="5" t="s">
        <v>5022</v>
      </c>
      <c r="CI18">
        <v>55.811688311688322</v>
      </c>
      <c r="CJ18">
        <v>56.032659932659946</v>
      </c>
      <c r="CK18">
        <v>55.019021739130444</v>
      </c>
      <c r="CL18">
        <v>55.57934224049329</v>
      </c>
    </row>
    <row r="19" spans="1:90" x14ac:dyDescent="0.3">
      <c r="A19" t="s">
        <v>32</v>
      </c>
      <c r="B19">
        <v>6</v>
      </c>
      <c r="C19">
        <v>47</v>
      </c>
      <c r="D19" t="s">
        <v>5015</v>
      </c>
      <c r="E19" t="s">
        <v>5019</v>
      </c>
      <c r="F19" t="s">
        <v>5020</v>
      </c>
      <c r="G19">
        <v>21.11</v>
      </c>
      <c r="H19">
        <v>1</v>
      </c>
      <c r="I19">
        <v>7.3</v>
      </c>
      <c r="J19">
        <v>14.25</v>
      </c>
      <c r="K19">
        <v>84.5</v>
      </c>
      <c r="L19" t="s">
        <v>5026</v>
      </c>
      <c r="M19">
        <v>9</v>
      </c>
      <c r="N19">
        <v>3</v>
      </c>
      <c r="O19">
        <v>0</v>
      </c>
      <c r="S19" s="3" t="s">
        <v>5046</v>
      </c>
      <c r="T19" s="3">
        <f>PERCENTILE(C2:C5001,0.39)</f>
        <v>38</v>
      </c>
      <c r="Y19" s="3" t="s">
        <v>5035</v>
      </c>
      <c r="Z19" s="3">
        <v>3</v>
      </c>
      <c r="AC19" s="3" t="s">
        <v>5034</v>
      </c>
      <c r="AD19" s="3">
        <v>24.99</v>
      </c>
      <c r="AG19" s="3" t="s">
        <v>5052</v>
      </c>
      <c r="AH19" s="3">
        <v>27704.600000000046</v>
      </c>
      <c r="CH19" s="5" t="s">
        <v>5021</v>
      </c>
      <c r="CI19">
        <v>54.580333333333343</v>
      </c>
      <c r="CJ19">
        <v>55.577377049180313</v>
      </c>
      <c r="CK19">
        <v>55.41124121779864</v>
      </c>
      <c r="CL19">
        <v>55.218798449612422</v>
      </c>
    </row>
    <row r="20" spans="1:90" x14ac:dyDescent="0.3">
      <c r="A20" t="s">
        <v>33</v>
      </c>
      <c r="B20">
        <v>5</v>
      </c>
      <c r="C20">
        <v>60</v>
      </c>
      <c r="D20" t="s">
        <v>5015</v>
      </c>
      <c r="E20" t="s">
        <v>5019</v>
      </c>
      <c r="F20" t="s">
        <v>5021</v>
      </c>
      <c r="G20">
        <v>24.82</v>
      </c>
      <c r="H20">
        <v>3</v>
      </c>
      <c r="I20">
        <v>4</v>
      </c>
      <c r="J20">
        <v>22.29</v>
      </c>
      <c r="K20">
        <v>30.7</v>
      </c>
      <c r="L20" t="s">
        <v>5026</v>
      </c>
      <c r="M20">
        <v>3</v>
      </c>
      <c r="N20">
        <v>2</v>
      </c>
      <c r="O20">
        <v>0</v>
      </c>
      <c r="S20" s="3" t="s">
        <v>5043</v>
      </c>
      <c r="T20" s="3">
        <f>PERCENTILE(C2:C5001,0.85)</f>
        <v>62</v>
      </c>
      <c r="Y20" s="3" t="s">
        <v>5034</v>
      </c>
      <c r="Z20" s="3">
        <v>25</v>
      </c>
      <c r="AC20" s="3" t="s">
        <v>5052</v>
      </c>
      <c r="AD20" s="3">
        <v>74858.499999999709</v>
      </c>
      <c r="AG20" s="3" t="s">
        <v>5053</v>
      </c>
      <c r="AH20" s="3">
        <v>4999</v>
      </c>
      <c r="CH20" s="5" t="s">
        <v>5023</v>
      </c>
      <c r="CI20">
        <v>54.279354838709686</v>
      </c>
      <c r="CJ20">
        <v>54.475850340136049</v>
      </c>
      <c r="CK20">
        <v>55.676455696202552</v>
      </c>
      <c r="CL20">
        <v>54.889589589589562</v>
      </c>
    </row>
    <row r="21" spans="1:90" x14ac:dyDescent="0.3">
      <c r="A21" t="s">
        <v>34</v>
      </c>
      <c r="B21">
        <v>2</v>
      </c>
      <c r="C21">
        <v>19</v>
      </c>
      <c r="D21" t="s">
        <v>5015</v>
      </c>
      <c r="E21" t="s">
        <v>5017</v>
      </c>
      <c r="F21" t="s">
        <v>5022</v>
      </c>
      <c r="G21">
        <v>7.7</v>
      </c>
      <c r="H21">
        <v>2</v>
      </c>
      <c r="I21">
        <v>9.8000000000000007</v>
      </c>
      <c r="J21">
        <v>10.49</v>
      </c>
      <c r="K21">
        <v>75.3</v>
      </c>
      <c r="L21" t="s">
        <v>5027</v>
      </c>
      <c r="M21">
        <v>9</v>
      </c>
      <c r="N21">
        <v>2</v>
      </c>
      <c r="O21">
        <v>1</v>
      </c>
      <c r="S21" s="3" t="s">
        <v>5044</v>
      </c>
      <c r="T21" s="3">
        <f>PERCENTILE(C2:C5001,0.7)</f>
        <v>54</v>
      </c>
      <c r="Y21" s="3" t="s">
        <v>5052</v>
      </c>
      <c r="Z21" s="3">
        <v>69428.719999999972</v>
      </c>
      <c r="AC21" s="3" t="s">
        <v>5053</v>
      </c>
      <c r="AD21" s="3">
        <v>4999</v>
      </c>
      <c r="CH21" s="5" t="s">
        <v>5020</v>
      </c>
      <c r="CI21">
        <v>54.679935275080851</v>
      </c>
      <c r="CJ21">
        <v>53.21888544891641</v>
      </c>
      <c r="CK21">
        <v>53.517804878048779</v>
      </c>
      <c r="CL21">
        <v>53.769769673704481</v>
      </c>
    </row>
    <row r="22" spans="1:90" x14ac:dyDescent="0.3">
      <c r="A22" t="s">
        <v>35</v>
      </c>
      <c r="B22">
        <v>8</v>
      </c>
      <c r="C22">
        <v>66</v>
      </c>
      <c r="D22" t="s">
        <v>5016</v>
      </c>
      <c r="E22" t="s">
        <v>5017</v>
      </c>
      <c r="F22" t="s">
        <v>5020</v>
      </c>
      <c r="G22">
        <v>24.3</v>
      </c>
      <c r="H22">
        <v>1</v>
      </c>
      <c r="I22">
        <v>2.6</v>
      </c>
      <c r="J22">
        <v>17.38</v>
      </c>
      <c r="K22">
        <v>63.1</v>
      </c>
      <c r="L22" t="s">
        <v>5027</v>
      </c>
      <c r="M22">
        <v>8</v>
      </c>
      <c r="N22">
        <v>4</v>
      </c>
      <c r="O22">
        <v>0</v>
      </c>
      <c r="Y22" s="3" t="s">
        <v>5053</v>
      </c>
      <c r="Z22" s="3">
        <v>4999</v>
      </c>
      <c r="CH22" s="5" t="s">
        <v>5056</v>
      </c>
      <c r="CI22">
        <v>55.1960106382978</v>
      </c>
      <c r="CJ22">
        <v>54.718491321762329</v>
      </c>
      <c r="CK22">
        <v>55.060810810810807</v>
      </c>
      <c r="CL22">
        <v>54.99892000000002</v>
      </c>
    </row>
    <row r="23" spans="1:90" x14ac:dyDescent="0.3">
      <c r="A23" t="s">
        <v>36</v>
      </c>
      <c r="B23">
        <v>12</v>
      </c>
      <c r="C23">
        <v>26</v>
      </c>
      <c r="D23" t="s">
        <v>5015</v>
      </c>
      <c r="E23" t="s">
        <v>5018</v>
      </c>
      <c r="F23" t="s">
        <v>5022</v>
      </c>
      <c r="G23">
        <v>17.02</v>
      </c>
      <c r="H23">
        <v>5</v>
      </c>
      <c r="I23">
        <v>7.8</v>
      </c>
      <c r="J23">
        <v>24.05</v>
      </c>
      <c r="K23">
        <v>14.6</v>
      </c>
      <c r="L23" t="s">
        <v>5028</v>
      </c>
      <c r="M23">
        <v>1</v>
      </c>
      <c r="N23">
        <v>4</v>
      </c>
      <c r="O23">
        <v>0</v>
      </c>
      <c r="Y23" s="3" t="s">
        <v>5037</v>
      </c>
      <c r="Z23" s="3">
        <f>QUARTILE(C2:C5001,1)</f>
        <v>31</v>
      </c>
    </row>
    <row r="24" spans="1:90" x14ac:dyDescent="0.3">
      <c r="A24" t="s">
        <v>37</v>
      </c>
      <c r="B24">
        <v>6</v>
      </c>
      <c r="C24">
        <v>45</v>
      </c>
      <c r="D24" t="s">
        <v>5016</v>
      </c>
      <c r="E24" t="s">
        <v>5018</v>
      </c>
      <c r="F24" t="s">
        <v>5021</v>
      </c>
      <c r="G24">
        <v>21.27</v>
      </c>
      <c r="H24">
        <v>3</v>
      </c>
      <c r="I24">
        <v>6.3</v>
      </c>
      <c r="J24">
        <v>23.75</v>
      </c>
      <c r="K24">
        <v>91</v>
      </c>
      <c r="L24" t="s">
        <v>5029</v>
      </c>
      <c r="M24">
        <v>9</v>
      </c>
      <c r="N24">
        <v>1</v>
      </c>
      <c r="O24">
        <v>0</v>
      </c>
      <c r="Y24" s="3" t="s">
        <v>5045</v>
      </c>
      <c r="Z24" s="3">
        <f>QUARTILE(C2:C5001,3)</f>
        <v>56</v>
      </c>
    </row>
    <row r="25" spans="1:90" x14ac:dyDescent="0.3">
      <c r="A25" t="s">
        <v>38</v>
      </c>
      <c r="B25">
        <v>2</v>
      </c>
      <c r="C25">
        <v>48</v>
      </c>
      <c r="D25" t="s">
        <v>5015</v>
      </c>
      <c r="E25" t="s">
        <v>5019</v>
      </c>
      <c r="F25" t="s">
        <v>5022</v>
      </c>
      <c r="G25">
        <v>18</v>
      </c>
      <c r="H25">
        <v>2</v>
      </c>
      <c r="I25">
        <v>3.1</v>
      </c>
      <c r="J25">
        <v>23.77</v>
      </c>
      <c r="K25">
        <v>99.8</v>
      </c>
      <c r="L25" t="s">
        <v>5028</v>
      </c>
      <c r="M25">
        <v>8</v>
      </c>
      <c r="N25">
        <v>2</v>
      </c>
      <c r="O25">
        <v>0</v>
      </c>
      <c r="Y25" s="3" t="s">
        <v>5038</v>
      </c>
      <c r="Z25" s="3">
        <f>Z24-Z23</f>
        <v>25</v>
      </c>
    </row>
    <row r="26" spans="1:90" x14ac:dyDescent="0.3">
      <c r="A26" t="s">
        <v>39</v>
      </c>
      <c r="B26">
        <v>12</v>
      </c>
      <c r="C26">
        <v>51</v>
      </c>
      <c r="D26" t="s">
        <v>5015</v>
      </c>
      <c r="E26" t="s">
        <v>5018</v>
      </c>
      <c r="F26" t="s">
        <v>5024</v>
      </c>
      <c r="G26">
        <v>16.399999999999999</v>
      </c>
      <c r="H26">
        <v>2</v>
      </c>
      <c r="I26">
        <v>7.8</v>
      </c>
      <c r="J26">
        <v>3.94</v>
      </c>
      <c r="K26">
        <v>73.8</v>
      </c>
      <c r="L26" t="s">
        <v>5027</v>
      </c>
      <c r="M26">
        <v>8</v>
      </c>
      <c r="N26">
        <v>0</v>
      </c>
      <c r="O26">
        <v>1</v>
      </c>
    </row>
    <row r="27" spans="1:90" x14ac:dyDescent="0.3">
      <c r="A27" t="s">
        <v>40</v>
      </c>
      <c r="B27">
        <v>5</v>
      </c>
      <c r="C27">
        <v>32</v>
      </c>
      <c r="D27" t="s">
        <v>5015</v>
      </c>
      <c r="E27" t="s">
        <v>5018</v>
      </c>
      <c r="F27" t="s">
        <v>5023</v>
      </c>
      <c r="G27">
        <v>19.07</v>
      </c>
      <c r="H27">
        <v>5</v>
      </c>
      <c r="I27">
        <v>5</v>
      </c>
      <c r="J27">
        <v>11.87</v>
      </c>
      <c r="K27">
        <v>30.8</v>
      </c>
      <c r="L27" t="s">
        <v>5028</v>
      </c>
      <c r="M27">
        <v>6</v>
      </c>
      <c r="N27">
        <v>2</v>
      </c>
      <c r="O27">
        <v>0</v>
      </c>
    </row>
    <row r="28" spans="1:90" x14ac:dyDescent="0.3">
      <c r="A28" t="s">
        <v>41</v>
      </c>
      <c r="B28">
        <v>1</v>
      </c>
      <c r="C28">
        <v>65</v>
      </c>
      <c r="D28" t="s">
        <v>5015</v>
      </c>
      <c r="E28" t="s">
        <v>5018</v>
      </c>
      <c r="F28" t="s">
        <v>5021</v>
      </c>
      <c r="G28">
        <v>11.41</v>
      </c>
      <c r="H28">
        <v>5</v>
      </c>
      <c r="I28">
        <v>7.1</v>
      </c>
      <c r="J28">
        <v>4.34</v>
      </c>
      <c r="K28">
        <v>59.9</v>
      </c>
      <c r="L28" t="s">
        <v>5029</v>
      </c>
      <c r="M28">
        <v>9</v>
      </c>
      <c r="N28">
        <v>2</v>
      </c>
      <c r="O28">
        <v>0</v>
      </c>
    </row>
    <row r="29" spans="1:90" x14ac:dyDescent="0.3">
      <c r="A29" t="s">
        <v>42</v>
      </c>
      <c r="B29">
        <v>12</v>
      </c>
      <c r="C29">
        <v>42</v>
      </c>
      <c r="D29" t="s">
        <v>5015</v>
      </c>
      <c r="E29" t="s">
        <v>5017</v>
      </c>
      <c r="F29" t="s">
        <v>5022</v>
      </c>
      <c r="G29">
        <v>23.49</v>
      </c>
      <c r="H29">
        <v>1</v>
      </c>
      <c r="I29">
        <v>7</v>
      </c>
      <c r="J29">
        <v>9.81</v>
      </c>
      <c r="K29">
        <v>19.8</v>
      </c>
      <c r="L29" t="s">
        <v>5029</v>
      </c>
      <c r="M29">
        <v>8</v>
      </c>
      <c r="N29">
        <v>3</v>
      </c>
      <c r="O29">
        <v>0</v>
      </c>
    </row>
    <row r="30" spans="1:90" x14ac:dyDescent="0.3">
      <c r="A30" t="s">
        <v>43</v>
      </c>
      <c r="B30">
        <v>10</v>
      </c>
      <c r="C30">
        <v>53</v>
      </c>
      <c r="D30" t="s">
        <v>5016</v>
      </c>
      <c r="E30" t="s">
        <v>5018</v>
      </c>
      <c r="F30" t="s">
        <v>5021</v>
      </c>
      <c r="G30">
        <v>7.31</v>
      </c>
      <c r="H30">
        <v>1</v>
      </c>
      <c r="I30">
        <v>2</v>
      </c>
      <c r="J30">
        <v>6.84</v>
      </c>
      <c r="K30">
        <v>36.9</v>
      </c>
      <c r="L30" t="s">
        <v>5025</v>
      </c>
      <c r="M30">
        <v>2</v>
      </c>
      <c r="N30">
        <v>3</v>
      </c>
      <c r="O30">
        <v>0</v>
      </c>
    </row>
    <row r="31" spans="1:90" x14ac:dyDescent="0.3">
      <c r="A31" t="s">
        <v>44</v>
      </c>
      <c r="B31">
        <v>6</v>
      </c>
      <c r="C31">
        <v>25</v>
      </c>
      <c r="D31" t="s">
        <v>5016</v>
      </c>
      <c r="E31" t="s">
        <v>5019</v>
      </c>
      <c r="F31" t="s">
        <v>5024</v>
      </c>
      <c r="G31">
        <v>11.36</v>
      </c>
      <c r="H31">
        <v>1</v>
      </c>
      <c r="I31">
        <v>8.6</v>
      </c>
      <c r="J31">
        <v>16.64</v>
      </c>
      <c r="K31">
        <v>74.599999999999994</v>
      </c>
      <c r="L31" t="s">
        <v>5028</v>
      </c>
      <c r="M31">
        <v>6</v>
      </c>
      <c r="N31">
        <v>4</v>
      </c>
      <c r="O31">
        <v>0</v>
      </c>
      <c r="Y31" s="1" t="s">
        <v>8</v>
      </c>
      <c r="Z31" s="1" t="s">
        <v>9</v>
      </c>
    </row>
    <row r="32" spans="1:90" x14ac:dyDescent="0.3">
      <c r="A32" t="s">
        <v>45</v>
      </c>
      <c r="B32">
        <v>12</v>
      </c>
      <c r="C32">
        <v>26</v>
      </c>
      <c r="D32" t="s">
        <v>5016</v>
      </c>
      <c r="E32" t="s">
        <v>5017</v>
      </c>
      <c r="F32" t="s">
        <v>5023</v>
      </c>
      <c r="G32">
        <v>5.62</v>
      </c>
      <c r="H32">
        <v>4</v>
      </c>
      <c r="I32">
        <v>7.1</v>
      </c>
      <c r="J32">
        <v>20.18</v>
      </c>
      <c r="K32">
        <v>37.1</v>
      </c>
      <c r="L32" t="s">
        <v>5027</v>
      </c>
      <c r="M32">
        <v>11</v>
      </c>
      <c r="N32">
        <v>1</v>
      </c>
      <c r="O32">
        <v>0</v>
      </c>
      <c r="Y32">
        <v>8.1</v>
      </c>
      <c r="Z32">
        <v>4.67</v>
      </c>
    </row>
    <row r="33" spans="1:78" x14ac:dyDescent="0.3">
      <c r="A33" t="s">
        <v>46</v>
      </c>
      <c r="B33">
        <v>9</v>
      </c>
      <c r="C33">
        <v>54</v>
      </c>
      <c r="D33" t="s">
        <v>5015</v>
      </c>
      <c r="E33" t="s">
        <v>5018</v>
      </c>
      <c r="F33" t="s">
        <v>5021</v>
      </c>
      <c r="G33">
        <v>10.43</v>
      </c>
      <c r="H33">
        <v>3</v>
      </c>
      <c r="I33">
        <v>8</v>
      </c>
      <c r="J33">
        <v>14.29</v>
      </c>
      <c r="K33">
        <v>23.2</v>
      </c>
      <c r="L33" t="s">
        <v>5025</v>
      </c>
      <c r="M33">
        <v>8</v>
      </c>
      <c r="N33">
        <v>1</v>
      </c>
      <c r="O33">
        <v>0</v>
      </c>
      <c r="Y33">
        <v>3.9</v>
      </c>
      <c r="Z33">
        <v>16.28</v>
      </c>
    </row>
    <row r="34" spans="1:78" x14ac:dyDescent="0.3">
      <c r="A34" t="s">
        <v>47</v>
      </c>
      <c r="B34">
        <v>1</v>
      </c>
      <c r="C34">
        <v>65</v>
      </c>
      <c r="D34" t="s">
        <v>5015</v>
      </c>
      <c r="E34" t="s">
        <v>5018</v>
      </c>
      <c r="F34" t="s">
        <v>5024</v>
      </c>
      <c r="G34">
        <v>9.36</v>
      </c>
      <c r="H34">
        <v>2</v>
      </c>
      <c r="I34">
        <v>5</v>
      </c>
      <c r="J34">
        <v>20.5</v>
      </c>
      <c r="K34">
        <v>10.7</v>
      </c>
      <c r="L34" t="s">
        <v>5028</v>
      </c>
      <c r="M34">
        <v>6</v>
      </c>
      <c r="N34">
        <v>2</v>
      </c>
      <c r="O34">
        <v>1</v>
      </c>
      <c r="Y34">
        <v>8.3000000000000007</v>
      </c>
      <c r="Z34">
        <v>13.56</v>
      </c>
    </row>
    <row r="35" spans="1:78" x14ac:dyDescent="0.3">
      <c r="A35" t="s">
        <v>48</v>
      </c>
      <c r="B35">
        <v>11</v>
      </c>
      <c r="C35">
        <v>62</v>
      </c>
      <c r="D35" t="s">
        <v>5016</v>
      </c>
      <c r="E35" t="s">
        <v>5017</v>
      </c>
      <c r="F35" t="s">
        <v>5024</v>
      </c>
      <c r="G35">
        <v>5.99</v>
      </c>
      <c r="H35">
        <v>3</v>
      </c>
      <c r="I35">
        <v>2.8</v>
      </c>
      <c r="J35">
        <v>3.28</v>
      </c>
      <c r="K35">
        <v>61.5</v>
      </c>
      <c r="L35" t="s">
        <v>5029</v>
      </c>
      <c r="M35">
        <v>11</v>
      </c>
      <c r="N35">
        <v>0</v>
      </c>
      <c r="O35">
        <v>1</v>
      </c>
      <c r="Y35">
        <v>4.5999999999999996</v>
      </c>
      <c r="Z35">
        <v>12.41</v>
      </c>
    </row>
    <row r="36" spans="1:78" ht="15" thickBot="1" x14ac:dyDescent="0.35">
      <c r="A36" t="s">
        <v>49</v>
      </c>
      <c r="B36">
        <v>11</v>
      </c>
      <c r="C36">
        <v>56</v>
      </c>
      <c r="D36" t="s">
        <v>5015</v>
      </c>
      <c r="E36" t="s">
        <v>5017</v>
      </c>
      <c r="F36" t="s">
        <v>5024</v>
      </c>
      <c r="G36">
        <v>14.84</v>
      </c>
      <c r="H36">
        <v>5</v>
      </c>
      <c r="I36">
        <v>3.9</v>
      </c>
      <c r="J36">
        <v>21.05</v>
      </c>
      <c r="K36">
        <v>97.2</v>
      </c>
      <c r="L36" t="s">
        <v>5027</v>
      </c>
      <c r="M36">
        <v>9</v>
      </c>
      <c r="N36">
        <v>3</v>
      </c>
      <c r="O36">
        <v>1</v>
      </c>
      <c r="Y36">
        <v>6</v>
      </c>
      <c r="Z36">
        <v>19.739999999999998</v>
      </c>
    </row>
    <row r="37" spans="1:78" ht="29.4" customHeight="1" x14ac:dyDescent="0.3">
      <c r="A37" t="s">
        <v>50</v>
      </c>
      <c r="B37">
        <v>10</v>
      </c>
      <c r="C37">
        <v>49</v>
      </c>
      <c r="D37" t="s">
        <v>5015</v>
      </c>
      <c r="E37" t="s">
        <v>5019</v>
      </c>
      <c r="F37" t="s">
        <v>5022</v>
      </c>
      <c r="G37">
        <v>14.37</v>
      </c>
      <c r="H37">
        <v>3</v>
      </c>
      <c r="I37">
        <v>9.1</v>
      </c>
      <c r="J37">
        <v>6.92</v>
      </c>
      <c r="K37">
        <v>53.6</v>
      </c>
      <c r="L37" t="s">
        <v>5028</v>
      </c>
      <c r="M37">
        <v>5</v>
      </c>
      <c r="N37">
        <v>0</v>
      </c>
      <c r="O37">
        <v>0</v>
      </c>
      <c r="Y37">
        <v>2.6</v>
      </c>
      <c r="Z37">
        <v>24.33</v>
      </c>
      <c r="AH37" s="14" t="s">
        <v>5077</v>
      </c>
      <c r="AI37" s="14" t="s">
        <v>5078</v>
      </c>
      <c r="AJ37" s="14" t="s">
        <v>5079</v>
      </c>
    </row>
    <row r="38" spans="1:78" ht="15" thickBot="1" x14ac:dyDescent="0.35">
      <c r="A38" t="s">
        <v>51</v>
      </c>
      <c r="B38">
        <v>12</v>
      </c>
      <c r="C38">
        <v>69</v>
      </c>
      <c r="D38" t="s">
        <v>5015</v>
      </c>
      <c r="E38" t="s">
        <v>5018</v>
      </c>
      <c r="F38" t="s">
        <v>5020</v>
      </c>
      <c r="G38">
        <v>6.55</v>
      </c>
      <c r="H38">
        <v>3</v>
      </c>
      <c r="I38">
        <v>9.4</v>
      </c>
      <c r="J38">
        <v>13.14</v>
      </c>
      <c r="K38">
        <v>29.1</v>
      </c>
      <c r="L38" t="s">
        <v>5029</v>
      </c>
      <c r="M38">
        <v>8</v>
      </c>
      <c r="N38">
        <v>3</v>
      </c>
      <c r="O38">
        <v>0</v>
      </c>
      <c r="Y38">
        <v>9.3000000000000007</v>
      </c>
      <c r="Z38">
        <v>13.51</v>
      </c>
      <c r="AH38" s="15"/>
      <c r="AI38" s="15"/>
      <c r="AJ38" s="15"/>
    </row>
    <row r="39" spans="1:78" ht="22.8" thickBot="1" x14ac:dyDescent="0.35">
      <c r="A39" t="s">
        <v>52</v>
      </c>
      <c r="B39">
        <v>12</v>
      </c>
      <c r="C39">
        <v>34</v>
      </c>
      <c r="D39" t="s">
        <v>5016</v>
      </c>
      <c r="E39" t="s">
        <v>5017</v>
      </c>
      <c r="F39" t="s">
        <v>5021</v>
      </c>
      <c r="G39">
        <v>10.24</v>
      </c>
      <c r="H39">
        <v>1</v>
      </c>
      <c r="I39">
        <v>5.3</v>
      </c>
      <c r="J39">
        <v>12.74</v>
      </c>
      <c r="K39">
        <v>51.7</v>
      </c>
      <c r="L39" t="s">
        <v>5029</v>
      </c>
      <c r="M39">
        <v>10</v>
      </c>
      <c r="N39">
        <v>2</v>
      </c>
      <c r="O39">
        <v>0</v>
      </c>
      <c r="Y39">
        <v>7.3</v>
      </c>
      <c r="Z39">
        <v>3.14</v>
      </c>
      <c r="AH39" s="13" t="s">
        <v>5080</v>
      </c>
      <c r="AI39" s="12">
        <v>18</v>
      </c>
      <c r="AJ39" s="12">
        <v>22</v>
      </c>
    </row>
    <row r="40" spans="1:78" ht="22.8" thickBot="1" x14ac:dyDescent="0.35">
      <c r="A40" t="s">
        <v>53</v>
      </c>
      <c r="B40">
        <v>3</v>
      </c>
      <c r="C40">
        <v>52</v>
      </c>
      <c r="D40" t="s">
        <v>5016</v>
      </c>
      <c r="E40" t="s">
        <v>5017</v>
      </c>
      <c r="F40" t="s">
        <v>5020</v>
      </c>
      <c r="G40">
        <v>24.07</v>
      </c>
      <c r="H40">
        <v>5</v>
      </c>
      <c r="I40">
        <v>3.7</v>
      </c>
      <c r="J40">
        <v>22.21</v>
      </c>
      <c r="K40">
        <v>64.2</v>
      </c>
      <c r="L40" t="s">
        <v>5028</v>
      </c>
      <c r="M40">
        <v>2</v>
      </c>
      <c r="N40">
        <v>1</v>
      </c>
      <c r="O40">
        <v>0</v>
      </c>
      <c r="Y40">
        <v>8.6999999999999993</v>
      </c>
      <c r="Z40">
        <v>16.12</v>
      </c>
      <c r="AH40" s="13" t="s">
        <v>5081</v>
      </c>
      <c r="AI40" s="12">
        <v>16</v>
      </c>
      <c r="AJ40" s="12">
        <v>14</v>
      </c>
    </row>
    <row r="41" spans="1:78" x14ac:dyDescent="0.3">
      <c r="A41" t="s">
        <v>54</v>
      </c>
      <c r="B41">
        <v>12</v>
      </c>
      <c r="C41">
        <v>54</v>
      </c>
      <c r="D41" t="s">
        <v>5016</v>
      </c>
      <c r="E41" t="s">
        <v>5018</v>
      </c>
      <c r="F41" t="s">
        <v>5024</v>
      </c>
      <c r="G41">
        <v>7.21</v>
      </c>
      <c r="H41">
        <v>3</v>
      </c>
      <c r="I41">
        <v>7.6</v>
      </c>
      <c r="J41">
        <v>24.25</v>
      </c>
      <c r="K41">
        <v>82.1</v>
      </c>
      <c r="L41" t="s">
        <v>5028</v>
      </c>
      <c r="M41">
        <v>5</v>
      </c>
      <c r="N41">
        <v>2</v>
      </c>
      <c r="O41">
        <v>0</v>
      </c>
      <c r="Y41">
        <v>2.9</v>
      </c>
      <c r="Z41">
        <v>17.39</v>
      </c>
    </row>
    <row r="42" spans="1:78" x14ac:dyDescent="0.3">
      <c r="A42" t="s">
        <v>55</v>
      </c>
      <c r="B42">
        <v>7</v>
      </c>
      <c r="C42">
        <v>36</v>
      </c>
      <c r="D42" t="s">
        <v>5016</v>
      </c>
      <c r="E42" t="s">
        <v>5018</v>
      </c>
      <c r="F42" t="s">
        <v>5020</v>
      </c>
      <c r="G42">
        <v>11.1</v>
      </c>
      <c r="H42">
        <v>2</v>
      </c>
      <c r="I42">
        <v>7.9</v>
      </c>
      <c r="J42">
        <v>8.61</v>
      </c>
      <c r="K42">
        <v>50.7</v>
      </c>
      <c r="L42" t="s">
        <v>5027</v>
      </c>
      <c r="M42">
        <v>1</v>
      </c>
      <c r="N42">
        <v>3</v>
      </c>
      <c r="O42">
        <v>0</v>
      </c>
      <c r="Y42">
        <v>1.6</v>
      </c>
      <c r="Z42">
        <v>21.22</v>
      </c>
    </row>
    <row r="43" spans="1:78" x14ac:dyDescent="0.3">
      <c r="A43" t="s">
        <v>56</v>
      </c>
      <c r="B43">
        <v>4</v>
      </c>
      <c r="C43">
        <v>61</v>
      </c>
      <c r="D43" t="s">
        <v>5016</v>
      </c>
      <c r="E43" t="s">
        <v>5018</v>
      </c>
      <c r="F43" t="s">
        <v>5024</v>
      </c>
      <c r="G43">
        <v>5.72</v>
      </c>
      <c r="H43">
        <v>1</v>
      </c>
      <c r="I43">
        <v>8.3000000000000007</v>
      </c>
      <c r="J43">
        <v>4.4800000000000004</v>
      </c>
      <c r="K43">
        <v>25.6</v>
      </c>
      <c r="L43" t="s">
        <v>5025</v>
      </c>
      <c r="M43">
        <v>5</v>
      </c>
      <c r="N43">
        <v>1</v>
      </c>
      <c r="O43">
        <v>0</v>
      </c>
      <c r="Y43">
        <v>4</v>
      </c>
      <c r="Z43">
        <v>7.39</v>
      </c>
    </row>
    <row r="44" spans="1:78" x14ac:dyDescent="0.3">
      <c r="A44" t="s">
        <v>57</v>
      </c>
      <c r="B44">
        <v>9</v>
      </c>
      <c r="C44">
        <v>46</v>
      </c>
      <c r="D44" t="s">
        <v>5015</v>
      </c>
      <c r="E44" t="s">
        <v>5017</v>
      </c>
      <c r="F44" t="s">
        <v>5024</v>
      </c>
      <c r="G44">
        <v>7.98</v>
      </c>
      <c r="H44">
        <v>3</v>
      </c>
      <c r="I44">
        <v>1.3</v>
      </c>
      <c r="J44">
        <v>17.309999999999999</v>
      </c>
      <c r="K44">
        <v>26.9</v>
      </c>
      <c r="L44" t="s">
        <v>5029</v>
      </c>
      <c r="M44">
        <v>7</v>
      </c>
      <c r="N44">
        <v>0</v>
      </c>
      <c r="O44">
        <v>0</v>
      </c>
      <c r="Y44">
        <v>5.7</v>
      </c>
      <c r="Z44">
        <v>14.54</v>
      </c>
    </row>
    <row r="45" spans="1:78" x14ac:dyDescent="0.3">
      <c r="A45" t="s">
        <v>58</v>
      </c>
      <c r="B45">
        <v>3</v>
      </c>
      <c r="C45">
        <v>24</v>
      </c>
      <c r="D45" t="s">
        <v>5015</v>
      </c>
      <c r="E45" t="s">
        <v>5019</v>
      </c>
      <c r="F45" t="s">
        <v>5023</v>
      </c>
      <c r="G45">
        <v>18.989999999999998</v>
      </c>
      <c r="H45">
        <v>5</v>
      </c>
      <c r="I45">
        <v>1.1000000000000001</v>
      </c>
      <c r="J45">
        <v>14.06</v>
      </c>
      <c r="K45">
        <v>91</v>
      </c>
      <c r="L45" t="s">
        <v>5025</v>
      </c>
      <c r="M45">
        <v>1</v>
      </c>
      <c r="N45">
        <v>0</v>
      </c>
      <c r="O45">
        <v>1</v>
      </c>
      <c r="Y45">
        <v>8.1999999999999993</v>
      </c>
      <c r="Z45">
        <v>12.84</v>
      </c>
      <c r="BV45" s="10" t="s">
        <v>5055</v>
      </c>
      <c r="BW45" s="10" t="s">
        <v>5017</v>
      </c>
      <c r="BX45" s="10" t="s">
        <v>5019</v>
      </c>
      <c r="BY45" s="10" t="s">
        <v>5018</v>
      </c>
      <c r="BZ45" s="10"/>
    </row>
    <row r="46" spans="1:78" x14ac:dyDescent="0.3">
      <c r="A46" t="s">
        <v>59</v>
      </c>
      <c r="B46">
        <v>5</v>
      </c>
      <c r="C46">
        <v>45</v>
      </c>
      <c r="D46" t="s">
        <v>5015</v>
      </c>
      <c r="E46" t="s">
        <v>5018</v>
      </c>
      <c r="F46" t="s">
        <v>5023</v>
      </c>
      <c r="G46">
        <v>12.33</v>
      </c>
      <c r="H46">
        <v>2</v>
      </c>
      <c r="I46">
        <v>4.2</v>
      </c>
      <c r="J46">
        <v>15.45</v>
      </c>
      <c r="K46">
        <v>31.3</v>
      </c>
      <c r="L46" t="s">
        <v>5025</v>
      </c>
      <c r="M46">
        <v>10</v>
      </c>
      <c r="N46">
        <v>4</v>
      </c>
      <c r="O46">
        <v>1</v>
      </c>
      <c r="Y46">
        <v>4.5999999999999996</v>
      </c>
      <c r="Z46">
        <v>17.62</v>
      </c>
      <c r="BV46" s="5" t="s">
        <v>5024</v>
      </c>
      <c r="BW46">
        <v>56.779783393501795</v>
      </c>
      <c r="BX46">
        <v>54.372401433691728</v>
      </c>
      <c r="BY46">
        <v>55.702010050251239</v>
      </c>
    </row>
    <row r="47" spans="1:78" x14ac:dyDescent="0.3">
      <c r="A47" t="s">
        <v>60</v>
      </c>
      <c r="B47">
        <v>3</v>
      </c>
      <c r="C47">
        <v>26</v>
      </c>
      <c r="D47" t="s">
        <v>5015</v>
      </c>
      <c r="E47" t="s">
        <v>5018</v>
      </c>
      <c r="F47" t="s">
        <v>5020</v>
      </c>
      <c r="G47">
        <v>14.04</v>
      </c>
      <c r="H47">
        <v>5</v>
      </c>
      <c r="I47">
        <v>2.4</v>
      </c>
      <c r="J47">
        <v>4.0199999999999996</v>
      </c>
      <c r="K47">
        <v>75.5</v>
      </c>
      <c r="L47" t="s">
        <v>5029</v>
      </c>
      <c r="M47">
        <v>3</v>
      </c>
      <c r="N47">
        <v>0</v>
      </c>
      <c r="O47">
        <v>0</v>
      </c>
      <c r="Y47">
        <v>3.4</v>
      </c>
      <c r="Z47">
        <v>4.41</v>
      </c>
      <c r="BV47" s="5" t="s">
        <v>5022</v>
      </c>
      <c r="BW47">
        <v>55.811688311688322</v>
      </c>
      <c r="BX47">
        <v>56.032659932659946</v>
      </c>
      <c r="BY47">
        <v>55.019021739130444</v>
      </c>
    </row>
    <row r="48" spans="1:78" x14ac:dyDescent="0.3">
      <c r="A48" t="s">
        <v>61</v>
      </c>
      <c r="B48">
        <v>7</v>
      </c>
      <c r="C48">
        <v>45</v>
      </c>
      <c r="D48" t="s">
        <v>5016</v>
      </c>
      <c r="E48" t="s">
        <v>5018</v>
      </c>
      <c r="F48" t="s">
        <v>5021</v>
      </c>
      <c r="G48">
        <v>8.14</v>
      </c>
      <c r="H48">
        <v>5</v>
      </c>
      <c r="I48">
        <v>8.1999999999999993</v>
      </c>
      <c r="J48">
        <v>20.059999999999999</v>
      </c>
      <c r="K48">
        <v>34.200000000000003</v>
      </c>
      <c r="L48" t="s">
        <v>5028</v>
      </c>
      <c r="M48">
        <v>6</v>
      </c>
      <c r="N48">
        <v>4</v>
      </c>
      <c r="O48">
        <v>0</v>
      </c>
      <c r="Y48">
        <v>4.4000000000000004</v>
      </c>
      <c r="Z48">
        <v>22.45</v>
      </c>
      <c r="BV48" s="5" t="s">
        <v>5021</v>
      </c>
      <c r="BW48">
        <v>54.580333333333343</v>
      </c>
      <c r="BX48">
        <v>55.577377049180313</v>
      </c>
      <c r="BY48">
        <v>55.41124121779864</v>
      </c>
    </row>
    <row r="49" spans="1:85" x14ac:dyDescent="0.3">
      <c r="A49" t="s">
        <v>62</v>
      </c>
      <c r="B49">
        <v>5</v>
      </c>
      <c r="C49">
        <v>23</v>
      </c>
      <c r="D49" t="s">
        <v>5016</v>
      </c>
      <c r="E49" t="s">
        <v>5018</v>
      </c>
      <c r="F49" t="s">
        <v>5020</v>
      </c>
      <c r="G49">
        <v>18.64</v>
      </c>
      <c r="H49">
        <v>5</v>
      </c>
      <c r="I49">
        <v>5.8</v>
      </c>
      <c r="J49">
        <v>8.11</v>
      </c>
      <c r="K49">
        <v>74.900000000000006</v>
      </c>
      <c r="L49" t="s">
        <v>5029</v>
      </c>
      <c r="M49">
        <v>1</v>
      </c>
      <c r="N49">
        <v>1</v>
      </c>
      <c r="O49">
        <v>0</v>
      </c>
      <c r="BV49" s="5" t="s">
        <v>5023</v>
      </c>
      <c r="BW49">
        <v>54.279354838709686</v>
      </c>
      <c r="BX49">
        <v>54.475850340136049</v>
      </c>
      <c r="BY49">
        <v>55.676455696202552</v>
      </c>
    </row>
    <row r="50" spans="1:85" x14ac:dyDescent="0.3">
      <c r="A50" t="s">
        <v>63</v>
      </c>
      <c r="B50">
        <v>9</v>
      </c>
      <c r="C50">
        <v>46</v>
      </c>
      <c r="D50" t="s">
        <v>5015</v>
      </c>
      <c r="E50" t="s">
        <v>5019</v>
      </c>
      <c r="F50" t="s">
        <v>5021</v>
      </c>
      <c r="G50">
        <v>20.03</v>
      </c>
      <c r="H50">
        <v>4</v>
      </c>
      <c r="I50">
        <v>8.4</v>
      </c>
      <c r="J50">
        <v>10.37</v>
      </c>
      <c r="K50">
        <v>17.100000000000001</v>
      </c>
      <c r="L50" t="s">
        <v>5025</v>
      </c>
      <c r="M50">
        <v>3</v>
      </c>
      <c r="N50">
        <v>2</v>
      </c>
      <c r="O50">
        <v>0</v>
      </c>
      <c r="BV50" s="5" t="s">
        <v>5020</v>
      </c>
      <c r="BW50">
        <v>54.679935275080851</v>
      </c>
      <c r="BX50">
        <v>53.21888544891641</v>
      </c>
      <c r="BY50">
        <v>53.517804878048779</v>
      </c>
    </row>
    <row r="51" spans="1:85" x14ac:dyDescent="0.3">
      <c r="A51" t="s">
        <v>64</v>
      </c>
      <c r="B51">
        <v>7</v>
      </c>
      <c r="C51">
        <v>34</v>
      </c>
      <c r="D51" t="s">
        <v>5016</v>
      </c>
      <c r="E51" t="s">
        <v>5019</v>
      </c>
      <c r="F51" t="s">
        <v>5020</v>
      </c>
      <c r="G51">
        <v>8.6199999999999992</v>
      </c>
      <c r="H51">
        <v>2</v>
      </c>
      <c r="I51">
        <v>2.6</v>
      </c>
      <c r="J51">
        <v>8.02</v>
      </c>
      <c r="K51">
        <v>28.7</v>
      </c>
      <c r="L51" t="s">
        <v>5027</v>
      </c>
      <c r="M51">
        <v>8</v>
      </c>
      <c r="N51">
        <v>2</v>
      </c>
      <c r="O51">
        <v>0</v>
      </c>
    </row>
    <row r="52" spans="1:85" x14ac:dyDescent="0.3">
      <c r="A52" t="s">
        <v>65</v>
      </c>
      <c r="B52">
        <v>2</v>
      </c>
      <c r="C52">
        <v>33</v>
      </c>
      <c r="D52" t="s">
        <v>5015</v>
      </c>
      <c r="E52" t="s">
        <v>5018</v>
      </c>
      <c r="F52" t="s">
        <v>5022</v>
      </c>
      <c r="G52">
        <v>5.9</v>
      </c>
      <c r="H52">
        <v>5</v>
      </c>
      <c r="I52">
        <v>6.6</v>
      </c>
      <c r="J52">
        <v>23.81</v>
      </c>
      <c r="K52">
        <v>46.8</v>
      </c>
      <c r="L52" t="s">
        <v>5029</v>
      </c>
      <c r="M52">
        <v>9</v>
      </c>
      <c r="N52">
        <v>1</v>
      </c>
      <c r="O52">
        <v>1</v>
      </c>
    </row>
    <row r="53" spans="1:85" x14ac:dyDescent="0.3">
      <c r="A53" t="s">
        <v>66</v>
      </c>
      <c r="B53">
        <v>4</v>
      </c>
      <c r="C53">
        <v>40</v>
      </c>
      <c r="D53" t="s">
        <v>5015</v>
      </c>
      <c r="E53" t="s">
        <v>5019</v>
      </c>
      <c r="F53" t="s">
        <v>5022</v>
      </c>
      <c r="G53">
        <v>6.62</v>
      </c>
      <c r="H53">
        <v>4</v>
      </c>
      <c r="I53">
        <v>6.2</v>
      </c>
      <c r="J53">
        <v>6.71</v>
      </c>
      <c r="K53">
        <v>56.4</v>
      </c>
      <c r="L53" t="s">
        <v>5027</v>
      </c>
      <c r="M53">
        <v>7</v>
      </c>
      <c r="N53">
        <v>1</v>
      </c>
      <c r="O53">
        <v>0</v>
      </c>
    </row>
    <row r="54" spans="1:85" x14ac:dyDescent="0.3">
      <c r="A54" t="s">
        <v>67</v>
      </c>
      <c r="B54">
        <v>9</v>
      </c>
      <c r="C54">
        <v>48</v>
      </c>
      <c r="D54" t="s">
        <v>5015</v>
      </c>
      <c r="E54" t="s">
        <v>5019</v>
      </c>
      <c r="F54" t="s">
        <v>5021</v>
      </c>
      <c r="G54">
        <v>18.14</v>
      </c>
      <c r="H54">
        <v>1</v>
      </c>
      <c r="I54">
        <v>4.0999999999999996</v>
      </c>
      <c r="J54">
        <v>19.11</v>
      </c>
      <c r="K54">
        <v>41.8</v>
      </c>
      <c r="L54" t="s">
        <v>5028</v>
      </c>
      <c r="M54">
        <v>4</v>
      </c>
      <c r="N54">
        <v>3</v>
      </c>
      <c r="O54">
        <v>0</v>
      </c>
    </row>
    <row r="55" spans="1:85" x14ac:dyDescent="0.3">
      <c r="A55" t="s">
        <v>68</v>
      </c>
      <c r="B55">
        <v>12</v>
      </c>
      <c r="C55">
        <v>20</v>
      </c>
      <c r="D55" t="s">
        <v>5015</v>
      </c>
      <c r="E55" t="s">
        <v>5019</v>
      </c>
      <c r="F55" t="s">
        <v>5023</v>
      </c>
      <c r="G55">
        <v>7.71</v>
      </c>
      <c r="H55">
        <v>4</v>
      </c>
      <c r="I55">
        <v>5.7</v>
      </c>
      <c r="J55">
        <v>8.41</v>
      </c>
      <c r="K55">
        <v>61.6</v>
      </c>
      <c r="L55" t="s">
        <v>5028</v>
      </c>
      <c r="M55">
        <v>7</v>
      </c>
      <c r="N55">
        <v>0</v>
      </c>
      <c r="O55">
        <v>1</v>
      </c>
    </row>
    <row r="56" spans="1:85" x14ac:dyDescent="0.3">
      <c r="A56" t="s">
        <v>69</v>
      </c>
      <c r="B56">
        <v>2</v>
      </c>
      <c r="C56">
        <v>38</v>
      </c>
      <c r="D56" t="s">
        <v>5016</v>
      </c>
      <c r="E56" t="s">
        <v>5017</v>
      </c>
      <c r="F56" t="s">
        <v>5021</v>
      </c>
      <c r="G56">
        <v>14.88</v>
      </c>
      <c r="H56">
        <v>1</v>
      </c>
      <c r="I56">
        <v>6.3</v>
      </c>
      <c r="J56">
        <v>12.35</v>
      </c>
      <c r="K56">
        <v>39.299999999999997</v>
      </c>
      <c r="L56" t="s">
        <v>5027</v>
      </c>
      <c r="M56">
        <v>7</v>
      </c>
      <c r="N56">
        <v>0</v>
      </c>
      <c r="O56">
        <v>0</v>
      </c>
    </row>
    <row r="57" spans="1:85" x14ac:dyDescent="0.3">
      <c r="A57" t="s">
        <v>70</v>
      </c>
      <c r="B57">
        <v>10</v>
      </c>
      <c r="C57">
        <v>43</v>
      </c>
      <c r="D57" t="s">
        <v>5015</v>
      </c>
      <c r="E57" t="s">
        <v>5018</v>
      </c>
      <c r="F57" t="s">
        <v>5020</v>
      </c>
      <c r="G57">
        <v>8.0500000000000007</v>
      </c>
      <c r="H57">
        <v>4</v>
      </c>
      <c r="I57">
        <v>9</v>
      </c>
      <c r="J57">
        <v>24.91</v>
      </c>
      <c r="K57">
        <v>71.099999999999994</v>
      </c>
      <c r="L57" t="s">
        <v>5027</v>
      </c>
      <c r="M57">
        <v>11</v>
      </c>
      <c r="N57">
        <v>0</v>
      </c>
      <c r="O57">
        <v>0</v>
      </c>
      <c r="CF57" s="10" t="s">
        <v>5055</v>
      </c>
      <c r="CG57" t="s">
        <v>5076</v>
      </c>
    </row>
    <row r="58" spans="1:85" x14ac:dyDescent="0.3">
      <c r="A58" t="s">
        <v>71</v>
      </c>
      <c r="B58">
        <v>9</v>
      </c>
      <c r="C58">
        <v>53</v>
      </c>
      <c r="D58" t="s">
        <v>5016</v>
      </c>
      <c r="E58" t="s">
        <v>5017</v>
      </c>
      <c r="F58" t="s">
        <v>5024</v>
      </c>
      <c r="G58">
        <v>8.4</v>
      </c>
      <c r="H58">
        <v>5</v>
      </c>
      <c r="I58">
        <v>1.5</v>
      </c>
      <c r="J58">
        <v>5.21</v>
      </c>
      <c r="K58">
        <v>56</v>
      </c>
      <c r="L58" t="s">
        <v>5029</v>
      </c>
      <c r="M58">
        <v>7</v>
      </c>
      <c r="N58">
        <v>4</v>
      </c>
      <c r="O58">
        <v>0</v>
      </c>
      <c r="T58" s="4" t="s">
        <v>5055</v>
      </c>
      <c r="U58" t="s">
        <v>5057</v>
      </c>
      <c r="CF58" s="5" t="s">
        <v>5024</v>
      </c>
    </row>
    <row r="59" spans="1:85" x14ac:dyDescent="0.3">
      <c r="A59" t="s">
        <v>72</v>
      </c>
      <c r="B59">
        <v>10</v>
      </c>
      <c r="C59">
        <v>59</v>
      </c>
      <c r="D59" t="s">
        <v>5015</v>
      </c>
      <c r="E59" t="s">
        <v>5019</v>
      </c>
      <c r="F59" t="s">
        <v>5022</v>
      </c>
      <c r="G59">
        <v>5.09</v>
      </c>
      <c r="H59">
        <v>4</v>
      </c>
      <c r="I59">
        <v>8.4</v>
      </c>
      <c r="J59">
        <v>22.39</v>
      </c>
      <c r="K59">
        <v>73.5</v>
      </c>
      <c r="L59" t="s">
        <v>5028</v>
      </c>
      <c r="M59">
        <v>8</v>
      </c>
      <c r="N59">
        <v>0</v>
      </c>
      <c r="O59">
        <v>0</v>
      </c>
      <c r="T59" s="5" t="s">
        <v>5017</v>
      </c>
      <c r="U59" s="19">
        <v>1504</v>
      </c>
      <c r="AM59" s="4" t="s">
        <v>5055</v>
      </c>
      <c r="AN59" t="s">
        <v>5064</v>
      </c>
      <c r="BT59" s="11"/>
      <c r="BU59" s="11"/>
      <c r="BV59" s="11"/>
      <c r="BW59" s="11"/>
      <c r="CF59" s="5" t="s">
        <v>5022</v>
      </c>
    </row>
    <row r="60" spans="1:85" x14ac:dyDescent="0.3">
      <c r="A60" t="s">
        <v>73</v>
      </c>
      <c r="B60">
        <v>5</v>
      </c>
      <c r="C60">
        <v>54</v>
      </c>
      <c r="D60" t="s">
        <v>5015</v>
      </c>
      <c r="E60" t="s">
        <v>5017</v>
      </c>
      <c r="F60" t="s">
        <v>5024</v>
      </c>
      <c r="G60">
        <v>11.42</v>
      </c>
      <c r="H60">
        <v>4</v>
      </c>
      <c r="I60">
        <v>9.8000000000000007</v>
      </c>
      <c r="J60">
        <v>23.81</v>
      </c>
      <c r="K60">
        <v>48.8</v>
      </c>
      <c r="L60" t="s">
        <v>5027</v>
      </c>
      <c r="M60">
        <v>11</v>
      </c>
      <c r="N60">
        <v>3</v>
      </c>
      <c r="O60">
        <v>1</v>
      </c>
      <c r="T60" s="5" t="s">
        <v>5019</v>
      </c>
      <c r="U60" s="19">
        <v>1498</v>
      </c>
      <c r="AM60" s="5" t="s">
        <v>5015</v>
      </c>
      <c r="AN60">
        <v>2447</v>
      </c>
      <c r="BT60" s="6"/>
      <c r="BU60" s="3"/>
      <c r="BV60" s="3"/>
      <c r="BW60" s="3"/>
      <c r="CF60" s="5" t="s">
        <v>5021</v>
      </c>
    </row>
    <row r="61" spans="1:85" x14ac:dyDescent="0.3">
      <c r="A61" t="s">
        <v>74</v>
      </c>
      <c r="B61">
        <v>2</v>
      </c>
      <c r="C61">
        <v>39</v>
      </c>
      <c r="D61" t="s">
        <v>5015</v>
      </c>
      <c r="E61" t="s">
        <v>5018</v>
      </c>
      <c r="F61" t="s">
        <v>5022</v>
      </c>
      <c r="G61">
        <v>6.8</v>
      </c>
      <c r="H61">
        <v>5</v>
      </c>
      <c r="I61">
        <v>7.6</v>
      </c>
      <c r="J61">
        <v>18.36</v>
      </c>
      <c r="K61">
        <v>88.9</v>
      </c>
      <c r="L61" t="s">
        <v>5026</v>
      </c>
      <c r="M61">
        <v>4</v>
      </c>
      <c r="N61">
        <v>2</v>
      </c>
      <c r="O61">
        <v>0</v>
      </c>
      <c r="T61" s="5" t="s">
        <v>5018</v>
      </c>
      <c r="U61" s="19">
        <v>1998</v>
      </c>
      <c r="AM61" s="5" t="s">
        <v>5016</v>
      </c>
      <c r="AN61">
        <v>2553</v>
      </c>
      <c r="BT61" s="6"/>
      <c r="BU61" s="3"/>
      <c r="BV61" s="3"/>
      <c r="BW61" s="3"/>
      <c r="CF61" s="5" t="s">
        <v>5023</v>
      </c>
    </row>
    <row r="62" spans="1:85" x14ac:dyDescent="0.3">
      <c r="A62" t="s">
        <v>75</v>
      </c>
      <c r="B62">
        <v>4</v>
      </c>
      <c r="C62">
        <v>59</v>
      </c>
      <c r="D62" t="s">
        <v>5015</v>
      </c>
      <c r="E62" t="s">
        <v>5018</v>
      </c>
      <c r="F62" t="s">
        <v>5020</v>
      </c>
      <c r="G62">
        <v>12.88</v>
      </c>
      <c r="H62">
        <v>1</v>
      </c>
      <c r="I62">
        <v>7.6</v>
      </c>
      <c r="J62">
        <v>3.22</v>
      </c>
      <c r="K62">
        <v>44.4</v>
      </c>
      <c r="L62" t="s">
        <v>5029</v>
      </c>
      <c r="M62">
        <v>4</v>
      </c>
      <c r="N62">
        <v>2</v>
      </c>
      <c r="O62">
        <v>0</v>
      </c>
      <c r="T62" s="5" t="s">
        <v>5056</v>
      </c>
      <c r="U62" s="19">
        <v>5000</v>
      </c>
      <c r="AM62" s="5" t="s">
        <v>5056</v>
      </c>
      <c r="AN62">
        <v>5000</v>
      </c>
      <c r="BT62" s="6"/>
      <c r="BU62" s="3"/>
      <c r="BV62" s="3"/>
      <c r="BW62" s="3"/>
      <c r="CF62" s="5" t="s">
        <v>5020</v>
      </c>
    </row>
    <row r="63" spans="1:85" x14ac:dyDescent="0.3">
      <c r="A63" t="s">
        <v>76</v>
      </c>
      <c r="B63">
        <v>12</v>
      </c>
      <c r="C63">
        <v>29</v>
      </c>
      <c r="D63" t="s">
        <v>5016</v>
      </c>
      <c r="E63" t="s">
        <v>5018</v>
      </c>
      <c r="F63" t="s">
        <v>5022</v>
      </c>
      <c r="G63">
        <v>16.96</v>
      </c>
      <c r="H63">
        <v>5</v>
      </c>
      <c r="I63">
        <v>3</v>
      </c>
      <c r="J63">
        <v>21.06</v>
      </c>
      <c r="K63">
        <v>37.700000000000003</v>
      </c>
      <c r="L63" t="s">
        <v>5029</v>
      </c>
      <c r="M63">
        <v>9</v>
      </c>
      <c r="N63">
        <v>4</v>
      </c>
      <c r="O63">
        <v>0</v>
      </c>
      <c r="BT63" s="6"/>
      <c r="BU63" s="3"/>
      <c r="BV63" s="3"/>
      <c r="BW63" s="3"/>
    </row>
    <row r="64" spans="1:85" x14ac:dyDescent="0.3">
      <c r="A64" t="s">
        <v>77</v>
      </c>
      <c r="B64">
        <v>12</v>
      </c>
      <c r="C64">
        <v>59</v>
      </c>
      <c r="D64" t="s">
        <v>5015</v>
      </c>
      <c r="E64" t="s">
        <v>5018</v>
      </c>
      <c r="F64" t="s">
        <v>5021</v>
      </c>
      <c r="G64">
        <v>12.35</v>
      </c>
      <c r="H64">
        <v>2</v>
      </c>
      <c r="I64">
        <v>5.7</v>
      </c>
      <c r="J64">
        <v>22.41</v>
      </c>
      <c r="K64">
        <v>60.1</v>
      </c>
      <c r="L64" t="s">
        <v>5026</v>
      </c>
      <c r="M64">
        <v>8</v>
      </c>
      <c r="N64">
        <v>3</v>
      </c>
      <c r="O64">
        <v>1</v>
      </c>
      <c r="BT64" s="6"/>
      <c r="BU64" s="3"/>
      <c r="BV64" s="3"/>
      <c r="BW64" s="3"/>
    </row>
    <row r="65" spans="1:15" x14ac:dyDescent="0.3">
      <c r="A65" t="s">
        <v>78</v>
      </c>
      <c r="B65">
        <v>7</v>
      </c>
      <c r="C65">
        <v>30</v>
      </c>
      <c r="D65" t="s">
        <v>5016</v>
      </c>
      <c r="E65" t="s">
        <v>5019</v>
      </c>
      <c r="F65" t="s">
        <v>5024</v>
      </c>
      <c r="G65">
        <v>19.100000000000001</v>
      </c>
      <c r="H65">
        <v>4</v>
      </c>
      <c r="I65">
        <v>7.4</v>
      </c>
      <c r="J65">
        <v>24.58</v>
      </c>
      <c r="K65">
        <v>55.8</v>
      </c>
      <c r="L65" t="s">
        <v>5028</v>
      </c>
      <c r="M65">
        <v>11</v>
      </c>
      <c r="N65">
        <v>1</v>
      </c>
      <c r="O65">
        <v>0</v>
      </c>
    </row>
    <row r="66" spans="1:15" x14ac:dyDescent="0.3">
      <c r="A66" t="s">
        <v>79</v>
      </c>
      <c r="B66">
        <v>12</v>
      </c>
      <c r="C66">
        <v>28</v>
      </c>
      <c r="D66" t="s">
        <v>5015</v>
      </c>
      <c r="E66" t="s">
        <v>5018</v>
      </c>
      <c r="F66" t="s">
        <v>5024</v>
      </c>
      <c r="G66">
        <v>19.829999999999998</v>
      </c>
      <c r="H66">
        <v>2</v>
      </c>
      <c r="I66">
        <v>6.4</v>
      </c>
      <c r="J66">
        <v>21.46</v>
      </c>
      <c r="K66">
        <v>56.6</v>
      </c>
      <c r="L66" t="s">
        <v>5027</v>
      </c>
      <c r="M66">
        <v>4</v>
      </c>
      <c r="N66">
        <v>2</v>
      </c>
      <c r="O66">
        <v>0</v>
      </c>
    </row>
    <row r="67" spans="1:15" x14ac:dyDescent="0.3">
      <c r="A67" t="s">
        <v>80</v>
      </c>
      <c r="B67">
        <v>8</v>
      </c>
      <c r="C67">
        <v>33</v>
      </c>
      <c r="D67" t="s">
        <v>5015</v>
      </c>
      <c r="E67" t="s">
        <v>5019</v>
      </c>
      <c r="F67" t="s">
        <v>5020</v>
      </c>
      <c r="G67">
        <v>18.93</v>
      </c>
      <c r="H67">
        <v>5</v>
      </c>
      <c r="I67">
        <v>4.5</v>
      </c>
      <c r="J67">
        <v>12.8</v>
      </c>
      <c r="K67">
        <v>81.7</v>
      </c>
      <c r="L67" t="s">
        <v>5027</v>
      </c>
      <c r="M67">
        <v>6</v>
      </c>
      <c r="N67">
        <v>3</v>
      </c>
      <c r="O67">
        <v>1</v>
      </c>
    </row>
    <row r="68" spans="1:15" x14ac:dyDescent="0.3">
      <c r="A68" t="s">
        <v>81</v>
      </c>
      <c r="B68">
        <v>3</v>
      </c>
      <c r="C68">
        <v>25</v>
      </c>
      <c r="D68" t="s">
        <v>5015</v>
      </c>
      <c r="E68" t="s">
        <v>5017</v>
      </c>
      <c r="F68" t="s">
        <v>5024</v>
      </c>
      <c r="G68">
        <v>23.73</v>
      </c>
      <c r="H68">
        <v>5</v>
      </c>
      <c r="I68">
        <v>9.5</v>
      </c>
      <c r="J68">
        <v>18.149999999999999</v>
      </c>
      <c r="K68">
        <v>63</v>
      </c>
      <c r="L68" t="s">
        <v>5028</v>
      </c>
      <c r="M68">
        <v>9</v>
      </c>
      <c r="N68">
        <v>1</v>
      </c>
      <c r="O68">
        <v>1</v>
      </c>
    </row>
    <row r="69" spans="1:15" x14ac:dyDescent="0.3">
      <c r="A69" t="s">
        <v>82</v>
      </c>
      <c r="B69">
        <v>1</v>
      </c>
      <c r="C69">
        <v>57</v>
      </c>
      <c r="D69" t="s">
        <v>5016</v>
      </c>
      <c r="E69" t="s">
        <v>5018</v>
      </c>
      <c r="F69" t="s">
        <v>5020</v>
      </c>
      <c r="G69">
        <v>9.75</v>
      </c>
      <c r="H69">
        <v>3</v>
      </c>
      <c r="I69">
        <v>5.6</v>
      </c>
      <c r="J69">
        <v>13.67</v>
      </c>
      <c r="K69">
        <v>89.7</v>
      </c>
      <c r="L69" t="s">
        <v>5026</v>
      </c>
      <c r="M69">
        <v>6</v>
      </c>
      <c r="N69">
        <v>4</v>
      </c>
      <c r="O69">
        <v>1</v>
      </c>
    </row>
    <row r="70" spans="1:15" x14ac:dyDescent="0.3">
      <c r="A70" t="s">
        <v>83</v>
      </c>
      <c r="B70">
        <v>4</v>
      </c>
      <c r="C70">
        <v>57</v>
      </c>
      <c r="D70" t="s">
        <v>5015</v>
      </c>
      <c r="E70" t="s">
        <v>5018</v>
      </c>
      <c r="F70" t="s">
        <v>5023</v>
      </c>
      <c r="G70">
        <v>8.7899999999999991</v>
      </c>
      <c r="H70">
        <v>2</v>
      </c>
      <c r="I70">
        <v>9.6999999999999993</v>
      </c>
      <c r="J70">
        <v>10.77</v>
      </c>
      <c r="K70">
        <v>65.7</v>
      </c>
      <c r="L70" t="s">
        <v>5026</v>
      </c>
      <c r="M70">
        <v>11</v>
      </c>
      <c r="N70">
        <v>0</v>
      </c>
      <c r="O70">
        <v>0</v>
      </c>
    </row>
    <row r="71" spans="1:15" x14ac:dyDescent="0.3">
      <c r="A71" t="s">
        <v>84</v>
      </c>
      <c r="B71">
        <v>2</v>
      </c>
      <c r="C71">
        <v>62</v>
      </c>
      <c r="D71" t="s">
        <v>5015</v>
      </c>
      <c r="E71" t="s">
        <v>5017</v>
      </c>
      <c r="F71" t="s">
        <v>5021</v>
      </c>
      <c r="G71">
        <v>17.190000000000001</v>
      </c>
      <c r="H71">
        <v>3</v>
      </c>
      <c r="I71">
        <v>6.1</v>
      </c>
      <c r="J71">
        <v>16.78</v>
      </c>
      <c r="K71">
        <v>12</v>
      </c>
      <c r="L71" t="s">
        <v>5026</v>
      </c>
      <c r="M71">
        <v>5</v>
      </c>
      <c r="N71">
        <v>3</v>
      </c>
      <c r="O71">
        <v>0</v>
      </c>
    </row>
    <row r="72" spans="1:15" x14ac:dyDescent="0.3">
      <c r="A72" t="s">
        <v>85</v>
      </c>
      <c r="B72">
        <v>8</v>
      </c>
      <c r="C72">
        <v>19</v>
      </c>
      <c r="D72" t="s">
        <v>5015</v>
      </c>
      <c r="E72" t="s">
        <v>5018</v>
      </c>
      <c r="F72" t="s">
        <v>5022</v>
      </c>
      <c r="G72">
        <v>16.899999999999999</v>
      </c>
      <c r="H72">
        <v>2</v>
      </c>
      <c r="I72">
        <v>8.1</v>
      </c>
      <c r="J72">
        <v>19.940000000000001</v>
      </c>
      <c r="K72">
        <v>88.3</v>
      </c>
      <c r="L72" t="s">
        <v>5029</v>
      </c>
      <c r="M72">
        <v>7</v>
      </c>
      <c r="N72">
        <v>2</v>
      </c>
      <c r="O72">
        <v>1</v>
      </c>
    </row>
    <row r="73" spans="1:15" x14ac:dyDescent="0.3">
      <c r="A73" t="s">
        <v>86</v>
      </c>
      <c r="B73">
        <v>4</v>
      </c>
      <c r="C73">
        <v>47</v>
      </c>
      <c r="D73" t="s">
        <v>5015</v>
      </c>
      <c r="E73" t="s">
        <v>5018</v>
      </c>
      <c r="F73" t="s">
        <v>5022</v>
      </c>
      <c r="G73">
        <v>15.2</v>
      </c>
      <c r="H73">
        <v>3</v>
      </c>
      <c r="I73">
        <v>7.7</v>
      </c>
      <c r="J73">
        <v>16.989999999999998</v>
      </c>
      <c r="K73">
        <v>85.6</v>
      </c>
      <c r="L73" t="s">
        <v>5027</v>
      </c>
      <c r="M73">
        <v>2</v>
      </c>
      <c r="N73">
        <v>4</v>
      </c>
      <c r="O73">
        <v>0</v>
      </c>
    </row>
    <row r="74" spans="1:15" x14ac:dyDescent="0.3">
      <c r="A74" t="s">
        <v>87</v>
      </c>
      <c r="B74">
        <v>2</v>
      </c>
      <c r="C74">
        <v>47</v>
      </c>
      <c r="D74" t="s">
        <v>5015</v>
      </c>
      <c r="E74" t="s">
        <v>5018</v>
      </c>
      <c r="F74" t="s">
        <v>5022</v>
      </c>
      <c r="G74">
        <v>5.09</v>
      </c>
      <c r="H74">
        <v>3</v>
      </c>
      <c r="I74">
        <v>6.9</v>
      </c>
      <c r="J74">
        <v>21.18</v>
      </c>
      <c r="K74">
        <v>14.4</v>
      </c>
      <c r="L74" t="s">
        <v>5025</v>
      </c>
      <c r="M74">
        <v>8</v>
      </c>
      <c r="N74">
        <v>3</v>
      </c>
      <c r="O74">
        <v>0</v>
      </c>
    </row>
    <row r="75" spans="1:15" x14ac:dyDescent="0.3">
      <c r="A75" t="s">
        <v>88</v>
      </c>
      <c r="B75">
        <v>6</v>
      </c>
      <c r="C75">
        <v>29</v>
      </c>
      <c r="D75" t="s">
        <v>5016</v>
      </c>
      <c r="E75" t="s">
        <v>5019</v>
      </c>
      <c r="F75" t="s">
        <v>5023</v>
      </c>
      <c r="G75">
        <v>16.100000000000001</v>
      </c>
      <c r="H75">
        <v>2</v>
      </c>
      <c r="I75">
        <v>1.1000000000000001</v>
      </c>
      <c r="J75">
        <v>6.88</v>
      </c>
      <c r="K75">
        <v>21.3</v>
      </c>
      <c r="L75" t="s">
        <v>5029</v>
      </c>
      <c r="M75">
        <v>11</v>
      </c>
      <c r="N75">
        <v>4</v>
      </c>
      <c r="O75">
        <v>0</v>
      </c>
    </row>
    <row r="76" spans="1:15" x14ac:dyDescent="0.3">
      <c r="A76" t="s">
        <v>89</v>
      </c>
      <c r="B76">
        <v>6</v>
      </c>
      <c r="C76">
        <v>27</v>
      </c>
      <c r="D76" t="s">
        <v>5016</v>
      </c>
      <c r="E76" t="s">
        <v>5018</v>
      </c>
      <c r="F76" t="s">
        <v>5021</v>
      </c>
      <c r="G76">
        <v>23.66</v>
      </c>
      <c r="H76">
        <v>5</v>
      </c>
      <c r="I76">
        <v>1.7</v>
      </c>
      <c r="J76">
        <v>11.22</v>
      </c>
      <c r="K76">
        <v>60.1</v>
      </c>
      <c r="L76" t="s">
        <v>5029</v>
      </c>
      <c r="M76">
        <v>7</v>
      </c>
      <c r="N76">
        <v>1</v>
      </c>
      <c r="O76">
        <v>0</v>
      </c>
    </row>
    <row r="77" spans="1:15" x14ac:dyDescent="0.3">
      <c r="A77" t="s">
        <v>90</v>
      </c>
      <c r="B77">
        <v>10</v>
      </c>
      <c r="C77">
        <v>61</v>
      </c>
      <c r="D77" t="s">
        <v>5015</v>
      </c>
      <c r="E77" t="s">
        <v>5017</v>
      </c>
      <c r="F77" t="s">
        <v>5024</v>
      </c>
      <c r="G77">
        <v>11.69</v>
      </c>
      <c r="H77">
        <v>1</v>
      </c>
      <c r="I77">
        <v>6.2</v>
      </c>
      <c r="J77">
        <v>9.8800000000000008</v>
      </c>
      <c r="K77">
        <v>13.9</v>
      </c>
      <c r="L77" t="s">
        <v>5027</v>
      </c>
      <c r="M77">
        <v>6</v>
      </c>
      <c r="N77">
        <v>3</v>
      </c>
      <c r="O77">
        <v>0</v>
      </c>
    </row>
    <row r="78" spans="1:15" x14ac:dyDescent="0.3">
      <c r="A78" t="s">
        <v>91</v>
      </c>
      <c r="B78">
        <v>4</v>
      </c>
      <c r="C78">
        <v>28</v>
      </c>
      <c r="D78" t="s">
        <v>5015</v>
      </c>
      <c r="E78" t="s">
        <v>5017</v>
      </c>
      <c r="F78" t="s">
        <v>5024</v>
      </c>
      <c r="G78">
        <v>24.35</v>
      </c>
      <c r="H78">
        <v>5</v>
      </c>
      <c r="I78">
        <v>9.1999999999999993</v>
      </c>
      <c r="J78">
        <v>7.27</v>
      </c>
      <c r="K78">
        <v>47</v>
      </c>
      <c r="L78" t="s">
        <v>5028</v>
      </c>
      <c r="M78">
        <v>3</v>
      </c>
      <c r="N78">
        <v>0</v>
      </c>
      <c r="O78">
        <v>0</v>
      </c>
    </row>
    <row r="79" spans="1:15" x14ac:dyDescent="0.3">
      <c r="A79" t="s">
        <v>92</v>
      </c>
      <c r="B79">
        <v>6</v>
      </c>
      <c r="C79">
        <v>32</v>
      </c>
      <c r="D79" t="s">
        <v>5016</v>
      </c>
      <c r="E79" t="s">
        <v>5018</v>
      </c>
      <c r="F79" t="s">
        <v>5021</v>
      </c>
      <c r="G79">
        <v>12.14</v>
      </c>
      <c r="H79">
        <v>1</v>
      </c>
      <c r="I79">
        <v>6.4</v>
      </c>
      <c r="J79">
        <v>12.75</v>
      </c>
      <c r="K79">
        <v>97.8</v>
      </c>
      <c r="L79" t="s">
        <v>5027</v>
      </c>
      <c r="M79">
        <v>9</v>
      </c>
      <c r="N79">
        <v>1</v>
      </c>
      <c r="O79">
        <v>0</v>
      </c>
    </row>
    <row r="80" spans="1:15" x14ac:dyDescent="0.3">
      <c r="A80" t="s">
        <v>93</v>
      </c>
      <c r="B80">
        <v>2</v>
      </c>
      <c r="C80">
        <v>33</v>
      </c>
      <c r="D80" t="s">
        <v>5015</v>
      </c>
      <c r="E80" t="s">
        <v>5017</v>
      </c>
      <c r="F80" t="s">
        <v>5021</v>
      </c>
      <c r="G80">
        <v>7.8</v>
      </c>
      <c r="H80">
        <v>2</v>
      </c>
      <c r="I80">
        <v>3.1</v>
      </c>
      <c r="J80">
        <v>23.85</v>
      </c>
      <c r="K80">
        <v>25.5</v>
      </c>
      <c r="L80" t="s">
        <v>5028</v>
      </c>
      <c r="M80">
        <v>2</v>
      </c>
      <c r="N80">
        <v>0</v>
      </c>
      <c r="O80">
        <v>0</v>
      </c>
    </row>
    <row r="81" spans="1:15" x14ac:dyDescent="0.3">
      <c r="A81" t="s">
        <v>94</v>
      </c>
      <c r="B81">
        <v>10</v>
      </c>
      <c r="C81">
        <v>34</v>
      </c>
      <c r="D81" t="s">
        <v>5016</v>
      </c>
      <c r="E81" t="s">
        <v>5017</v>
      </c>
      <c r="F81" t="s">
        <v>5022</v>
      </c>
      <c r="G81">
        <v>12.97</v>
      </c>
      <c r="H81">
        <v>4</v>
      </c>
      <c r="I81">
        <v>3.9</v>
      </c>
      <c r="J81">
        <v>14.84</v>
      </c>
      <c r="K81">
        <v>28.5</v>
      </c>
      <c r="L81" t="s">
        <v>5027</v>
      </c>
      <c r="M81">
        <v>4</v>
      </c>
      <c r="N81">
        <v>4</v>
      </c>
      <c r="O81">
        <v>0</v>
      </c>
    </row>
    <row r="82" spans="1:15" x14ac:dyDescent="0.3">
      <c r="A82" t="s">
        <v>95</v>
      </c>
      <c r="B82">
        <v>12</v>
      </c>
      <c r="C82">
        <v>43</v>
      </c>
      <c r="D82" t="s">
        <v>5015</v>
      </c>
      <c r="E82" t="s">
        <v>5018</v>
      </c>
      <c r="F82" t="s">
        <v>5024</v>
      </c>
      <c r="G82">
        <v>14.89</v>
      </c>
      <c r="H82">
        <v>5</v>
      </c>
      <c r="I82">
        <v>6.6</v>
      </c>
      <c r="J82">
        <v>9.3000000000000007</v>
      </c>
      <c r="K82">
        <v>70.900000000000006</v>
      </c>
      <c r="L82" t="s">
        <v>5029</v>
      </c>
      <c r="M82">
        <v>2</v>
      </c>
      <c r="N82">
        <v>0</v>
      </c>
      <c r="O82">
        <v>0</v>
      </c>
    </row>
    <row r="83" spans="1:15" x14ac:dyDescent="0.3">
      <c r="A83" t="s">
        <v>96</v>
      </c>
      <c r="B83">
        <v>2</v>
      </c>
      <c r="C83">
        <v>19</v>
      </c>
      <c r="D83" t="s">
        <v>5015</v>
      </c>
      <c r="E83" t="s">
        <v>5018</v>
      </c>
      <c r="F83" t="s">
        <v>5021</v>
      </c>
      <c r="G83">
        <v>17.59</v>
      </c>
      <c r="H83">
        <v>3</v>
      </c>
      <c r="I83">
        <v>6.4</v>
      </c>
      <c r="J83">
        <v>10.79</v>
      </c>
      <c r="K83">
        <v>14</v>
      </c>
      <c r="L83" t="s">
        <v>5026</v>
      </c>
      <c r="M83">
        <v>6</v>
      </c>
      <c r="N83">
        <v>1</v>
      </c>
      <c r="O83">
        <v>0</v>
      </c>
    </row>
    <row r="84" spans="1:15" x14ac:dyDescent="0.3">
      <c r="A84" t="s">
        <v>97</v>
      </c>
      <c r="B84">
        <v>10</v>
      </c>
      <c r="C84">
        <v>67</v>
      </c>
      <c r="D84" t="s">
        <v>5016</v>
      </c>
      <c r="E84" t="s">
        <v>5018</v>
      </c>
      <c r="F84" t="s">
        <v>5024</v>
      </c>
      <c r="G84">
        <v>15.1</v>
      </c>
      <c r="H84">
        <v>5</v>
      </c>
      <c r="I84">
        <v>9.6</v>
      </c>
      <c r="J84">
        <v>16.489999999999998</v>
      </c>
      <c r="K84">
        <v>83.9</v>
      </c>
      <c r="L84" t="s">
        <v>5029</v>
      </c>
      <c r="M84">
        <v>7</v>
      </c>
      <c r="N84">
        <v>1</v>
      </c>
      <c r="O84">
        <v>0</v>
      </c>
    </row>
    <row r="85" spans="1:15" x14ac:dyDescent="0.3">
      <c r="A85" t="s">
        <v>98</v>
      </c>
      <c r="B85">
        <v>4</v>
      </c>
      <c r="C85">
        <v>29</v>
      </c>
      <c r="D85" t="s">
        <v>5015</v>
      </c>
      <c r="E85" t="s">
        <v>5019</v>
      </c>
      <c r="F85" t="s">
        <v>5021</v>
      </c>
      <c r="G85">
        <v>15.73</v>
      </c>
      <c r="H85">
        <v>2</v>
      </c>
      <c r="I85">
        <v>5.8</v>
      </c>
      <c r="J85">
        <v>10.76</v>
      </c>
      <c r="K85">
        <v>27.9</v>
      </c>
      <c r="L85" t="s">
        <v>5029</v>
      </c>
      <c r="M85">
        <v>9</v>
      </c>
      <c r="N85">
        <v>1</v>
      </c>
      <c r="O85">
        <v>0</v>
      </c>
    </row>
    <row r="86" spans="1:15" x14ac:dyDescent="0.3">
      <c r="A86" t="s">
        <v>99</v>
      </c>
      <c r="B86">
        <v>8</v>
      </c>
      <c r="C86">
        <v>68</v>
      </c>
      <c r="D86" t="s">
        <v>5016</v>
      </c>
      <c r="E86" t="s">
        <v>5018</v>
      </c>
      <c r="F86" t="s">
        <v>5020</v>
      </c>
      <c r="G86">
        <v>5.48</v>
      </c>
      <c r="H86">
        <v>4</v>
      </c>
      <c r="I86">
        <v>4.2</v>
      </c>
      <c r="J86">
        <v>14.84</v>
      </c>
      <c r="K86">
        <v>57.8</v>
      </c>
      <c r="L86" t="s">
        <v>5025</v>
      </c>
      <c r="M86">
        <v>6</v>
      </c>
      <c r="N86">
        <v>4</v>
      </c>
      <c r="O86">
        <v>0</v>
      </c>
    </row>
    <row r="87" spans="1:15" x14ac:dyDescent="0.3">
      <c r="A87" t="s">
        <v>100</v>
      </c>
      <c r="B87">
        <v>7</v>
      </c>
      <c r="C87">
        <v>43</v>
      </c>
      <c r="D87" t="s">
        <v>5016</v>
      </c>
      <c r="E87" t="s">
        <v>5018</v>
      </c>
      <c r="F87" t="s">
        <v>5022</v>
      </c>
      <c r="G87">
        <v>10.07</v>
      </c>
      <c r="H87">
        <v>4</v>
      </c>
      <c r="I87">
        <v>5.7</v>
      </c>
      <c r="J87">
        <v>9.0299999999999994</v>
      </c>
      <c r="K87">
        <v>32.4</v>
      </c>
      <c r="L87" t="s">
        <v>5029</v>
      </c>
      <c r="M87">
        <v>6</v>
      </c>
      <c r="N87">
        <v>2</v>
      </c>
      <c r="O87">
        <v>0</v>
      </c>
    </row>
    <row r="88" spans="1:15" x14ac:dyDescent="0.3">
      <c r="A88" t="s">
        <v>101</v>
      </c>
      <c r="B88">
        <v>12</v>
      </c>
      <c r="C88">
        <v>40</v>
      </c>
      <c r="D88" t="s">
        <v>5016</v>
      </c>
      <c r="E88" t="s">
        <v>5019</v>
      </c>
      <c r="F88" t="s">
        <v>5021</v>
      </c>
      <c r="G88">
        <v>11.21</v>
      </c>
      <c r="H88">
        <v>5</v>
      </c>
      <c r="I88">
        <v>8.1</v>
      </c>
      <c r="J88">
        <v>10.61</v>
      </c>
      <c r="K88">
        <v>69.3</v>
      </c>
      <c r="L88" t="s">
        <v>5029</v>
      </c>
      <c r="M88">
        <v>5</v>
      </c>
      <c r="N88">
        <v>4</v>
      </c>
      <c r="O88">
        <v>0</v>
      </c>
    </row>
    <row r="89" spans="1:15" x14ac:dyDescent="0.3">
      <c r="A89" t="s">
        <v>102</v>
      </c>
      <c r="B89">
        <v>9</v>
      </c>
      <c r="C89">
        <v>35</v>
      </c>
      <c r="D89" t="s">
        <v>5015</v>
      </c>
      <c r="E89" t="s">
        <v>5018</v>
      </c>
      <c r="F89" t="s">
        <v>5023</v>
      </c>
      <c r="G89">
        <v>24.74</v>
      </c>
      <c r="H89">
        <v>5</v>
      </c>
      <c r="I89">
        <v>5.9</v>
      </c>
      <c r="J89">
        <v>18.53</v>
      </c>
      <c r="K89">
        <v>62.8</v>
      </c>
      <c r="L89" t="s">
        <v>5029</v>
      </c>
      <c r="M89">
        <v>10</v>
      </c>
      <c r="N89">
        <v>1</v>
      </c>
      <c r="O89">
        <v>0</v>
      </c>
    </row>
    <row r="90" spans="1:15" x14ac:dyDescent="0.3">
      <c r="A90" t="s">
        <v>103</v>
      </c>
      <c r="B90">
        <v>8</v>
      </c>
      <c r="C90">
        <v>49</v>
      </c>
      <c r="D90" t="s">
        <v>5016</v>
      </c>
      <c r="E90" t="s">
        <v>5018</v>
      </c>
      <c r="F90" t="s">
        <v>5021</v>
      </c>
      <c r="G90">
        <v>10.91</v>
      </c>
      <c r="H90">
        <v>5</v>
      </c>
      <c r="I90">
        <v>3.9</v>
      </c>
      <c r="J90">
        <v>15.86</v>
      </c>
      <c r="K90">
        <v>95.2</v>
      </c>
      <c r="L90" t="s">
        <v>5025</v>
      </c>
      <c r="M90">
        <v>11</v>
      </c>
      <c r="N90">
        <v>4</v>
      </c>
      <c r="O90">
        <v>1</v>
      </c>
    </row>
    <row r="91" spans="1:15" x14ac:dyDescent="0.3">
      <c r="A91" t="s">
        <v>104</v>
      </c>
      <c r="B91">
        <v>5</v>
      </c>
      <c r="C91">
        <v>66</v>
      </c>
      <c r="D91" t="s">
        <v>5016</v>
      </c>
      <c r="E91" t="s">
        <v>5018</v>
      </c>
      <c r="F91" t="s">
        <v>5020</v>
      </c>
      <c r="G91">
        <v>22.93</v>
      </c>
      <c r="H91">
        <v>2</v>
      </c>
      <c r="I91">
        <v>4</v>
      </c>
      <c r="J91">
        <v>5.0599999999999996</v>
      </c>
      <c r="K91">
        <v>50.1</v>
      </c>
      <c r="L91" t="s">
        <v>5028</v>
      </c>
      <c r="M91">
        <v>10</v>
      </c>
      <c r="N91">
        <v>3</v>
      </c>
      <c r="O91">
        <v>0</v>
      </c>
    </row>
    <row r="92" spans="1:15" x14ac:dyDescent="0.3">
      <c r="A92" t="s">
        <v>105</v>
      </c>
      <c r="B92">
        <v>2</v>
      </c>
      <c r="C92">
        <v>55</v>
      </c>
      <c r="D92" t="s">
        <v>5015</v>
      </c>
      <c r="E92" t="s">
        <v>5017</v>
      </c>
      <c r="F92" t="s">
        <v>5023</v>
      </c>
      <c r="G92">
        <v>11.09</v>
      </c>
      <c r="H92">
        <v>1</v>
      </c>
      <c r="I92">
        <v>7.8</v>
      </c>
      <c r="J92">
        <v>24.41</v>
      </c>
      <c r="K92">
        <v>88.7</v>
      </c>
      <c r="L92" t="s">
        <v>5025</v>
      </c>
      <c r="M92">
        <v>4</v>
      </c>
      <c r="N92">
        <v>3</v>
      </c>
      <c r="O92">
        <v>0</v>
      </c>
    </row>
    <row r="93" spans="1:15" x14ac:dyDescent="0.3">
      <c r="A93" t="s">
        <v>106</v>
      </c>
      <c r="B93">
        <v>5</v>
      </c>
      <c r="C93">
        <v>64</v>
      </c>
      <c r="D93" t="s">
        <v>5015</v>
      </c>
      <c r="E93" t="s">
        <v>5018</v>
      </c>
      <c r="F93" t="s">
        <v>5023</v>
      </c>
      <c r="G93">
        <v>6.92</v>
      </c>
      <c r="H93">
        <v>1</v>
      </c>
      <c r="I93">
        <v>1.6</v>
      </c>
      <c r="J93">
        <v>4.09</v>
      </c>
      <c r="K93">
        <v>61.8</v>
      </c>
      <c r="L93" t="s">
        <v>5026</v>
      </c>
      <c r="M93">
        <v>10</v>
      </c>
      <c r="N93">
        <v>2</v>
      </c>
      <c r="O93">
        <v>0</v>
      </c>
    </row>
    <row r="94" spans="1:15" x14ac:dyDescent="0.3">
      <c r="A94" t="s">
        <v>107</v>
      </c>
      <c r="B94">
        <v>8</v>
      </c>
      <c r="C94">
        <v>20</v>
      </c>
      <c r="D94" t="s">
        <v>5015</v>
      </c>
      <c r="E94" t="s">
        <v>5018</v>
      </c>
      <c r="F94" t="s">
        <v>5021</v>
      </c>
      <c r="G94">
        <v>9.9499999999999993</v>
      </c>
      <c r="H94">
        <v>3</v>
      </c>
      <c r="I94">
        <v>3.5</v>
      </c>
      <c r="J94">
        <v>4.82</v>
      </c>
      <c r="K94">
        <v>92.3</v>
      </c>
      <c r="L94" t="s">
        <v>5028</v>
      </c>
      <c r="M94">
        <v>11</v>
      </c>
      <c r="N94">
        <v>4</v>
      </c>
      <c r="O94">
        <v>0</v>
      </c>
    </row>
    <row r="95" spans="1:15" x14ac:dyDescent="0.3">
      <c r="A95" t="s">
        <v>108</v>
      </c>
      <c r="B95">
        <v>10</v>
      </c>
      <c r="C95">
        <v>55</v>
      </c>
      <c r="D95" t="s">
        <v>5015</v>
      </c>
      <c r="E95" t="s">
        <v>5019</v>
      </c>
      <c r="F95" t="s">
        <v>5020</v>
      </c>
      <c r="G95">
        <v>10.46</v>
      </c>
      <c r="H95">
        <v>2</v>
      </c>
      <c r="I95">
        <v>2.4</v>
      </c>
      <c r="J95">
        <v>18.43</v>
      </c>
      <c r="K95">
        <v>36.299999999999997</v>
      </c>
      <c r="L95" t="s">
        <v>5025</v>
      </c>
      <c r="M95">
        <v>4</v>
      </c>
      <c r="N95">
        <v>4</v>
      </c>
      <c r="O95">
        <v>0</v>
      </c>
    </row>
    <row r="96" spans="1:15" x14ac:dyDescent="0.3">
      <c r="A96" t="s">
        <v>109</v>
      </c>
      <c r="B96">
        <v>9</v>
      </c>
      <c r="C96">
        <v>20</v>
      </c>
      <c r="D96" t="s">
        <v>5015</v>
      </c>
      <c r="E96" t="s">
        <v>5019</v>
      </c>
      <c r="F96" t="s">
        <v>5023</v>
      </c>
      <c r="G96">
        <v>24.56</v>
      </c>
      <c r="H96">
        <v>4</v>
      </c>
      <c r="I96">
        <v>9.5</v>
      </c>
      <c r="J96">
        <v>18.579999999999998</v>
      </c>
      <c r="K96">
        <v>59.5</v>
      </c>
      <c r="L96" t="s">
        <v>5026</v>
      </c>
      <c r="M96">
        <v>4</v>
      </c>
      <c r="N96">
        <v>3</v>
      </c>
      <c r="O96">
        <v>0</v>
      </c>
    </row>
    <row r="97" spans="1:15" x14ac:dyDescent="0.3">
      <c r="A97" t="s">
        <v>110</v>
      </c>
      <c r="B97">
        <v>12</v>
      </c>
      <c r="C97">
        <v>47</v>
      </c>
      <c r="D97" t="s">
        <v>5015</v>
      </c>
      <c r="E97" t="s">
        <v>5018</v>
      </c>
      <c r="F97" t="s">
        <v>5022</v>
      </c>
      <c r="G97">
        <v>18.489999999999998</v>
      </c>
      <c r="H97">
        <v>3</v>
      </c>
      <c r="I97">
        <v>1.8</v>
      </c>
      <c r="J97">
        <v>3.42</v>
      </c>
      <c r="K97">
        <v>45.1</v>
      </c>
      <c r="L97" t="s">
        <v>5026</v>
      </c>
      <c r="M97">
        <v>5</v>
      </c>
      <c r="N97">
        <v>1</v>
      </c>
      <c r="O97">
        <v>0</v>
      </c>
    </row>
    <row r="98" spans="1:15" x14ac:dyDescent="0.3">
      <c r="A98" t="s">
        <v>111</v>
      </c>
      <c r="B98">
        <v>12</v>
      </c>
      <c r="C98">
        <v>18</v>
      </c>
      <c r="D98" t="s">
        <v>5016</v>
      </c>
      <c r="E98" t="s">
        <v>5017</v>
      </c>
      <c r="F98" t="s">
        <v>5022</v>
      </c>
      <c r="G98">
        <v>23.63</v>
      </c>
      <c r="H98">
        <v>4</v>
      </c>
      <c r="I98">
        <v>7.8</v>
      </c>
      <c r="J98">
        <v>17.14</v>
      </c>
      <c r="K98">
        <v>15.9</v>
      </c>
      <c r="L98" t="s">
        <v>5027</v>
      </c>
      <c r="M98">
        <v>1</v>
      </c>
      <c r="N98">
        <v>0</v>
      </c>
      <c r="O98">
        <v>0</v>
      </c>
    </row>
    <row r="99" spans="1:15" x14ac:dyDescent="0.3">
      <c r="A99" t="s">
        <v>112</v>
      </c>
      <c r="B99">
        <v>12</v>
      </c>
      <c r="C99">
        <v>47</v>
      </c>
      <c r="D99" t="s">
        <v>5015</v>
      </c>
      <c r="E99" t="s">
        <v>5017</v>
      </c>
      <c r="F99" t="s">
        <v>5024</v>
      </c>
      <c r="G99">
        <v>21.7</v>
      </c>
      <c r="H99">
        <v>4</v>
      </c>
      <c r="I99">
        <v>6.7</v>
      </c>
      <c r="J99">
        <v>3.73</v>
      </c>
      <c r="K99">
        <v>61.7</v>
      </c>
      <c r="L99" t="s">
        <v>5027</v>
      </c>
      <c r="M99">
        <v>2</v>
      </c>
      <c r="N99">
        <v>1</v>
      </c>
      <c r="O99">
        <v>1</v>
      </c>
    </row>
    <row r="100" spans="1:15" x14ac:dyDescent="0.3">
      <c r="A100" t="s">
        <v>113</v>
      </c>
      <c r="B100">
        <v>9</v>
      </c>
      <c r="C100">
        <v>62</v>
      </c>
      <c r="D100" t="s">
        <v>5016</v>
      </c>
      <c r="E100" t="s">
        <v>5018</v>
      </c>
      <c r="F100" t="s">
        <v>5024</v>
      </c>
      <c r="G100">
        <v>16.57</v>
      </c>
      <c r="H100">
        <v>5</v>
      </c>
      <c r="I100">
        <v>6.7</v>
      </c>
      <c r="J100">
        <v>24.14</v>
      </c>
      <c r="K100">
        <v>81.5</v>
      </c>
      <c r="L100" t="s">
        <v>5029</v>
      </c>
      <c r="M100">
        <v>3</v>
      </c>
      <c r="N100">
        <v>2</v>
      </c>
      <c r="O100">
        <v>0</v>
      </c>
    </row>
    <row r="101" spans="1:15" x14ac:dyDescent="0.3">
      <c r="A101" t="s">
        <v>114</v>
      </c>
      <c r="B101">
        <v>1</v>
      </c>
      <c r="C101">
        <v>49</v>
      </c>
      <c r="D101" t="s">
        <v>5015</v>
      </c>
      <c r="E101" t="s">
        <v>5018</v>
      </c>
      <c r="F101" t="s">
        <v>5020</v>
      </c>
      <c r="G101">
        <v>18.510000000000002</v>
      </c>
      <c r="H101">
        <v>4</v>
      </c>
      <c r="I101">
        <v>7.9</v>
      </c>
      <c r="J101">
        <v>18.32</v>
      </c>
      <c r="K101">
        <v>60.1</v>
      </c>
      <c r="L101" t="s">
        <v>5028</v>
      </c>
      <c r="M101">
        <v>7</v>
      </c>
      <c r="N101">
        <v>0</v>
      </c>
      <c r="O101">
        <v>0</v>
      </c>
    </row>
    <row r="102" spans="1:15" x14ac:dyDescent="0.3">
      <c r="A102" t="s">
        <v>115</v>
      </c>
      <c r="B102">
        <v>9</v>
      </c>
      <c r="C102">
        <v>45</v>
      </c>
      <c r="D102" t="s">
        <v>5016</v>
      </c>
      <c r="E102" t="s">
        <v>5017</v>
      </c>
      <c r="F102" t="s">
        <v>5023</v>
      </c>
      <c r="G102">
        <v>17.5</v>
      </c>
      <c r="H102">
        <v>4</v>
      </c>
      <c r="I102">
        <v>4.5999999999999996</v>
      </c>
      <c r="J102">
        <v>7.1</v>
      </c>
      <c r="K102">
        <v>35.1</v>
      </c>
      <c r="L102" t="s">
        <v>5025</v>
      </c>
      <c r="M102">
        <v>1</v>
      </c>
      <c r="N102">
        <v>1</v>
      </c>
      <c r="O102">
        <v>0</v>
      </c>
    </row>
    <row r="103" spans="1:15" x14ac:dyDescent="0.3">
      <c r="A103" t="s">
        <v>116</v>
      </c>
      <c r="B103">
        <v>7</v>
      </c>
      <c r="C103">
        <v>38</v>
      </c>
      <c r="D103" t="s">
        <v>5016</v>
      </c>
      <c r="E103" t="s">
        <v>5018</v>
      </c>
      <c r="F103" t="s">
        <v>5022</v>
      </c>
      <c r="G103">
        <v>18.329999999999998</v>
      </c>
      <c r="H103">
        <v>2</v>
      </c>
      <c r="I103">
        <v>4.5999999999999996</v>
      </c>
      <c r="J103">
        <v>6.48</v>
      </c>
      <c r="K103">
        <v>33.700000000000003</v>
      </c>
      <c r="L103" t="s">
        <v>5029</v>
      </c>
      <c r="M103">
        <v>3</v>
      </c>
      <c r="N103">
        <v>4</v>
      </c>
      <c r="O103">
        <v>0</v>
      </c>
    </row>
    <row r="104" spans="1:15" x14ac:dyDescent="0.3">
      <c r="A104" t="s">
        <v>117</v>
      </c>
      <c r="B104">
        <v>9</v>
      </c>
      <c r="C104">
        <v>63</v>
      </c>
      <c r="D104" t="s">
        <v>5015</v>
      </c>
      <c r="E104" t="s">
        <v>5017</v>
      </c>
      <c r="F104" t="s">
        <v>5022</v>
      </c>
      <c r="G104">
        <v>10.3</v>
      </c>
      <c r="H104">
        <v>5</v>
      </c>
      <c r="I104">
        <v>3.6</v>
      </c>
      <c r="J104">
        <v>15.53</v>
      </c>
      <c r="K104">
        <v>31.4</v>
      </c>
      <c r="L104" t="s">
        <v>5028</v>
      </c>
      <c r="M104">
        <v>7</v>
      </c>
      <c r="N104">
        <v>4</v>
      </c>
      <c r="O104">
        <v>0</v>
      </c>
    </row>
    <row r="105" spans="1:15" x14ac:dyDescent="0.3">
      <c r="A105" t="s">
        <v>118</v>
      </c>
      <c r="B105">
        <v>8</v>
      </c>
      <c r="C105">
        <v>30</v>
      </c>
      <c r="D105" t="s">
        <v>5015</v>
      </c>
      <c r="E105" t="s">
        <v>5019</v>
      </c>
      <c r="F105" t="s">
        <v>5020</v>
      </c>
      <c r="G105">
        <v>13.16</v>
      </c>
      <c r="H105">
        <v>5</v>
      </c>
      <c r="I105">
        <v>6.4</v>
      </c>
      <c r="J105">
        <v>16.940000000000001</v>
      </c>
      <c r="K105">
        <v>98.2</v>
      </c>
      <c r="L105" t="s">
        <v>5027</v>
      </c>
      <c r="M105">
        <v>6</v>
      </c>
      <c r="N105">
        <v>3</v>
      </c>
      <c r="O105">
        <v>0</v>
      </c>
    </row>
    <row r="106" spans="1:15" x14ac:dyDescent="0.3">
      <c r="A106" t="s">
        <v>119</v>
      </c>
      <c r="B106">
        <v>1</v>
      </c>
      <c r="C106">
        <v>44</v>
      </c>
      <c r="D106" t="s">
        <v>5016</v>
      </c>
      <c r="E106" t="s">
        <v>5017</v>
      </c>
      <c r="F106" t="s">
        <v>5023</v>
      </c>
      <c r="G106">
        <v>16.850000000000001</v>
      </c>
      <c r="H106">
        <v>3</v>
      </c>
      <c r="I106">
        <v>9.4</v>
      </c>
      <c r="J106">
        <v>21.29</v>
      </c>
      <c r="K106">
        <v>45.9</v>
      </c>
      <c r="L106" t="s">
        <v>5025</v>
      </c>
      <c r="M106">
        <v>2</v>
      </c>
      <c r="N106">
        <v>4</v>
      </c>
      <c r="O106">
        <v>0</v>
      </c>
    </row>
    <row r="107" spans="1:15" x14ac:dyDescent="0.3">
      <c r="A107" t="s">
        <v>120</v>
      </c>
      <c r="B107">
        <v>12</v>
      </c>
      <c r="C107">
        <v>53</v>
      </c>
      <c r="D107" t="s">
        <v>5015</v>
      </c>
      <c r="E107" t="s">
        <v>5019</v>
      </c>
      <c r="F107" t="s">
        <v>5020</v>
      </c>
      <c r="G107">
        <v>5.72</v>
      </c>
      <c r="H107">
        <v>5</v>
      </c>
      <c r="I107">
        <v>9.3000000000000007</v>
      </c>
      <c r="J107">
        <v>22.87</v>
      </c>
      <c r="K107">
        <v>38.5</v>
      </c>
      <c r="L107" t="s">
        <v>5026</v>
      </c>
      <c r="M107">
        <v>4</v>
      </c>
      <c r="N107">
        <v>4</v>
      </c>
      <c r="O107">
        <v>1</v>
      </c>
    </row>
    <row r="108" spans="1:15" x14ac:dyDescent="0.3">
      <c r="A108" t="s">
        <v>121</v>
      </c>
      <c r="B108">
        <v>8</v>
      </c>
      <c r="C108">
        <v>24</v>
      </c>
      <c r="D108" t="s">
        <v>5015</v>
      </c>
      <c r="E108" t="s">
        <v>5019</v>
      </c>
      <c r="F108" t="s">
        <v>5021</v>
      </c>
      <c r="G108">
        <v>14.66</v>
      </c>
      <c r="H108">
        <v>1</v>
      </c>
      <c r="I108">
        <v>7.3</v>
      </c>
      <c r="J108">
        <v>11.64</v>
      </c>
      <c r="K108">
        <v>47.7</v>
      </c>
      <c r="L108" t="s">
        <v>5026</v>
      </c>
      <c r="M108">
        <v>1</v>
      </c>
      <c r="N108">
        <v>2</v>
      </c>
      <c r="O108">
        <v>0</v>
      </c>
    </row>
    <row r="109" spans="1:15" x14ac:dyDescent="0.3">
      <c r="A109" t="s">
        <v>122</v>
      </c>
      <c r="B109">
        <v>8</v>
      </c>
      <c r="C109">
        <v>39</v>
      </c>
      <c r="D109" t="s">
        <v>5016</v>
      </c>
      <c r="E109" t="s">
        <v>5018</v>
      </c>
      <c r="F109" t="s">
        <v>5022</v>
      </c>
      <c r="G109">
        <v>22.19</v>
      </c>
      <c r="H109">
        <v>2</v>
      </c>
      <c r="I109">
        <v>9.1999999999999993</v>
      </c>
      <c r="J109">
        <v>21.57</v>
      </c>
      <c r="K109">
        <v>20.399999999999999</v>
      </c>
      <c r="L109" t="s">
        <v>5029</v>
      </c>
      <c r="M109">
        <v>5</v>
      </c>
      <c r="N109">
        <v>0</v>
      </c>
      <c r="O109">
        <v>0</v>
      </c>
    </row>
    <row r="110" spans="1:15" x14ac:dyDescent="0.3">
      <c r="A110" t="s">
        <v>123</v>
      </c>
      <c r="B110">
        <v>11</v>
      </c>
      <c r="C110">
        <v>27</v>
      </c>
      <c r="D110" t="s">
        <v>5016</v>
      </c>
      <c r="E110" t="s">
        <v>5019</v>
      </c>
      <c r="F110" t="s">
        <v>5020</v>
      </c>
      <c r="G110">
        <v>14.85</v>
      </c>
      <c r="H110">
        <v>3</v>
      </c>
      <c r="I110">
        <v>9.6999999999999993</v>
      </c>
      <c r="J110">
        <v>14.93</v>
      </c>
      <c r="K110">
        <v>27.6</v>
      </c>
      <c r="L110" t="s">
        <v>5029</v>
      </c>
      <c r="M110">
        <v>2</v>
      </c>
      <c r="N110">
        <v>1</v>
      </c>
      <c r="O110">
        <v>0</v>
      </c>
    </row>
    <row r="111" spans="1:15" x14ac:dyDescent="0.3">
      <c r="A111" t="s">
        <v>124</v>
      </c>
      <c r="B111">
        <v>3</v>
      </c>
      <c r="C111">
        <v>56</v>
      </c>
      <c r="D111" t="s">
        <v>5016</v>
      </c>
      <c r="E111" t="s">
        <v>5018</v>
      </c>
      <c r="F111" t="s">
        <v>5020</v>
      </c>
      <c r="G111">
        <v>16.05</v>
      </c>
      <c r="H111">
        <v>1</v>
      </c>
      <c r="I111">
        <v>8.1999999999999993</v>
      </c>
      <c r="J111">
        <v>13.35</v>
      </c>
      <c r="K111">
        <v>55.8</v>
      </c>
      <c r="L111" t="s">
        <v>5025</v>
      </c>
      <c r="M111">
        <v>8</v>
      </c>
      <c r="N111">
        <v>1</v>
      </c>
      <c r="O111">
        <v>0</v>
      </c>
    </row>
    <row r="112" spans="1:15" x14ac:dyDescent="0.3">
      <c r="A112" t="s">
        <v>125</v>
      </c>
      <c r="B112">
        <v>1</v>
      </c>
      <c r="C112">
        <v>32</v>
      </c>
      <c r="D112" t="s">
        <v>5015</v>
      </c>
      <c r="E112" t="s">
        <v>5018</v>
      </c>
      <c r="F112" t="s">
        <v>5021</v>
      </c>
      <c r="G112">
        <v>9.0399999999999991</v>
      </c>
      <c r="H112">
        <v>4</v>
      </c>
      <c r="I112">
        <v>4.7</v>
      </c>
      <c r="J112">
        <v>18.38</v>
      </c>
      <c r="K112">
        <v>81.900000000000006</v>
      </c>
      <c r="L112" t="s">
        <v>5026</v>
      </c>
      <c r="M112">
        <v>10</v>
      </c>
      <c r="N112">
        <v>2</v>
      </c>
      <c r="O112">
        <v>1</v>
      </c>
    </row>
    <row r="113" spans="1:15" x14ac:dyDescent="0.3">
      <c r="A113" t="s">
        <v>126</v>
      </c>
      <c r="B113">
        <v>8</v>
      </c>
      <c r="C113">
        <v>32</v>
      </c>
      <c r="D113" t="s">
        <v>5015</v>
      </c>
      <c r="E113" t="s">
        <v>5018</v>
      </c>
      <c r="F113" t="s">
        <v>5024</v>
      </c>
      <c r="G113">
        <v>20.89</v>
      </c>
      <c r="H113">
        <v>1</v>
      </c>
      <c r="I113">
        <v>5.3</v>
      </c>
      <c r="J113">
        <v>5.27</v>
      </c>
      <c r="K113">
        <v>88.9</v>
      </c>
      <c r="L113" t="s">
        <v>5029</v>
      </c>
      <c r="M113">
        <v>6</v>
      </c>
      <c r="N113">
        <v>0</v>
      </c>
      <c r="O113">
        <v>0</v>
      </c>
    </row>
    <row r="114" spans="1:15" x14ac:dyDescent="0.3">
      <c r="A114" t="s">
        <v>127</v>
      </c>
      <c r="B114">
        <v>3</v>
      </c>
      <c r="C114">
        <v>21</v>
      </c>
      <c r="D114" t="s">
        <v>5015</v>
      </c>
      <c r="E114" t="s">
        <v>5018</v>
      </c>
      <c r="F114" t="s">
        <v>5022</v>
      </c>
      <c r="G114">
        <v>12.18</v>
      </c>
      <c r="H114">
        <v>3</v>
      </c>
      <c r="I114">
        <v>9.4</v>
      </c>
      <c r="J114">
        <v>8.84</v>
      </c>
      <c r="K114">
        <v>87.9</v>
      </c>
      <c r="L114" t="s">
        <v>5026</v>
      </c>
      <c r="M114">
        <v>1</v>
      </c>
      <c r="N114">
        <v>4</v>
      </c>
      <c r="O114">
        <v>0</v>
      </c>
    </row>
    <row r="115" spans="1:15" x14ac:dyDescent="0.3">
      <c r="A115" t="s">
        <v>128</v>
      </c>
      <c r="B115">
        <v>3</v>
      </c>
      <c r="C115">
        <v>49</v>
      </c>
      <c r="D115" t="s">
        <v>5015</v>
      </c>
      <c r="E115" t="s">
        <v>5018</v>
      </c>
      <c r="F115" t="s">
        <v>5020</v>
      </c>
      <c r="G115">
        <v>24.13</v>
      </c>
      <c r="H115">
        <v>5</v>
      </c>
      <c r="I115">
        <v>7</v>
      </c>
      <c r="J115">
        <v>20.97</v>
      </c>
      <c r="K115">
        <v>95</v>
      </c>
      <c r="L115" t="s">
        <v>5027</v>
      </c>
      <c r="M115">
        <v>2</v>
      </c>
      <c r="N115">
        <v>2</v>
      </c>
      <c r="O115">
        <v>1</v>
      </c>
    </row>
    <row r="116" spans="1:15" x14ac:dyDescent="0.3">
      <c r="A116" t="s">
        <v>129</v>
      </c>
      <c r="B116">
        <v>1</v>
      </c>
      <c r="C116">
        <v>40</v>
      </c>
      <c r="D116" t="s">
        <v>5016</v>
      </c>
      <c r="E116" t="s">
        <v>5018</v>
      </c>
      <c r="F116" t="s">
        <v>5022</v>
      </c>
      <c r="G116">
        <v>24.87</v>
      </c>
      <c r="H116">
        <v>2</v>
      </c>
      <c r="I116">
        <v>8.4</v>
      </c>
      <c r="J116">
        <v>14.09</v>
      </c>
      <c r="K116">
        <v>21.3</v>
      </c>
      <c r="L116" t="s">
        <v>5029</v>
      </c>
      <c r="M116">
        <v>4</v>
      </c>
      <c r="N116">
        <v>4</v>
      </c>
      <c r="O116">
        <v>0</v>
      </c>
    </row>
    <row r="117" spans="1:15" x14ac:dyDescent="0.3">
      <c r="A117" t="s">
        <v>130</v>
      </c>
      <c r="B117">
        <v>11</v>
      </c>
      <c r="C117">
        <v>23</v>
      </c>
      <c r="D117" t="s">
        <v>5015</v>
      </c>
      <c r="E117" t="s">
        <v>5018</v>
      </c>
      <c r="F117" t="s">
        <v>5024</v>
      </c>
      <c r="G117">
        <v>23.32</v>
      </c>
      <c r="H117">
        <v>3</v>
      </c>
      <c r="I117">
        <v>2</v>
      </c>
      <c r="J117">
        <v>22.98</v>
      </c>
      <c r="K117">
        <v>13.7</v>
      </c>
      <c r="L117" t="s">
        <v>5028</v>
      </c>
      <c r="M117">
        <v>3</v>
      </c>
      <c r="N117">
        <v>1</v>
      </c>
      <c r="O117">
        <v>0</v>
      </c>
    </row>
    <row r="118" spans="1:15" x14ac:dyDescent="0.3">
      <c r="A118" t="s">
        <v>131</v>
      </c>
      <c r="B118">
        <v>5</v>
      </c>
      <c r="C118">
        <v>41</v>
      </c>
      <c r="D118" t="s">
        <v>5016</v>
      </c>
      <c r="E118" t="s">
        <v>5017</v>
      </c>
      <c r="F118" t="s">
        <v>5020</v>
      </c>
      <c r="G118">
        <v>6.7</v>
      </c>
      <c r="H118">
        <v>1</v>
      </c>
      <c r="I118">
        <v>2.7</v>
      </c>
      <c r="J118">
        <v>4.95</v>
      </c>
      <c r="K118">
        <v>19.5</v>
      </c>
      <c r="L118" t="s">
        <v>5029</v>
      </c>
      <c r="M118">
        <v>9</v>
      </c>
      <c r="N118">
        <v>2</v>
      </c>
      <c r="O118">
        <v>1</v>
      </c>
    </row>
    <row r="119" spans="1:15" x14ac:dyDescent="0.3">
      <c r="A119" t="s">
        <v>132</v>
      </c>
      <c r="B119">
        <v>10</v>
      </c>
      <c r="C119">
        <v>37</v>
      </c>
      <c r="D119" t="s">
        <v>5015</v>
      </c>
      <c r="E119" t="s">
        <v>5018</v>
      </c>
      <c r="F119" t="s">
        <v>5021</v>
      </c>
      <c r="G119">
        <v>11.66</v>
      </c>
      <c r="H119">
        <v>1</v>
      </c>
      <c r="I119">
        <v>4.0999999999999996</v>
      </c>
      <c r="J119">
        <v>9.9</v>
      </c>
      <c r="K119">
        <v>64.099999999999994</v>
      </c>
      <c r="L119" t="s">
        <v>5027</v>
      </c>
      <c r="M119">
        <v>1</v>
      </c>
      <c r="N119">
        <v>2</v>
      </c>
      <c r="O119">
        <v>0</v>
      </c>
    </row>
    <row r="120" spans="1:15" x14ac:dyDescent="0.3">
      <c r="A120" t="s">
        <v>133</v>
      </c>
      <c r="B120">
        <v>7</v>
      </c>
      <c r="C120">
        <v>54</v>
      </c>
      <c r="D120" t="s">
        <v>5015</v>
      </c>
      <c r="E120" t="s">
        <v>5017</v>
      </c>
      <c r="F120" t="s">
        <v>5022</v>
      </c>
      <c r="G120">
        <v>23.9</v>
      </c>
      <c r="H120">
        <v>3</v>
      </c>
      <c r="I120">
        <v>2.7</v>
      </c>
      <c r="J120">
        <v>10.82</v>
      </c>
      <c r="K120">
        <v>60.1</v>
      </c>
      <c r="L120" t="s">
        <v>5025</v>
      </c>
      <c r="M120">
        <v>7</v>
      </c>
      <c r="N120">
        <v>2</v>
      </c>
      <c r="O120">
        <v>0</v>
      </c>
    </row>
    <row r="121" spans="1:15" x14ac:dyDescent="0.3">
      <c r="A121" t="s">
        <v>134</v>
      </c>
      <c r="B121">
        <v>10</v>
      </c>
      <c r="C121">
        <v>37</v>
      </c>
      <c r="D121" t="s">
        <v>5016</v>
      </c>
      <c r="E121" t="s">
        <v>5017</v>
      </c>
      <c r="F121" t="s">
        <v>5021</v>
      </c>
      <c r="G121">
        <v>21.09</v>
      </c>
      <c r="H121">
        <v>3</v>
      </c>
      <c r="I121">
        <v>9.1999999999999993</v>
      </c>
      <c r="J121">
        <v>12.3</v>
      </c>
      <c r="K121">
        <v>70.400000000000006</v>
      </c>
      <c r="L121" t="s">
        <v>5026</v>
      </c>
      <c r="M121">
        <v>9</v>
      </c>
      <c r="N121">
        <v>1</v>
      </c>
      <c r="O121">
        <v>1</v>
      </c>
    </row>
    <row r="122" spans="1:15" x14ac:dyDescent="0.3">
      <c r="A122" t="s">
        <v>135</v>
      </c>
      <c r="B122">
        <v>9</v>
      </c>
      <c r="C122">
        <v>29</v>
      </c>
      <c r="D122" t="s">
        <v>5015</v>
      </c>
      <c r="E122" t="s">
        <v>5017</v>
      </c>
      <c r="F122" t="s">
        <v>5024</v>
      </c>
      <c r="G122">
        <v>23.22</v>
      </c>
      <c r="H122">
        <v>3</v>
      </c>
      <c r="I122">
        <v>3</v>
      </c>
      <c r="J122">
        <v>24.71</v>
      </c>
      <c r="K122">
        <v>43.4</v>
      </c>
      <c r="L122" t="s">
        <v>5025</v>
      </c>
      <c r="M122">
        <v>9</v>
      </c>
      <c r="N122">
        <v>1</v>
      </c>
      <c r="O122">
        <v>0</v>
      </c>
    </row>
    <row r="123" spans="1:15" x14ac:dyDescent="0.3">
      <c r="A123" t="s">
        <v>136</v>
      </c>
      <c r="B123">
        <v>12</v>
      </c>
      <c r="C123">
        <v>50</v>
      </c>
      <c r="D123" t="s">
        <v>5015</v>
      </c>
      <c r="E123" t="s">
        <v>5017</v>
      </c>
      <c r="F123" t="s">
        <v>5024</v>
      </c>
      <c r="G123">
        <v>16.45</v>
      </c>
      <c r="H123">
        <v>5</v>
      </c>
      <c r="I123">
        <v>6</v>
      </c>
      <c r="J123">
        <v>9.83</v>
      </c>
      <c r="K123">
        <v>45.2</v>
      </c>
      <c r="L123" t="s">
        <v>5029</v>
      </c>
      <c r="M123">
        <v>6</v>
      </c>
      <c r="N123">
        <v>3</v>
      </c>
      <c r="O123">
        <v>1</v>
      </c>
    </row>
    <row r="124" spans="1:15" x14ac:dyDescent="0.3">
      <c r="A124" t="s">
        <v>137</v>
      </c>
      <c r="B124">
        <v>7</v>
      </c>
      <c r="C124">
        <v>45</v>
      </c>
      <c r="D124" t="s">
        <v>5016</v>
      </c>
      <c r="E124" t="s">
        <v>5017</v>
      </c>
      <c r="F124" t="s">
        <v>5022</v>
      </c>
      <c r="G124">
        <v>14.61</v>
      </c>
      <c r="H124">
        <v>3</v>
      </c>
      <c r="I124">
        <v>1.8</v>
      </c>
      <c r="J124">
        <v>14.41</v>
      </c>
      <c r="K124">
        <v>59.1</v>
      </c>
      <c r="L124" t="s">
        <v>5028</v>
      </c>
      <c r="M124">
        <v>7</v>
      </c>
      <c r="N124">
        <v>1</v>
      </c>
      <c r="O124">
        <v>0</v>
      </c>
    </row>
    <row r="125" spans="1:15" x14ac:dyDescent="0.3">
      <c r="A125" t="s">
        <v>138</v>
      </c>
      <c r="B125">
        <v>9</v>
      </c>
      <c r="C125">
        <v>25</v>
      </c>
      <c r="D125" t="s">
        <v>5015</v>
      </c>
      <c r="E125" t="s">
        <v>5019</v>
      </c>
      <c r="F125" t="s">
        <v>5024</v>
      </c>
      <c r="G125">
        <v>7.13</v>
      </c>
      <c r="H125">
        <v>4</v>
      </c>
      <c r="I125">
        <v>2.4</v>
      </c>
      <c r="J125">
        <v>14.79</v>
      </c>
      <c r="K125">
        <v>17.100000000000001</v>
      </c>
      <c r="L125" t="s">
        <v>5025</v>
      </c>
      <c r="M125">
        <v>8</v>
      </c>
      <c r="N125">
        <v>1</v>
      </c>
      <c r="O125">
        <v>1</v>
      </c>
    </row>
    <row r="126" spans="1:15" x14ac:dyDescent="0.3">
      <c r="A126" t="s">
        <v>139</v>
      </c>
      <c r="B126">
        <v>8</v>
      </c>
      <c r="C126">
        <v>18</v>
      </c>
      <c r="D126" t="s">
        <v>5016</v>
      </c>
      <c r="E126" t="s">
        <v>5017</v>
      </c>
      <c r="F126" t="s">
        <v>5023</v>
      </c>
      <c r="G126">
        <v>21.79</v>
      </c>
      <c r="H126">
        <v>2</v>
      </c>
      <c r="I126">
        <v>3.2</v>
      </c>
      <c r="J126">
        <v>19.96</v>
      </c>
      <c r="K126">
        <v>82</v>
      </c>
      <c r="L126" t="s">
        <v>5028</v>
      </c>
      <c r="M126">
        <v>3</v>
      </c>
      <c r="N126">
        <v>4</v>
      </c>
      <c r="O126">
        <v>0</v>
      </c>
    </row>
    <row r="127" spans="1:15" x14ac:dyDescent="0.3">
      <c r="A127" t="s">
        <v>140</v>
      </c>
      <c r="B127">
        <v>12</v>
      </c>
      <c r="C127">
        <v>54</v>
      </c>
      <c r="D127" t="s">
        <v>5016</v>
      </c>
      <c r="E127" t="s">
        <v>5018</v>
      </c>
      <c r="F127" t="s">
        <v>5022</v>
      </c>
      <c r="G127">
        <v>19.899999999999999</v>
      </c>
      <c r="H127">
        <v>2</v>
      </c>
      <c r="I127">
        <v>9.8000000000000007</v>
      </c>
      <c r="J127">
        <v>14.39</v>
      </c>
      <c r="K127">
        <v>93.1</v>
      </c>
      <c r="L127" t="s">
        <v>5029</v>
      </c>
      <c r="M127">
        <v>5</v>
      </c>
      <c r="N127">
        <v>1</v>
      </c>
      <c r="O127">
        <v>1</v>
      </c>
    </row>
    <row r="128" spans="1:15" x14ac:dyDescent="0.3">
      <c r="A128" t="s">
        <v>141</v>
      </c>
      <c r="B128">
        <v>2</v>
      </c>
      <c r="C128">
        <v>39</v>
      </c>
      <c r="D128" t="s">
        <v>5016</v>
      </c>
      <c r="E128" t="s">
        <v>5017</v>
      </c>
      <c r="F128" t="s">
        <v>5023</v>
      </c>
      <c r="G128">
        <v>6.18</v>
      </c>
      <c r="H128">
        <v>4</v>
      </c>
      <c r="I128">
        <v>8.1999999999999993</v>
      </c>
      <c r="J128">
        <v>16.329999999999998</v>
      </c>
      <c r="K128">
        <v>44.9</v>
      </c>
      <c r="L128" t="s">
        <v>5028</v>
      </c>
      <c r="M128">
        <v>4</v>
      </c>
      <c r="N128">
        <v>0</v>
      </c>
      <c r="O128">
        <v>0</v>
      </c>
    </row>
    <row r="129" spans="1:15" x14ac:dyDescent="0.3">
      <c r="A129" t="s">
        <v>142</v>
      </c>
      <c r="B129">
        <v>1</v>
      </c>
      <c r="C129">
        <v>23</v>
      </c>
      <c r="D129" t="s">
        <v>5016</v>
      </c>
      <c r="E129" t="s">
        <v>5019</v>
      </c>
      <c r="F129" t="s">
        <v>5024</v>
      </c>
      <c r="G129">
        <v>9.19</v>
      </c>
      <c r="H129">
        <v>1</v>
      </c>
      <c r="I129">
        <v>7.1</v>
      </c>
      <c r="J129">
        <v>19.57</v>
      </c>
      <c r="K129">
        <v>76.599999999999994</v>
      </c>
      <c r="L129" t="s">
        <v>5028</v>
      </c>
      <c r="M129">
        <v>9</v>
      </c>
      <c r="N129">
        <v>4</v>
      </c>
      <c r="O129">
        <v>0</v>
      </c>
    </row>
    <row r="130" spans="1:15" x14ac:dyDescent="0.3">
      <c r="A130" t="s">
        <v>143</v>
      </c>
      <c r="B130">
        <v>7</v>
      </c>
      <c r="C130">
        <v>38</v>
      </c>
      <c r="D130" t="s">
        <v>5015</v>
      </c>
      <c r="E130" t="s">
        <v>5018</v>
      </c>
      <c r="F130" t="s">
        <v>5022</v>
      </c>
      <c r="G130">
        <v>16.149999999999999</v>
      </c>
      <c r="H130">
        <v>1</v>
      </c>
      <c r="I130">
        <v>9.1999999999999993</v>
      </c>
      <c r="J130">
        <v>5.22</v>
      </c>
      <c r="K130">
        <v>59.4</v>
      </c>
      <c r="L130" t="s">
        <v>5027</v>
      </c>
      <c r="M130">
        <v>9</v>
      </c>
      <c r="N130">
        <v>3</v>
      </c>
      <c r="O130">
        <v>1</v>
      </c>
    </row>
    <row r="131" spans="1:15" x14ac:dyDescent="0.3">
      <c r="A131" t="s">
        <v>144</v>
      </c>
      <c r="B131">
        <v>7</v>
      </c>
      <c r="C131">
        <v>49</v>
      </c>
      <c r="D131" t="s">
        <v>5015</v>
      </c>
      <c r="E131" t="s">
        <v>5018</v>
      </c>
      <c r="F131" t="s">
        <v>5023</v>
      </c>
      <c r="G131">
        <v>18.690000000000001</v>
      </c>
      <c r="H131">
        <v>1</v>
      </c>
      <c r="I131">
        <v>9.6</v>
      </c>
      <c r="J131">
        <v>24.2</v>
      </c>
      <c r="K131">
        <v>31.2</v>
      </c>
      <c r="L131" t="s">
        <v>5025</v>
      </c>
      <c r="M131">
        <v>4</v>
      </c>
      <c r="N131">
        <v>0</v>
      </c>
      <c r="O131">
        <v>0</v>
      </c>
    </row>
    <row r="132" spans="1:15" x14ac:dyDescent="0.3">
      <c r="A132" t="s">
        <v>145</v>
      </c>
      <c r="B132">
        <v>8</v>
      </c>
      <c r="C132">
        <v>52</v>
      </c>
      <c r="D132" t="s">
        <v>5015</v>
      </c>
      <c r="E132" t="s">
        <v>5018</v>
      </c>
      <c r="F132" t="s">
        <v>5024</v>
      </c>
      <c r="G132">
        <v>7.75</v>
      </c>
      <c r="H132">
        <v>1</v>
      </c>
      <c r="I132">
        <v>5.0999999999999996</v>
      </c>
      <c r="J132">
        <v>21.62</v>
      </c>
      <c r="K132">
        <v>16.100000000000001</v>
      </c>
      <c r="L132" t="s">
        <v>5029</v>
      </c>
      <c r="M132">
        <v>2</v>
      </c>
      <c r="N132">
        <v>3</v>
      </c>
      <c r="O132">
        <v>0</v>
      </c>
    </row>
    <row r="133" spans="1:15" x14ac:dyDescent="0.3">
      <c r="A133" t="s">
        <v>146</v>
      </c>
      <c r="B133">
        <v>5</v>
      </c>
      <c r="C133">
        <v>32</v>
      </c>
      <c r="D133" t="s">
        <v>5016</v>
      </c>
      <c r="E133" t="s">
        <v>5018</v>
      </c>
      <c r="F133" t="s">
        <v>5020</v>
      </c>
      <c r="G133">
        <v>9.9</v>
      </c>
      <c r="H133">
        <v>5</v>
      </c>
      <c r="I133">
        <v>3.9</v>
      </c>
      <c r="J133">
        <v>11.55</v>
      </c>
      <c r="K133">
        <v>32.1</v>
      </c>
      <c r="L133" t="s">
        <v>5027</v>
      </c>
      <c r="M133">
        <v>1</v>
      </c>
      <c r="N133">
        <v>2</v>
      </c>
      <c r="O133">
        <v>0</v>
      </c>
    </row>
    <row r="134" spans="1:15" x14ac:dyDescent="0.3">
      <c r="A134" t="s">
        <v>147</v>
      </c>
      <c r="B134">
        <v>3</v>
      </c>
      <c r="C134">
        <v>22</v>
      </c>
      <c r="D134" t="s">
        <v>5015</v>
      </c>
      <c r="E134" t="s">
        <v>5018</v>
      </c>
      <c r="F134" t="s">
        <v>5020</v>
      </c>
      <c r="G134">
        <v>8.86</v>
      </c>
      <c r="H134">
        <v>4</v>
      </c>
      <c r="I134">
        <v>3.8</v>
      </c>
      <c r="J134">
        <v>19.03</v>
      </c>
      <c r="K134">
        <v>64.400000000000006</v>
      </c>
      <c r="L134" t="s">
        <v>5028</v>
      </c>
      <c r="M134">
        <v>3</v>
      </c>
      <c r="N134">
        <v>2</v>
      </c>
      <c r="O134">
        <v>0</v>
      </c>
    </row>
    <row r="135" spans="1:15" x14ac:dyDescent="0.3">
      <c r="A135" t="s">
        <v>148</v>
      </c>
      <c r="B135">
        <v>12</v>
      </c>
      <c r="C135">
        <v>63</v>
      </c>
      <c r="D135" t="s">
        <v>5015</v>
      </c>
      <c r="E135" t="s">
        <v>5017</v>
      </c>
      <c r="F135" t="s">
        <v>5021</v>
      </c>
      <c r="G135">
        <v>9.4</v>
      </c>
      <c r="H135">
        <v>2</v>
      </c>
      <c r="I135">
        <v>1.3</v>
      </c>
      <c r="J135">
        <v>19.77</v>
      </c>
      <c r="K135">
        <v>13.6</v>
      </c>
      <c r="L135" t="s">
        <v>5027</v>
      </c>
      <c r="M135">
        <v>2</v>
      </c>
      <c r="N135">
        <v>2</v>
      </c>
      <c r="O135">
        <v>0</v>
      </c>
    </row>
    <row r="136" spans="1:15" x14ac:dyDescent="0.3">
      <c r="A136" t="s">
        <v>149</v>
      </c>
      <c r="B136">
        <v>8</v>
      </c>
      <c r="C136">
        <v>67</v>
      </c>
      <c r="D136" t="s">
        <v>5015</v>
      </c>
      <c r="E136" t="s">
        <v>5019</v>
      </c>
      <c r="F136" t="s">
        <v>5020</v>
      </c>
      <c r="G136">
        <v>23.41</v>
      </c>
      <c r="H136">
        <v>4</v>
      </c>
      <c r="I136">
        <v>3.5</v>
      </c>
      <c r="J136">
        <v>21.71</v>
      </c>
      <c r="K136">
        <v>85.3</v>
      </c>
      <c r="L136" t="s">
        <v>5027</v>
      </c>
      <c r="M136">
        <v>5</v>
      </c>
      <c r="N136">
        <v>1</v>
      </c>
      <c r="O136">
        <v>1</v>
      </c>
    </row>
    <row r="137" spans="1:15" x14ac:dyDescent="0.3">
      <c r="A137" t="s">
        <v>150</v>
      </c>
      <c r="B137">
        <v>6</v>
      </c>
      <c r="C137">
        <v>65</v>
      </c>
      <c r="D137" t="s">
        <v>5015</v>
      </c>
      <c r="E137" t="s">
        <v>5018</v>
      </c>
      <c r="F137" t="s">
        <v>5023</v>
      </c>
      <c r="G137">
        <v>19.32</v>
      </c>
      <c r="H137">
        <v>2</v>
      </c>
      <c r="I137">
        <v>4.2</v>
      </c>
      <c r="J137">
        <v>7.14</v>
      </c>
      <c r="K137">
        <v>97.3</v>
      </c>
      <c r="L137" t="s">
        <v>5028</v>
      </c>
      <c r="M137">
        <v>6</v>
      </c>
      <c r="N137">
        <v>1</v>
      </c>
      <c r="O137">
        <v>0</v>
      </c>
    </row>
    <row r="138" spans="1:15" x14ac:dyDescent="0.3">
      <c r="A138" t="s">
        <v>151</v>
      </c>
      <c r="B138">
        <v>11</v>
      </c>
      <c r="C138">
        <v>23</v>
      </c>
      <c r="D138" t="s">
        <v>5016</v>
      </c>
      <c r="E138" t="s">
        <v>5018</v>
      </c>
      <c r="F138" t="s">
        <v>5020</v>
      </c>
      <c r="G138">
        <v>19.739999999999998</v>
      </c>
      <c r="H138">
        <v>1</v>
      </c>
      <c r="I138">
        <v>1.3</v>
      </c>
      <c r="J138">
        <v>18.48</v>
      </c>
      <c r="K138">
        <v>17.5</v>
      </c>
      <c r="L138" t="s">
        <v>5029</v>
      </c>
      <c r="M138">
        <v>9</v>
      </c>
      <c r="N138">
        <v>4</v>
      </c>
      <c r="O138">
        <v>0</v>
      </c>
    </row>
    <row r="139" spans="1:15" x14ac:dyDescent="0.3">
      <c r="A139" t="s">
        <v>152</v>
      </c>
      <c r="B139">
        <v>3</v>
      </c>
      <c r="C139">
        <v>42</v>
      </c>
      <c r="D139" t="s">
        <v>5016</v>
      </c>
      <c r="E139" t="s">
        <v>5019</v>
      </c>
      <c r="F139" t="s">
        <v>5022</v>
      </c>
      <c r="G139">
        <v>20.88</v>
      </c>
      <c r="H139">
        <v>5</v>
      </c>
      <c r="I139">
        <v>8.9</v>
      </c>
      <c r="J139">
        <v>3.73</v>
      </c>
      <c r="K139">
        <v>32.200000000000003</v>
      </c>
      <c r="L139" t="s">
        <v>5026</v>
      </c>
      <c r="M139">
        <v>4</v>
      </c>
      <c r="N139">
        <v>0</v>
      </c>
      <c r="O139">
        <v>1</v>
      </c>
    </row>
    <row r="140" spans="1:15" x14ac:dyDescent="0.3">
      <c r="A140" t="s">
        <v>153</v>
      </c>
      <c r="B140">
        <v>1</v>
      </c>
      <c r="C140">
        <v>63</v>
      </c>
      <c r="D140" t="s">
        <v>5015</v>
      </c>
      <c r="E140" t="s">
        <v>5018</v>
      </c>
      <c r="F140" t="s">
        <v>5022</v>
      </c>
      <c r="G140">
        <v>12.13</v>
      </c>
      <c r="H140">
        <v>3</v>
      </c>
      <c r="I140">
        <v>8.6</v>
      </c>
      <c r="J140">
        <v>5.54</v>
      </c>
      <c r="K140">
        <v>70.8</v>
      </c>
      <c r="L140" t="s">
        <v>5027</v>
      </c>
      <c r="M140">
        <v>4</v>
      </c>
      <c r="N140">
        <v>0</v>
      </c>
      <c r="O140">
        <v>0</v>
      </c>
    </row>
    <row r="141" spans="1:15" x14ac:dyDescent="0.3">
      <c r="A141" t="s">
        <v>154</v>
      </c>
      <c r="B141">
        <v>3</v>
      </c>
      <c r="C141">
        <v>57</v>
      </c>
      <c r="D141" t="s">
        <v>5016</v>
      </c>
      <c r="E141" t="s">
        <v>5019</v>
      </c>
      <c r="F141" t="s">
        <v>5022</v>
      </c>
      <c r="G141">
        <v>20.34</v>
      </c>
      <c r="H141">
        <v>3</v>
      </c>
      <c r="I141">
        <v>3.3</v>
      </c>
      <c r="J141">
        <v>20.07</v>
      </c>
      <c r="K141">
        <v>82.5</v>
      </c>
      <c r="L141" t="s">
        <v>5025</v>
      </c>
      <c r="M141">
        <v>4</v>
      </c>
      <c r="N141">
        <v>2</v>
      </c>
      <c r="O141">
        <v>0</v>
      </c>
    </row>
    <row r="142" spans="1:15" x14ac:dyDescent="0.3">
      <c r="A142" t="s">
        <v>155</v>
      </c>
      <c r="B142">
        <v>5</v>
      </c>
      <c r="C142">
        <v>46</v>
      </c>
      <c r="D142" t="s">
        <v>5015</v>
      </c>
      <c r="E142" t="s">
        <v>5018</v>
      </c>
      <c r="F142" t="s">
        <v>5020</v>
      </c>
      <c r="G142">
        <v>24.57</v>
      </c>
      <c r="H142">
        <v>1</v>
      </c>
      <c r="I142">
        <v>8.1999999999999993</v>
      </c>
      <c r="J142">
        <v>20.89</v>
      </c>
      <c r="K142">
        <v>41.1</v>
      </c>
      <c r="L142" t="s">
        <v>5028</v>
      </c>
      <c r="M142">
        <v>1</v>
      </c>
      <c r="N142">
        <v>2</v>
      </c>
      <c r="O142">
        <v>0</v>
      </c>
    </row>
    <row r="143" spans="1:15" x14ac:dyDescent="0.3">
      <c r="A143" t="s">
        <v>156</v>
      </c>
      <c r="B143">
        <v>3</v>
      </c>
      <c r="C143">
        <v>24</v>
      </c>
      <c r="D143" t="s">
        <v>5015</v>
      </c>
      <c r="E143" t="s">
        <v>5019</v>
      </c>
      <c r="F143" t="s">
        <v>5020</v>
      </c>
      <c r="G143">
        <v>18.97</v>
      </c>
      <c r="H143">
        <v>1</v>
      </c>
      <c r="I143">
        <v>8.1999999999999993</v>
      </c>
      <c r="J143">
        <v>16.03</v>
      </c>
      <c r="K143">
        <v>56.4</v>
      </c>
      <c r="L143" t="s">
        <v>5026</v>
      </c>
      <c r="M143">
        <v>3</v>
      </c>
      <c r="N143">
        <v>1</v>
      </c>
      <c r="O143">
        <v>0</v>
      </c>
    </row>
    <row r="144" spans="1:15" x14ac:dyDescent="0.3">
      <c r="A144" t="s">
        <v>157</v>
      </c>
      <c r="B144">
        <v>1</v>
      </c>
      <c r="C144">
        <v>57</v>
      </c>
      <c r="D144" t="s">
        <v>5015</v>
      </c>
      <c r="E144" t="s">
        <v>5017</v>
      </c>
      <c r="F144" t="s">
        <v>5021</v>
      </c>
      <c r="G144">
        <v>13.34</v>
      </c>
      <c r="H144">
        <v>4</v>
      </c>
      <c r="I144">
        <v>4</v>
      </c>
      <c r="J144">
        <v>15.8</v>
      </c>
      <c r="K144">
        <v>90.3</v>
      </c>
      <c r="L144" t="s">
        <v>5027</v>
      </c>
      <c r="M144">
        <v>4</v>
      </c>
      <c r="N144">
        <v>3</v>
      </c>
      <c r="O144">
        <v>0</v>
      </c>
    </row>
    <row r="145" spans="1:15" x14ac:dyDescent="0.3">
      <c r="A145" t="s">
        <v>158</v>
      </c>
      <c r="B145">
        <v>5</v>
      </c>
      <c r="C145">
        <v>30</v>
      </c>
      <c r="D145" t="s">
        <v>5016</v>
      </c>
      <c r="E145" t="s">
        <v>5019</v>
      </c>
      <c r="F145" t="s">
        <v>5024</v>
      </c>
      <c r="G145">
        <v>19.329999999999998</v>
      </c>
      <c r="H145">
        <v>5</v>
      </c>
      <c r="I145">
        <v>7.3</v>
      </c>
      <c r="J145">
        <v>19.489999999999998</v>
      </c>
      <c r="K145">
        <v>44.6</v>
      </c>
      <c r="L145" t="s">
        <v>5028</v>
      </c>
      <c r="M145">
        <v>1</v>
      </c>
      <c r="N145">
        <v>0</v>
      </c>
      <c r="O145">
        <v>0</v>
      </c>
    </row>
    <row r="146" spans="1:15" x14ac:dyDescent="0.3">
      <c r="A146" t="s">
        <v>159</v>
      </c>
      <c r="B146">
        <v>10</v>
      </c>
      <c r="C146">
        <v>55</v>
      </c>
      <c r="D146" t="s">
        <v>5015</v>
      </c>
      <c r="E146" t="s">
        <v>5019</v>
      </c>
      <c r="F146" t="s">
        <v>5021</v>
      </c>
      <c r="G146">
        <v>23.02</v>
      </c>
      <c r="H146">
        <v>5</v>
      </c>
      <c r="I146">
        <v>3.6</v>
      </c>
      <c r="J146">
        <v>22.93</v>
      </c>
      <c r="K146">
        <v>17.3</v>
      </c>
      <c r="L146" t="s">
        <v>5028</v>
      </c>
      <c r="M146">
        <v>5</v>
      </c>
      <c r="N146">
        <v>0</v>
      </c>
      <c r="O146">
        <v>0</v>
      </c>
    </row>
    <row r="147" spans="1:15" x14ac:dyDescent="0.3">
      <c r="A147" t="s">
        <v>160</v>
      </c>
      <c r="B147">
        <v>7</v>
      </c>
      <c r="C147">
        <v>35</v>
      </c>
      <c r="D147" t="s">
        <v>5016</v>
      </c>
      <c r="E147" t="s">
        <v>5017</v>
      </c>
      <c r="F147" t="s">
        <v>5023</v>
      </c>
      <c r="G147">
        <v>7.58</v>
      </c>
      <c r="H147">
        <v>4</v>
      </c>
      <c r="I147">
        <v>1.6</v>
      </c>
      <c r="J147">
        <v>12.26</v>
      </c>
      <c r="K147">
        <v>99.5</v>
      </c>
      <c r="L147" t="s">
        <v>5027</v>
      </c>
      <c r="M147">
        <v>10</v>
      </c>
      <c r="N147">
        <v>3</v>
      </c>
      <c r="O147">
        <v>0</v>
      </c>
    </row>
    <row r="148" spans="1:15" x14ac:dyDescent="0.3">
      <c r="A148" t="s">
        <v>161</v>
      </c>
      <c r="B148">
        <v>7</v>
      </c>
      <c r="C148">
        <v>19</v>
      </c>
      <c r="D148" t="s">
        <v>5016</v>
      </c>
      <c r="E148" t="s">
        <v>5017</v>
      </c>
      <c r="F148" t="s">
        <v>5022</v>
      </c>
      <c r="G148">
        <v>10.31</v>
      </c>
      <c r="H148">
        <v>5</v>
      </c>
      <c r="I148">
        <v>5.5</v>
      </c>
      <c r="J148">
        <v>5.53</v>
      </c>
      <c r="K148">
        <v>26.2</v>
      </c>
      <c r="L148" t="s">
        <v>5025</v>
      </c>
      <c r="M148">
        <v>9</v>
      </c>
      <c r="N148">
        <v>0</v>
      </c>
      <c r="O148">
        <v>0</v>
      </c>
    </row>
    <row r="149" spans="1:15" x14ac:dyDescent="0.3">
      <c r="A149" t="s">
        <v>162</v>
      </c>
      <c r="B149">
        <v>11</v>
      </c>
      <c r="C149">
        <v>25</v>
      </c>
      <c r="D149" t="s">
        <v>5015</v>
      </c>
      <c r="E149" t="s">
        <v>5018</v>
      </c>
      <c r="F149" t="s">
        <v>5020</v>
      </c>
      <c r="G149">
        <v>23.39</v>
      </c>
      <c r="H149">
        <v>5</v>
      </c>
      <c r="I149">
        <v>4.9000000000000004</v>
      </c>
      <c r="J149">
        <v>21.46</v>
      </c>
      <c r="K149">
        <v>14.4</v>
      </c>
      <c r="L149" t="s">
        <v>5028</v>
      </c>
      <c r="M149">
        <v>1</v>
      </c>
      <c r="N149">
        <v>0</v>
      </c>
      <c r="O149">
        <v>0</v>
      </c>
    </row>
    <row r="150" spans="1:15" x14ac:dyDescent="0.3">
      <c r="A150" t="s">
        <v>163</v>
      </c>
      <c r="B150">
        <v>9</v>
      </c>
      <c r="C150">
        <v>28</v>
      </c>
      <c r="D150" t="s">
        <v>5016</v>
      </c>
      <c r="E150" t="s">
        <v>5019</v>
      </c>
      <c r="F150" t="s">
        <v>5024</v>
      </c>
      <c r="G150">
        <v>23.92</v>
      </c>
      <c r="H150">
        <v>3</v>
      </c>
      <c r="I150">
        <v>2.2000000000000002</v>
      </c>
      <c r="J150">
        <v>10.52</v>
      </c>
      <c r="K150">
        <v>47</v>
      </c>
      <c r="L150" t="s">
        <v>5028</v>
      </c>
      <c r="M150">
        <v>7</v>
      </c>
      <c r="N150">
        <v>1</v>
      </c>
      <c r="O150">
        <v>1</v>
      </c>
    </row>
    <row r="151" spans="1:15" x14ac:dyDescent="0.3">
      <c r="A151" t="s">
        <v>164</v>
      </c>
      <c r="B151">
        <v>10</v>
      </c>
      <c r="C151">
        <v>50</v>
      </c>
      <c r="D151" t="s">
        <v>5016</v>
      </c>
      <c r="E151" t="s">
        <v>5017</v>
      </c>
      <c r="F151" t="s">
        <v>5024</v>
      </c>
      <c r="G151">
        <v>14.68</v>
      </c>
      <c r="H151">
        <v>5</v>
      </c>
      <c r="I151">
        <v>5.4</v>
      </c>
      <c r="J151">
        <v>5.94</v>
      </c>
      <c r="K151">
        <v>20.9</v>
      </c>
      <c r="L151" t="s">
        <v>5027</v>
      </c>
      <c r="M151">
        <v>2</v>
      </c>
      <c r="N151">
        <v>0</v>
      </c>
      <c r="O151">
        <v>0</v>
      </c>
    </row>
    <row r="152" spans="1:15" x14ac:dyDescent="0.3">
      <c r="A152" t="s">
        <v>165</v>
      </c>
      <c r="B152">
        <v>10</v>
      </c>
      <c r="C152">
        <v>55</v>
      </c>
      <c r="D152" t="s">
        <v>5015</v>
      </c>
      <c r="E152" t="s">
        <v>5018</v>
      </c>
      <c r="F152" t="s">
        <v>5020</v>
      </c>
      <c r="G152">
        <v>12.49</v>
      </c>
      <c r="H152">
        <v>1</v>
      </c>
      <c r="I152">
        <v>9.5</v>
      </c>
      <c r="J152">
        <v>16.52</v>
      </c>
      <c r="K152">
        <v>98.1</v>
      </c>
      <c r="L152" t="s">
        <v>5026</v>
      </c>
      <c r="M152">
        <v>10</v>
      </c>
      <c r="N152">
        <v>2</v>
      </c>
      <c r="O152">
        <v>0</v>
      </c>
    </row>
    <row r="153" spans="1:15" x14ac:dyDescent="0.3">
      <c r="A153" t="s">
        <v>166</v>
      </c>
      <c r="B153">
        <v>12</v>
      </c>
      <c r="C153">
        <v>65</v>
      </c>
      <c r="D153" t="s">
        <v>5016</v>
      </c>
      <c r="E153" t="s">
        <v>5017</v>
      </c>
      <c r="F153" t="s">
        <v>5021</v>
      </c>
      <c r="G153">
        <v>10.66</v>
      </c>
      <c r="H153">
        <v>3</v>
      </c>
      <c r="I153">
        <v>7.6</v>
      </c>
      <c r="J153">
        <v>15.72</v>
      </c>
      <c r="K153">
        <v>44.3</v>
      </c>
      <c r="L153" t="s">
        <v>5028</v>
      </c>
      <c r="M153">
        <v>11</v>
      </c>
      <c r="N153">
        <v>2</v>
      </c>
      <c r="O153">
        <v>0</v>
      </c>
    </row>
    <row r="154" spans="1:15" x14ac:dyDescent="0.3">
      <c r="A154" t="s">
        <v>167</v>
      </c>
      <c r="B154">
        <v>3</v>
      </c>
      <c r="C154">
        <v>44</v>
      </c>
      <c r="D154" t="s">
        <v>5016</v>
      </c>
      <c r="E154" t="s">
        <v>5018</v>
      </c>
      <c r="F154" t="s">
        <v>5024</v>
      </c>
      <c r="G154">
        <v>14.98</v>
      </c>
      <c r="H154">
        <v>1</v>
      </c>
      <c r="I154">
        <v>7.6</v>
      </c>
      <c r="J154">
        <v>13.43</v>
      </c>
      <c r="K154">
        <v>84.3</v>
      </c>
      <c r="L154" t="s">
        <v>5028</v>
      </c>
      <c r="M154">
        <v>9</v>
      </c>
      <c r="N154">
        <v>4</v>
      </c>
      <c r="O154">
        <v>0</v>
      </c>
    </row>
    <row r="155" spans="1:15" x14ac:dyDescent="0.3">
      <c r="A155" t="s">
        <v>168</v>
      </c>
      <c r="B155">
        <v>7</v>
      </c>
      <c r="C155">
        <v>37</v>
      </c>
      <c r="D155" t="s">
        <v>5015</v>
      </c>
      <c r="E155" t="s">
        <v>5018</v>
      </c>
      <c r="F155" t="s">
        <v>5021</v>
      </c>
      <c r="G155">
        <v>23.69</v>
      </c>
      <c r="H155">
        <v>1</v>
      </c>
      <c r="I155">
        <v>7.8</v>
      </c>
      <c r="J155">
        <v>21.92</v>
      </c>
      <c r="K155">
        <v>25.9</v>
      </c>
      <c r="L155" t="s">
        <v>5027</v>
      </c>
      <c r="M155">
        <v>4</v>
      </c>
      <c r="N155">
        <v>1</v>
      </c>
      <c r="O155">
        <v>0</v>
      </c>
    </row>
    <row r="156" spans="1:15" x14ac:dyDescent="0.3">
      <c r="A156" t="s">
        <v>169</v>
      </c>
      <c r="B156">
        <v>1</v>
      </c>
      <c r="C156">
        <v>29</v>
      </c>
      <c r="D156" t="s">
        <v>5015</v>
      </c>
      <c r="E156" t="s">
        <v>5019</v>
      </c>
      <c r="F156" t="s">
        <v>5020</v>
      </c>
      <c r="G156">
        <v>8</v>
      </c>
      <c r="H156">
        <v>4</v>
      </c>
      <c r="I156">
        <v>7.7</v>
      </c>
      <c r="J156">
        <v>8.99</v>
      </c>
      <c r="K156">
        <v>22.5</v>
      </c>
      <c r="L156" t="s">
        <v>5028</v>
      </c>
      <c r="M156">
        <v>3</v>
      </c>
      <c r="N156">
        <v>1</v>
      </c>
      <c r="O156">
        <v>0</v>
      </c>
    </row>
    <row r="157" spans="1:15" x14ac:dyDescent="0.3">
      <c r="A157" t="s">
        <v>170</v>
      </c>
      <c r="B157">
        <v>4</v>
      </c>
      <c r="C157">
        <v>60</v>
      </c>
      <c r="D157" t="s">
        <v>5016</v>
      </c>
      <c r="E157" t="s">
        <v>5018</v>
      </c>
      <c r="F157" t="s">
        <v>5021</v>
      </c>
      <c r="G157">
        <v>13.4</v>
      </c>
      <c r="H157">
        <v>5</v>
      </c>
      <c r="I157">
        <v>1.2</v>
      </c>
      <c r="J157">
        <v>3.29</v>
      </c>
      <c r="K157">
        <v>68.400000000000006</v>
      </c>
      <c r="L157" t="s">
        <v>5027</v>
      </c>
      <c r="M157">
        <v>11</v>
      </c>
      <c r="N157">
        <v>2</v>
      </c>
      <c r="O157">
        <v>0</v>
      </c>
    </row>
    <row r="158" spans="1:15" x14ac:dyDescent="0.3">
      <c r="A158" t="s">
        <v>171</v>
      </c>
      <c r="B158">
        <v>4</v>
      </c>
      <c r="C158">
        <v>48</v>
      </c>
      <c r="D158" t="s">
        <v>5015</v>
      </c>
      <c r="E158" t="s">
        <v>5019</v>
      </c>
      <c r="F158" t="s">
        <v>5022</v>
      </c>
      <c r="G158">
        <v>23.23</v>
      </c>
      <c r="H158">
        <v>5</v>
      </c>
      <c r="I158">
        <v>9.3000000000000007</v>
      </c>
      <c r="J158">
        <v>10.119999999999999</v>
      </c>
      <c r="K158">
        <v>91.8</v>
      </c>
      <c r="L158" t="s">
        <v>5025</v>
      </c>
      <c r="M158">
        <v>7</v>
      </c>
      <c r="N158">
        <v>1</v>
      </c>
      <c r="O158">
        <v>0</v>
      </c>
    </row>
    <row r="159" spans="1:15" x14ac:dyDescent="0.3">
      <c r="A159" t="s">
        <v>172</v>
      </c>
      <c r="B159">
        <v>5</v>
      </c>
      <c r="C159">
        <v>44</v>
      </c>
      <c r="D159" t="s">
        <v>5015</v>
      </c>
      <c r="E159" t="s">
        <v>5018</v>
      </c>
      <c r="F159" t="s">
        <v>5020</v>
      </c>
      <c r="G159">
        <v>11.98</v>
      </c>
      <c r="H159">
        <v>5</v>
      </c>
      <c r="I159">
        <v>8.5</v>
      </c>
      <c r="J159">
        <v>3.21</v>
      </c>
      <c r="K159">
        <v>20.3</v>
      </c>
      <c r="L159" t="s">
        <v>5027</v>
      </c>
      <c r="M159">
        <v>6</v>
      </c>
      <c r="N159">
        <v>1</v>
      </c>
      <c r="O159">
        <v>0</v>
      </c>
    </row>
    <row r="160" spans="1:15" x14ac:dyDescent="0.3">
      <c r="A160" t="s">
        <v>173</v>
      </c>
      <c r="B160">
        <v>7</v>
      </c>
      <c r="C160">
        <v>49</v>
      </c>
      <c r="D160" t="s">
        <v>5016</v>
      </c>
      <c r="E160" t="s">
        <v>5017</v>
      </c>
      <c r="F160" t="s">
        <v>5020</v>
      </c>
      <c r="G160">
        <v>20.36</v>
      </c>
      <c r="H160">
        <v>5</v>
      </c>
      <c r="I160">
        <v>3.5</v>
      </c>
      <c r="J160">
        <v>14.96</v>
      </c>
      <c r="K160">
        <v>63</v>
      </c>
      <c r="L160" t="s">
        <v>5026</v>
      </c>
      <c r="M160">
        <v>11</v>
      </c>
      <c r="N160">
        <v>4</v>
      </c>
      <c r="O160">
        <v>0</v>
      </c>
    </row>
    <row r="161" spans="1:15" x14ac:dyDescent="0.3">
      <c r="A161" t="s">
        <v>174</v>
      </c>
      <c r="B161">
        <v>7</v>
      </c>
      <c r="C161">
        <v>27</v>
      </c>
      <c r="D161" t="s">
        <v>5016</v>
      </c>
      <c r="E161" t="s">
        <v>5018</v>
      </c>
      <c r="F161" t="s">
        <v>5024</v>
      </c>
      <c r="G161">
        <v>12.79</v>
      </c>
      <c r="H161">
        <v>3</v>
      </c>
      <c r="I161">
        <v>6</v>
      </c>
      <c r="J161">
        <v>11.32</v>
      </c>
      <c r="K161">
        <v>17.600000000000001</v>
      </c>
      <c r="L161" t="s">
        <v>5028</v>
      </c>
      <c r="M161">
        <v>10</v>
      </c>
      <c r="N161">
        <v>3</v>
      </c>
      <c r="O161">
        <v>0</v>
      </c>
    </row>
    <row r="162" spans="1:15" x14ac:dyDescent="0.3">
      <c r="A162" t="s">
        <v>175</v>
      </c>
      <c r="B162">
        <v>11</v>
      </c>
      <c r="C162">
        <v>20</v>
      </c>
      <c r="D162" t="s">
        <v>5015</v>
      </c>
      <c r="E162" t="s">
        <v>5018</v>
      </c>
      <c r="F162" t="s">
        <v>5024</v>
      </c>
      <c r="G162">
        <v>21.1</v>
      </c>
      <c r="H162">
        <v>2</v>
      </c>
      <c r="I162">
        <v>6.5</v>
      </c>
      <c r="J162">
        <v>20.91</v>
      </c>
      <c r="K162">
        <v>83.1</v>
      </c>
      <c r="L162" t="s">
        <v>5025</v>
      </c>
      <c r="M162">
        <v>8</v>
      </c>
      <c r="N162">
        <v>0</v>
      </c>
      <c r="O162">
        <v>0</v>
      </c>
    </row>
    <row r="163" spans="1:15" x14ac:dyDescent="0.3">
      <c r="A163" t="s">
        <v>176</v>
      </c>
      <c r="B163">
        <v>4</v>
      </c>
      <c r="C163">
        <v>62</v>
      </c>
      <c r="D163" t="s">
        <v>5016</v>
      </c>
      <c r="E163" t="s">
        <v>5019</v>
      </c>
      <c r="F163" t="s">
        <v>5024</v>
      </c>
      <c r="G163">
        <v>24.62</v>
      </c>
      <c r="H163">
        <v>1</v>
      </c>
      <c r="I163">
        <v>2.2000000000000002</v>
      </c>
      <c r="J163">
        <v>20.55</v>
      </c>
      <c r="K163">
        <v>91.8</v>
      </c>
      <c r="L163" t="s">
        <v>5028</v>
      </c>
      <c r="M163">
        <v>9</v>
      </c>
      <c r="N163">
        <v>4</v>
      </c>
      <c r="O163">
        <v>0</v>
      </c>
    </row>
    <row r="164" spans="1:15" x14ac:dyDescent="0.3">
      <c r="A164" t="s">
        <v>177</v>
      </c>
      <c r="B164">
        <v>7</v>
      </c>
      <c r="C164">
        <v>44</v>
      </c>
      <c r="D164" t="s">
        <v>5015</v>
      </c>
      <c r="E164" t="s">
        <v>5019</v>
      </c>
      <c r="F164" t="s">
        <v>5022</v>
      </c>
      <c r="G164">
        <v>12.76</v>
      </c>
      <c r="H164">
        <v>2</v>
      </c>
      <c r="I164">
        <v>3.3</v>
      </c>
      <c r="J164">
        <v>12.56</v>
      </c>
      <c r="K164">
        <v>66.599999999999994</v>
      </c>
      <c r="L164" t="s">
        <v>5028</v>
      </c>
      <c r="M164">
        <v>7</v>
      </c>
      <c r="N164">
        <v>3</v>
      </c>
      <c r="O164">
        <v>1</v>
      </c>
    </row>
    <row r="165" spans="1:15" x14ac:dyDescent="0.3">
      <c r="A165" t="s">
        <v>178</v>
      </c>
      <c r="B165">
        <v>11</v>
      </c>
      <c r="C165">
        <v>52</v>
      </c>
      <c r="D165" t="s">
        <v>5015</v>
      </c>
      <c r="E165" t="s">
        <v>5017</v>
      </c>
      <c r="F165" t="s">
        <v>5022</v>
      </c>
      <c r="G165">
        <v>21.9</v>
      </c>
      <c r="H165">
        <v>2</v>
      </c>
      <c r="I165">
        <v>1.2</v>
      </c>
      <c r="J165">
        <v>7.76</v>
      </c>
      <c r="K165">
        <v>72</v>
      </c>
      <c r="L165" t="s">
        <v>5027</v>
      </c>
      <c r="M165">
        <v>6</v>
      </c>
      <c r="N165">
        <v>0</v>
      </c>
      <c r="O165">
        <v>0</v>
      </c>
    </row>
    <row r="166" spans="1:15" x14ac:dyDescent="0.3">
      <c r="A166" t="s">
        <v>179</v>
      </c>
      <c r="B166">
        <v>3</v>
      </c>
      <c r="C166">
        <v>48</v>
      </c>
      <c r="D166" t="s">
        <v>5016</v>
      </c>
      <c r="E166" t="s">
        <v>5017</v>
      </c>
      <c r="F166" t="s">
        <v>5023</v>
      </c>
      <c r="G166">
        <v>24.77</v>
      </c>
      <c r="H166">
        <v>2</v>
      </c>
      <c r="I166">
        <v>8.8000000000000007</v>
      </c>
      <c r="J166">
        <v>12.29</v>
      </c>
      <c r="K166">
        <v>15</v>
      </c>
      <c r="L166" t="s">
        <v>5028</v>
      </c>
      <c r="M166">
        <v>8</v>
      </c>
      <c r="N166">
        <v>2</v>
      </c>
      <c r="O166">
        <v>0</v>
      </c>
    </row>
    <row r="167" spans="1:15" x14ac:dyDescent="0.3">
      <c r="A167" t="s">
        <v>180</v>
      </c>
      <c r="B167">
        <v>6</v>
      </c>
      <c r="C167">
        <v>32</v>
      </c>
      <c r="D167" t="s">
        <v>5016</v>
      </c>
      <c r="E167" t="s">
        <v>5017</v>
      </c>
      <c r="F167" t="s">
        <v>5020</v>
      </c>
      <c r="G167">
        <v>24.68</v>
      </c>
      <c r="H167">
        <v>3</v>
      </c>
      <c r="I167">
        <v>1.2</v>
      </c>
      <c r="J167">
        <v>17.11</v>
      </c>
      <c r="K167">
        <v>16.600000000000001</v>
      </c>
      <c r="L167" t="s">
        <v>5025</v>
      </c>
      <c r="M167">
        <v>9</v>
      </c>
      <c r="N167">
        <v>3</v>
      </c>
      <c r="O167">
        <v>0</v>
      </c>
    </row>
    <row r="168" spans="1:15" x14ac:dyDescent="0.3">
      <c r="A168" t="s">
        <v>181</v>
      </c>
      <c r="B168">
        <v>12</v>
      </c>
      <c r="C168">
        <v>33</v>
      </c>
      <c r="D168" t="s">
        <v>5015</v>
      </c>
      <c r="E168" t="s">
        <v>5019</v>
      </c>
      <c r="F168" t="s">
        <v>5024</v>
      </c>
      <c r="G168">
        <v>13.68</v>
      </c>
      <c r="H168">
        <v>2</v>
      </c>
      <c r="I168">
        <v>3.9</v>
      </c>
      <c r="J168">
        <v>7.18</v>
      </c>
      <c r="K168">
        <v>26.2</v>
      </c>
      <c r="L168" t="s">
        <v>5029</v>
      </c>
      <c r="M168">
        <v>8</v>
      </c>
      <c r="N168">
        <v>0</v>
      </c>
      <c r="O168">
        <v>0</v>
      </c>
    </row>
    <row r="169" spans="1:15" x14ac:dyDescent="0.3">
      <c r="A169" t="s">
        <v>182</v>
      </c>
      <c r="B169">
        <v>2</v>
      </c>
      <c r="C169">
        <v>30</v>
      </c>
      <c r="D169" t="s">
        <v>5015</v>
      </c>
      <c r="E169" t="s">
        <v>5019</v>
      </c>
      <c r="F169" t="s">
        <v>5020</v>
      </c>
      <c r="G169">
        <v>14.72</v>
      </c>
      <c r="H169">
        <v>3</v>
      </c>
      <c r="I169">
        <v>1.7</v>
      </c>
      <c r="J169">
        <v>20.010000000000002</v>
      </c>
      <c r="K169">
        <v>34.6</v>
      </c>
      <c r="L169" t="s">
        <v>5028</v>
      </c>
      <c r="M169">
        <v>6</v>
      </c>
      <c r="N169">
        <v>4</v>
      </c>
      <c r="O169">
        <v>0</v>
      </c>
    </row>
    <row r="170" spans="1:15" x14ac:dyDescent="0.3">
      <c r="A170" t="s">
        <v>183</v>
      </c>
      <c r="B170">
        <v>10</v>
      </c>
      <c r="C170">
        <v>66</v>
      </c>
      <c r="D170" t="s">
        <v>5015</v>
      </c>
      <c r="E170" t="s">
        <v>5019</v>
      </c>
      <c r="F170" t="s">
        <v>5021</v>
      </c>
      <c r="G170">
        <v>11.07</v>
      </c>
      <c r="H170">
        <v>4</v>
      </c>
      <c r="I170">
        <v>8</v>
      </c>
      <c r="J170">
        <v>10.27</v>
      </c>
      <c r="K170">
        <v>78.400000000000006</v>
      </c>
      <c r="L170" t="s">
        <v>5027</v>
      </c>
      <c r="M170">
        <v>8</v>
      </c>
      <c r="N170">
        <v>0</v>
      </c>
      <c r="O170">
        <v>0</v>
      </c>
    </row>
    <row r="171" spans="1:15" x14ac:dyDescent="0.3">
      <c r="A171" t="s">
        <v>184</v>
      </c>
      <c r="B171">
        <v>9</v>
      </c>
      <c r="C171">
        <v>52</v>
      </c>
      <c r="D171" t="s">
        <v>5015</v>
      </c>
      <c r="E171" t="s">
        <v>5018</v>
      </c>
      <c r="F171" t="s">
        <v>5022</v>
      </c>
      <c r="G171">
        <v>11.28</v>
      </c>
      <c r="H171">
        <v>4</v>
      </c>
      <c r="I171">
        <v>9.3000000000000007</v>
      </c>
      <c r="J171">
        <v>23.51</v>
      </c>
      <c r="K171">
        <v>49.2</v>
      </c>
      <c r="L171" t="s">
        <v>5026</v>
      </c>
      <c r="M171">
        <v>9</v>
      </c>
      <c r="N171">
        <v>1</v>
      </c>
      <c r="O171">
        <v>0</v>
      </c>
    </row>
    <row r="172" spans="1:15" x14ac:dyDescent="0.3">
      <c r="A172" t="s">
        <v>185</v>
      </c>
      <c r="B172">
        <v>5</v>
      </c>
      <c r="C172">
        <v>69</v>
      </c>
      <c r="D172" t="s">
        <v>5016</v>
      </c>
      <c r="E172" t="s">
        <v>5018</v>
      </c>
      <c r="F172" t="s">
        <v>5023</v>
      </c>
      <c r="G172">
        <v>14.85</v>
      </c>
      <c r="H172">
        <v>4</v>
      </c>
      <c r="I172">
        <v>6.1</v>
      </c>
      <c r="J172">
        <v>14.26</v>
      </c>
      <c r="K172">
        <v>17</v>
      </c>
      <c r="L172" t="s">
        <v>5028</v>
      </c>
      <c r="M172">
        <v>6</v>
      </c>
      <c r="N172">
        <v>0</v>
      </c>
      <c r="O172">
        <v>1</v>
      </c>
    </row>
    <row r="173" spans="1:15" x14ac:dyDescent="0.3">
      <c r="A173" t="s">
        <v>186</v>
      </c>
      <c r="B173">
        <v>6</v>
      </c>
      <c r="C173">
        <v>28</v>
      </c>
      <c r="D173" t="s">
        <v>5015</v>
      </c>
      <c r="E173" t="s">
        <v>5018</v>
      </c>
      <c r="F173" t="s">
        <v>5021</v>
      </c>
      <c r="G173">
        <v>9.01</v>
      </c>
      <c r="H173">
        <v>3</v>
      </c>
      <c r="I173">
        <v>2.2999999999999998</v>
      </c>
      <c r="J173">
        <v>21.64</v>
      </c>
      <c r="K173">
        <v>86.7</v>
      </c>
      <c r="L173" t="s">
        <v>5027</v>
      </c>
      <c r="M173">
        <v>6</v>
      </c>
      <c r="N173">
        <v>2</v>
      </c>
      <c r="O173">
        <v>0</v>
      </c>
    </row>
    <row r="174" spans="1:15" x14ac:dyDescent="0.3">
      <c r="A174" t="s">
        <v>187</v>
      </c>
      <c r="B174">
        <v>12</v>
      </c>
      <c r="C174">
        <v>38</v>
      </c>
      <c r="D174" t="s">
        <v>5016</v>
      </c>
      <c r="E174" t="s">
        <v>5017</v>
      </c>
      <c r="F174" t="s">
        <v>5020</v>
      </c>
      <c r="G174">
        <v>19.22</v>
      </c>
      <c r="H174">
        <v>3</v>
      </c>
      <c r="I174">
        <v>6</v>
      </c>
      <c r="J174">
        <v>16.55</v>
      </c>
      <c r="K174">
        <v>99.4</v>
      </c>
      <c r="L174" t="s">
        <v>5028</v>
      </c>
      <c r="M174">
        <v>2</v>
      </c>
      <c r="N174">
        <v>4</v>
      </c>
      <c r="O174">
        <v>1</v>
      </c>
    </row>
    <row r="175" spans="1:15" x14ac:dyDescent="0.3">
      <c r="A175" t="s">
        <v>188</v>
      </c>
      <c r="B175">
        <v>12</v>
      </c>
      <c r="C175">
        <v>68</v>
      </c>
      <c r="D175" t="s">
        <v>5016</v>
      </c>
      <c r="E175" t="s">
        <v>5018</v>
      </c>
      <c r="F175" t="s">
        <v>5022</v>
      </c>
      <c r="G175">
        <v>15.73</v>
      </c>
      <c r="H175">
        <v>1</v>
      </c>
      <c r="I175">
        <v>7.9</v>
      </c>
      <c r="J175">
        <v>15.2</v>
      </c>
      <c r="K175">
        <v>51</v>
      </c>
      <c r="L175" t="s">
        <v>5029</v>
      </c>
      <c r="M175">
        <v>9</v>
      </c>
      <c r="N175">
        <v>3</v>
      </c>
      <c r="O175">
        <v>0</v>
      </c>
    </row>
    <row r="176" spans="1:15" x14ac:dyDescent="0.3">
      <c r="A176" t="s">
        <v>189</v>
      </c>
      <c r="B176">
        <v>12</v>
      </c>
      <c r="C176">
        <v>28</v>
      </c>
      <c r="D176" t="s">
        <v>5015</v>
      </c>
      <c r="E176" t="s">
        <v>5017</v>
      </c>
      <c r="F176" t="s">
        <v>5024</v>
      </c>
      <c r="G176">
        <v>22.96</v>
      </c>
      <c r="H176">
        <v>2</v>
      </c>
      <c r="I176">
        <v>7.5</v>
      </c>
      <c r="J176">
        <v>18.010000000000002</v>
      </c>
      <c r="K176">
        <v>56.1</v>
      </c>
      <c r="L176" t="s">
        <v>5029</v>
      </c>
      <c r="M176">
        <v>8</v>
      </c>
      <c r="N176">
        <v>0</v>
      </c>
      <c r="O176">
        <v>1</v>
      </c>
    </row>
    <row r="177" spans="1:15" x14ac:dyDescent="0.3">
      <c r="A177" t="s">
        <v>190</v>
      </c>
      <c r="B177">
        <v>12</v>
      </c>
      <c r="C177">
        <v>47</v>
      </c>
      <c r="D177" t="s">
        <v>5016</v>
      </c>
      <c r="E177" t="s">
        <v>5017</v>
      </c>
      <c r="F177" t="s">
        <v>5021</v>
      </c>
      <c r="G177">
        <v>21.21</v>
      </c>
      <c r="H177">
        <v>5</v>
      </c>
      <c r="I177">
        <v>7.7</v>
      </c>
      <c r="J177">
        <v>20.85</v>
      </c>
      <c r="K177">
        <v>17.100000000000001</v>
      </c>
      <c r="L177" t="s">
        <v>5025</v>
      </c>
      <c r="M177">
        <v>5</v>
      </c>
      <c r="N177">
        <v>4</v>
      </c>
      <c r="O177">
        <v>0</v>
      </c>
    </row>
    <row r="178" spans="1:15" x14ac:dyDescent="0.3">
      <c r="A178" t="s">
        <v>191</v>
      </c>
      <c r="B178">
        <v>4</v>
      </c>
      <c r="C178">
        <v>65</v>
      </c>
      <c r="D178" t="s">
        <v>5016</v>
      </c>
      <c r="E178" t="s">
        <v>5019</v>
      </c>
      <c r="F178" t="s">
        <v>5022</v>
      </c>
      <c r="G178">
        <v>11.45</v>
      </c>
      <c r="H178">
        <v>5</v>
      </c>
      <c r="I178">
        <v>3.5</v>
      </c>
      <c r="J178">
        <v>17.18</v>
      </c>
      <c r="K178">
        <v>44.5</v>
      </c>
      <c r="L178" t="s">
        <v>5029</v>
      </c>
      <c r="M178">
        <v>10</v>
      </c>
      <c r="N178">
        <v>2</v>
      </c>
      <c r="O178">
        <v>0</v>
      </c>
    </row>
    <row r="179" spans="1:15" x14ac:dyDescent="0.3">
      <c r="A179" t="s">
        <v>192</v>
      </c>
      <c r="B179">
        <v>11</v>
      </c>
      <c r="C179">
        <v>52</v>
      </c>
      <c r="D179" t="s">
        <v>5015</v>
      </c>
      <c r="E179" t="s">
        <v>5019</v>
      </c>
      <c r="F179" t="s">
        <v>5020</v>
      </c>
      <c r="G179">
        <v>15.12</v>
      </c>
      <c r="H179">
        <v>2</v>
      </c>
      <c r="I179">
        <v>1.7</v>
      </c>
      <c r="J179">
        <v>20.54</v>
      </c>
      <c r="K179">
        <v>43.5</v>
      </c>
      <c r="L179" t="s">
        <v>5027</v>
      </c>
      <c r="M179">
        <v>3</v>
      </c>
      <c r="N179">
        <v>3</v>
      </c>
      <c r="O179">
        <v>0</v>
      </c>
    </row>
    <row r="180" spans="1:15" x14ac:dyDescent="0.3">
      <c r="A180" t="s">
        <v>193</v>
      </c>
      <c r="B180">
        <v>10</v>
      </c>
      <c r="C180">
        <v>39</v>
      </c>
      <c r="D180" t="s">
        <v>5016</v>
      </c>
      <c r="E180" t="s">
        <v>5018</v>
      </c>
      <c r="F180" t="s">
        <v>5020</v>
      </c>
      <c r="G180">
        <v>20.010000000000002</v>
      </c>
      <c r="H180">
        <v>5</v>
      </c>
      <c r="I180">
        <v>2.2999999999999998</v>
      </c>
      <c r="J180">
        <v>7.19</v>
      </c>
      <c r="K180">
        <v>96.9</v>
      </c>
      <c r="L180" t="s">
        <v>5029</v>
      </c>
      <c r="M180">
        <v>9</v>
      </c>
      <c r="N180">
        <v>0</v>
      </c>
      <c r="O180">
        <v>1</v>
      </c>
    </row>
    <row r="181" spans="1:15" x14ac:dyDescent="0.3">
      <c r="A181" t="s">
        <v>194</v>
      </c>
      <c r="B181">
        <v>7</v>
      </c>
      <c r="C181">
        <v>55</v>
      </c>
      <c r="D181" t="s">
        <v>5016</v>
      </c>
      <c r="E181" t="s">
        <v>5018</v>
      </c>
      <c r="F181" t="s">
        <v>5021</v>
      </c>
      <c r="G181">
        <v>8.86</v>
      </c>
      <c r="H181">
        <v>5</v>
      </c>
      <c r="I181">
        <v>9.6</v>
      </c>
      <c r="J181">
        <v>9.11</v>
      </c>
      <c r="K181">
        <v>69.400000000000006</v>
      </c>
      <c r="L181" t="s">
        <v>5027</v>
      </c>
      <c r="M181">
        <v>11</v>
      </c>
      <c r="N181">
        <v>2</v>
      </c>
      <c r="O181">
        <v>0</v>
      </c>
    </row>
    <row r="182" spans="1:15" x14ac:dyDescent="0.3">
      <c r="A182" t="s">
        <v>195</v>
      </c>
      <c r="B182">
        <v>12</v>
      </c>
      <c r="C182">
        <v>48</v>
      </c>
      <c r="D182" t="s">
        <v>5015</v>
      </c>
      <c r="E182" t="s">
        <v>5018</v>
      </c>
      <c r="F182" t="s">
        <v>5021</v>
      </c>
      <c r="G182">
        <v>5.63</v>
      </c>
      <c r="H182">
        <v>5</v>
      </c>
      <c r="I182">
        <v>6.5</v>
      </c>
      <c r="J182">
        <v>8.0500000000000007</v>
      </c>
      <c r="K182">
        <v>80.400000000000006</v>
      </c>
      <c r="L182" t="s">
        <v>5028</v>
      </c>
      <c r="M182">
        <v>10</v>
      </c>
      <c r="N182">
        <v>1</v>
      </c>
      <c r="O182">
        <v>0</v>
      </c>
    </row>
    <row r="183" spans="1:15" x14ac:dyDescent="0.3">
      <c r="A183" t="s">
        <v>196</v>
      </c>
      <c r="B183">
        <v>9</v>
      </c>
      <c r="C183">
        <v>31</v>
      </c>
      <c r="D183" t="s">
        <v>5015</v>
      </c>
      <c r="E183" t="s">
        <v>5019</v>
      </c>
      <c r="F183" t="s">
        <v>5021</v>
      </c>
      <c r="G183">
        <v>22.05</v>
      </c>
      <c r="H183">
        <v>3</v>
      </c>
      <c r="I183">
        <v>7.6</v>
      </c>
      <c r="J183">
        <v>20.56</v>
      </c>
      <c r="K183">
        <v>21.5</v>
      </c>
      <c r="L183" t="s">
        <v>5025</v>
      </c>
      <c r="M183">
        <v>7</v>
      </c>
      <c r="N183">
        <v>4</v>
      </c>
      <c r="O183">
        <v>1</v>
      </c>
    </row>
    <row r="184" spans="1:15" x14ac:dyDescent="0.3">
      <c r="A184" t="s">
        <v>197</v>
      </c>
      <c r="B184">
        <v>7</v>
      </c>
      <c r="C184">
        <v>41</v>
      </c>
      <c r="D184" t="s">
        <v>5015</v>
      </c>
      <c r="E184" t="s">
        <v>5019</v>
      </c>
      <c r="F184" t="s">
        <v>5023</v>
      </c>
      <c r="G184">
        <v>7.75</v>
      </c>
      <c r="H184">
        <v>3</v>
      </c>
      <c r="I184">
        <v>9.1</v>
      </c>
      <c r="J184">
        <v>4.8899999999999997</v>
      </c>
      <c r="K184">
        <v>47.5</v>
      </c>
      <c r="L184" t="s">
        <v>5025</v>
      </c>
      <c r="M184">
        <v>9</v>
      </c>
      <c r="N184">
        <v>4</v>
      </c>
      <c r="O184">
        <v>0</v>
      </c>
    </row>
    <row r="185" spans="1:15" x14ac:dyDescent="0.3">
      <c r="A185" t="s">
        <v>198</v>
      </c>
      <c r="B185">
        <v>1</v>
      </c>
      <c r="C185">
        <v>67</v>
      </c>
      <c r="D185" t="s">
        <v>5015</v>
      </c>
      <c r="E185" t="s">
        <v>5019</v>
      </c>
      <c r="F185" t="s">
        <v>5024</v>
      </c>
      <c r="G185">
        <v>22.79</v>
      </c>
      <c r="H185">
        <v>3</v>
      </c>
      <c r="I185">
        <v>8.6999999999999993</v>
      </c>
      <c r="J185">
        <v>20.51</v>
      </c>
      <c r="K185">
        <v>27.2</v>
      </c>
      <c r="L185" t="s">
        <v>5029</v>
      </c>
      <c r="M185">
        <v>7</v>
      </c>
      <c r="N185">
        <v>0</v>
      </c>
      <c r="O185">
        <v>0</v>
      </c>
    </row>
    <row r="186" spans="1:15" x14ac:dyDescent="0.3">
      <c r="A186" t="s">
        <v>199</v>
      </c>
      <c r="B186">
        <v>1</v>
      </c>
      <c r="C186">
        <v>66</v>
      </c>
      <c r="D186" t="s">
        <v>5015</v>
      </c>
      <c r="E186" t="s">
        <v>5019</v>
      </c>
      <c r="F186" t="s">
        <v>5022</v>
      </c>
      <c r="G186">
        <v>23.27</v>
      </c>
      <c r="H186">
        <v>2</v>
      </c>
      <c r="I186">
        <v>3</v>
      </c>
      <c r="J186">
        <v>11.56</v>
      </c>
      <c r="K186">
        <v>87.4</v>
      </c>
      <c r="L186" t="s">
        <v>5026</v>
      </c>
      <c r="M186">
        <v>8</v>
      </c>
      <c r="N186">
        <v>2</v>
      </c>
      <c r="O186">
        <v>0</v>
      </c>
    </row>
    <row r="187" spans="1:15" x14ac:dyDescent="0.3">
      <c r="A187" t="s">
        <v>200</v>
      </c>
      <c r="B187">
        <v>9</v>
      </c>
      <c r="C187">
        <v>49</v>
      </c>
      <c r="D187" t="s">
        <v>5015</v>
      </c>
      <c r="E187" t="s">
        <v>5017</v>
      </c>
      <c r="F187" t="s">
        <v>5020</v>
      </c>
      <c r="G187">
        <v>14.21</v>
      </c>
      <c r="H187">
        <v>4</v>
      </c>
      <c r="I187">
        <v>1.5</v>
      </c>
      <c r="J187">
        <v>4.75</v>
      </c>
      <c r="K187">
        <v>23.7</v>
      </c>
      <c r="L187" t="s">
        <v>5029</v>
      </c>
      <c r="M187">
        <v>10</v>
      </c>
      <c r="N187">
        <v>3</v>
      </c>
      <c r="O187">
        <v>0</v>
      </c>
    </row>
    <row r="188" spans="1:15" x14ac:dyDescent="0.3">
      <c r="A188" t="s">
        <v>201</v>
      </c>
      <c r="B188">
        <v>11</v>
      </c>
      <c r="C188">
        <v>53</v>
      </c>
      <c r="D188" t="s">
        <v>5015</v>
      </c>
      <c r="E188" t="s">
        <v>5018</v>
      </c>
      <c r="F188" t="s">
        <v>5020</v>
      </c>
      <c r="G188">
        <v>21.14</v>
      </c>
      <c r="H188">
        <v>5</v>
      </c>
      <c r="I188">
        <v>9.3000000000000007</v>
      </c>
      <c r="J188">
        <v>12.34</v>
      </c>
      <c r="K188">
        <v>49.5</v>
      </c>
      <c r="L188" t="s">
        <v>5026</v>
      </c>
      <c r="M188">
        <v>5</v>
      </c>
      <c r="N188">
        <v>3</v>
      </c>
      <c r="O188">
        <v>1</v>
      </c>
    </row>
    <row r="189" spans="1:15" x14ac:dyDescent="0.3">
      <c r="A189" t="s">
        <v>202</v>
      </c>
      <c r="B189">
        <v>9</v>
      </c>
      <c r="C189">
        <v>49</v>
      </c>
      <c r="D189" t="s">
        <v>5016</v>
      </c>
      <c r="E189" t="s">
        <v>5018</v>
      </c>
      <c r="F189" t="s">
        <v>5024</v>
      </c>
      <c r="G189">
        <v>12.26</v>
      </c>
      <c r="H189">
        <v>1</v>
      </c>
      <c r="I189">
        <v>9.8000000000000007</v>
      </c>
      <c r="J189">
        <v>9.61</v>
      </c>
      <c r="K189">
        <v>14.8</v>
      </c>
      <c r="L189" t="s">
        <v>5029</v>
      </c>
      <c r="M189">
        <v>10</v>
      </c>
      <c r="N189">
        <v>3</v>
      </c>
      <c r="O189">
        <v>0</v>
      </c>
    </row>
    <row r="190" spans="1:15" x14ac:dyDescent="0.3">
      <c r="A190" t="s">
        <v>203</v>
      </c>
      <c r="B190">
        <v>4</v>
      </c>
      <c r="C190">
        <v>32</v>
      </c>
      <c r="D190" t="s">
        <v>5016</v>
      </c>
      <c r="E190" t="s">
        <v>5018</v>
      </c>
      <c r="F190" t="s">
        <v>5021</v>
      </c>
      <c r="G190">
        <v>22.17</v>
      </c>
      <c r="H190">
        <v>3</v>
      </c>
      <c r="I190">
        <v>6.1</v>
      </c>
      <c r="J190">
        <v>16.02</v>
      </c>
      <c r="K190">
        <v>67.099999999999994</v>
      </c>
      <c r="L190" t="s">
        <v>5027</v>
      </c>
      <c r="M190">
        <v>10</v>
      </c>
      <c r="N190">
        <v>3</v>
      </c>
      <c r="O190">
        <v>0</v>
      </c>
    </row>
    <row r="191" spans="1:15" x14ac:dyDescent="0.3">
      <c r="A191" t="s">
        <v>204</v>
      </c>
      <c r="B191">
        <v>9</v>
      </c>
      <c r="C191">
        <v>60</v>
      </c>
      <c r="D191" t="s">
        <v>5015</v>
      </c>
      <c r="E191" t="s">
        <v>5019</v>
      </c>
      <c r="F191" t="s">
        <v>5021</v>
      </c>
      <c r="G191">
        <v>21.49</v>
      </c>
      <c r="H191">
        <v>1</v>
      </c>
      <c r="I191">
        <v>9</v>
      </c>
      <c r="J191">
        <v>13.4</v>
      </c>
      <c r="K191">
        <v>53.4</v>
      </c>
      <c r="L191" t="s">
        <v>5027</v>
      </c>
      <c r="M191">
        <v>6</v>
      </c>
      <c r="N191">
        <v>0</v>
      </c>
      <c r="O191">
        <v>0</v>
      </c>
    </row>
    <row r="192" spans="1:15" x14ac:dyDescent="0.3">
      <c r="A192" t="s">
        <v>205</v>
      </c>
      <c r="B192">
        <v>3</v>
      </c>
      <c r="C192">
        <v>52</v>
      </c>
      <c r="D192" t="s">
        <v>5016</v>
      </c>
      <c r="E192" t="s">
        <v>5018</v>
      </c>
      <c r="F192" t="s">
        <v>5020</v>
      </c>
      <c r="G192">
        <v>6.57</v>
      </c>
      <c r="H192">
        <v>5</v>
      </c>
      <c r="I192">
        <v>3.1</v>
      </c>
      <c r="J192">
        <v>9.5299999999999994</v>
      </c>
      <c r="K192">
        <v>54.8</v>
      </c>
      <c r="L192" t="s">
        <v>5026</v>
      </c>
      <c r="M192">
        <v>8</v>
      </c>
      <c r="N192">
        <v>0</v>
      </c>
      <c r="O192">
        <v>0</v>
      </c>
    </row>
    <row r="193" spans="1:15" x14ac:dyDescent="0.3">
      <c r="A193" t="s">
        <v>206</v>
      </c>
      <c r="B193">
        <v>7</v>
      </c>
      <c r="C193">
        <v>20</v>
      </c>
      <c r="D193" t="s">
        <v>5016</v>
      </c>
      <c r="E193" t="s">
        <v>5017</v>
      </c>
      <c r="F193" t="s">
        <v>5024</v>
      </c>
      <c r="G193">
        <v>16.649999999999999</v>
      </c>
      <c r="H193">
        <v>4</v>
      </c>
      <c r="I193">
        <v>2</v>
      </c>
      <c r="J193">
        <v>21.97</v>
      </c>
      <c r="K193">
        <v>19.100000000000001</v>
      </c>
      <c r="L193" t="s">
        <v>5025</v>
      </c>
      <c r="M193">
        <v>7</v>
      </c>
      <c r="N193">
        <v>4</v>
      </c>
      <c r="O193">
        <v>0</v>
      </c>
    </row>
    <row r="194" spans="1:15" x14ac:dyDescent="0.3">
      <c r="A194" t="s">
        <v>207</v>
      </c>
      <c r="B194">
        <v>6</v>
      </c>
      <c r="C194">
        <v>33</v>
      </c>
      <c r="D194" t="s">
        <v>5015</v>
      </c>
      <c r="E194" t="s">
        <v>5018</v>
      </c>
      <c r="F194" t="s">
        <v>5020</v>
      </c>
      <c r="G194">
        <v>17.8</v>
      </c>
      <c r="H194">
        <v>1</v>
      </c>
      <c r="I194">
        <v>5.5</v>
      </c>
      <c r="J194">
        <v>11.95</v>
      </c>
      <c r="K194">
        <v>56.3</v>
      </c>
      <c r="L194" t="s">
        <v>5026</v>
      </c>
      <c r="M194">
        <v>1</v>
      </c>
      <c r="N194">
        <v>2</v>
      </c>
      <c r="O194">
        <v>0</v>
      </c>
    </row>
    <row r="195" spans="1:15" x14ac:dyDescent="0.3">
      <c r="A195" t="s">
        <v>208</v>
      </c>
      <c r="B195">
        <v>8</v>
      </c>
      <c r="C195">
        <v>22</v>
      </c>
      <c r="D195" t="s">
        <v>5016</v>
      </c>
      <c r="E195" t="s">
        <v>5019</v>
      </c>
      <c r="F195" t="s">
        <v>5021</v>
      </c>
      <c r="G195">
        <v>5.0199999999999996</v>
      </c>
      <c r="H195">
        <v>5</v>
      </c>
      <c r="I195">
        <v>8.3000000000000007</v>
      </c>
      <c r="J195">
        <v>13.36</v>
      </c>
      <c r="K195">
        <v>60.7</v>
      </c>
      <c r="L195" t="s">
        <v>5028</v>
      </c>
      <c r="M195">
        <v>10</v>
      </c>
      <c r="N195">
        <v>1</v>
      </c>
      <c r="O195">
        <v>1</v>
      </c>
    </row>
    <row r="196" spans="1:15" x14ac:dyDescent="0.3">
      <c r="A196" t="s">
        <v>209</v>
      </c>
      <c r="B196">
        <v>11</v>
      </c>
      <c r="C196">
        <v>38</v>
      </c>
      <c r="D196" t="s">
        <v>5015</v>
      </c>
      <c r="E196" t="s">
        <v>5017</v>
      </c>
      <c r="F196" t="s">
        <v>5022</v>
      </c>
      <c r="G196">
        <v>24.6</v>
      </c>
      <c r="H196">
        <v>5</v>
      </c>
      <c r="I196">
        <v>6.9</v>
      </c>
      <c r="J196">
        <v>21.63</v>
      </c>
      <c r="K196">
        <v>96.7</v>
      </c>
      <c r="L196" t="s">
        <v>5025</v>
      </c>
      <c r="M196">
        <v>4</v>
      </c>
      <c r="N196">
        <v>0</v>
      </c>
      <c r="O196">
        <v>0</v>
      </c>
    </row>
    <row r="197" spans="1:15" x14ac:dyDescent="0.3">
      <c r="A197" t="s">
        <v>210</v>
      </c>
      <c r="B197">
        <v>9</v>
      </c>
      <c r="C197">
        <v>27</v>
      </c>
      <c r="D197" t="s">
        <v>5016</v>
      </c>
      <c r="E197" t="s">
        <v>5018</v>
      </c>
      <c r="F197" t="s">
        <v>5021</v>
      </c>
      <c r="G197">
        <v>13.13</v>
      </c>
      <c r="H197">
        <v>3</v>
      </c>
      <c r="I197">
        <v>6.7</v>
      </c>
      <c r="J197">
        <v>4.96</v>
      </c>
      <c r="K197">
        <v>13</v>
      </c>
      <c r="L197" t="s">
        <v>5026</v>
      </c>
      <c r="M197">
        <v>8</v>
      </c>
      <c r="N197">
        <v>3</v>
      </c>
      <c r="O197">
        <v>0</v>
      </c>
    </row>
    <row r="198" spans="1:15" x14ac:dyDescent="0.3">
      <c r="A198" t="s">
        <v>211</v>
      </c>
      <c r="B198">
        <v>5</v>
      </c>
      <c r="C198">
        <v>36</v>
      </c>
      <c r="D198" t="s">
        <v>5015</v>
      </c>
      <c r="E198" t="s">
        <v>5018</v>
      </c>
      <c r="F198" t="s">
        <v>5022</v>
      </c>
      <c r="G198">
        <v>15.35</v>
      </c>
      <c r="H198">
        <v>4</v>
      </c>
      <c r="I198">
        <v>1.2</v>
      </c>
      <c r="J198">
        <v>11.58</v>
      </c>
      <c r="K198">
        <v>93</v>
      </c>
      <c r="L198" t="s">
        <v>5028</v>
      </c>
      <c r="M198">
        <v>11</v>
      </c>
      <c r="N198">
        <v>1</v>
      </c>
      <c r="O198">
        <v>1</v>
      </c>
    </row>
    <row r="199" spans="1:15" x14ac:dyDescent="0.3">
      <c r="A199" t="s">
        <v>212</v>
      </c>
      <c r="B199">
        <v>1</v>
      </c>
      <c r="C199">
        <v>42</v>
      </c>
      <c r="D199" t="s">
        <v>5016</v>
      </c>
      <c r="E199" t="s">
        <v>5017</v>
      </c>
      <c r="F199" t="s">
        <v>5023</v>
      </c>
      <c r="G199">
        <v>8.9</v>
      </c>
      <c r="H199">
        <v>5</v>
      </c>
      <c r="I199">
        <v>3.9</v>
      </c>
      <c r="J199">
        <v>11.86</v>
      </c>
      <c r="K199">
        <v>53.2</v>
      </c>
      <c r="L199" t="s">
        <v>5028</v>
      </c>
      <c r="M199">
        <v>9</v>
      </c>
      <c r="N199">
        <v>4</v>
      </c>
      <c r="O199">
        <v>0</v>
      </c>
    </row>
    <row r="200" spans="1:15" x14ac:dyDescent="0.3">
      <c r="A200" t="s">
        <v>213</v>
      </c>
      <c r="B200">
        <v>3</v>
      </c>
      <c r="C200">
        <v>21</v>
      </c>
      <c r="D200" t="s">
        <v>5016</v>
      </c>
      <c r="E200" t="s">
        <v>5018</v>
      </c>
      <c r="F200" t="s">
        <v>5024</v>
      </c>
      <c r="G200">
        <v>17.22</v>
      </c>
      <c r="H200">
        <v>4</v>
      </c>
      <c r="I200">
        <v>9.5</v>
      </c>
      <c r="J200">
        <v>13.91</v>
      </c>
      <c r="K200">
        <v>28.9</v>
      </c>
      <c r="L200" t="s">
        <v>5029</v>
      </c>
      <c r="M200">
        <v>6</v>
      </c>
      <c r="N200">
        <v>3</v>
      </c>
      <c r="O200">
        <v>0</v>
      </c>
    </row>
    <row r="201" spans="1:15" x14ac:dyDescent="0.3">
      <c r="A201" t="s">
        <v>214</v>
      </c>
      <c r="B201">
        <v>10</v>
      </c>
      <c r="C201">
        <v>46</v>
      </c>
      <c r="D201" t="s">
        <v>5016</v>
      </c>
      <c r="E201" t="s">
        <v>5019</v>
      </c>
      <c r="F201" t="s">
        <v>5023</v>
      </c>
      <c r="G201">
        <v>21.21</v>
      </c>
      <c r="H201">
        <v>3</v>
      </c>
      <c r="I201">
        <v>2.2000000000000002</v>
      </c>
      <c r="J201">
        <v>5.33</v>
      </c>
      <c r="K201">
        <v>69.900000000000006</v>
      </c>
      <c r="L201" t="s">
        <v>5026</v>
      </c>
      <c r="M201">
        <v>11</v>
      </c>
      <c r="N201">
        <v>2</v>
      </c>
      <c r="O201">
        <v>0</v>
      </c>
    </row>
    <row r="202" spans="1:15" x14ac:dyDescent="0.3">
      <c r="A202" t="s">
        <v>215</v>
      </c>
      <c r="B202">
        <v>12</v>
      </c>
      <c r="C202">
        <v>36</v>
      </c>
      <c r="D202" t="s">
        <v>5015</v>
      </c>
      <c r="E202" t="s">
        <v>5018</v>
      </c>
      <c r="F202" t="s">
        <v>5021</v>
      </c>
      <c r="G202">
        <v>16.72</v>
      </c>
      <c r="H202">
        <v>1</v>
      </c>
      <c r="I202">
        <v>7.5</v>
      </c>
      <c r="J202">
        <v>5.26</v>
      </c>
      <c r="K202">
        <v>56.5</v>
      </c>
      <c r="L202" t="s">
        <v>5027</v>
      </c>
      <c r="M202">
        <v>4</v>
      </c>
      <c r="N202">
        <v>1</v>
      </c>
      <c r="O202">
        <v>0</v>
      </c>
    </row>
    <row r="203" spans="1:15" x14ac:dyDescent="0.3">
      <c r="A203" t="s">
        <v>216</v>
      </c>
      <c r="B203">
        <v>8</v>
      </c>
      <c r="C203">
        <v>60</v>
      </c>
      <c r="D203" t="s">
        <v>5016</v>
      </c>
      <c r="E203" t="s">
        <v>5019</v>
      </c>
      <c r="F203" t="s">
        <v>5024</v>
      </c>
      <c r="G203">
        <v>20.76</v>
      </c>
      <c r="H203">
        <v>2</v>
      </c>
      <c r="I203">
        <v>7.8</v>
      </c>
      <c r="J203">
        <v>12.16</v>
      </c>
      <c r="K203">
        <v>30.4</v>
      </c>
      <c r="L203" t="s">
        <v>5029</v>
      </c>
      <c r="M203">
        <v>2</v>
      </c>
      <c r="N203">
        <v>4</v>
      </c>
      <c r="O203">
        <v>1</v>
      </c>
    </row>
    <row r="204" spans="1:15" x14ac:dyDescent="0.3">
      <c r="A204" t="s">
        <v>217</v>
      </c>
      <c r="B204">
        <v>11</v>
      </c>
      <c r="C204">
        <v>19</v>
      </c>
      <c r="D204" t="s">
        <v>5016</v>
      </c>
      <c r="E204" t="s">
        <v>5017</v>
      </c>
      <c r="F204" t="s">
        <v>5021</v>
      </c>
      <c r="G204">
        <v>19.62</v>
      </c>
      <c r="H204">
        <v>2</v>
      </c>
      <c r="I204">
        <v>7.6</v>
      </c>
      <c r="J204">
        <v>3.73</v>
      </c>
      <c r="K204">
        <v>66.400000000000006</v>
      </c>
      <c r="L204" t="s">
        <v>5025</v>
      </c>
      <c r="M204">
        <v>9</v>
      </c>
      <c r="N204">
        <v>0</v>
      </c>
      <c r="O204">
        <v>0</v>
      </c>
    </row>
    <row r="205" spans="1:15" x14ac:dyDescent="0.3">
      <c r="A205" t="s">
        <v>218</v>
      </c>
      <c r="B205">
        <v>6</v>
      </c>
      <c r="C205">
        <v>27</v>
      </c>
      <c r="D205" t="s">
        <v>5015</v>
      </c>
      <c r="E205" t="s">
        <v>5017</v>
      </c>
      <c r="F205" t="s">
        <v>5024</v>
      </c>
      <c r="G205">
        <v>9.75</v>
      </c>
      <c r="H205">
        <v>2</v>
      </c>
      <c r="I205">
        <v>9.9</v>
      </c>
      <c r="J205">
        <v>8.61</v>
      </c>
      <c r="K205">
        <v>52.6</v>
      </c>
      <c r="L205" t="s">
        <v>5027</v>
      </c>
      <c r="M205">
        <v>1</v>
      </c>
      <c r="N205">
        <v>2</v>
      </c>
      <c r="O205">
        <v>1</v>
      </c>
    </row>
    <row r="206" spans="1:15" x14ac:dyDescent="0.3">
      <c r="A206" t="s">
        <v>219</v>
      </c>
      <c r="B206">
        <v>8</v>
      </c>
      <c r="C206">
        <v>60</v>
      </c>
      <c r="D206" t="s">
        <v>5015</v>
      </c>
      <c r="E206" t="s">
        <v>5019</v>
      </c>
      <c r="F206" t="s">
        <v>5024</v>
      </c>
      <c r="G206">
        <v>13.72</v>
      </c>
      <c r="H206">
        <v>4</v>
      </c>
      <c r="I206">
        <v>4.7</v>
      </c>
      <c r="J206">
        <v>7.43</v>
      </c>
      <c r="K206">
        <v>72</v>
      </c>
      <c r="L206" t="s">
        <v>5028</v>
      </c>
      <c r="M206">
        <v>5</v>
      </c>
      <c r="N206">
        <v>3</v>
      </c>
      <c r="O206">
        <v>1</v>
      </c>
    </row>
    <row r="207" spans="1:15" x14ac:dyDescent="0.3">
      <c r="A207" t="s">
        <v>220</v>
      </c>
      <c r="B207">
        <v>9</v>
      </c>
      <c r="C207">
        <v>42</v>
      </c>
      <c r="D207" t="s">
        <v>5016</v>
      </c>
      <c r="E207" t="s">
        <v>5018</v>
      </c>
      <c r="F207" t="s">
        <v>5021</v>
      </c>
      <c r="G207">
        <v>7.97</v>
      </c>
      <c r="H207">
        <v>2</v>
      </c>
      <c r="I207">
        <v>7.1</v>
      </c>
      <c r="J207">
        <v>13.77</v>
      </c>
      <c r="K207">
        <v>72</v>
      </c>
      <c r="L207" t="s">
        <v>5025</v>
      </c>
      <c r="M207">
        <v>8</v>
      </c>
      <c r="N207">
        <v>1</v>
      </c>
      <c r="O207">
        <v>1</v>
      </c>
    </row>
    <row r="208" spans="1:15" x14ac:dyDescent="0.3">
      <c r="A208" t="s">
        <v>221</v>
      </c>
      <c r="B208">
        <v>4</v>
      </c>
      <c r="C208">
        <v>37</v>
      </c>
      <c r="D208" t="s">
        <v>5016</v>
      </c>
      <c r="E208" t="s">
        <v>5018</v>
      </c>
      <c r="F208" t="s">
        <v>5021</v>
      </c>
      <c r="G208">
        <v>5.84</v>
      </c>
      <c r="H208">
        <v>1</v>
      </c>
      <c r="I208">
        <v>2.7</v>
      </c>
      <c r="J208">
        <v>3.25</v>
      </c>
      <c r="K208">
        <v>52.6</v>
      </c>
      <c r="L208" t="s">
        <v>5029</v>
      </c>
      <c r="M208">
        <v>4</v>
      </c>
      <c r="N208">
        <v>4</v>
      </c>
      <c r="O208">
        <v>0</v>
      </c>
    </row>
    <row r="209" spans="1:15" x14ac:dyDescent="0.3">
      <c r="A209" t="s">
        <v>222</v>
      </c>
      <c r="B209">
        <v>1</v>
      </c>
      <c r="C209">
        <v>65</v>
      </c>
      <c r="D209" t="s">
        <v>5016</v>
      </c>
      <c r="E209" t="s">
        <v>5019</v>
      </c>
      <c r="F209" t="s">
        <v>5024</v>
      </c>
      <c r="G209">
        <v>6.26</v>
      </c>
      <c r="H209">
        <v>5</v>
      </c>
      <c r="I209">
        <v>4.5999999999999996</v>
      </c>
      <c r="J209">
        <v>17.87</v>
      </c>
      <c r="K209">
        <v>45.2</v>
      </c>
      <c r="L209" t="s">
        <v>5028</v>
      </c>
      <c r="M209">
        <v>1</v>
      </c>
      <c r="N209">
        <v>1</v>
      </c>
      <c r="O209">
        <v>0</v>
      </c>
    </row>
    <row r="210" spans="1:15" x14ac:dyDescent="0.3">
      <c r="A210" t="s">
        <v>223</v>
      </c>
      <c r="B210">
        <v>1</v>
      </c>
      <c r="C210">
        <v>36</v>
      </c>
      <c r="D210" t="s">
        <v>5016</v>
      </c>
      <c r="E210" t="s">
        <v>5018</v>
      </c>
      <c r="F210" t="s">
        <v>5024</v>
      </c>
      <c r="G210">
        <v>23.85</v>
      </c>
      <c r="H210">
        <v>4</v>
      </c>
      <c r="I210">
        <v>5.4</v>
      </c>
      <c r="J210">
        <v>21.82</v>
      </c>
      <c r="K210">
        <v>15.7</v>
      </c>
      <c r="L210" t="s">
        <v>5028</v>
      </c>
      <c r="M210">
        <v>4</v>
      </c>
      <c r="N210">
        <v>2</v>
      </c>
      <c r="O210">
        <v>0</v>
      </c>
    </row>
    <row r="211" spans="1:15" x14ac:dyDescent="0.3">
      <c r="A211" t="s">
        <v>224</v>
      </c>
      <c r="B211">
        <v>10</v>
      </c>
      <c r="C211">
        <v>40</v>
      </c>
      <c r="D211" t="s">
        <v>5015</v>
      </c>
      <c r="E211" t="s">
        <v>5019</v>
      </c>
      <c r="F211" t="s">
        <v>5021</v>
      </c>
      <c r="G211">
        <v>24.69</v>
      </c>
      <c r="H211">
        <v>1</v>
      </c>
      <c r="I211">
        <v>2.9</v>
      </c>
      <c r="J211">
        <v>18.55</v>
      </c>
      <c r="K211">
        <v>54.4</v>
      </c>
      <c r="L211" t="s">
        <v>5028</v>
      </c>
      <c r="M211">
        <v>5</v>
      </c>
      <c r="N211">
        <v>0</v>
      </c>
      <c r="O211">
        <v>0</v>
      </c>
    </row>
    <row r="212" spans="1:15" x14ac:dyDescent="0.3">
      <c r="A212" t="s">
        <v>225</v>
      </c>
      <c r="B212">
        <v>4</v>
      </c>
      <c r="C212">
        <v>41</v>
      </c>
      <c r="D212" t="s">
        <v>5016</v>
      </c>
      <c r="E212" t="s">
        <v>5017</v>
      </c>
      <c r="F212" t="s">
        <v>5021</v>
      </c>
      <c r="G212">
        <v>6.9</v>
      </c>
      <c r="H212">
        <v>4</v>
      </c>
      <c r="I212">
        <v>9.1999999999999993</v>
      </c>
      <c r="J212">
        <v>21</v>
      </c>
      <c r="K212">
        <v>31.9</v>
      </c>
      <c r="L212" t="s">
        <v>5027</v>
      </c>
      <c r="M212">
        <v>5</v>
      </c>
      <c r="N212">
        <v>0</v>
      </c>
      <c r="O212">
        <v>0</v>
      </c>
    </row>
    <row r="213" spans="1:15" x14ac:dyDescent="0.3">
      <c r="A213" t="s">
        <v>226</v>
      </c>
      <c r="B213">
        <v>12</v>
      </c>
      <c r="C213">
        <v>28</v>
      </c>
      <c r="D213" t="s">
        <v>5016</v>
      </c>
      <c r="E213" t="s">
        <v>5017</v>
      </c>
      <c r="F213" t="s">
        <v>5020</v>
      </c>
      <c r="G213">
        <v>11.7</v>
      </c>
      <c r="H213">
        <v>4</v>
      </c>
      <c r="I213">
        <v>7.4</v>
      </c>
      <c r="J213">
        <v>17.149999999999999</v>
      </c>
      <c r="K213">
        <v>14.8</v>
      </c>
      <c r="L213" t="s">
        <v>5029</v>
      </c>
      <c r="M213">
        <v>1</v>
      </c>
      <c r="N213">
        <v>2</v>
      </c>
      <c r="O213">
        <v>1</v>
      </c>
    </row>
    <row r="214" spans="1:15" x14ac:dyDescent="0.3">
      <c r="A214" t="s">
        <v>227</v>
      </c>
      <c r="B214">
        <v>7</v>
      </c>
      <c r="C214">
        <v>63</v>
      </c>
      <c r="D214" t="s">
        <v>5015</v>
      </c>
      <c r="E214" t="s">
        <v>5017</v>
      </c>
      <c r="F214" t="s">
        <v>5020</v>
      </c>
      <c r="G214">
        <v>7.29</v>
      </c>
      <c r="H214">
        <v>4</v>
      </c>
      <c r="I214">
        <v>3.6</v>
      </c>
      <c r="J214">
        <v>14.16</v>
      </c>
      <c r="K214">
        <v>39.700000000000003</v>
      </c>
      <c r="L214" t="s">
        <v>5029</v>
      </c>
      <c r="M214">
        <v>2</v>
      </c>
      <c r="N214">
        <v>3</v>
      </c>
      <c r="O214">
        <v>0</v>
      </c>
    </row>
    <row r="215" spans="1:15" x14ac:dyDescent="0.3">
      <c r="A215" t="s">
        <v>228</v>
      </c>
      <c r="B215">
        <v>2</v>
      </c>
      <c r="C215">
        <v>51</v>
      </c>
      <c r="D215" t="s">
        <v>5016</v>
      </c>
      <c r="E215" t="s">
        <v>5019</v>
      </c>
      <c r="F215" t="s">
        <v>5020</v>
      </c>
      <c r="G215">
        <v>21.68</v>
      </c>
      <c r="H215">
        <v>3</v>
      </c>
      <c r="I215">
        <v>2.2000000000000002</v>
      </c>
      <c r="J215">
        <v>7.82</v>
      </c>
      <c r="K215">
        <v>17.899999999999999</v>
      </c>
      <c r="L215" t="s">
        <v>5027</v>
      </c>
      <c r="M215">
        <v>6</v>
      </c>
      <c r="N215">
        <v>1</v>
      </c>
      <c r="O215">
        <v>0</v>
      </c>
    </row>
    <row r="216" spans="1:15" x14ac:dyDescent="0.3">
      <c r="A216" t="s">
        <v>229</v>
      </c>
      <c r="B216">
        <v>3</v>
      </c>
      <c r="C216">
        <v>45</v>
      </c>
      <c r="D216" t="s">
        <v>5016</v>
      </c>
      <c r="E216" t="s">
        <v>5017</v>
      </c>
      <c r="F216" t="s">
        <v>5023</v>
      </c>
      <c r="G216">
        <v>14.93</v>
      </c>
      <c r="H216">
        <v>5</v>
      </c>
      <c r="I216">
        <v>3.6</v>
      </c>
      <c r="J216">
        <v>9.15</v>
      </c>
      <c r="K216">
        <v>62.2</v>
      </c>
      <c r="L216" t="s">
        <v>5029</v>
      </c>
      <c r="M216">
        <v>10</v>
      </c>
      <c r="N216">
        <v>3</v>
      </c>
      <c r="O216">
        <v>0</v>
      </c>
    </row>
    <row r="217" spans="1:15" x14ac:dyDescent="0.3">
      <c r="A217" t="s">
        <v>230</v>
      </c>
      <c r="B217">
        <v>1</v>
      </c>
      <c r="C217">
        <v>22</v>
      </c>
      <c r="D217" t="s">
        <v>5016</v>
      </c>
      <c r="E217" t="s">
        <v>5019</v>
      </c>
      <c r="F217" t="s">
        <v>5024</v>
      </c>
      <c r="G217">
        <v>17.43</v>
      </c>
      <c r="H217">
        <v>2</v>
      </c>
      <c r="I217">
        <v>6.6</v>
      </c>
      <c r="J217">
        <v>9.99</v>
      </c>
      <c r="K217">
        <v>55.3</v>
      </c>
      <c r="L217" t="s">
        <v>5028</v>
      </c>
      <c r="M217">
        <v>5</v>
      </c>
      <c r="N217">
        <v>4</v>
      </c>
      <c r="O217">
        <v>0</v>
      </c>
    </row>
    <row r="218" spans="1:15" x14ac:dyDescent="0.3">
      <c r="A218" t="s">
        <v>231</v>
      </c>
      <c r="B218">
        <v>5</v>
      </c>
      <c r="C218">
        <v>22</v>
      </c>
      <c r="D218" t="s">
        <v>5015</v>
      </c>
      <c r="E218" t="s">
        <v>5019</v>
      </c>
      <c r="F218" t="s">
        <v>5022</v>
      </c>
      <c r="G218">
        <v>15.8</v>
      </c>
      <c r="H218">
        <v>3</v>
      </c>
      <c r="I218">
        <v>8.4</v>
      </c>
      <c r="J218">
        <v>3.84</v>
      </c>
      <c r="K218">
        <v>81.3</v>
      </c>
      <c r="L218" t="s">
        <v>5028</v>
      </c>
      <c r="M218">
        <v>9</v>
      </c>
      <c r="N218">
        <v>3</v>
      </c>
      <c r="O218">
        <v>0</v>
      </c>
    </row>
    <row r="219" spans="1:15" x14ac:dyDescent="0.3">
      <c r="A219" t="s">
        <v>232</v>
      </c>
      <c r="B219">
        <v>1</v>
      </c>
      <c r="C219">
        <v>68</v>
      </c>
      <c r="D219" t="s">
        <v>5015</v>
      </c>
      <c r="E219" t="s">
        <v>5018</v>
      </c>
      <c r="F219" t="s">
        <v>5023</v>
      </c>
      <c r="G219">
        <v>19.21</v>
      </c>
      <c r="H219">
        <v>5</v>
      </c>
      <c r="I219">
        <v>5.5</v>
      </c>
      <c r="J219">
        <v>23.09</v>
      </c>
      <c r="K219">
        <v>34.1</v>
      </c>
      <c r="L219" t="s">
        <v>5028</v>
      </c>
      <c r="M219">
        <v>7</v>
      </c>
      <c r="N219">
        <v>2</v>
      </c>
      <c r="O219">
        <v>0</v>
      </c>
    </row>
    <row r="220" spans="1:15" x14ac:dyDescent="0.3">
      <c r="A220" t="s">
        <v>233</v>
      </c>
      <c r="B220">
        <v>8</v>
      </c>
      <c r="C220">
        <v>38</v>
      </c>
      <c r="D220" t="s">
        <v>5016</v>
      </c>
      <c r="E220" t="s">
        <v>5018</v>
      </c>
      <c r="F220" t="s">
        <v>5024</v>
      </c>
      <c r="G220">
        <v>11.38</v>
      </c>
      <c r="H220">
        <v>2</v>
      </c>
      <c r="I220">
        <v>1.9</v>
      </c>
      <c r="J220">
        <v>22.81</v>
      </c>
      <c r="K220">
        <v>43.4</v>
      </c>
      <c r="L220" t="s">
        <v>5029</v>
      </c>
      <c r="M220">
        <v>5</v>
      </c>
      <c r="N220">
        <v>0</v>
      </c>
      <c r="O220">
        <v>0</v>
      </c>
    </row>
    <row r="221" spans="1:15" x14ac:dyDescent="0.3">
      <c r="A221" t="s">
        <v>234</v>
      </c>
      <c r="B221">
        <v>1</v>
      </c>
      <c r="C221">
        <v>29</v>
      </c>
      <c r="D221" t="s">
        <v>5016</v>
      </c>
      <c r="E221" t="s">
        <v>5018</v>
      </c>
      <c r="F221" t="s">
        <v>5022</v>
      </c>
      <c r="G221">
        <v>7.75</v>
      </c>
      <c r="H221">
        <v>3</v>
      </c>
      <c r="I221">
        <v>3.2</v>
      </c>
      <c r="J221">
        <v>5.37</v>
      </c>
      <c r="K221">
        <v>72</v>
      </c>
      <c r="L221" t="s">
        <v>5026</v>
      </c>
      <c r="M221">
        <v>9</v>
      </c>
      <c r="N221">
        <v>2</v>
      </c>
      <c r="O221">
        <v>0</v>
      </c>
    </row>
    <row r="222" spans="1:15" x14ac:dyDescent="0.3">
      <c r="A222" t="s">
        <v>235</v>
      </c>
      <c r="B222">
        <v>11</v>
      </c>
      <c r="C222">
        <v>67</v>
      </c>
      <c r="D222" t="s">
        <v>5015</v>
      </c>
      <c r="E222" t="s">
        <v>5018</v>
      </c>
      <c r="F222" t="s">
        <v>5020</v>
      </c>
      <c r="G222">
        <v>5.35</v>
      </c>
      <c r="H222">
        <v>3</v>
      </c>
      <c r="I222">
        <v>4.0999999999999996</v>
      </c>
      <c r="J222">
        <v>15.25</v>
      </c>
      <c r="K222">
        <v>99.4</v>
      </c>
      <c r="L222" t="s">
        <v>5025</v>
      </c>
      <c r="M222">
        <v>1</v>
      </c>
      <c r="N222">
        <v>2</v>
      </c>
      <c r="O222">
        <v>0</v>
      </c>
    </row>
    <row r="223" spans="1:15" x14ac:dyDescent="0.3">
      <c r="A223" t="s">
        <v>236</v>
      </c>
      <c r="B223">
        <v>1</v>
      </c>
      <c r="C223">
        <v>21</v>
      </c>
      <c r="D223" t="s">
        <v>5016</v>
      </c>
      <c r="E223" t="s">
        <v>5018</v>
      </c>
      <c r="F223" t="s">
        <v>5022</v>
      </c>
      <c r="G223">
        <v>13.91</v>
      </c>
      <c r="H223">
        <v>1</v>
      </c>
      <c r="I223">
        <v>6.7</v>
      </c>
      <c r="J223">
        <v>13.29</v>
      </c>
      <c r="K223">
        <v>91.4</v>
      </c>
      <c r="L223" t="s">
        <v>5026</v>
      </c>
      <c r="M223">
        <v>3</v>
      </c>
      <c r="N223">
        <v>1</v>
      </c>
      <c r="O223">
        <v>1</v>
      </c>
    </row>
    <row r="224" spans="1:15" x14ac:dyDescent="0.3">
      <c r="A224" t="s">
        <v>237</v>
      </c>
      <c r="B224">
        <v>2</v>
      </c>
      <c r="C224">
        <v>66</v>
      </c>
      <c r="D224" t="s">
        <v>5016</v>
      </c>
      <c r="E224" t="s">
        <v>5018</v>
      </c>
      <c r="F224" t="s">
        <v>5021</v>
      </c>
      <c r="G224">
        <v>23.16</v>
      </c>
      <c r="H224">
        <v>3</v>
      </c>
      <c r="I224">
        <v>3.2</v>
      </c>
      <c r="J224">
        <v>18.04</v>
      </c>
      <c r="K224">
        <v>56.9</v>
      </c>
      <c r="L224" t="s">
        <v>5027</v>
      </c>
      <c r="M224">
        <v>2</v>
      </c>
      <c r="N224">
        <v>2</v>
      </c>
      <c r="O224">
        <v>1</v>
      </c>
    </row>
    <row r="225" spans="1:15" x14ac:dyDescent="0.3">
      <c r="A225" t="s">
        <v>238</v>
      </c>
      <c r="B225">
        <v>2</v>
      </c>
      <c r="C225">
        <v>59</v>
      </c>
      <c r="D225" t="s">
        <v>5015</v>
      </c>
      <c r="E225" t="s">
        <v>5019</v>
      </c>
      <c r="F225" t="s">
        <v>5021</v>
      </c>
      <c r="G225">
        <v>11.11</v>
      </c>
      <c r="H225">
        <v>4</v>
      </c>
      <c r="I225">
        <v>3.1</v>
      </c>
      <c r="J225">
        <v>16.27</v>
      </c>
      <c r="K225">
        <v>71</v>
      </c>
      <c r="L225" t="s">
        <v>5026</v>
      </c>
      <c r="M225">
        <v>7</v>
      </c>
      <c r="N225">
        <v>4</v>
      </c>
      <c r="O225">
        <v>0</v>
      </c>
    </row>
    <row r="226" spans="1:15" x14ac:dyDescent="0.3">
      <c r="A226" t="s">
        <v>239</v>
      </c>
      <c r="B226">
        <v>12</v>
      </c>
      <c r="C226">
        <v>37</v>
      </c>
      <c r="D226" t="s">
        <v>5015</v>
      </c>
      <c r="E226" t="s">
        <v>5019</v>
      </c>
      <c r="F226" t="s">
        <v>5024</v>
      </c>
      <c r="G226">
        <v>8.92</v>
      </c>
      <c r="H226">
        <v>3</v>
      </c>
      <c r="I226">
        <v>3.6</v>
      </c>
      <c r="J226">
        <v>5.74</v>
      </c>
      <c r="K226">
        <v>57.9</v>
      </c>
      <c r="L226" t="s">
        <v>5026</v>
      </c>
      <c r="M226">
        <v>9</v>
      </c>
      <c r="N226">
        <v>1</v>
      </c>
      <c r="O226">
        <v>0</v>
      </c>
    </row>
    <row r="227" spans="1:15" x14ac:dyDescent="0.3">
      <c r="A227" t="s">
        <v>240</v>
      </c>
      <c r="B227">
        <v>6</v>
      </c>
      <c r="C227">
        <v>55</v>
      </c>
      <c r="D227" t="s">
        <v>5015</v>
      </c>
      <c r="E227" t="s">
        <v>5019</v>
      </c>
      <c r="F227" t="s">
        <v>5023</v>
      </c>
      <c r="G227">
        <v>23.52</v>
      </c>
      <c r="H227">
        <v>4</v>
      </c>
      <c r="I227">
        <v>6.3</v>
      </c>
      <c r="J227">
        <v>17.52</v>
      </c>
      <c r="K227">
        <v>49.1</v>
      </c>
      <c r="L227" t="s">
        <v>5027</v>
      </c>
      <c r="M227">
        <v>2</v>
      </c>
      <c r="N227">
        <v>1</v>
      </c>
      <c r="O227">
        <v>0</v>
      </c>
    </row>
    <row r="228" spans="1:15" x14ac:dyDescent="0.3">
      <c r="A228" t="s">
        <v>241</v>
      </c>
      <c r="B228">
        <v>7</v>
      </c>
      <c r="C228">
        <v>42</v>
      </c>
      <c r="D228" t="s">
        <v>5016</v>
      </c>
      <c r="E228" t="s">
        <v>5019</v>
      </c>
      <c r="F228" t="s">
        <v>5020</v>
      </c>
      <c r="G228">
        <v>7.11</v>
      </c>
      <c r="H228">
        <v>5</v>
      </c>
      <c r="I228">
        <v>5.4</v>
      </c>
      <c r="J228">
        <v>16.399999999999999</v>
      </c>
      <c r="K228">
        <v>64.2</v>
      </c>
      <c r="L228" t="s">
        <v>5026</v>
      </c>
      <c r="M228">
        <v>6</v>
      </c>
      <c r="N228">
        <v>3</v>
      </c>
      <c r="O228">
        <v>0</v>
      </c>
    </row>
    <row r="229" spans="1:15" x14ac:dyDescent="0.3">
      <c r="A229" t="s">
        <v>242</v>
      </c>
      <c r="B229">
        <v>5</v>
      </c>
      <c r="C229">
        <v>31</v>
      </c>
      <c r="D229" t="s">
        <v>5016</v>
      </c>
      <c r="E229" t="s">
        <v>5018</v>
      </c>
      <c r="F229" t="s">
        <v>5024</v>
      </c>
      <c r="G229">
        <v>6.04</v>
      </c>
      <c r="H229">
        <v>5</v>
      </c>
      <c r="I229">
        <v>8.6</v>
      </c>
      <c r="J229">
        <v>14.69</v>
      </c>
      <c r="K229">
        <v>44.8</v>
      </c>
      <c r="L229" t="s">
        <v>5025</v>
      </c>
      <c r="M229">
        <v>2</v>
      </c>
      <c r="N229">
        <v>2</v>
      </c>
      <c r="O229">
        <v>1</v>
      </c>
    </row>
    <row r="230" spans="1:15" x14ac:dyDescent="0.3">
      <c r="A230" t="s">
        <v>243</v>
      </c>
      <c r="B230">
        <v>1</v>
      </c>
      <c r="C230">
        <v>28</v>
      </c>
      <c r="D230" t="s">
        <v>5016</v>
      </c>
      <c r="E230" t="s">
        <v>5018</v>
      </c>
      <c r="F230" t="s">
        <v>5020</v>
      </c>
      <c r="G230">
        <v>22.59</v>
      </c>
      <c r="H230">
        <v>4</v>
      </c>
      <c r="I230">
        <v>7.3</v>
      </c>
      <c r="J230">
        <v>11.85</v>
      </c>
      <c r="K230">
        <v>35.200000000000003</v>
      </c>
      <c r="L230" t="s">
        <v>5029</v>
      </c>
      <c r="M230">
        <v>3</v>
      </c>
      <c r="N230">
        <v>3</v>
      </c>
      <c r="O230">
        <v>1</v>
      </c>
    </row>
    <row r="231" spans="1:15" x14ac:dyDescent="0.3">
      <c r="A231" t="s">
        <v>244</v>
      </c>
      <c r="B231">
        <v>1</v>
      </c>
      <c r="C231">
        <v>49</v>
      </c>
      <c r="D231" t="s">
        <v>5016</v>
      </c>
      <c r="E231" t="s">
        <v>5019</v>
      </c>
      <c r="F231" t="s">
        <v>5021</v>
      </c>
      <c r="G231">
        <v>19.02</v>
      </c>
      <c r="H231">
        <v>1</v>
      </c>
      <c r="I231">
        <v>7</v>
      </c>
      <c r="J231">
        <v>24.01</v>
      </c>
      <c r="K231">
        <v>73.5</v>
      </c>
      <c r="L231" t="s">
        <v>5027</v>
      </c>
      <c r="M231">
        <v>1</v>
      </c>
      <c r="N231">
        <v>3</v>
      </c>
      <c r="O231">
        <v>0</v>
      </c>
    </row>
    <row r="232" spans="1:15" x14ac:dyDescent="0.3">
      <c r="A232" t="s">
        <v>245</v>
      </c>
      <c r="B232">
        <v>3</v>
      </c>
      <c r="C232">
        <v>28</v>
      </c>
      <c r="D232" t="s">
        <v>5015</v>
      </c>
      <c r="E232" t="s">
        <v>5018</v>
      </c>
      <c r="F232" t="s">
        <v>5023</v>
      </c>
      <c r="G232">
        <v>13.44</v>
      </c>
      <c r="H232">
        <v>1</v>
      </c>
      <c r="I232">
        <v>2.4</v>
      </c>
      <c r="J232">
        <v>21.69</v>
      </c>
      <c r="K232">
        <v>88.5</v>
      </c>
      <c r="L232" t="s">
        <v>5026</v>
      </c>
      <c r="M232">
        <v>6</v>
      </c>
      <c r="N232">
        <v>1</v>
      </c>
      <c r="O232">
        <v>1</v>
      </c>
    </row>
    <row r="233" spans="1:15" x14ac:dyDescent="0.3">
      <c r="A233" t="s">
        <v>246</v>
      </c>
      <c r="B233">
        <v>2</v>
      </c>
      <c r="C233">
        <v>35</v>
      </c>
      <c r="D233" t="s">
        <v>5016</v>
      </c>
      <c r="E233" t="s">
        <v>5019</v>
      </c>
      <c r="F233" t="s">
        <v>5023</v>
      </c>
      <c r="G233">
        <v>20.05</v>
      </c>
      <c r="H233">
        <v>5</v>
      </c>
      <c r="I233">
        <v>1.5</v>
      </c>
      <c r="J233">
        <v>15.87</v>
      </c>
      <c r="K233">
        <v>35.9</v>
      </c>
      <c r="L233" t="s">
        <v>5028</v>
      </c>
      <c r="M233">
        <v>2</v>
      </c>
      <c r="N233">
        <v>3</v>
      </c>
      <c r="O233">
        <v>0</v>
      </c>
    </row>
    <row r="234" spans="1:15" x14ac:dyDescent="0.3">
      <c r="A234" t="s">
        <v>247</v>
      </c>
      <c r="B234">
        <v>5</v>
      </c>
      <c r="C234">
        <v>44</v>
      </c>
      <c r="D234" t="s">
        <v>5016</v>
      </c>
      <c r="E234" t="s">
        <v>5018</v>
      </c>
      <c r="F234" t="s">
        <v>5021</v>
      </c>
      <c r="G234">
        <v>19.829999999999998</v>
      </c>
      <c r="H234">
        <v>3</v>
      </c>
      <c r="I234">
        <v>5.6</v>
      </c>
      <c r="J234">
        <v>3.14</v>
      </c>
      <c r="K234">
        <v>73.599999999999994</v>
      </c>
      <c r="L234" t="s">
        <v>5028</v>
      </c>
      <c r="M234">
        <v>3</v>
      </c>
      <c r="N234">
        <v>3</v>
      </c>
      <c r="O234">
        <v>0</v>
      </c>
    </row>
    <row r="235" spans="1:15" x14ac:dyDescent="0.3">
      <c r="A235" t="s">
        <v>248</v>
      </c>
      <c r="B235">
        <v>12</v>
      </c>
      <c r="C235">
        <v>35</v>
      </c>
      <c r="D235" t="s">
        <v>5015</v>
      </c>
      <c r="E235" t="s">
        <v>5018</v>
      </c>
      <c r="F235" t="s">
        <v>5022</v>
      </c>
      <c r="G235">
        <v>5.8</v>
      </c>
      <c r="H235">
        <v>5</v>
      </c>
      <c r="I235">
        <v>1.6</v>
      </c>
      <c r="J235">
        <v>12.51</v>
      </c>
      <c r="K235">
        <v>49.1</v>
      </c>
      <c r="L235" t="s">
        <v>5027</v>
      </c>
      <c r="M235">
        <v>6</v>
      </c>
      <c r="N235">
        <v>1</v>
      </c>
      <c r="O235">
        <v>0</v>
      </c>
    </row>
    <row r="236" spans="1:15" x14ac:dyDescent="0.3">
      <c r="A236" t="s">
        <v>249</v>
      </c>
      <c r="B236">
        <v>10</v>
      </c>
      <c r="C236">
        <v>40</v>
      </c>
      <c r="D236" t="s">
        <v>5015</v>
      </c>
      <c r="E236" t="s">
        <v>5019</v>
      </c>
      <c r="F236" t="s">
        <v>5023</v>
      </c>
      <c r="G236">
        <v>18.52</v>
      </c>
      <c r="H236">
        <v>5</v>
      </c>
      <c r="I236">
        <v>4.3</v>
      </c>
      <c r="J236">
        <v>18.41</v>
      </c>
      <c r="K236">
        <v>37.200000000000003</v>
      </c>
      <c r="L236" t="s">
        <v>5028</v>
      </c>
      <c r="M236">
        <v>6</v>
      </c>
      <c r="N236">
        <v>1</v>
      </c>
      <c r="O236">
        <v>0</v>
      </c>
    </row>
    <row r="237" spans="1:15" x14ac:dyDescent="0.3">
      <c r="A237" t="s">
        <v>250</v>
      </c>
      <c r="B237">
        <v>6</v>
      </c>
      <c r="C237">
        <v>28</v>
      </c>
      <c r="D237" t="s">
        <v>5016</v>
      </c>
      <c r="E237" t="s">
        <v>5019</v>
      </c>
      <c r="F237" t="s">
        <v>5022</v>
      </c>
      <c r="G237">
        <v>17.82</v>
      </c>
      <c r="H237">
        <v>4</v>
      </c>
      <c r="I237">
        <v>1.2</v>
      </c>
      <c r="J237">
        <v>5.58</v>
      </c>
      <c r="K237">
        <v>65.900000000000006</v>
      </c>
      <c r="L237" t="s">
        <v>5025</v>
      </c>
      <c r="M237">
        <v>4</v>
      </c>
      <c r="N237">
        <v>0</v>
      </c>
      <c r="O237">
        <v>0</v>
      </c>
    </row>
    <row r="238" spans="1:15" x14ac:dyDescent="0.3">
      <c r="A238" t="s">
        <v>251</v>
      </c>
      <c r="B238">
        <v>7</v>
      </c>
      <c r="C238">
        <v>38</v>
      </c>
      <c r="D238" t="s">
        <v>5015</v>
      </c>
      <c r="E238" t="s">
        <v>5017</v>
      </c>
      <c r="F238" t="s">
        <v>5020</v>
      </c>
      <c r="G238">
        <v>24.28</v>
      </c>
      <c r="H238">
        <v>1</v>
      </c>
      <c r="I238">
        <v>2.6</v>
      </c>
      <c r="J238">
        <v>11.94</v>
      </c>
      <c r="K238">
        <v>94.5</v>
      </c>
      <c r="L238" t="s">
        <v>5026</v>
      </c>
      <c r="M238">
        <v>1</v>
      </c>
      <c r="N238">
        <v>2</v>
      </c>
      <c r="O238">
        <v>0</v>
      </c>
    </row>
    <row r="239" spans="1:15" x14ac:dyDescent="0.3">
      <c r="A239" t="s">
        <v>252</v>
      </c>
      <c r="B239">
        <v>4</v>
      </c>
      <c r="C239">
        <v>61</v>
      </c>
      <c r="D239" t="s">
        <v>5015</v>
      </c>
      <c r="E239" t="s">
        <v>5019</v>
      </c>
      <c r="F239" t="s">
        <v>5023</v>
      </c>
      <c r="G239">
        <v>24.33</v>
      </c>
      <c r="H239">
        <v>4</v>
      </c>
      <c r="I239">
        <v>2</v>
      </c>
      <c r="J239">
        <v>7.22</v>
      </c>
      <c r="K239">
        <v>41.7</v>
      </c>
      <c r="L239" t="s">
        <v>5025</v>
      </c>
      <c r="M239">
        <v>7</v>
      </c>
      <c r="N239">
        <v>0</v>
      </c>
      <c r="O239">
        <v>0</v>
      </c>
    </row>
    <row r="240" spans="1:15" x14ac:dyDescent="0.3">
      <c r="A240" t="s">
        <v>253</v>
      </c>
      <c r="B240">
        <v>7</v>
      </c>
      <c r="C240">
        <v>22</v>
      </c>
      <c r="D240" t="s">
        <v>5016</v>
      </c>
      <c r="E240" t="s">
        <v>5018</v>
      </c>
      <c r="F240" t="s">
        <v>5021</v>
      </c>
      <c r="G240">
        <v>12.56</v>
      </c>
      <c r="H240">
        <v>5</v>
      </c>
      <c r="I240">
        <v>8.1999999999999993</v>
      </c>
      <c r="J240">
        <v>10.44</v>
      </c>
      <c r="K240">
        <v>78.400000000000006</v>
      </c>
      <c r="L240" t="s">
        <v>5025</v>
      </c>
      <c r="M240">
        <v>2</v>
      </c>
      <c r="N240">
        <v>1</v>
      </c>
      <c r="O240">
        <v>0</v>
      </c>
    </row>
    <row r="241" spans="1:15" x14ac:dyDescent="0.3">
      <c r="A241" t="s">
        <v>254</v>
      </c>
      <c r="B241">
        <v>11</v>
      </c>
      <c r="C241">
        <v>40</v>
      </c>
      <c r="D241" t="s">
        <v>5016</v>
      </c>
      <c r="E241" t="s">
        <v>5017</v>
      </c>
      <c r="F241" t="s">
        <v>5022</v>
      </c>
      <c r="G241">
        <v>16.8</v>
      </c>
      <c r="H241">
        <v>2</v>
      </c>
      <c r="I241">
        <v>4.0999999999999996</v>
      </c>
      <c r="J241">
        <v>3.59</v>
      </c>
      <c r="K241">
        <v>38.299999999999997</v>
      </c>
      <c r="L241" t="s">
        <v>5029</v>
      </c>
      <c r="M241">
        <v>6</v>
      </c>
      <c r="N241">
        <v>4</v>
      </c>
      <c r="O241">
        <v>0</v>
      </c>
    </row>
    <row r="242" spans="1:15" x14ac:dyDescent="0.3">
      <c r="A242" t="s">
        <v>255</v>
      </c>
      <c r="B242">
        <v>8</v>
      </c>
      <c r="C242">
        <v>58</v>
      </c>
      <c r="D242" t="s">
        <v>5016</v>
      </c>
      <c r="E242" t="s">
        <v>5019</v>
      </c>
      <c r="F242" t="s">
        <v>5020</v>
      </c>
      <c r="G242">
        <v>7.83</v>
      </c>
      <c r="H242">
        <v>3</v>
      </c>
      <c r="I242">
        <v>1.7</v>
      </c>
      <c r="J242">
        <v>5.79</v>
      </c>
      <c r="K242">
        <v>82.3</v>
      </c>
      <c r="L242" t="s">
        <v>5026</v>
      </c>
      <c r="M242">
        <v>7</v>
      </c>
      <c r="N242">
        <v>3</v>
      </c>
      <c r="O242">
        <v>0</v>
      </c>
    </row>
    <row r="243" spans="1:15" x14ac:dyDescent="0.3">
      <c r="A243" t="s">
        <v>256</v>
      </c>
      <c r="B243">
        <v>11</v>
      </c>
      <c r="C243">
        <v>42</v>
      </c>
      <c r="D243" t="s">
        <v>5016</v>
      </c>
      <c r="E243" t="s">
        <v>5018</v>
      </c>
      <c r="F243" t="s">
        <v>5020</v>
      </c>
      <c r="G243">
        <v>6.33</v>
      </c>
      <c r="H243">
        <v>5</v>
      </c>
      <c r="I243">
        <v>3.4</v>
      </c>
      <c r="J243">
        <v>13</v>
      </c>
      <c r="K243">
        <v>78.400000000000006</v>
      </c>
      <c r="L243" t="s">
        <v>5027</v>
      </c>
      <c r="M243">
        <v>2</v>
      </c>
      <c r="N243">
        <v>3</v>
      </c>
      <c r="O243">
        <v>0</v>
      </c>
    </row>
    <row r="244" spans="1:15" x14ac:dyDescent="0.3">
      <c r="A244" t="s">
        <v>257</v>
      </c>
      <c r="B244">
        <v>1</v>
      </c>
      <c r="C244">
        <v>58</v>
      </c>
      <c r="D244" t="s">
        <v>5015</v>
      </c>
      <c r="E244" t="s">
        <v>5018</v>
      </c>
      <c r="F244" t="s">
        <v>5023</v>
      </c>
      <c r="G244">
        <v>13.66</v>
      </c>
      <c r="H244">
        <v>4</v>
      </c>
      <c r="I244">
        <v>7.1</v>
      </c>
      <c r="J244">
        <v>22.76</v>
      </c>
      <c r="K244">
        <v>78.900000000000006</v>
      </c>
      <c r="L244" t="s">
        <v>5028</v>
      </c>
      <c r="M244">
        <v>6</v>
      </c>
      <c r="N244">
        <v>1</v>
      </c>
      <c r="O244">
        <v>0</v>
      </c>
    </row>
    <row r="245" spans="1:15" x14ac:dyDescent="0.3">
      <c r="A245" t="s">
        <v>258</v>
      </c>
      <c r="B245">
        <v>6</v>
      </c>
      <c r="C245">
        <v>27</v>
      </c>
      <c r="D245" t="s">
        <v>5015</v>
      </c>
      <c r="E245" t="s">
        <v>5018</v>
      </c>
      <c r="F245" t="s">
        <v>5023</v>
      </c>
      <c r="G245">
        <v>18.8</v>
      </c>
      <c r="H245">
        <v>2</v>
      </c>
      <c r="I245">
        <v>7.7</v>
      </c>
      <c r="J245">
        <v>13.79</v>
      </c>
      <c r="K245">
        <v>99.8</v>
      </c>
      <c r="L245" t="s">
        <v>5029</v>
      </c>
      <c r="M245">
        <v>1</v>
      </c>
      <c r="N245">
        <v>3</v>
      </c>
      <c r="O245">
        <v>0</v>
      </c>
    </row>
    <row r="246" spans="1:15" x14ac:dyDescent="0.3">
      <c r="A246" t="s">
        <v>259</v>
      </c>
      <c r="B246">
        <v>8</v>
      </c>
      <c r="C246">
        <v>39</v>
      </c>
      <c r="D246" t="s">
        <v>5016</v>
      </c>
      <c r="E246" t="s">
        <v>5018</v>
      </c>
      <c r="F246" t="s">
        <v>5024</v>
      </c>
      <c r="G246">
        <v>16.36</v>
      </c>
      <c r="H246">
        <v>2</v>
      </c>
      <c r="I246">
        <v>2.1</v>
      </c>
      <c r="J246">
        <v>12.97</v>
      </c>
      <c r="K246">
        <v>22.6</v>
      </c>
      <c r="L246" t="s">
        <v>5025</v>
      </c>
      <c r="M246">
        <v>6</v>
      </c>
      <c r="N246">
        <v>0</v>
      </c>
      <c r="O246">
        <v>1</v>
      </c>
    </row>
    <row r="247" spans="1:15" x14ac:dyDescent="0.3">
      <c r="A247" t="s">
        <v>260</v>
      </c>
      <c r="B247">
        <v>5</v>
      </c>
      <c r="C247">
        <v>36</v>
      </c>
      <c r="D247" t="s">
        <v>5016</v>
      </c>
      <c r="E247" t="s">
        <v>5018</v>
      </c>
      <c r="F247" t="s">
        <v>5024</v>
      </c>
      <c r="G247">
        <v>13.59</v>
      </c>
      <c r="H247">
        <v>5</v>
      </c>
      <c r="I247">
        <v>8</v>
      </c>
      <c r="J247">
        <v>20.329999999999998</v>
      </c>
      <c r="K247">
        <v>45</v>
      </c>
      <c r="L247" t="s">
        <v>5028</v>
      </c>
      <c r="M247">
        <v>8</v>
      </c>
      <c r="N247">
        <v>3</v>
      </c>
      <c r="O247">
        <v>0</v>
      </c>
    </row>
    <row r="248" spans="1:15" x14ac:dyDescent="0.3">
      <c r="A248" t="s">
        <v>261</v>
      </c>
      <c r="B248">
        <v>4</v>
      </c>
      <c r="C248">
        <v>18</v>
      </c>
      <c r="D248" t="s">
        <v>5015</v>
      </c>
      <c r="E248" t="s">
        <v>5018</v>
      </c>
      <c r="F248" t="s">
        <v>5023</v>
      </c>
      <c r="G248">
        <v>21.36</v>
      </c>
      <c r="H248">
        <v>1</v>
      </c>
      <c r="I248">
        <v>4.3</v>
      </c>
      <c r="J248">
        <v>8.89</v>
      </c>
      <c r="K248">
        <v>66.8</v>
      </c>
      <c r="L248" t="s">
        <v>5026</v>
      </c>
      <c r="M248">
        <v>8</v>
      </c>
      <c r="N248">
        <v>4</v>
      </c>
      <c r="O248">
        <v>0</v>
      </c>
    </row>
    <row r="249" spans="1:15" x14ac:dyDescent="0.3">
      <c r="A249" t="s">
        <v>262</v>
      </c>
      <c r="B249">
        <v>2</v>
      </c>
      <c r="C249">
        <v>24</v>
      </c>
      <c r="D249" t="s">
        <v>5016</v>
      </c>
      <c r="E249" t="s">
        <v>5017</v>
      </c>
      <c r="F249" t="s">
        <v>5024</v>
      </c>
      <c r="G249">
        <v>20.89</v>
      </c>
      <c r="H249">
        <v>2</v>
      </c>
      <c r="I249">
        <v>7.1</v>
      </c>
      <c r="J249">
        <v>5.09</v>
      </c>
      <c r="K249">
        <v>63.1</v>
      </c>
      <c r="L249" t="s">
        <v>5025</v>
      </c>
      <c r="M249">
        <v>7</v>
      </c>
      <c r="N249">
        <v>2</v>
      </c>
      <c r="O249">
        <v>0</v>
      </c>
    </row>
    <row r="250" spans="1:15" x14ac:dyDescent="0.3">
      <c r="A250" t="s">
        <v>263</v>
      </c>
      <c r="B250">
        <v>6</v>
      </c>
      <c r="C250">
        <v>21</v>
      </c>
      <c r="D250" t="s">
        <v>5016</v>
      </c>
      <c r="E250" t="s">
        <v>5019</v>
      </c>
      <c r="F250" t="s">
        <v>5021</v>
      </c>
      <c r="G250">
        <v>19.64</v>
      </c>
      <c r="H250">
        <v>3</v>
      </c>
      <c r="I250">
        <v>7</v>
      </c>
      <c r="J250">
        <v>7.61</v>
      </c>
      <c r="K250">
        <v>80.3</v>
      </c>
      <c r="L250" t="s">
        <v>5025</v>
      </c>
      <c r="M250">
        <v>4</v>
      </c>
      <c r="N250">
        <v>0</v>
      </c>
      <c r="O250">
        <v>0</v>
      </c>
    </row>
    <row r="251" spans="1:15" x14ac:dyDescent="0.3">
      <c r="A251" t="s">
        <v>264</v>
      </c>
      <c r="B251">
        <v>6</v>
      </c>
      <c r="C251">
        <v>18</v>
      </c>
      <c r="D251" t="s">
        <v>5016</v>
      </c>
      <c r="E251" t="s">
        <v>5018</v>
      </c>
      <c r="F251" t="s">
        <v>5021</v>
      </c>
      <c r="G251">
        <v>6.54</v>
      </c>
      <c r="H251">
        <v>4</v>
      </c>
      <c r="I251">
        <v>8.1</v>
      </c>
      <c r="J251">
        <v>20.41</v>
      </c>
      <c r="K251">
        <v>14.2</v>
      </c>
      <c r="L251" t="s">
        <v>5026</v>
      </c>
      <c r="M251">
        <v>4</v>
      </c>
      <c r="N251">
        <v>2</v>
      </c>
      <c r="O251">
        <v>0</v>
      </c>
    </row>
    <row r="252" spans="1:15" x14ac:dyDescent="0.3">
      <c r="A252" t="s">
        <v>265</v>
      </c>
      <c r="B252">
        <v>11</v>
      </c>
      <c r="C252">
        <v>32</v>
      </c>
      <c r="D252" t="s">
        <v>5016</v>
      </c>
      <c r="E252" t="s">
        <v>5019</v>
      </c>
      <c r="F252" t="s">
        <v>5024</v>
      </c>
      <c r="G252">
        <v>20.93</v>
      </c>
      <c r="H252">
        <v>4</v>
      </c>
      <c r="I252">
        <v>7.3</v>
      </c>
      <c r="J252">
        <v>17.899999999999999</v>
      </c>
      <c r="K252">
        <v>73.5</v>
      </c>
      <c r="L252" t="s">
        <v>5027</v>
      </c>
      <c r="M252">
        <v>5</v>
      </c>
      <c r="N252">
        <v>2</v>
      </c>
      <c r="O252">
        <v>1</v>
      </c>
    </row>
    <row r="253" spans="1:15" x14ac:dyDescent="0.3">
      <c r="A253" t="s">
        <v>266</v>
      </c>
      <c r="B253">
        <v>1</v>
      </c>
      <c r="C253">
        <v>57</v>
      </c>
      <c r="D253" t="s">
        <v>5015</v>
      </c>
      <c r="E253" t="s">
        <v>5018</v>
      </c>
      <c r="F253" t="s">
        <v>5023</v>
      </c>
      <c r="G253">
        <v>23.39</v>
      </c>
      <c r="H253">
        <v>4</v>
      </c>
      <c r="I253">
        <v>1.3</v>
      </c>
      <c r="J253">
        <v>5.01</v>
      </c>
      <c r="K253">
        <v>76.400000000000006</v>
      </c>
      <c r="L253" t="s">
        <v>5029</v>
      </c>
      <c r="M253">
        <v>8</v>
      </c>
      <c r="N253">
        <v>4</v>
      </c>
      <c r="O253">
        <v>0</v>
      </c>
    </row>
    <row r="254" spans="1:15" x14ac:dyDescent="0.3">
      <c r="A254" t="s">
        <v>267</v>
      </c>
      <c r="B254">
        <v>9</v>
      </c>
      <c r="C254">
        <v>29</v>
      </c>
      <c r="D254" t="s">
        <v>5016</v>
      </c>
      <c r="E254" t="s">
        <v>5018</v>
      </c>
      <c r="F254" t="s">
        <v>5021</v>
      </c>
      <c r="G254">
        <v>6.19</v>
      </c>
      <c r="H254">
        <v>5</v>
      </c>
      <c r="I254">
        <v>5.7</v>
      </c>
      <c r="J254">
        <v>17.68</v>
      </c>
      <c r="K254">
        <v>15.5</v>
      </c>
      <c r="L254" t="s">
        <v>5026</v>
      </c>
      <c r="M254">
        <v>4</v>
      </c>
      <c r="N254">
        <v>4</v>
      </c>
      <c r="O254">
        <v>1</v>
      </c>
    </row>
    <row r="255" spans="1:15" x14ac:dyDescent="0.3">
      <c r="A255" t="s">
        <v>268</v>
      </c>
      <c r="B255">
        <v>12</v>
      </c>
      <c r="C255">
        <v>39</v>
      </c>
      <c r="D255" t="s">
        <v>5015</v>
      </c>
      <c r="E255" t="s">
        <v>5018</v>
      </c>
      <c r="F255" t="s">
        <v>5020</v>
      </c>
      <c r="G255">
        <v>13.03</v>
      </c>
      <c r="H255">
        <v>4</v>
      </c>
      <c r="I255">
        <v>2.5</v>
      </c>
      <c r="J255">
        <v>23.49</v>
      </c>
      <c r="K255">
        <v>58.5</v>
      </c>
      <c r="L255" t="s">
        <v>5028</v>
      </c>
      <c r="M255">
        <v>9</v>
      </c>
      <c r="N255">
        <v>4</v>
      </c>
      <c r="O255">
        <v>1</v>
      </c>
    </row>
    <row r="256" spans="1:15" x14ac:dyDescent="0.3">
      <c r="A256" t="s">
        <v>269</v>
      </c>
      <c r="B256">
        <v>11</v>
      </c>
      <c r="C256">
        <v>39</v>
      </c>
      <c r="D256" t="s">
        <v>5016</v>
      </c>
      <c r="E256" t="s">
        <v>5018</v>
      </c>
      <c r="F256" t="s">
        <v>5023</v>
      </c>
      <c r="G256">
        <v>24.77</v>
      </c>
      <c r="H256">
        <v>4</v>
      </c>
      <c r="I256">
        <v>9.6999999999999993</v>
      </c>
      <c r="J256">
        <v>3.99</v>
      </c>
      <c r="K256">
        <v>32</v>
      </c>
      <c r="L256" t="s">
        <v>5028</v>
      </c>
      <c r="M256">
        <v>3</v>
      </c>
      <c r="N256">
        <v>4</v>
      </c>
      <c r="O256">
        <v>0</v>
      </c>
    </row>
    <row r="257" spans="1:15" x14ac:dyDescent="0.3">
      <c r="A257" t="s">
        <v>270</v>
      </c>
      <c r="B257">
        <v>6</v>
      </c>
      <c r="C257">
        <v>67</v>
      </c>
      <c r="D257" t="s">
        <v>5016</v>
      </c>
      <c r="E257" t="s">
        <v>5018</v>
      </c>
      <c r="F257" t="s">
        <v>5022</v>
      </c>
      <c r="G257">
        <v>16.98</v>
      </c>
      <c r="H257">
        <v>3</v>
      </c>
      <c r="I257">
        <v>3.3</v>
      </c>
      <c r="J257">
        <v>16.559999999999999</v>
      </c>
      <c r="K257">
        <v>82.1</v>
      </c>
      <c r="L257" t="s">
        <v>5025</v>
      </c>
      <c r="M257">
        <v>9</v>
      </c>
      <c r="N257">
        <v>0</v>
      </c>
      <c r="O257">
        <v>0</v>
      </c>
    </row>
    <row r="258" spans="1:15" x14ac:dyDescent="0.3">
      <c r="A258" t="s">
        <v>271</v>
      </c>
      <c r="B258">
        <v>3</v>
      </c>
      <c r="C258">
        <v>64</v>
      </c>
      <c r="D258" t="s">
        <v>5015</v>
      </c>
      <c r="E258" t="s">
        <v>5018</v>
      </c>
      <c r="F258" t="s">
        <v>5022</v>
      </c>
      <c r="G258">
        <v>15.27</v>
      </c>
      <c r="H258">
        <v>1</v>
      </c>
      <c r="I258">
        <v>4.8</v>
      </c>
      <c r="J258">
        <v>11.34</v>
      </c>
      <c r="K258">
        <v>14.5</v>
      </c>
      <c r="L258" t="s">
        <v>5029</v>
      </c>
      <c r="M258">
        <v>2</v>
      </c>
      <c r="N258">
        <v>4</v>
      </c>
      <c r="O258">
        <v>0</v>
      </c>
    </row>
    <row r="259" spans="1:15" x14ac:dyDescent="0.3">
      <c r="A259" t="s">
        <v>272</v>
      </c>
      <c r="B259">
        <v>4</v>
      </c>
      <c r="C259">
        <v>34</v>
      </c>
      <c r="D259" t="s">
        <v>5016</v>
      </c>
      <c r="E259" t="s">
        <v>5018</v>
      </c>
      <c r="F259" t="s">
        <v>5023</v>
      </c>
      <c r="G259">
        <v>8.5500000000000007</v>
      </c>
      <c r="H259">
        <v>5</v>
      </c>
      <c r="I259">
        <v>2.8</v>
      </c>
      <c r="J259">
        <v>14.02</v>
      </c>
      <c r="K259">
        <v>23.2</v>
      </c>
      <c r="L259" t="s">
        <v>5027</v>
      </c>
      <c r="M259">
        <v>6</v>
      </c>
      <c r="N259">
        <v>0</v>
      </c>
      <c r="O259">
        <v>1</v>
      </c>
    </row>
    <row r="260" spans="1:15" x14ac:dyDescent="0.3">
      <c r="A260" t="s">
        <v>273</v>
      </c>
      <c r="B260">
        <v>12</v>
      </c>
      <c r="C260">
        <v>46</v>
      </c>
      <c r="D260" t="s">
        <v>5015</v>
      </c>
      <c r="E260" t="s">
        <v>5017</v>
      </c>
      <c r="F260" t="s">
        <v>5024</v>
      </c>
      <c r="G260">
        <v>16.309999999999999</v>
      </c>
      <c r="H260">
        <v>5</v>
      </c>
      <c r="I260">
        <v>2.2000000000000002</v>
      </c>
      <c r="J260">
        <v>14.62</v>
      </c>
      <c r="K260">
        <v>19.399999999999999</v>
      </c>
      <c r="L260" t="s">
        <v>5027</v>
      </c>
      <c r="M260">
        <v>5</v>
      </c>
      <c r="N260">
        <v>3</v>
      </c>
      <c r="O260">
        <v>1</v>
      </c>
    </row>
    <row r="261" spans="1:15" x14ac:dyDescent="0.3">
      <c r="A261" t="s">
        <v>274</v>
      </c>
      <c r="B261">
        <v>11</v>
      </c>
      <c r="C261">
        <v>63</v>
      </c>
      <c r="D261" t="s">
        <v>5016</v>
      </c>
      <c r="E261" t="s">
        <v>5018</v>
      </c>
      <c r="F261" t="s">
        <v>5021</v>
      </c>
      <c r="G261">
        <v>13.78</v>
      </c>
      <c r="H261">
        <v>4</v>
      </c>
      <c r="I261">
        <v>6.4</v>
      </c>
      <c r="J261">
        <v>19.96</v>
      </c>
      <c r="K261">
        <v>15.9</v>
      </c>
      <c r="L261" t="s">
        <v>5028</v>
      </c>
      <c r="M261">
        <v>5</v>
      </c>
      <c r="N261">
        <v>2</v>
      </c>
      <c r="O261">
        <v>1</v>
      </c>
    </row>
    <row r="262" spans="1:15" x14ac:dyDescent="0.3">
      <c r="A262" t="s">
        <v>275</v>
      </c>
      <c r="B262">
        <v>4</v>
      </c>
      <c r="C262">
        <v>31</v>
      </c>
      <c r="D262" t="s">
        <v>5016</v>
      </c>
      <c r="E262" t="s">
        <v>5017</v>
      </c>
      <c r="F262" t="s">
        <v>5021</v>
      </c>
      <c r="G262">
        <v>7.55</v>
      </c>
      <c r="H262">
        <v>3</v>
      </c>
      <c r="I262">
        <v>5.4</v>
      </c>
      <c r="J262">
        <v>15.25</v>
      </c>
      <c r="K262">
        <v>64</v>
      </c>
      <c r="L262" t="s">
        <v>5027</v>
      </c>
      <c r="M262">
        <v>11</v>
      </c>
      <c r="N262">
        <v>3</v>
      </c>
      <c r="O262">
        <v>0</v>
      </c>
    </row>
    <row r="263" spans="1:15" x14ac:dyDescent="0.3">
      <c r="A263" t="s">
        <v>276</v>
      </c>
      <c r="B263">
        <v>3</v>
      </c>
      <c r="C263">
        <v>67</v>
      </c>
      <c r="D263" t="s">
        <v>5016</v>
      </c>
      <c r="E263" t="s">
        <v>5017</v>
      </c>
      <c r="F263" t="s">
        <v>5023</v>
      </c>
      <c r="G263">
        <v>14.29</v>
      </c>
      <c r="H263">
        <v>2</v>
      </c>
      <c r="I263">
        <v>4.4000000000000004</v>
      </c>
      <c r="J263">
        <v>16.05</v>
      </c>
      <c r="K263">
        <v>88.2</v>
      </c>
      <c r="L263" t="s">
        <v>5028</v>
      </c>
      <c r="M263">
        <v>6</v>
      </c>
      <c r="N263">
        <v>3</v>
      </c>
      <c r="O263">
        <v>0</v>
      </c>
    </row>
    <row r="264" spans="1:15" x14ac:dyDescent="0.3">
      <c r="A264" t="s">
        <v>277</v>
      </c>
      <c r="B264">
        <v>10</v>
      </c>
      <c r="C264">
        <v>37</v>
      </c>
      <c r="D264" t="s">
        <v>5016</v>
      </c>
      <c r="E264" t="s">
        <v>5019</v>
      </c>
      <c r="F264" t="s">
        <v>5020</v>
      </c>
      <c r="G264">
        <v>8.2899999999999991</v>
      </c>
      <c r="H264">
        <v>4</v>
      </c>
      <c r="I264">
        <v>1.8</v>
      </c>
      <c r="J264">
        <v>10.32</v>
      </c>
      <c r="K264">
        <v>56</v>
      </c>
      <c r="L264" t="s">
        <v>5029</v>
      </c>
      <c r="M264">
        <v>10</v>
      </c>
      <c r="N264">
        <v>1</v>
      </c>
      <c r="O264">
        <v>0</v>
      </c>
    </row>
    <row r="265" spans="1:15" x14ac:dyDescent="0.3">
      <c r="A265" t="s">
        <v>278</v>
      </c>
      <c r="B265">
        <v>3</v>
      </c>
      <c r="C265">
        <v>67</v>
      </c>
      <c r="D265" t="s">
        <v>5016</v>
      </c>
      <c r="E265" t="s">
        <v>5018</v>
      </c>
      <c r="F265" t="s">
        <v>5024</v>
      </c>
      <c r="G265">
        <v>19.61</v>
      </c>
      <c r="H265">
        <v>4</v>
      </c>
      <c r="I265">
        <v>7.6</v>
      </c>
      <c r="J265">
        <v>5.77</v>
      </c>
      <c r="K265">
        <v>29</v>
      </c>
      <c r="L265" t="s">
        <v>5025</v>
      </c>
      <c r="M265">
        <v>7</v>
      </c>
      <c r="N265">
        <v>3</v>
      </c>
      <c r="O265">
        <v>0</v>
      </c>
    </row>
    <row r="266" spans="1:15" x14ac:dyDescent="0.3">
      <c r="A266" t="s">
        <v>279</v>
      </c>
      <c r="B266">
        <v>3</v>
      </c>
      <c r="C266">
        <v>65</v>
      </c>
      <c r="D266" t="s">
        <v>5015</v>
      </c>
      <c r="E266" t="s">
        <v>5018</v>
      </c>
      <c r="F266" t="s">
        <v>5020</v>
      </c>
      <c r="G266">
        <v>24.47</v>
      </c>
      <c r="H266">
        <v>5</v>
      </c>
      <c r="I266">
        <v>1.1000000000000001</v>
      </c>
      <c r="J266">
        <v>18.02</v>
      </c>
      <c r="K266">
        <v>40.9</v>
      </c>
      <c r="L266" t="s">
        <v>5028</v>
      </c>
      <c r="M266">
        <v>4</v>
      </c>
      <c r="N266">
        <v>3</v>
      </c>
      <c r="O266">
        <v>0</v>
      </c>
    </row>
    <row r="267" spans="1:15" x14ac:dyDescent="0.3">
      <c r="A267" t="s">
        <v>280</v>
      </c>
      <c r="B267">
        <v>4</v>
      </c>
      <c r="C267">
        <v>50</v>
      </c>
      <c r="D267" t="s">
        <v>5015</v>
      </c>
      <c r="E267" t="s">
        <v>5018</v>
      </c>
      <c r="F267" t="s">
        <v>5023</v>
      </c>
      <c r="G267">
        <v>14.39</v>
      </c>
      <c r="H267">
        <v>5</v>
      </c>
      <c r="I267">
        <v>5.0999999999999996</v>
      </c>
      <c r="J267">
        <v>3.01</v>
      </c>
      <c r="K267">
        <v>42.4</v>
      </c>
      <c r="L267" t="s">
        <v>5029</v>
      </c>
      <c r="M267">
        <v>4</v>
      </c>
      <c r="N267">
        <v>1</v>
      </c>
      <c r="O267">
        <v>0</v>
      </c>
    </row>
    <row r="268" spans="1:15" x14ac:dyDescent="0.3">
      <c r="A268" t="s">
        <v>281</v>
      </c>
      <c r="B268">
        <v>7</v>
      </c>
      <c r="C268">
        <v>60</v>
      </c>
      <c r="D268" t="s">
        <v>5016</v>
      </c>
      <c r="E268" t="s">
        <v>5019</v>
      </c>
      <c r="F268" t="s">
        <v>5023</v>
      </c>
      <c r="G268">
        <v>17.649999999999999</v>
      </c>
      <c r="H268">
        <v>4</v>
      </c>
      <c r="I268">
        <v>6.7</v>
      </c>
      <c r="J268">
        <v>10.23</v>
      </c>
      <c r="K268">
        <v>50.6</v>
      </c>
      <c r="L268" t="s">
        <v>5028</v>
      </c>
      <c r="M268">
        <v>9</v>
      </c>
      <c r="N268">
        <v>3</v>
      </c>
      <c r="O268">
        <v>0</v>
      </c>
    </row>
    <row r="269" spans="1:15" x14ac:dyDescent="0.3">
      <c r="A269" t="s">
        <v>282</v>
      </c>
      <c r="B269">
        <v>4</v>
      </c>
      <c r="C269">
        <v>32</v>
      </c>
      <c r="D269" t="s">
        <v>5016</v>
      </c>
      <c r="E269" t="s">
        <v>5018</v>
      </c>
      <c r="F269" t="s">
        <v>5020</v>
      </c>
      <c r="G269">
        <v>13.62</v>
      </c>
      <c r="H269">
        <v>5</v>
      </c>
      <c r="I269">
        <v>4.9000000000000004</v>
      </c>
      <c r="J269">
        <v>7.8</v>
      </c>
      <c r="K269">
        <v>47.8</v>
      </c>
      <c r="L269" t="s">
        <v>5026</v>
      </c>
      <c r="M269">
        <v>4</v>
      </c>
      <c r="N269">
        <v>1</v>
      </c>
      <c r="O269">
        <v>0</v>
      </c>
    </row>
    <row r="270" spans="1:15" x14ac:dyDescent="0.3">
      <c r="A270" t="s">
        <v>283</v>
      </c>
      <c r="B270">
        <v>9</v>
      </c>
      <c r="C270">
        <v>29</v>
      </c>
      <c r="D270" t="s">
        <v>5015</v>
      </c>
      <c r="E270" t="s">
        <v>5019</v>
      </c>
      <c r="F270" t="s">
        <v>5022</v>
      </c>
      <c r="G270">
        <v>7.77</v>
      </c>
      <c r="H270">
        <v>3</v>
      </c>
      <c r="I270">
        <v>2.1</v>
      </c>
      <c r="J270">
        <v>11.55</v>
      </c>
      <c r="K270">
        <v>70.400000000000006</v>
      </c>
      <c r="L270" t="s">
        <v>5028</v>
      </c>
      <c r="M270">
        <v>8</v>
      </c>
      <c r="N270">
        <v>0</v>
      </c>
      <c r="O270">
        <v>0</v>
      </c>
    </row>
    <row r="271" spans="1:15" x14ac:dyDescent="0.3">
      <c r="A271" t="s">
        <v>284</v>
      </c>
      <c r="B271">
        <v>1</v>
      </c>
      <c r="C271">
        <v>57</v>
      </c>
      <c r="D271" t="s">
        <v>5015</v>
      </c>
      <c r="E271" t="s">
        <v>5018</v>
      </c>
      <c r="F271" t="s">
        <v>5023</v>
      </c>
      <c r="G271">
        <v>24.41</v>
      </c>
      <c r="H271">
        <v>2</v>
      </c>
      <c r="I271">
        <v>8</v>
      </c>
      <c r="J271">
        <v>9.85</v>
      </c>
      <c r="K271">
        <v>40.6</v>
      </c>
      <c r="L271" t="s">
        <v>5029</v>
      </c>
      <c r="M271">
        <v>10</v>
      </c>
      <c r="N271">
        <v>2</v>
      </c>
      <c r="O271">
        <v>0</v>
      </c>
    </row>
    <row r="272" spans="1:15" x14ac:dyDescent="0.3">
      <c r="A272" t="s">
        <v>285</v>
      </c>
      <c r="B272">
        <v>8</v>
      </c>
      <c r="C272">
        <v>37</v>
      </c>
      <c r="D272" t="s">
        <v>5016</v>
      </c>
      <c r="E272" t="s">
        <v>5019</v>
      </c>
      <c r="F272" t="s">
        <v>5024</v>
      </c>
      <c r="G272">
        <v>7.59</v>
      </c>
      <c r="H272">
        <v>2</v>
      </c>
      <c r="I272">
        <v>3.9</v>
      </c>
      <c r="J272">
        <v>18.489999999999998</v>
      </c>
      <c r="K272">
        <v>69.7</v>
      </c>
      <c r="L272" t="s">
        <v>5027</v>
      </c>
      <c r="M272">
        <v>1</v>
      </c>
      <c r="N272">
        <v>4</v>
      </c>
      <c r="O272">
        <v>0</v>
      </c>
    </row>
    <row r="273" spans="1:15" x14ac:dyDescent="0.3">
      <c r="A273" t="s">
        <v>286</v>
      </c>
      <c r="B273">
        <v>7</v>
      </c>
      <c r="C273">
        <v>47</v>
      </c>
      <c r="D273" t="s">
        <v>5016</v>
      </c>
      <c r="E273" t="s">
        <v>5019</v>
      </c>
      <c r="F273" t="s">
        <v>5020</v>
      </c>
      <c r="G273">
        <v>7.23</v>
      </c>
      <c r="H273">
        <v>2</v>
      </c>
      <c r="I273">
        <v>2.2000000000000002</v>
      </c>
      <c r="J273">
        <v>8.7200000000000006</v>
      </c>
      <c r="K273">
        <v>59.2</v>
      </c>
      <c r="L273" t="s">
        <v>5028</v>
      </c>
      <c r="M273">
        <v>4</v>
      </c>
      <c r="N273">
        <v>3</v>
      </c>
      <c r="O273">
        <v>1</v>
      </c>
    </row>
    <row r="274" spans="1:15" x14ac:dyDescent="0.3">
      <c r="A274" t="s">
        <v>287</v>
      </c>
      <c r="B274">
        <v>2</v>
      </c>
      <c r="C274">
        <v>55</v>
      </c>
      <c r="D274" t="s">
        <v>5015</v>
      </c>
      <c r="E274" t="s">
        <v>5019</v>
      </c>
      <c r="F274" t="s">
        <v>5022</v>
      </c>
      <c r="G274">
        <v>14.18</v>
      </c>
      <c r="H274">
        <v>4</v>
      </c>
      <c r="I274">
        <v>6</v>
      </c>
      <c r="J274">
        <v>15.34</v>
      </c>
      <c r="K274">
        <v>14.4</v>
      </c>
      <c r="L274" t="s">
        <v>5025</v>
      </c>
      <c r="M274">
        <v>2</v>
      </c>
      <c r="N274">
        <v>0</v>
      </c>
      <c r="O274">
        <v>1</v>
      </c>
    </row>
    <row r="275" spans="1:15" x14ac:dyDescent="0.3">
      <c r="A275" t="s">
        <v>288</v>
      </c>
      <c r="B275">
        <v>8</v>
      </c>
      <c r="C275">
        <v>20</v>
      </c>
      <c r="D275" t="s">
        <v>5016</v>
      </c>
      <c r="E275" t="s">
        <v>5017</v>
      </c>
      <c r="F275" t="s">
        <v>5020</v>
      </c>
      <c r="G275">
        <v>18.18</v>
      </c>
      <c r="H275">
        <v>4</v>
      </c>
      <c r="I275">
        <v>1.2</v>
      </c>
      <c r="J275">
        <v>13.03</v>
      </c>
      <c r="K275">
        <v>92.8</v>
      </c>
      <c r="L275" t="s">
        <v>5029</v>
      </c>
      <c r="M275">
        <v>11</v>
      </c>
      <c r="N275">
        <v>2</v>
      </c>
      <c r="O275">
        <v>0</v>
      </c>
    </row>
    <row r="276" spans="1:15" x14ac:dyDescent="0.3">
      <c r="A276" t="s">
        <v>289</v>
      </c>
      <c r="B276">
        <v>1</v>
      </c>
      <c r="C276">
        <v>45</v>
      </c>
      <c r="D276" t="s">
        <v>5015</v>
      </c>
      <c r="E276" t="s">
        <v>5017</v>
      </c>
      <c r="F276" t="s">
        <v>5022</v>
      </c>
      <c r="G276">
        <v>12.1</v>
      </c>
      <c r="H276">
        <v>4</v>
      </c>
      <c r="I276">
        <v>3.9</v>
      </c>
      <c r="J276">
        <v>20.62</v>
      </c>
      <c r="K276">
        <v>26</v>
      </c>
      <c r="L276" t="s">
        <v>5027</v>
      </c>
      <c r="M276">
        <v>10</v>
      </c>
      <c r="N276">
        <v>0</v>
      </c>
      <c r="O276">
        <v>1</v>
      </c>
    </row>
    <row r="277" spans="1:15" x14ac:dyDescent="0.3">
      <c r="A277" t="s">
        <v>290</v>
      </c>
      <c r="B277">
        <v>11</v>
      </c>
      <c r="C277">
        <v>43</v>
      </c>
      <c r="D277" t="s">
        <v>5016</v>
      </c>
      <c r="E277" t="s">
        <v>5017</v>
      </c>
      <c r="F277" t="s">
        <v>5022</v>
      </c>
      <c r="G277">
        <v>8.85</v>
      </c>
      <c r="H277">
        <v>3</v>
      </c>
      <c r="I277">
        <v>7.8</v>
      </c>
      <c r="J277">
        <v>12.42</v>
      </c>
      <c r="K277">
        <v>50.6</v>
      </c>
      <c r="L277" t="s">
        <v>5029</v>
      </c>
      <c r="M277">
        <v>5</v>
      </c>
      <c r="N277">
        <v>1</v>
      </c>
      <c r="O277">
        <v>0</v>
      </c>
    </row>
    <row r="278" spans="1:15" x14ac:dyDescent="0.3">
      <c r="A278" t="s">
        <v>291</v>
      </c>
      <c r="B278">
        <v>12</v>
      </c>
      <c r="C278">
        <v>47</v>
      </c>
      <c r="D278" t="s">
        <v>5015</v>
      </c>
      <c r="E278" t="s">
        <v>5017</v>
      </c>
      <c r="F278" t="s">
        <v>5024</v>
      </c>
      <c r="G278">
        <v>21.38</v>
      </c>
      <c r="H278">
        <v>2</v>
      </c>
      <c r="I278">
        <v>9.1999999999999993</v>
      </c>
      <c r="J278">
        <v>22.01</v>
      </c>
      <c r="K278">
        <v>95.3</v>
      </c>
      <c r="L278" t="s">
        <v>5028</v>
      </c>
      <c r="M278">
        <v>2</v>
      </c>
      <c r="N278">
        <v>0</v>
      </c>
      <c r="O278">
        <v>1</v>
      </c>
    </row>
    <row r="279" spans="1:15" x14ac:dyDescent="0.3">
      <c r="A279" t="s">
        <v>292</v>
      </c>
      <c r="B279">
        <v>9</v>
      </c>
      <c r="C279">
        <v>30</v>
      </c>
      <c r="D279" t="s">
        <v>5015</v>
      </c>
      <c r="E279" t="s">
        <v>5019</v>
      </c>
      <c r="F279" t="s">
        <v>5023</v>
      </c>
      <c r="G279">
        <v>12.26</v>
      </c>
      <c r="H279">
        <v>5</v>
      </c>
      <c r="I279">
        <v>6.3</v>
      </c>
      <c r="J279">
        <v>3</v>
      </c>
      <c r="K279">
        <v>32.299999999999997</v>
      </c>
      <c r="L279" t="s">
        <v>5026</v>
      </c>
      <c r="M279">
        <v>7</v>
      </c>
      <c r="N279">
        <v>3</v>
      </c>
      <c r="O279">
        <v>0</v>
      </c>
    </row>
    <row r="280" spans="1:15" x14ac:dyDescent="0.3">
      <c r="A280" t="s">
        <v>293</v>
      </c>
      <c r="B280">
        <v>9</v>
      </c>
      <c r="C280">
        <v>30</v>
      </c>
      <c r="D280" t="s">
        <v>5016</v>
      </c>
      <c r="E280" t="s">
        <v>5017</v>
      </c>
      <c r="F280" t="s">
        <v>5022</v>
      </c>
      <c r="G280">
        <v>8.89</v>
      </c>
      <c r="H280">
        <v>5</v>
      </c>
      <c r="I280">
        <v>3</v>
      </c>
      <c r="J280">
        <v>16.309999999999999</v>
      </c>
      <c r="K280">
        <v>12</v>
      </c>
      <c r="L280" t="s">
        <v>5026</v>
      </c>
      <c r="M280">
        <v>10</v>
      </c>
      <c r="N280">
        <v>3</v>
      </c>
      <c r="O280">
        <v>1</v>
      </c>
    </row>
    <row r="281" spans="1:15" x14ac:dyDescent="0.3">
      <c r="A281" t="s">
        <v>294</v>
      </c>
      <c r="B281">
        <v>2</v>
      </c>
      <c r="C281">
        <v>19</v>
      </c>
      <c r="D281" t="s">
        <v>5015</v>
      </c>
      <c r="E281" t="s">
        <v>5017</v>
      </c>
      <c r="F281" t="s">
        <v>5023</v>
      </c>
      <c r="G281">
        <v>12.3</v>
      </c>
      <c r="H281">
        <v>1</v>
      </c>
      <c r="I281">
        <v>3</v>
      </c>
      <c r="J281">
        <v>3.22</v>
      </c>
      <c r="K281">
        <v>54.1</v>
      </c>
      <c r="L281" t="s">
        <v>5025</v>
      </c>
      <c r="M281">
        <v>7</v>
      </c>
      <c r="N281">
        <v>4</v>
      </c>
      <c r="O281">
        <v>0</v>
      </c>
    </row>
    <row r="282" spans="1:15" x14ac:dyDescent="0.3">
      <c r="A282" t="s">
        <v>295</v>
      </c>
      <c r="B282">
        <v>7</v>
      </c>
      <c r="C282">
        <v>54</v>
      </c>
      <c r="D282" t="s">
        <v>5016</v>
      </c>
      <c r="E282" t="s">
        <v>5017</v>
      </c>
      <c r="F282" t="s">
        <v>5024</v>
      </c>
      <c r="G282">
        <v>9.2899999999999991</v>
      </c>
      <c r="H282">
        <v>1</v>
      </c>
      <c r="I282">
        <v>6.4</v>
      </c>
      <c r="J282">
        <v>18.71</v>
      </c>
      <c r="K282">
        <v>30.2</v>
      </c>
      <c r="L282" t="s">
        <v>5025</v>
      </c>
      <c r="M282">
        <v>9</v>
      </c>
      <c r="N282">
        <v>4</v>
      </c>
      <c r="O282">
        <v>1</v>
      </c>
    </row>
    <row r="283" spans="1:15" x14ac:dyDescent="0.3">
      <c r="A283" t="s">
        <v>296</v>
      </c>
      <c r="B283">
        <v>10</v>
      </c>
      <c r="C283">
        <v>66</v>
      </c>
      <c r="D283" t="s">
        <v>5016</v>
      </c>
      <c r="E283" t="s">
        <v>5017</v>
      </c>
      <c r="F283" t="s">
        <v>5023</v>
      </c>
      <c r="G283">
        <v>15.39</v>
      </c>
      <c r="H283">
        <v>5</v>
      </c>
      <c r="I283">
        <v>4.7</v>
      </c>
      <c r="J283">
        <v>8.17</v>
      </c>
      <c r="K283">
        <v>62.4</v>
      </c>
      <c r="L283" t="s">
        <v>5027</v>
      </c>
      <c r="M283">
        <v>4</v>
      </c>
      <c r="N283">
        <v>3</v>
      </c>
      <c r="O283">
        <v>0</v>
      </c>
    </row>
    <row r="284" spans="1:15" x14ac:dyDescent="0.3">
      <c r="A284" t="s">
        <v>297</v>
      </c>
      <c r="B284">
        <v>3</v>
      </c>
      <c r="C284">
        <v>55</v>
      </c>
      <c r="D284" t="s">
        <v>5016</v>
      </c>
      <c r="E284" t="s">
        <v>5017</v>
      </c>
      <c r="F284" t="s">
        <v>5021</v>
      </c>
      <c r="G284">
        <v>18.37</v>
      </c>
      <c r="H284">
        <v>2</v>
      </c>
      <c r="I284">
        <v>2.6</v>
      </c>
      <c r="J284">
        <v>11.36</v>
      </c>
      <c r="K284">
        <v>83.5</v>
      </c>
      <c r="L284" t="s">
        <v>5026</v>
      </c>
      <c r="M284">
        <v>5</v>
      </c>
      <c r="N284">
        <v>0</v>
      </c>
      <c r="O284">
        <v>0</v>
      </c>
    </row>
    <row r="285" spans="1:15" x14ac:dyDescent="0.3">
      <c r="A285" t="s">
        <v>298</v>
      </c>
      <c r="B285">
        <v>7</v>
      </c>
      <c r="C285">
        <v>19</v>
      </c>
      <c r="D285" t="s">
        <v>5016</v>
      </c>
      <c r="E285" t="s">
        <v>5019</v>
      </c>
      <c r="F285" t="s">
        <v>5022</v>
      </c>
      <c r="G285">
        <v>20.99</v>
      </c>
      <c r="H285">
        <v>4</v>
      </c>
      <c r="I285">
        <v>8.1</v>
      </c>
      <c r="J285">
        <v>11.37</v>
      </c>
      <c r="K285">
        <v>56</v>
      </c>
      <c r="L285" t="s">
        <v>5028</v>
      </c>
      <c r="M285">
        <v>3</v>
      </c>
      <c r="N285">
        <v>3</v>
      </c>
      <c r="O285">
        <v>0</v>
      </c>
    </row>
    <row r="286" spans="1:15" x14ac:dyDescent="0.3">
      <c r="A286" t="s">
        <v>299</v>
      </c>
      <c r="B286">
        <v>12</v>
      </c>
      <c r="C286">
        <v>53</v>
      </c>
      <c r="D286" t="s">
        <v>5015</v>
      </c>
      <c r="E286" t="s">
        <v>5018</v>
      </c>
      <c r="F286" t="s">
        <v>5024</v>
      </c>
      <c r="G286">
        <v>9.5500000000000007</v>
      </c>
      <c r="H286">
        <v>5</v>
      </c>
      <c r="I286">
        <v>2.8</v>
      </c>
      <c r="J286">
        <v>21.62</v>
      </c>
      <c r="K286">
        <v>68.099999999999994</v>
      </c>
      <c r="L286" t="s">
        <v>5029</v>
      </c>
      <c r="M286">
        <v>7</v>
      </c>
      <c r="N286">
        <v>0</v>
      </c>
      <c r="O286">
        <v>0</v>
      </c>
    </row>
    <row r="287" spans="1:15" x14ac:dyDescent="0.3">
      <c r="A287" t="s">
        <v>300</v>
      </c>
      <c r="B287">
        <v>10</v>
      </c>
      <c r="C287">
        <v>43</v>
      </c>
      <c r="D287" t="s">
        <v>5016</v>
      </c>
      <c r="E287" t="s">
        <v>5017</v>
      </c>
      <c r="F287" t="s">
        <v>5020</v>
      </c>
      <c r="G287">
        <v>8.34</v>
      </c>
      <c r="H287">
        <v>5</v>
      </c>
      <c r="I287">
        <v>3.9</v>
      </c>
      <c r="J287">
        <v>5.25</v>
      </c>
      <c r="K287">
        <v>70</v>
      </c>
      <c r="L287" t="s">
        <v>5029</v>
      </c>
      <c r="M287">
        <v>5</v>
      </c>
      <c r="N287">
        <v>3</v>
      </c>
      <c r="O287">
        <v>0</v>
      </c>
    </row>
    <row r="288" spans="1:15" x14ac:dyDescent="0.3">
      <c r="A288" t="s">
        <v>301</v>
      </c>
      <c r="B288">
        <v>9</v>
      </c>
      <c r="C288">
        <v>28</v>
      </c>
      <c r="D288" t="s">
        <v>5016</v>
      </c>
      <c r="E288" t="s">
        <v>5018</v>
      </c>
      <c r="F288" t="s">
        <v>5024</v>
      </c>
      <c r="G288">
        <v>5.39</v>
      </c>
      <c r="H288">
        <v>1</v>
      </c>
      <c r="I288">
        <v>1.6</v>
      </c>
      <c r="J288">
        <v>17.670000000000002</v>
      </c>
      <c r="K288">
        <v>83.8</v>
      </c>
      <c r="L288" t="s">
        <v>5026</v>
      </c>
      <c r="M288">
        <v>9</v>
      </c>
      <c r="N288">
        <v>2</v>
      </c>
      <c r="O288">
        <v>0</v>
      </c>
    </row>
    <row r="289" spans="1:15" x14ac:dyDescent="0.3">
      <c r="A289" t="s">
        <v>302</v>
      </c>
      <c r="B289">
        <v>4</v>
      </c>
      <c r="C289">
        <v>25</v>
      </c>
      <c r="D289" t="s">
        <v>5016</v>
      </c>
      <c r="E289" t="s">
        <v>5018</v>
      </c>
      <c r="F289" t="s">
        <v>5022</v>
      </c>
      <c r="G289">
        <v>9.56</v>
      </c>
      <c r="H289">
        <v>2</v>
      </c>
      <c r="I289">
        <v>7.3</v>
      </c>
      <c r="J289">
        <v>24.59</v>
      </c>
      <c r="K289">
        <v>71.900000000000006</v>
      </c>
      <c r="L289" t="s">
        <v>5026</v>
      </c>
      <c r="M289">
        <v>7</v>
      </c>
      <c r="N289">
        <v>0</v>
      </c>
      <c r="O289">
        <v>0</v>
      </c>
    </row>
    <row r="290" spans="1:15" x14ac:dyDescent="0.3">
      <c r="A290" t="s">
        <v>303</v>
      </c>
      <c r="B290">
        <v>12</v>
      </c>
      <c r="C290">
        <v>61</v>
      </c>
      <c r="D290" t="s">
        <v>5016</v>
      </c>
      <c r="E290" t="s">
        <v>5017</v>
      </c>
      <c r="F290" t="s">
        <v>5024</v>
      </c>
      <c r="G290">
        <v>5.48</v>
      </c>
      <c r="H290">
        <v>5</v>
      </c>
      <c r="I290">
        <v>3.5</v>
      </c>
      <c r="J290">
        <v>3.49</v>
      </c>
      <c r="K290">
        <v>97.9</v>
      </c>
      <c r="L290" t="s">
        <v>5029</v>
      </c>
      <c r="M290">
        <v>4</v>
      </c>
      <c r="N290">
        <v>1</v>
      </c>
      <c r="O290">
        <v>1</v>
      </c>
    </row>
    <row r="291" spans="1:15" x14ac:dyDescent="0.3">
      <c r="A291" t="s">
        <v>304</v>
      </c>
      <c r="B291">
        <v>1</v>
      </c>
      <c r="C291">
        <v>57</v>
      </c>
      <c r="D291" t="s">
        <v>5015</v>
      </c>
      <c r="E291" t="s">
        <v>5018</v>
      </c>
      <c r="F291" t="s">
        <v>5020</v>
      </c>
      <c r="G291">
        <v>11.91</v>
      </c>
      <c r="H291">
        <v>4</v>
      </c>
      <c r="I291">
        <v>3.1</v>
      </c>
      <c r="J291">
        <v>24.25</v>
      </c>
      <c r="K291">
        <v>51.1</v>
      </c>
      <c r="L291" t="s">
        <v>5027</v>
      </c>
      <c r="M291">
        <v>7</v>
      </c>
      <c r="N291">
        <v>1</v>
      </c>
      <c r="O291">
        <v>1</v>
      </c>
    </row>
    <row r="292" spans="1:15" x14ac:dyDescent="0.3">
      <c r="A292" t="s">
        <v>305</v>
      </c>
      <c r="B292">
        <v>2</v>
      </c>
      <c r="C292">
        <v>60</v>
      </c>
      <c r="D292" t="s">
        <v>5016</v>
      </c>
      <c r="E292" t="s">
        <v>5019</v>
      </c>
      <c r="F292" t="s">
        <v>5021</v>
      </c>
      <c r="G292">
        <v>7.91</v>
      </c>
      <c r="H292">
        <v>4</v>
      </c>
      <c r="I292">
        <v>3.7</v>
      </c>
      <c r="J292">
        <v>3.4</v>
      </c>
      <c r="K292">
        <v>14.5</v>
      </c>
      <c r="L292" t="s">
        <v>5029</v>
      </c>
      <c r="M292">
        <v>1</v>
      </c>
      <c r="N292">
        <v>4</v>
      </c>
      <c r="O292">
        <v>0</v>
      </c>
    </row>
    <row r="293" spans="1:15" x14ac:dyDescent="0.3">
      <c r="A293" t="s">
        <v>306</v>
      </c>
      <c r="B293">
        <v>1</v>
      </c>
      <c r="C293">
        <v>39</v>
      </c>
      <c r="D293" t="s">
        <v>5015</v>
      </c>
      <c r="E293" t="s">
        <v>5019</v>
      </c>
      <c r="F293" t="s">
        <v>5022</v>
      </c>
      <c r="G293">
        <v>16.600000000000001</v>
      </c>
      <c r="H293">
        <v>3</v>
      </c>
      <c r="I293">
        <v>8.9</v>
      </c>
      <c r="J293">
        <v>21.51</v>
      </c>
      <c r="K293">
        <v>45.5</v>
      </c>
      <c r="L293" t="s">
        <v>5025</v>
      </c>
      <c r="M293">
        <v>2</v>
      </c>
      <c r="N293">
        <v>2</v>
      </c>
      <c r="O293">
        <v>0</v>
      </c>
    </row>
    <row r="294" spans="1:15" x14ac:dyDescent="0.3">
      <c r="A294" t="s">
        <v>307</v>
      </c>
      <c r="B294">
        <v>12</v>
      </c>
      <c r="C294">
        <v>37</v>
      </c>
      <c r="D294" t="s">
        <v>5015</v>
      </c>
      <c r="E294" t="s">
        <v>5019</v>
      </c>
      <c r="F294" t="s">
        <v>5022</v>
      </c>
      <c r="G294">
        <v>12.67</v>
      </c>
      <c r="H294">
        <v>4</v>
      </c>
      <c r="I294">
        <v>5.7</v>
      </c>
      <c r="J294">
        <v>24.15</v>
      </c>
      <c r="K294">
        <v>85.6</v>
      </c>
      <c r="L294" t="s">
        <v>5028</v>
      </c>
      <c r="M294">
        <v>3</v>
      </c>
      <c r="N294">
        <v>1</v>
      </c>
      <c r="O294">
        <v>0</v>
      </c>
    </row>
    <row r="295" spans="1:15" x14ac:dyDescent="0.3">
      <c r="A295" t="s">
        <v>308</v>
      </c>
      <c r="B295">
        <v>5</v>
      </c>
      <c r="C295">
        <v>25</v>
      </c>
      <c r="D295" t="s">
        <v>5015</v>
      </c>
      <c r="E295" t="s">
        <v>5017</v>
      </c>
      <c r="F295" t="s">
        <v>5024</v>
      </c>
      <c r="G295">
        <v>6.87</v>
      </c>
      <c r="H295">
        <v>5</v>
      </c>
      <c r="I295">
        <v>2.4</v>
      </c>
      <c r="J295">
        <v>24.85</v>
      </c>
      <c r="K295">
        <v>22</v>
      </c>
      <c r="L295" t="s">
        <v>5026</v>
      </c>
      <c r="M295">
        <v>5</v>
      </c>
      <c r="N295">
        <v>3</v>
      </c>
      <c r="O295">
        <v>0</v>
      </c>
    </row>
    <row r="296" spans="1:15" x14ac:dyDescent="0.3">
      <c r="A296" t="s">
        <v>309</v>
      </c>
      <c r="B296">
        <v>5</v>
      </c>
      <c r="C296">
        <v>46</v>
      </c>
      <c r="D296" t="s">
        <v>5016</v>
      </c>
      <c r="E296" t="s">
        <v>5019</v>
      </c>
      <c r="F296" t="s">
        <v>5023</v>
      </c>
      <c r="G296">
        <v>13</v>
      </c>
      <c r="H296">
        <v>5</v>
      </c>
      <c r="I296">
        <v>8</v>
      </c>
      <c r="J296">
        <v>13.1</v>
      </c>
      <c r="K296">
        <v>76.2</v>
      </c>
      <c r="L296" t="s">
        <v>5026</v>
      </c>
      <c r="M296">
        <v>5</v>
      </c>
      <c r="N296">
        <v>1</v>
      </c>
      <c r="O296">
        <v>1</v>
      </c>
    </row>
    <row r="297" spans="1:15" x14ac:dyDescent="0.3">
      <c r="A297" t="s">
        <v>310</v>
      </c>
      <c r="B297">
        <v>11</v>
      </c>
      <c r="C297">
        <v>57</v>
      </c>
      <c r="D297" t="s">
        <v>5016</v>
      </c>
      <c r="E297" t="s">
        <v>5019</v>
      </c>
      <c r="F297" t="s">
        <v>5023</v>
      </c>
      <c r="G297">
        <v>9.19</v>
      </c>
      <c r="H297">
        <v>4</v>
      </c>
      <c r="I297">
        <v>2.9</v>
      </c>
      <c r="J297">
        <v>22.07</v>
      </c>
      <c r="K297">
        <v>58.2</v>
      </c>
      <c r="L297" t="s">
        <v>5027</v>
      </c>
      <c r="M297">
        <v>7</v>
      </c>
      <c r="N297">
        <v>3</v>
      </c>
      <c r="O297">
        <v>0</v>
      </c>
    </row>
    <row r="298" spans="1:15" x14ac:dyDescent="0.3">
      <c r="A298" t="s">
        <v>311</v>
      </c>
      <c r="B298">
        <v>7</v>
      </c>
      <c r="C298">
        <v>43</v>
      </c>
      <c r="D298" t="s">
        <v>5016</v>
      </c>
      <c r="E298" t="s">
        <v>5019</v>
      </c>
      <c r="F298" t="s">
        <v>5020</v>
      </c>
      <c r="G298">
        <v>18.600000000000001</v>
      </c>
      <c r="H298">
        <v>1</v>
      </c>
      <c r="I298">
        <v>4.7</v>
      </c>
      <c r="J298">
        <v>5.69</v>
      </c>
      <c r="K298">
        <v>91.1</v>
      </c>
      <c r="L298" t="s">
        <v>5025</v>
      </c>
      <c r="M298">
        <v>9</v>
      </c>
      <c r="N298">
        <v>2</v>
      </c>
      <c r="O298">
        <v>0</v>
      </c>
    </row>
    <row r="299" spans="1:15" x14ac:dyDescent="0.3">
      <c r="A299" t="s">
        <v>312</v>
      </c>
      <c r="B299">
        <v>9</v>
      </c>
      <c r="C299">
        <v>47</v>
      </c>
      <c r="D299" t="s">
        <v>5016</v>
      </c>
      <c r="E299" t="s">
        <v>5017</v>
      </c>
      <c r="F299" t="s">
        <v>5021</v>
      </c>
      <c r="G299">
        <v>12.29</v>
      </c>
      <c r="H299">
        <v>2</v>
      </c>
      <c r="I299">
        <v>6.1</v>
      </c>
      <c r="J299">
        <v>12.36</v>
      </c>
      <c r="K299">
        <v>75.8</v>
      </c>
      <c r="L299" t="s">
        <v>5029</v>
      </c>
      <c r="M299">
        <v>10</v>
      </c>
      <c r="N299">
        <v>4</v>
      </c>
      <c r="O299">
        <v>0</v>
      </c>
    </row>
    <row r="300" spans="1:15" x14ac:dyDescent="0.3">
      <c r="A300" t="s">
        <v>313</v>
      </c>
      <c r="B300">
        <v>9</v>
      </c>
      <c r="C300">
        <v>34</v>
      </c>
      <c r="D300" t="s">
        <v>5015</v>
      </c>
      <c r="E300" t="s">
        <v>5019</v>
      </c>
      <c r="F300" t="s">
        <v>5021</v>
      </c>
      <c r="G300">
        <v>7.94</v>
      </c>
      <c r="H300">
        <v>5</v>
      </c>
      <c r="I300">
        <v>6.3</v>
      </c>
      <c r="J300">
        <v>9.7799999999999994</v>
      </c>
      <c r="K300">
        <v>69.400000000000006</v>
      </c>
      <c r="L300" t="s">
        <v>5025</v>
      </c>
      <c r="M300">
        <v>9</v>
      </c>
      <c r="N300">
        <v>1</v>
      </c>
      <c r="O300">
        <v>0</v>
      </c>
    </row>
    <row r="301" spans="1:15" x14ac:dyDescent="0.3">
      <c r="A301" t="s">
        <v>314</v>
      </c>
      <c r="B301">
        <v>3</v>
      </c>
      <c r="C301">
        <v>37</v>
      </c>
      <c r="D301" t="s">
        <v>5015</v>
      </c>
      <c r="E301" t="s">
        <v>5019</v>
      </c>
      <c r="F301" t="s">
        <v>5024</v>
      </c>
      <c r="G301">
        <v>11.99</v>
      </c>
      <c r="H301">
        <v>4</v>
      </c>
      <c r="I301">
        <v>1.6</v>
      </c>
      <c r="J301">
        <v>11.69</v>
      </c>
      <c r="K301">
        <v>89.8</v>
      </c>
      <c r="L301" t="s">
        <v>5025</v>
      </c>
      <c r="M301">
        <v>6</v>
      </c>
      <c r="N301">
        <v>4</v>
      </c>
      <c r="O301">
        <v>1</v>
      </c>
    </row>
    <row r="302" spans="1:15" x14ac:dyDescent="0.3">
      <c r="A302" t="s">
        <v>315</v>
      </c>
      <c r="B302">
        <v>3</v>
      </c>
      <c r="C302">
        <v>69</v>
      </c>
      <c r="D302" t="s">
        <v>5016</v>
      </c>
      <c r="E302" t="s">
        <v>5019</v>
      </c>
      <c r="F302" t="s">
        <v>5024</v>
      </c>
      <c r="G302">
        <v>9.49</v>
      </c>
      <c r="H302">
        <v>4</v>
      </c>
      <c r="I302">
        <v>8.5</v>
      </c>
      <c r="J302">
        <v>18.440000000000001</v>
      </c>
      <c r="K302">
        <v>91.7</v>
      </c>
      <c r="L302" t="s">
        <v>5027</v>
      </c>
      <c r="M302">
        <v>7</v>
      </c>
      <c r="N302">
        <v>2</v>
      </c>
      <c r="O302">
        <v>0</v>
      </c>
    </row>
    <row r="303" spans="1:15" x14ac:dyDescent="0.3">
      <c r="A303" t="s">
        <v>316</v>
      </c>
      <c r="B303">
        <v>3</v>
      </c>
      <c r="C303">
        <v>33</v>
      </c>
      <c r="D303" t="s">
        <v>5016</v>
      </c>
      <c r="E303" t="s">
        <v>5017</v>
      </c>
      <c r="F303" t="s">
        <v>5023</v>
      </c>
      <c r="G303">
        <v>20.92</v>
      </c>
      <c r="H303">
        <v>5</v>
      </c>
      <c r="I303">
        <v>5.3</v>
      </c>
      <c r="J303">
        <v>4.92</v>
      </c>
      <c r="K303">
        <v>44.6</v>
      </c>
      <c r="L303" t="s">
        <v>5027</v>
      </c>
      <c r="M303">
        <v>8</v>
      </c>
      <c r="N303">
        <v>0</v>
      </c>
      <c r="O303">
        <v>1</v>
      </c>
    </row>
    <row r="304" spans="1:15" x14ac:dyDescent="0.3">
      <c r="A304" t="s">
        <v>317</v>
      </c>
      <c r="B304">
        <v>4</v>
      </c>
      <c r="C304">
        <v>63</v>
      </c>
      <c r="D304" t="s">
        <v>5016</v>
      </c>
      <c r="E304" t="s">
        <v>5019</v>
      </c>
      <c r="F304" t="s">
        <v>5021</v>
      </c>
      <c r="G304">
        <v>24.67</v>
      </c>
      <c r="H304">
        <v>3</v>
      </c>
      <c r="I304">
        <v>9.9</v>
      </c>
      <c r="J304">
        <v>24.96</v>
      </c>
      <c r="K304">
        <v>93.5</v>
      </c>
      <c r="L304" t="s">
        <v>5029</v>
      </c>
      <c r="M304">
        <v>4</v>
      </c>
      <c r="N304">
        <v>2</v>
      </c>
      <c r="O304">
        <v>0</v>
      </c>
    </row>
    <row r="305" spans="1:15" x14ac:dyDescent="0.3">
      <c r="A305" t="s">
        <v>318</v>
      </c>
      <c r="B305">
        <v>8</v>
      </c>
      <c r="C305">
        <v>60</v>
      </c>
      <c r="D305" t="s">
        <v>5016</v>
      </c>
      <c r="E305" t="s">
        <v>5019</v>
      </c>
      <c r="F305" t="s">
        <v>5021</v>
      </c>
      <c r="G305">
        <v>5.51</v>
      </c>
      <c r="H305">
        <v>2</v>
      </c>
      <c r="I305">
        <v>7.5</v>
      </c>
      <c r="J305">
        <v>16.97</v>
      </c>
      <c r="K305">
        <v>14.9</v>
      </c>
      <c r="L305" t="s">
        <v>5029</v>
      </c>
      <c r="M305">
        <v>7</v>
      </c>
      <c r="N305">
        <v>2</v>
      </c>
      <c r="O305">
        <v>0</v>
      </c>
    </row>
    <row r="306" spans="1:15" x14ac:dyDescent="0.3">
      <c r="A306" t="s">
        <v>319</v>
      </c>
      <c r="B306">
        <v>6</v>
      </c>
      <c r="C306">
        <v>24</v>
      </c>
      <c r="D306" t="s">
        <v>5016</v>
      </c>
      <c r="E306" t="s">
        <v>5018</v>
      </c>
      <c r="F306" t="s">
        <v>5021</v>
      </c>
      <c r="G306">
        <v>18.8</v>
      </c>
      <c r="H306">
        <v>5</v>
      </c>
      <c r="I306">
        <v>9.9</v>
      </c>
      <c r="J306">
        <v>22.22</v>
      </c>
      <c r="K306">
        <v>78.599999999999994</v>
      </c>
      <c r="L306" t="s">
        <v>5028</v>
      </c>
      <c r="M306">
        <v>6</v>
      </c>
      <c r="N306">
        <v>2</v>
      </c>
      <c r="O306">
        <v>1</v>
      </c>
    </row>
    <row r="307" spans="1:15" x14ac:dyDescent="0.3">
      <c r="A307" t="s">
        <v>320</v>
      </c>
      <c r="B307">
        <v>8</v>
      </c>
      <c r="C307">
        <v>33</v>
      </c>
      <c r="D307" t="s">
        <v>5016</v>
      </c>
      <c r="E307" t="s">
        <v>5018</v>
      </c>
      <c r="F307" t="s">
        <v>5020</v>
      </c>
      <c r="G307">
        <v>10.28</v>
      </c>
      <c r="H307">
        <v>4</v>
      </c>
      <c r="I307">
        <v>5.0999999999999996</v>
      </c>
      <c r="J307">
        <v>21.25</v>
      </c>
      <c r="K307">
        <v>40.299999999999997</v>
      </c>
      <c r="L307" t="s">
        <v>5025</v>
      </c>
      <c r="M307">
        <v>8</v>
      </c>
      <c r="N307">
        <v>0</v>
      </c>
      <c r="O307">
        <v>0</v>
      </c>
    </row>
    <row r="308" spans="1:15" x14ac:dyDescent="0.3">
      <c r="A308" t="s">
        <v>321</v>
      </c>
      <c r="B308">
        <v>1</v>
      </c>
      <c r="C308">
        <v>62</v>
      </c>
      <c r="D308" t="s">
        <v>5016</v>
      </c>
      <c r="E308" t="s">
        <v>5019</v>
      </c>
      <c r="F308" t="s">
        <v>5020</v>
      </c>
      <c r="G308">
        <v>6.33</v>
      </c>
      <c r="H308">
        <v>3</v>
      </c>
      <c r="I308">
        <v>2.2999999999999998</v>
      </c>
      <c r="J308">
        <v>19.850000000000001</v>
      </c>
      <c r="K308">
        <v>53.9</v>
      </c>
      <c r="L308" t="s">
        <v>5029</v>
      </c>
      <c r="M308">
        <v>1</v>
      </c>
      <c r="N308">
        <v>0</v>
      </c>
      <c r="O308">
        <v>0</v>
      </c>
    </row>
    <row r="309" spans="1:15" x14ac:dyDescent="0.3">
      <c r="A309" t="s">
        <v>322</v>
      </c>
      <c r="B309">
        <v>8</v>
      </c>
      <c r="C309">
        <v>64</v>
      </c>
      <c r="D309" t="s">
        <v>5015</v>
      </c>
      <c r="E309" t="s">
        <v>5018</v>
      </c>
      <c r="F309" t="s">
        <v>5024</v>
      </c>
      <c r="G309">
        <v>5.29</v>
      </c>
      <c r="H309">
        <v>5</v>
      </c>
      <c r="I309">
        <v>7.5</v>
      </c>
      <c r="J309">
        <v>3.86</v>
      </c>
      <c r="K309">
        <v>85.2</v>
      </c>
      <c r="L309" t="s">
        <v>5027</v>
      </c>
      <c r="M309">
        <v>5</v>
      </c>
      <c r="N309">
        <v>2</v>
      </c>
      <c r="O309">
        <v>0</v>
      </c>
    </row>
    <row r="310" spans="1:15" x14ac:dyDescent="0.3">
      <c r="A310" t="s">
        <v>323</v>
      </c>
      <c r="B310">
        <v>4</v>
      </c>
      <c r="C310">
        <v>65</v>
      </c>
      <c r="D310" t="s">
        <v>5015</v>
      </c>
      <c r="E310" t="s">
        <v>5018</v>
      </c>
      <c r="F310" t="s">
        <v>5023</v>
      </c>
      <c r="G310">
        <v>22.62</v>
      </c>
      <c r="H310">
        <v>2</v>
      </c>
      <c r="I310">
        <v>8</v>
      </c>
      <c r="J310">
        <v>14.36</v>
      </c>
      <c r="K310">
        <v>67.3</v>
      </c>
      <c r="L310" t="s">
        <v>5028</v>
      </c>
      <c r="M310">
        <v>3</v>
      </c>
      <c r="N310">
        <v>0</v>
      </c>
      <c r="O310">
        <v>0</v>
      </c>
    </row>
    <row r="311" spans="1:15" x14ac:dyDescent="0.3">
      <c r="A311" t="s">
        <v>324</v>
      </c>
      <c r="B311">
        <v>11</v>
      </c>
      <c r="C311">
        <v>44</v>
      </c>
      <c r="D311" t="s">
        <v>5015</v>
      </c>
      <c r="E311" t="s">
        <v>5018</v>
      </c>
      <c r="F311" t="s">
        <v>5022</v>
      </c>
      <c r="G311">
        <v>12.07</v>
      </c>
      <c r="H311">
        <v>3</v>
      </c>
      <c r="I311">
        <v>8.6999999999999993</v>
      </c>
      <c r="J311">
        <v>10.220000000000001</v>
      </c>
      <c r="K311">
        <v>51.2</v>
      </c>
      <c r="L311" t="s">
        <v>5028</v>
      </c>
      <c r="M311">
        <v>9</v>
      </c>
      <c r="N311">
        <v>3</v>
      </c>
      <c r="O311">
        <v>0</v>
      </c>
    </row>
    <row r="312" spans="1:15" x14ac:dyDescent="0.3">
      <c r="A312" t="s">
        <v>325</v>
      </c>
      <c r="B312">
        <v>1</v>
      </c>
      <c r="C312">
        <v>40</v>
      </c>
      <c r="D312" t="s">
        <v>5015</v>
      </c>
      <c r="E312" t="s">
        <v>5019</v>
      </c>
      <c r="F312" t="s">
        <v>5023</v>
      </c>
      <c r="G312">
        <v>24.89</v>
      </c>
      <c r="H312">
        <v>4</v>
      </c>
      <c r="I312">
        <v>3.7</v>
      </c>
      <c r="J312">
        <v>5.48</v>
      </c>
      <c r="K312">
        <v>24.8</v>
      </c>
      <c r="L312" t="s">
        <v>5027</v>
      </c>
      <c r="M312">
        <v>9</v>
      </c>
      <c r="N312">
        <v>2</v>
      </c>
      <c r="O312">
        <v>1</v>
      </c>
    </row>
    <row r="313" spans="1:15" x14ac:dyDescent="0.3">
      <c r="A313" t="s">
        <v>326</v>
      </c>
      <c r="B313">
        <v>8</v>
      </c>
      <c r="C313">
        <v>41</v>
      </c>
      <c r="D313" t="s">
        <v>5016</v>
      </c>
      <c r="E313" t="s">
        <v>5017</v>
      </c>
      <c r="F313" t="s">
        <v>5020</v>
      </c>
      <c r="G313">
        <v>13.85</v>
      </c>
      <c r="H313">
        <v>1</v>
      </c>
      <c r="I313">
        <v>5.6</v>
      </c>
      <c r="J313">
        <v>10.55</v>
      </c>
      <c r="K313">
        <v>94.5</v>
      </c>
      <c r="L313" t="s">
        <v>5029</v>
      </c>
      <c r="M313">
        <v>3</v>
      </c>
      <c r="N313">
        <v>1</v>
      </c>
      <c r="O313">
        <v>0</v>
      </c>
    </row>
    <row r="314" spans="1:15" x14ac:dyDescent="0.3">
      <c r="A314" t="s">
        <v>327</v>
      </c>
      <c r="B314">
        <v>4</v>
      </c>
      <c r="C314">
        <v>26</v>
      </c>
      <c r="D314" t="s">
        <v>5016</v>
      </c>
      <c r="E314" t="s">
        <v>5018</v>
      </c>
      <c r="F314" t="s">
        <v>5020</v>
      </c>
      <c r="G314">
        <v>8.75</v>
      </c>
      <c r="H314">
        <v>2</v>
      </c>
      <c r="I314">
        <v>8.6999999999999993</v>
      </c>
      <c r="J314">
        <v>17.190000000000001</v>
      </c>
      <c r="K314">
        <v>39.9</v>
      </c>
      <c r="L314" t="s">
        <v>5027</v>
      </c>
      <c r="M314">
        <v>10</v>
      </c>
      <c r="N314">
        <v>3</v>
      </c>
      <c r="O314">
        <v>0</v>
      </c>
    </row>
    <row r="315" spans="1:15" x14ac:dyDescent="0.3">
      <c r="A315" t="s">
        <v>328</v>
      </c>
      <c r="B315">
        <v>6</v>
      </c>
      <c r="C315">
        <v>52</v>
      </c>
      <c r="D315" t="s">
        <v>5016</v>
      </c>
      <c r="E315" t="s">
        <v>5018</v>
      </c>
      <c r="F315" t="s">
        <v>5024</v>
      </c>
      <c r="G315">
        <v>20.54</v>
      </c>
      <c r="H315">
        <v>3</v>
      </c>
      <c r="I315">
        <v>8.8000000000000007</v>
      </c>
      <c r="J315">
        <v>8.07</v>
      </c>
      <c r="K315">
        <v>19.100000000000001</v>
      </c>
      <c r="L315" t="s">
        <v>5029</v>
      </c>
      <c r="M315">
        <v>2</v>
      </c>
      <c r="N315">
        <v>2</v>
      </c>
      <c r="O315">
        <v>0</v>
      </c>
    </row>
    <row r="316" spans="1:15" x14ac:dyDescent="0.3">
      <c r="A316" t="s">
        <v>329</v>
      </c>
      <c r="B316">
        <v>8</v>
      </c>
      <c r="C316">
        <v>68</v>
      </c>
      <c r="D316" t="s">
        <v>5016</v>
      </c>
      <c r="E316" t="s">
        <v>5019</v>
      </c>
      <c r="F316" t="s">
        <v>5022</v>
      </c>
      <c r="G316">
        <v>23.53</v>
      </c>
      <c r="H316">
        <v>5</v>
      </c>
      <c r="I316">
        <v>1.2</v>
      </c>
      <c r="J316">
        <v>12.78</v>
      </c>
      <c r="K316">
        <v>60.8</v>
      </c>
      <c r="L316" t="s">
        <v>5027</v>
      </c>
      <c r="M316">
        <v>5</v>
      </c>
      <c r="N316">
        <v>1</v>
      </c>
      <c r="O316">
        <v>0</v>
      </c>
    </row>
    <row r="317" spans="1:15" x14ac:dyDescent="0.3">
      <c r="A317" t="s">
        <v>330</v>
      </c>
      <c r="B317">
        <v>4</v>
      </c>
      <c r="C317">
        <v>37</v>
      </c>
      <c r="D317" t="s">
        <v>5016</v>
      </c>
      <c r="E317" t="s">
        <v>5018</v>
      </c>
      <c r="F317" t="s">
        <v>5021</v>
      </c>
      <c r="G317">
        <v>21.31</v>
      </c>
      <c r="H317">
        <v>5</v>
      </c>
      <c r="I317">
        <v>7</v>
      </c>
      <c r="J317">
        <v>11.9</v>
      </c>
      <c r="K317">
        <v>46.6</v>
      </c>
      <c r="L317" t="s">
        <v>5027</v>
      </c>
      <c r="M317">
        <v>4</v>
      </c>
      <c r="N317">
        <v>1</v>
      </c>
      <c r="O317">
        <v>0</v>
      </c>
    </row>
    <row r="318" spans="1:15" x14ac:dyDescent="0.3">
      <c r="A318" t="s">
        <v>331</v>
      </c>
      <c r="B318">
        <v>3</v>
      </c>
      <c r="C318">
        <v>54</v>
      </c>
      <c r="D318" t="s">
        <v>5015</v>
      </c>
      <c r="E318" t="s">
        <v>5019</v>
      </c>
      <c r="F318" t="s">
        <v>5022</v>
      </c>
      <c r="G318">
        <v>19.899999999999999</v>
      </c>
      <c r="H318">
        <v>3</v>
      </c>
      <c r="I318">
        <v>6.4</v>
      </c>
      <c r="J318">
        <v>4.1500000000000004</v>
      </c>
      <c r="K318">
        <v>63.1</v>
      </c>
      <c r="L318" t="s">
        <v>5026</v>
      </c>
      <c r="M318">
        <v>7</v>
      </c>
      <c r="N318">
        <v>4</v>
      </c>
      <c r="O318">
        <v>0</v>
      </c>
    </row>
    <row r="319" spans="1:15" x14ac:dyDescent="0.3">
      <c r="A319" t="s">
        <v>332</v>
      </c>
      <c r="B319">
        <v>9</v>
      </c>
      <c r="C319">
        <v>59</v>
      </c>
      <c r="D319" t="s">
        <v>5016</v>
      </c>
      <c r="E319" t="s">
        <v>5019</v>
      </c>
      <c r="F319" t="s">
        <v>5022</v>
      </c>
      <c r="G319">
        <v>11.69</v>
      </c>
      <c r="H319">
        <v>5</v>
      </c>
      <c r="I319">
        <v>1.8</v>
      </c>
      <c r="J319">
        <v>16.82</v>
      </c>
      <c r="K319">
        <v>31</v>
      </c>
      <c r="L319" t="s">
        <v>5029</v>
      </c>
      <c r="M319">
        <v>8</v>
      </c>
      <c r="N319">
        <v>4</v>
      </c>
      <c r="O319">
        <v>0</v>
      </c>
    </row>
    <row r="320" spans="1:15" x14ac:dyDescent="0.3">
      <c r="A320" t="s">
        <v>333</v>
      </c>
      <c r="B320">
        <v>3</v>
      </c>
      <c r="C320">
        <v>34</v>
      </c>
      <c r="D320" t="s">
        <v>5015</v>
      </c>
      <c r="E320" t="s">
        <v>5017</v>
      </c>
      <c r="F320" t="s">
        <v>5022</v>
      </c>
      <c r="G320">
        <v>6.29</v>
      </c>
      <c r="H320">
        <v>3</v>
      </c>
      <c r="I320">
        <v>9.4</v>
      </c>
      <c r="J320">
        <v>16.61</v>
      </c>
      <c r="K320">
        <v>44.1</v>
      </c>
      <c r="L320" t="s">
        <v>5025</v>
      </c>
      <c r="M320">
        <v>4</v>
      </c>
      <c r="N320">
        <v>1</v>
      </c>
      <c r="O320">
        <v>0</v>
      </c>
    </row>
    <row r="321" spans="1:15" x14ac:dyDescent="0.3">
      <c r="A321" t="s">
        <v>334</v>
      </c>
      <c r="B321">
        <v>9</v>
      </c>
      <c r="C321">
        <v>64</v>
      </c>
      <c r="D321" t="s">
        <v>5016</v>
      </c>
      <c r="E321" t="s">
        <v>5018</v>
      </c>
      <c r="F321" t="s">
        <v>5024</v>
      </c>
      <c r="G321">
        <v>9.0299999999999994</v>
      </c>
      <c r="H321">
        <v>2</v>
      </c>
      <c r="I321">
        <v>5</v>
      </c>
      <c r="J321">
        <v>24.26</v>
      </c>
      <c r="K321">
        <v>97.5</v>
      </c>
      <c r="L321" t="s">
        <v>5026</v>
      </c>
      <c r="M321">
        <v>3</v>
      </c>
      <c r="N321">
        <v>2</v>
      </c>
      <c r="O321">
        <v>0</v>
      </c>
    </row>
    <row r="322" spans="1:15" x14ac:dyDescent="0.3">
      <c r="A322" t="s">
        <v>335</v>
      </c>
      <c r="B322">
        <v>2</v>
      </c>
      <c r="C322">
        <v>48</v>
      </c>
      <c r="D322" t="s">
        <v>5015</v>
      </c>
      <c r="E322" t="s">
        <v>5017</v>
      </c>
      <c r="F322" t="s">
        <v>5020</v>
      </c>
      <c r="G322">
        <v>13.94</v>
      </c>
      <c r="H322">
        <v>5</v>
      </c>
      <c r="I322">
        <v>7.1</v>
      </c>
      <c r="J322">
        <v>9.56</v>
      </c>
      <c r="K322">
        <v>94.3</v>
      </c>
      <c r="L322" t="s">
        <v>5026</v>
      </c>
      <c r="M322">
        <v>9</v>
      </c>
      <c r="N322">
        <v>2</v>
      </c>
      <c r="O322">
        <v>0</v>
      </c>
    </row>
    <row r="323" spans="1:15" x14ac:dyDescent="0.3">
      <c r="A323" t="s">
        <v>336</v>
      </c>
      <c r="B323">
        <v>2</v>
      </c>
      <c r="C323">
        <v>25</v>
      </c>
      <c r="D323" t="s">
        <v>5016</v>
      </c>
      <c r="E323" t="s">
        <v>5018</v>
      </c>
      <c r="F323" t="s">
        <v>5021</v>
      </c>
      <c r="G323">
        <v>24.12</v>
      </c>
      <c r="H323">
        <v>2</v>
      </c>
      <c r="I323">
        <v>8.9</v>
      </c>
      <c r="J323">
        <v>12.22</v>
      </c>
      <c r="K323">
        <v>87.8</v>
      </c>
      <c r="L323" t="s">
        <v>5026</v>
      </c>
      <c r="M323">
        <v>8</v>
      </c>
      <c r="N323">
        <v>2</v>
      </c>
      <c r="O323">
        <v>0</v>
      </c>
    </row>
    <row r="324" spans="1:15" x14ac:dyDescent="0.3">
      <c r="A324" t="s">
        <v>337</v>
      </c>
      <c r="B324">
        <v>2</v>
      </c>
      <c r="C324">
        <v>32</v>
      </c>
      <c r="D324" t="s">
        <v>5015</v>
      </c>
      <c r="E324" t="s">
        <v>5018</v>
      </c>
      <c r="F324" t="s">
        <v>5022</v>
      </c>
      <c r="G324">
        <v>19.46</v>
      </c>
      <c r="H324">
        <v>4</v>
      </c>
      <c r="I324">
        <v>2.2000000000000002</v>
      </c>
      <c r="J324">
        <v>11.88</v>
      </c>
      <c r="K324">
        <v>80.099999999999994</v>
      </c>
      <c r="L324" t="s">
        <v>5026</v>
      </c>
      <c r="M324">
        <v>11</v>
      </c>
      <c r="N324">
        <v>2</v>
      </c>
      <c r="O324">
        <v>0</v>
      </c>
    </row>
    <row r="325" spans="1:15" x14ac:dyDescent="0.3">
      <c r="A325" t="s">
        <v>338</v>
      </c>
      <c r="B325">
        <v>6</v>
      </c>
      <c r="C325">
        <v>48</v>
      </c>
      <c r="D325" t="s">
        <v>5016</v>
      </c>
      <c r="E325" t="s">
        <v>5019</v>
      </c>
      <c r="F325" t="s">
        <v>5021</v>
      </c>
      <c r="G325">
        <v>21.57</v>
      </c>
      <c r="H325">
        <v>4</v>
      </c>
      <c r="I325">
        <v>8.6999999999999993</v>
      </c>
      <c r="J325">
        <v>23.23</v>
      </c>
      <c r="K325">
        <v>24.1</v>
      </c>
      <c r="L325" t="s">
        <v>5025</v>
      </c>
      <c r="M325">
        <v>11</v>
      </c>
      <c r="N325">
        <v>1</v>
      </c>
      <c r="O325">
        <v>0</v>
      </c>
    </row>
    <row r="326" spans="1:15" x14ac:dyDescent="0.3">
      <c r="A326" t="s">
        <v>339</v>
      </c>
      <c r="B326">
        <v>3</v>
      </c>
      <c r="C326">
        <v>47</v>
      </c>
      <c r="D326" t="s">
        <v>5016</v>
      </c>
      <c r="E326" t="s">
        <v>5019</v>
      </c>
      <c r="F326" t="s">
        <v>5022</v>
      </c>
      <c r="G326">
        <v>10.55</v>
      </c>
      <c r="H326">
        <v>4</v>
      </c>
      <c r="I326">
        <v>7.5</v>
      </c>
      <c r="J326">
        <v>11.99</v>
      </c>
      <c r="K326">
        <v>52</v>
      </c>
      <c r="L326" t="s">
        <v>5026</v>
      </c>
      <c r="M326">
        <v>7</v>
      </c>
      <c r="N326">
        <v>0</v>
      </c>
      <c r="O326">
        <v>0</v>
      </c>
    </row>
    <row r="327" spans="1:15" x14ac:dyDescent="0.3">
      <c r="A327" t="s">
        <v>340</v>
      </c>
      <c r="B327">
        <v>9</v>
      </c>
      <c r="C327">
        <v>63</v>
      </c>
      <c r="D327" t="s">
        <v>5016</v>
      </c>
      <c r="E327" t="s">
        <v>5017</v>
      </c>
      <c r="F327" t="s">
        <v>5020</v>
      </c>
      <c r="G327">
        <v>18.68</v>
      </c>
      <c r="H327">
        <v>4</v>
      </c>
      <c r="I327">
        <v>8.6</v>
      </c>
      <c r="J327">
        <v>12.74</v>
      </c>
      <c r="K327">
        <v>75.5</v>
      </c>
      <c r="L327" t="s">
        <v>5025</v>
      </c>
      <c r="M327">
        <v>11</v>
      </c>
      <c r="N327">
        <v>0</v>
      </c>
      <c r="O327">
        <v>0</v>
      </c>
    </row>
    <row r="328" spans="1:15" x14ac:dyDescent="0.3">
      <c r="A328" t="s">
        <v>341</v>
      </c>
      <c r="B328">
        <v>4</v>
      </c>
      <c r="C328">
        <v>37</v>
      </c>
      <c r="D328" t="s">
        <v>5016</v>
      </c>
      <c r="E328" t="s">
        <v>5017</v>
      </c>
      <c r="F328" t="s">
        <v>5021</v>
      </c>
      <c r="G328">
        <v>22.25</v>
      </c>
      <c r="H328">
        <v>5</v>
      </c>
      <c r="I328">
        <v>5.5</v>
      </c>
      <c r="J328">
        <v>8.5500000000000007</v>
      </c>
      <c r="K328">
        <v>33.6</v>
      </c>
      <c r="L328" t="s">
        <v>5025</v>
      </c>
      <c r="M328">
        <v>8</v>
      </c>
      <c r="N328">
        <v>2</v>
      </c>
      <c r="O328">
        <v>1</v>
      </c>
    </row>
    <row r="329" spans="1:15" x14ac:dyDescent="0.3">
      <c r="A329" t="s">
        <v>342</v>
      </c>
      <c r="B329">
        <v>1</v>
      </c>
      <c r="C329">
        <v>56</v>
      </c>
      <c r="D329" t="s">
        <v>5015</v>
      </c>
      <c r="E329" t="s">
        <v>5018</v>
      </c>
      <c r="F329" t="s">
        <v>5023</v>
      </c>
      <c r="G329">
        <v>14.59</v>
      </c>
      <c r="H329">
        <v>3</v>
      </c>
      <c r="I329">
        <v>1.3</v>
      </c>
      <c r="J329">
        <v>3.03</v>
      </c>
      <c r="K329">
        <v>13</v>
      </c>
      <c r="L329" t="s">
        <v>5026</v>
      </c>
      <c r="M329">
        <v>8</v>
      </c>
      <c r="N329">
        <v>4</v>
      </c>
      <c r="O329">
        <v>0</v>
      </c>
    </row>
    <row r="330" spans="1:15" x14ac:dyDescent="0.3">
      <c r="A330" t="s">
        <v>343</v>
      </c>
      <c r="B330">
        <v>4</v>
      </c>
      <c r="C330">
        <v>29</v>
      </c>
      <c r="D330" t="s">
        <v>5016</v>
      </c>
      <c r="E330" t="s">
        <v>5018</v>
      </c>
      <c r="F330" t="s">
        <v>5020</v>
      </c>
      <c r="G330">
        <v>13.6</v>
      </c>
      <c r="H330">
        <v>5</v>
      </c>
      <c r="I330">
        <v>7</v>
      </c>
      <c r="J330">
        <v>5.43</v>
      </c>
      <c r="K330">
        <v>47.6</v>
      </c>
      <c r="L330" t="s">
        <v>5028</v>
      </c>
      <c r="M330">
        <v>10</v>
      </c>
      <c r="N330">
        <v>1</v>
      </c>
      <c r="O330">
        <v>0</v>
      </c>
    </row>
    <row r="331" spans="1:15" x14ac:dyDescent="0.3">
      <c r="A331" t="s">
        <v>344</v>
      </c>
      <c r="B331">
        <v>1</v>
      </c>
      <c r="C331">
        <v>66</v>
      </c>
      <c r="D331" t="s">
        <v>5015</v>
      </c>
      <c r="E331" t="s">
        <v>5017</v>
      </c>
      <c r="F331" t="s">
        <v>5021</v>
      </c>
      <c r="G331">
        <v>19.39</v>
      </c>
      <c r="H331">
        <v>5</v>
      </c>
      <c r="I331">
        <v>4.4000000000000004</v>
      </c>
      <c r="J331">
        <v>18.489999999999998</v>
      </c>
      <c r="K331">
        <v>48.3</v>
      </c>
      <c r="L331" t="s">
        <v>5025</v>
      </c>
      <c r="M331">
        <v>8</v>
      </c>
      <c r="N331">
        <v>0</v>
      </c>
      <c r="O331">
        <v>0</v>
      </c>
    </row>
    <row r="332" spans="1:15" x14ac:dyDescent="0.3">
      <c r="A332" t="s">
        <v>345</v>
      </c>
      <c r="B332">
        <v>5</v>
      </c>
      <c r="C332">
        <v>34</v>
      </c>
      <c r="D332" t="s">
        <v>5016</v>
      </c>
      <c r="E332" t="s">
        <v>5019</v>
      </c>
      <c r="F332" t="s">
        <v>5022</v>
      </c>
      <c r="G332">
        <v>16.2</v>
      </c>
      <c r="H332">
        <v>2</v>
      </c>
      <c r="I332">
        <v>4.5999999999999996</v>
      </c>
      <c r="J332">
        <v>18.010000000000002</v>
      </c>
      <c r="K332">
        <v>15.9</v>
      </c>
      <c r="L332" t="s">
        <v>5026</v>
      </c>
      <c r="M332">
        <v>11</v>
      </c>
      <c r="N332">
        <v>1</v>
      </c>
      <c r="O332">
        <v>0</v>
      </c>
    </row>
    <row r="333" spans="1:15" x14ac:dyDescent="0.3">
      <c r="A333" t="s">
        <v>346</v>
      </c>
      <c r="B333">
        <v>4</v>
      </c>
      <c r="C333">
        <v>59</v>
      </c>
      <c r="D333" t="s">
        <v>5015</v>
      </c>
      <c r="E333" t="s">
        <v>5019</v>
      </c>
      <c r="F333" t="s">
        <v>5022</v>
      </c>
      <c r="G333">
        <v>24.86</v>
      </c>
      <c r="H333">
        <v>3</v>
      </c>
      <c r="I333">
        <v>5</v>
      </c>
      <c r="J333">
        <v>10.1</v>
      </c>
      <c r="K333">
        <v>38.9</v>
      </c>
      <c r="L333" t="s">
        <v>5027</v>
      </c>
      <c r="M333">
        <v>1</v>
      </c>
      <c r="N333">
        <v>4</v>
      </c>
      <c r="O333">
        <v>0</v>
      </c>
    </row>
    <row r="334" spans="1:15" x14ac:dyDescent="0.3">
      <c r="A334" t="s">
        <v>347</v>
      </c>
      <c r="B334">
        <v>8</v>
      </c>
      <c r="C334">
        <v>47</v>
      </c>
      <c r="D334" t="s">
        <v>5016</v>
      </c>
      <c r="E334" t="s">
        <v>5018</v>
      </c>
      <c r="F334" t="s">
        <v>5020</v>
      </c>
      <c r="G334">
        <v>13.5</v>
      </c>
      <c r="H334">
        <v>1</v>
      </c>
      <c r="I334">
        <v>5.4</v>
      </c>
      <c r="J334">
        <v>13.41</v>
      </c>
      <c r="K334">
        <v>92.6</v>
      </c>
      <c r="L334" t="s">
        <v>5027</v>
      </c>
      <c r="M334">
        <v>4</v>
      </c>
      <c r="N334">
        <v>1</v>
      </c>
      <c r="O334">
        <v>0</v>
      </c>
    </row>
    <row r="335" spans="1:15" x14ac:dyDescent="0.3">
      <c r="A335" t="s">
        <v>348</v>
      </c>
      <c r="B335">
        <v>8</v>
      </c>
      <c r="C335">
        <v>46</v>
      </c>
      <c r="D335" t="s">
        <v>5016</v>
      </c>
      <c r="E335" t="s">
        <v>5019</v>
      </c>
      <c r="F335" t="s">
        <v>5020</v>
      </c>
      <c r="G335">
        <v>8.52</v>
      </c>
      <c r="H335">
        <v>1</v>
      </c>
      <c r="I335">
        <v>7</v>
      </c>
      <c r="J335">
        <v>9.5399999999999991</v>
      </c>
      <c r="K335">
        <v>32.5</v>
      </c>
      <c r="L335" t="s">
        <v>5029</v>
      </c>
      <c r="M335">
        <v>10</v>
      </c>
      <c r="N335">
        <v>4</v>
      </c>
      <c r="O335">
        <v>0</v>
      </c>
    </row>
    <row r="336" spans="1:15" x14ac:dyDescent="0.3">
      <c r="A336" t="s">
        <v>349</v>
      </c>
      <c r="B336">
        <v>7</v>
      </c>
      <c r="C336">
        <v>36</v>
      </c>
      <c r="D336" t="s">
        <v>5015</v>
      </c>
      <c r="E336" t="s">
        <v>5018</v>
      </c>
      <c r="F336" t="s">
        <v>5022</v>
      </c>
      <c r="G336">
        <v>14.44</v>
      </c>
      <c r="H336">
        <v>3</v>
      </c>
      <c r="I336">
        <v>7.5</v>
      </c>
      <c r="J336">
        <v>19.079999999999998</v>
      </c>
      <c r="K336">
        <v>61.2</v>
      </c>
      <c r="L336" t="s">
        <v>5025</v>
      </c>
      <c r="M336">
        <v>7</v>
      </c>
      <c r="N336">
        <v>4</v>
      </c>
      <c r="O336">
        <v>1</v>
      </c>
    </row>
    <row r="337" spans="1:15" x14ac:dyDescent="0.3">
      <c r="A337" t="s">
        <v>350</v>
      </c>
      <c r="B337">
        <v>3</v>
      </c>
      <c r="C337">
        <v>63</v>
      </c>
      <c r="D337" t="s">
        <v>5016</v>
      </c>
      <c r="E337" t="s">
        <v>5019</v>
      </c>
      <c r="F337" t="s">
        <v>5021</v>
      </c>
      <c r="G337">
        <v>9.6999999999999993</v>
      </c>
      <c r="H337">
        <v>1</v>
      </c>
      <c r="I337">
        <v>8</v>
      </c>
      <c r="J337">
        <v>21.53</v>
      </c>
      <c r="K337">
        <v>53.9</v>
      </c>
      <c r="L337" t="s">
        <v>5025</v>
      </c>
      <c r="M337">
        <v>6</v>
      </c>
      <c r="N337">
        <v>3</v>
      </c>
      <c r="O337">
        <v>0</v>
      </c>
    </row>
    <row r="338" spans="1:15" x14ac:dyDescent="0.3">
      <c r="A338" t="s">
        <v>351</v>
      </c>
      <c r="B338">
        <v>1</v>
      </c>
      <c r="C338">
        <v>28</v>
      </c>
      <c r="D338" t="s">
        <v>5016</v>
      </c>
      <c r="E338" t="s">
        <v>5018</v>
      </c>
      <c r="F338" t="s">
        <v>5023</v>
      </c>
      <c r="G338">
        <v>16.23</v>
      </c>
      <c r="H338">
        <v>3</v>
      </c>
      <c r="I338">
        <v>7</v>
      </c>
      <c r="J338">
        <v>22.78</v>
      </c>
      <c r="K338">
        <v>87.6</v>
      </c>
      <c r="L338" t="s">
        <v>5027</v>
      </c>
      <c r="M338">
        <v>3</v>
      </c>
      <c r="N338">
        <v>4</v>
      </c>
      <c r="O338">
        <v>0</v>
      </c>
    </row>
    <row r="339" spans="1:15" x14ac:dyDescent="0.3">
      <c r="A339" t="s">
        <v>352</v>
      </c>
      <c r="B339">
        <v>1</v>
      </c>
      <c r="C339">
        <v>51</v>
      </c>
      <c r="D339" t="s">
        <v>5015</v>
      </c>
      <c r="E339" t="s">
        <v>5017</v>
      </c>
      <c r="F339" t="s">
        <v>5024</v>
      </c>
      <c r="G339">
        <v>7.52</v>
      </c>
      <c r="H339">
        <v>2</v>
      </c>
      <c r="I339">
        <v>8.1999999999999993</v>
      </c>
      <c r="J339">
        <v>6.83</v>
      </c>
      <c r="K339">
        <v>68.8</v>
      </c>
      <c r="L339" t="s">
        <v>5025</v>
      </c>
      <c r="M339">
        <v>3</v>
      </c>
      <c r="N339">
        <v>3</v>
      </c>
      <c r="O339">
        <v>0</v>
      </c>
    </row>
    <row r="340" spans="1:15" x14ac:dyDescent="0.3">
      <c r="A340" t="s">
        <v>353</v>
      </c>
      <c r="B340">
        <v>12</v>
      </c>
      <c r="C340">
        <v>67</v>
      </c>
      <c r="D340" t="s">
        <v>5016</v>
      </c>
      <c r="E340" t="s">
        <v>5019</v>
      </c>
      <c r="F340" t="s">
        <v>5020</v>
      </c>
      <c r="G340">
        <v>24</v>
      </c>
      <c r="H340">
        <v>2</v>
      </c>
      <c r="I340">
        <v>2.1</v>
      </c>
      <c r="J340">
        <v>18.29</v>
      </c>
      <c r="K340">
        <v>24.3</v>
      </c>
      <c r="L340" t="s">
        <v>5025</v>
      </c>
      <c r="M340">
        <v>4</v>
      </c>
      <c r="N340">
        <v>4</v>
      </c>
      <c r="O340">
        <v>0</v>
      </c>
    </row>
    <row r="341" spans="1:15" x14ac:dyDescent="0.3">
      <c r="A341" t="s">
        <v>354</v>
      </c>
      <c r="B341">
        <v>11</v>
      </c>
      <c r="C341">
        <v>24</v>
      </c>
      <c r="D341" t="s">
        <v>5015</v>
      </c>
      <c r="E341" t="s">
        <v>5018</v>
      </c>
      <c r="F341" t="s">
        <v>5022</v>
      </c>
      <c r="G341">
        <v>22.2</v>
      </c>
      <c r="H341">
        <v>5</v>
      </c>
      <c r="I341">
        <v>8.5</v>
      </c>
      <c r="J341">
        <v>24.19</v>
      </c>
      <c r="K341">
        <v>22.9</v>
      </c>
      <c r="L341" t="s">
        <v>5027</v>
      </c>
      <c r="M341">
        <v>10</v>
      </c>
      <c r="N341">
        <v>4</v>
      </c>
      <c r="O341">
        <v>0</v>
      </c>
    </row>
    <row r="342" spans="1:15" x14ac:dyDescent="0.3">
      <c r="A342" t="s">
        <v>355</v>
      </c>
      <c r="B342">
        <v>3</v>
      </c>
      <c r="C342">
        <v>61</v>
      </c>
      <c r="D342" t="s">
        <v>5016</v>
      </c>
      <c r="E342" t="s">
        <v>5019</v>
      </c>
      <c r="F342" t="s">
        <v>5021</v>
      </c>
      <c r="G342">
        <v>8.11</v>
      </c>
      <c r="H342">
        <v>1</v>
      </c>
      <c r="I342">
        <v>4.5</v>
      </c>
      <c r="J342">
        <v>17.309999999999999</v>
      </c>
      <c r="K342">
        <v>60.2</v>
      </c>
      <c r="L342" t="s">
        <v>5026</v>
      </c>
      <c r="M342">
        <v>6</v>
      </c>
      <c r="N342">
        <v>1</v>
      </c>
      <c r="O342">
        <v>0</v>
      </c>
    </row>
    <row r="343" spans="1:15" x14ac:dyDescent="0.3">
      <c r="A343" t="s">
        <v>356</v>
      </c>
      <c r="B343">
        <v>6</v>
      </c>
      <c r="C343">
        <v>51</v>
      </c>
      <c r="D343" t="s">
        <v>5015</v>
      </c>
      <c r="E343" t="s">
        <v>5018</v>
      </c>
      <c r="F343" t="s">
        <v>5020</v>
      </c>
      <c r="G343">
        <v>8.4499999999999993</v>
      </c>
      <c r="H343">
        <v>3</v>
      </c>
      <c r="I343">
        <v>5.8</v>
      </c>
      <c r="J343">
        <v>10.72</v>
      </c>
      <c r="K343">
        <v>14.2</v>
      </c>
      <c r="L343" t="s">
        <v>5027</v>
      </c>
      <c r="M343">
        <v>1</v>
      </c>
      <c r="N343">
        <v>3</v>
      </c>
      <c r="O343">
        <v>0</v>
      </c>
    </row>
    <row r="344" spans="1:15" x14ac:dyDescent="0.3">
      <c r="A344" t="s">
        <v>357</v>
      </c>
      <c r="B344">
        <v>7</v>
      </c>
      <c r="C344">
        <v>37</v>
      </c>
      <c r="D344" t="s">
        <v>5015</v>
      </c>
      <c r="E344" t="s">
        <v>5017</v>
      </c>
      <c r="F344" t="s">
        <v>5021</v>
      </c>
      <c r="G344">
        <v>15.25</v>
      </c>
      <c r="H344">
        <v>2</v>
      </c>
      <c r="I344">
        <v>4.9000000000000004</v>
      </c>
      <c r="J344">
        <v>16.989999999999998</v>
      </c>
      <c r="K344">
        <v>45.4</v>
      </c>
      <c r="L344" t="s">
        <v>5028</v>
      </c>
      <c r="M344">
        <v>10</v>
      </c>
      <c r="N344">
        <v>0</v>
      </c>
      <c r="O344">
        <v>0</v>
      </c>
    </row>
    <row r="345" spans="1:15" x14ac:dyDescent="0.3">
      <c r="A345" t="s">
        <v>358</v>
      </c>
      <c r="B345">
        <v>6</v>
      </c>
      <c r="C345">
        <v>67</v>
      </c>
      <c r="D345" t="s">
        <v>5015</v>
      </c>
      <c r="E345" t="s">
        <v>5017</v>
      </c>
      <c r="F345" t="s">
        <v>5020</v>
      </c>
      <c r="G345">
        <v>20.46</v>
      </c>
      <c r="H345">
        <v>5</v>
      </c>
      <c r="I345">
        <v>5.3</v>
      </c>
      <c r="J345">
        <v>18.149999999999999</v>
      </c>
      <c r="K345">
        <v>45.9</v>
      </c>
      <c r="L345" t="s">
        <v>5027</v>
      </c>
      <c r="M345">
        <v>4</v>
      </c>
      <c r="N345">
        <v>0</v>
      </c>
      <c r="O345">
        <v>0</v>
      </c>
    </row>
    <row r="346" spans="1:15" x14ac:dyDescent="0.3">
      <c r="A346" t="s">
        <v>359</v>
      </c>
      <c r="B346">
        <v>6</v>
      </c>
      <c r="C346">
        <v>55</v>
      </c>
      <c r="D346" t="s">
        <v>5015</v>
      </c>
      <c r="E346" t="s">
        <v>5018</v>
      </c>
      <c r="F346" t="s">
        <v>5022</v>
      </c>
      <c r="G346">
        <v>9.3800000000000008</v>
      </c>
      <c r="H346">
        <v>1</v>
      </c>
      <c r="I346">
        <v>3.6</v>
      </c>
      <c r="J346">
        <v>11.74</v>
      </c>
      <c r="K346">
        <v>27.7</v>
      </c>
      <c r="L346" t="s">
        <v>5027</v>
      </c>
      <c r="M346">
        <v>9</v>
      </c>
      <c r="N346">
        <v>1</v>
      </c>
      <c r="O346">
        <v>0</v>
      </c>
    </row>
    <row r="347" spans="1:15" x14ac:dyDescent="0.3">
      <c r="A347" t="s">
        <v>360</v>
      </c>
      <c r="B347">
        <v>6</v>
      </c>
      <c r="C347">
        <v>41</v>
      </c>
      <c r="D347" t="s">
        <v>5016</v>
      </c>
      <c r="E347" t="s">
        <v>5018</v>
      </c>
      <c r="F347" t="s">
        <v>5021</v>
      </c>
      <c r="G347">
        <v>6.22</v>
      </c>
      <c r="H347">
        <v>1</v>
      </c>
      <c r="I347">
        <v>2.5</v>
      </c>
      <c r="J347">
        <v>5.29</v>
      </c>
      <c r="K347">
        <v>37.1</v>
      </c>
      <c r="L347" t="s">
        <v>5026</v>
      </c>
      <c r="M347">
        <v>7</v>
      </c>
      <c r="N347">
        <v>0</v>
      </c>
      <c r="O347">
        <v>1</v>
      </c>
    </row>
    <row r="348" spans="1:15" x14ac:dyDescent="0.3">
      <c r="A348" t="s">
        <v>361</v>
      </c>
      <c r="B348">
        <v>3</v>
      </c>
      <c r="C348">
        <v>27</v>
      </c>
      <c r="D348" t="s">
        <v>5016</v>
      </c>
      <c r="E348" t="s">
        <v>5018</v>
      </c>
      <c r="F348" t="s">
        <v>5022</v>
      </c>
      <c r="G348">
        <v>15.91</v>
      </c>
      <c r="H348">
        <v>1</v>
      </c>
      <c r="I348">
        <v>1.9</v>
      </c>
      <c r="J348">
        <v>16.350000000000001</v>
      </c>
      <c r="K348">
        <v>39.700000000000003</v>
      </c>
      <c r="L348" t="s">
        <v>5027</v>
      </c>
      <c r="M348">
        <v>11</v>
      </c>
      <c r="N348">
        <v>0</v>
      </c>
      <c r="O348">
        <v>1</v>
      </c>
    </row>
    <row r="349" spans="1:15" x14ac:dyDescent="0.3">
      <c r="A349" t="s">
        <v>362</v>
      </c>
      <c r="B349">
        <v>6</v>
      </c>
      <c r="C349">
        <v>49</v>
      </c>
      <c r="D349" t="s">
        <v>5015</v>
      </c>
      <c r="E349" t="s">
        <v>5018</v>
      </c>
      <c r="F349" t="s">
        <v>5021</v>
      </c>
      <c r="G349">
        <v>18.829999999999998</v>
      </c>
      <c r="H349">
        <v>2</v>
      </c>
      <c r="I349">
        <v>5.0999999999999996</v>
      </c>
      <c r="J349">
        <v>20.65</v>
      </c>
      <c r="K349">
        <v>11.1</v>
      </c>
      <c r="L349" t="s">
        <v>5027</v>
      </c>
      <c r="M349">
        <v>6</v>
      </c>
      <c r="N349">
        <v>4</v>
      </c>
      <c r="O349">
        <v>0</v>
      </c>
    </row>
    <row r="350" spans="1:15" x14ac:dyDescent="0.3">
      <c r="A350" t="s">
        <v>363</v>
      </c>
      <c r="B350">
        <v>8</v>
      </c>
      <c r="C350">
        <v>69</v>
      </c>
      <c r="D350" t="s">
        <v>5016</v>
      </c>
      <c r="E350" t="s">
        <v>5018</v>
      </c>
      <c r="F350" t="s">
        <v>5020</v>
      </c>
      <c r="G350">
        <v>9.89</v>
      </c>
      <c r="H350">
        <v>2</v>
      </c>
      <c r="I350">
        <v>2.1</v>
      </c>
      <c r="J350">
        <v>24.95</v>
      </c>
      <c r="K350">
        <v>82.5</v>
      </c>
      <c r="L350" t="s">
        <v>5026</v>
      </c>
      <c r="M350">
        <v>11</v>
      </c>
      <c r="N350">
        <v>2</v>
      </c>
      <c r="O350">
        <v>1</v>
      </c>
    </row>
    <row r="351" spans="1:15" x14ac:dyDescent="0.3">
      <c r="A351" t="s">
        <v>364</v>
      </c>
      <c r="B351">
        <v>11</v>
      </c>
      <c r="C351">
        <v>32</v>
      </c>
      <c r="D351" t="s">
        <v>5016</v>
      </c>
      <c r="E351" t="s">
        <v>5019</v>
      </c>
      <c r="F351" t="s">
        <v>5024</v>
      </c>
      <c r="G351">
        <v>19.8</v>
      </c>
      <c r="H351">
        <v>1</v>
      </c>
      <c r="I351">
        <v>3.2</v>
      </c>
      <c r="J351">
        <v>7.91</v>
      </c>
      <c r="K351">
        <v>96.2</v>
      </c>
      <c r="L351" t="s">
        <v>5027</v>
      </c>
      <c r="M351">
        <v>5</v>
      </c>
      <c r="N351">
        <v>2</v>
      </c>
      <c r="O351">
        <v>0</v>
      </c>
    </row>
    <row r="352" spans="1:15" x14ac:dyDescent="0.3">
      <c r="A352" t="s">
        <v>365</v>
      </c>
      <c r="B352">
        <v>11</v>
      </c>
      <c r="C352">
        <v>54</v>
      </c>
      <c r="D352" t="s">
        <v>5016</v>
      </c>
      <c r="E352" t="s">
        <v>5018</v>
      </c>
      <c r="F352" t="s">
        <v>5024</v>
      </c>
      <c r="G352">
        <v>24.01</v>
      </c>
      <c r="H352">
        <v>2</v>
      </c>
      <c r="I352">
        <v>2.2000000000000002</v>
      </c>
      <c r="J352">
        <v>18.41</v>
      </c>
      <c r="K352">
        <v>36</v>
      </c>
      <c r="L352" t="s">
        <v>5026</v>
      </c>
      <c r="M352">
        <v>2</v>
      </c>
      <c r="N352">
        <v>0</v>
      </c>
      <c r="O352">
        <v>1</v>
      </c>
    </row>
    <row r="353" spans="1:15" x14ac:dyDescent="0.3">
      <c r="A353" t="s">
        <v>366</v>
      </c>
      <c r="B353">
        <v>2</v>
      </c>
      <c r="C353">
        <v>37</v>
      </c>
      <c r="D353" t="s">
        <v>5015</v>
      </c>
      <c r="E353" t="s">
        <v>5019</v>
      </c>
      <c r="F353" t="s">
        <v>5023</v>
      </c>
      <c r="G353">
        <v>7.74</v>
      </c>
      <c r="H353">
        <v>1</v>
      </c>
      <c r="I353">
        <v>2</v>
      </c>
      <c r="J353">
        <v>3.62</v>
      </c>
      <c r="K353">
        <v>20.100000000000001</v>
      </c>
      <c r="L353" t="s">
        <v>5028</v>
      </c>
      <c r="M353">
        <v>2</v>
      </c>
      <c r="N353">
        <v>1</v>
      </c>
      <c r="O353">
        <v>0</v>
      </c>
    </row>
    <row r="354" spans="1:15" x14ac:dyDescent="0.3">
      <c r="A354" t="s">
        <v>367</v>
      </c>
      <c r="B354">
        <v>5</v>
      </c>
      <c r="C354">
        <v>20</v>
      </c>
      <c r="D354" t="s">
        <v>5016</v>
      </c>
      <c r="E354" t="s">
        <v>5018</v>
      </c>
      <c r="F354" t="s">
        <v>5023</v>
      </c>
      <c r="G354">
        <v>15.22</v>
      </c>
      <c r="H354">
        <v>4</v>
      </c>
      <c r="I354">
        <v>8.9</v>
      </c>
      <c r="J354">
        <v>24.34</v>
      </c>
      <c r="K354">
        <v>95.8</v>
      </c>
      <c r="L354" t="s">
        <v>5026</v>
      </c>
      <c r="M354">
        <v>6</v>
      </c>
      <c r="N354">
        <v>1</v>
      </c>
      <c r="O354">
        <v>1</v>
      </c>
    </row>
    <row r="355" spans="1:15" x14ac:dyDescent="0.3">
      <c r="A355" t="s">
        <v>368</v>
      </c>
      <c r="B355">
        <v>1</v>
      </c>
      <c r="C355">
        <v>54</v>
      </c>
      <c r="D355" t="s">
        <v>5016</v>
      </c>
      <c r="E355" t="s">
        <v>5018</v>
      </c>
      <c r="F355" t="s">
        <v>5022</v>
      </c>
      <c r="G355">
        <v>6.14</v>
      </c>
      <c r="H355">
        <v>2</v>
      </c>
      <c r="I355">
        <v>7.1</v>
      </c>
      <c r="J355">
        <v>3.28</v>
      </c>
      <c r="K355">
        <v>76.599999999999994</v>
      </c>
      <c r="L355" t="s">
        <v>5025</v>
      </c>
      <c r="M355">
        <v>9</v>
      </c>
      <c r="N355">
        <v>3</v>
      </c>
      <c r="O355">
        <v>0</v>
      </c>
    </row>
    <row r="356" spans="1:15" x14ac:dyDescent="0.3">
      <c r="A356" t="s">
        <v>369</v>
      </c>
      <c r="B356">
        <v>12</v>
      </c>
      <c r="C356">
        <v>57</v>
      </c>
      <c r="D356" t="s">
        <v>5015</v>
      </c>
      <c r="E356" t="s">
        <v>5017</v>
      </c>
      <c r="F356" t="s">
        <v>5021</v>
      </c>
      <c r="G356">
        <v>9.1300000000000008</v>
      </c>
      <c r="H356">
        <v>3</v>
      </c>
      <c r="I356">
        <v>9.3000000000000007</v>
      </c>
      <c r="J356">
        <v>10.89</v>
      </c>
      <c r="K356">
        <v>90.2</v>
      </c>
      <c r="L356" t="s">
        <v>5025</v>
      </c>
      <c r="M356">
        <v>9</v>
      </c>
      <c r="N356">
        <v>1</v>
      </c>
      <c r="O356">
        <v>0</v>
      </c>
    </row>
    <row r="357" spans="1:15" x14ac:dyDescent="0.3">
      <c r="A357" t="s">
        <v>370</v>
      </c>
      <c r="B357">
        <v>1</v>
      </c>
      <c r="C357">
        <v>25</v>
      </c>
      <c r="D357" t="s">
        <v>5016</v>
      </c>
      <c r="E357" t="s">
        <v>5018</v>
      </c>
      <c r="F357" t="s">
        <v>5023</v>
      </c>
      <c r="G357">
        <v>6.8</v>
      </c>
      <c r="H357">
        <v>2</v>
      </c>
      <c r="I357">
        <v>6.8</v>
      </c>
      <c r="J357">
        <v>4.68</v>
      </c>
      <c r="K357">
        <v>42.5</v>
      </c>
      <c r="L357" t="s">
        <v>5026</v>
      </c>
      <c r="M357">
        <v>1</v>
      </c>
      <c r="N357">
        <v>1</v>
      </c>
      <c r="O357">
        <v>0</v>
      </c>
    </row>
    <row r="358" spans="1:15" x14ac:dyDescent="0.3">
      <c r="A358" t="s">
        <v>371</v>
      </c>
      <c r="B358">
        <v>5</v>
      </c>
      <c r="C358">
        <v>57</v>
      </c>
      <c r="D358" t="s">
        <v>5015</v>
      </c>
      <c r="E358" t="s">
        <v>5017</v>
      </c>
      <c r="F358" t="s">
        <v>5020</v>
      </c>
      <c r="G358">
        <v>13.08</v>
      </c>
      <c r="H358">
        <v>1</v>
      </c>
      <c r="I358">
        <v>8.6</v>
      </c>
      <c r="J358">
        <v>16.66</v>
      </c>
      <c r="K358">
        <v>53.6</v>
      </c>
      <c r="L358" t="s">
        <v>5027</v>
      </c>
      <c r="M358">
        <v>7</v>
      </c>
      <c r="N358">
        <v>4</v>
      </c>
      <c r="O358">
        <v>1</v>
      </c>
    </row>
    <row r="359" spans="1:15" x14ac:dyDescent="0.3">
      <c r="A359" t="s">
        <v>372</v>
      </c>
      <c r="B359">
        <v>12</v>
      </c>
      <c r="C359">
        <v>61</v>
      </c>
      <c r="D359" t="s">
        <v>5015</v>
      </c>
      <c r="E359" t="s">
        <v>5018</v>
      </c>
      <c r="F359" t="s">
        <v>5024</v>
      </c>
      <c r="G359">
        <v>21.42</v>
      </c>
      <c r="H359">
        <v>3</v>
      </c>
      <c r="I359">
        <v>6</v>
      </c>
      <c r="J359">
        <v>10.47</v>
      </c>
      <c r="K359">
        <v>93.7</v>
      </c>
      <c r="L359" t="s">
        <v>5029</v>
      </c>
      <c r="M359">
        <v>7</v>
      </c>
      <c r="N359">
        <v>4</v>
      </c>
      <c r="O359">
        <v>1</v>
      </c>
    </row>
    <row r="360" spans="1:15" x14ac:dyDescent="0.3">
      <c r="A360" t="s">
        <v>373</v>
      </c>
      <c r="B360">
        <v>3</v>
      </c>
      <c r="C360">
        <v>40</v>
      </c>
      <c r="D360" t="s">
        <v>5015</v>
      </c>
      <c r="E360" t="s">
        <v>5017</v>
      </c>
      <c r="F360" t="s">
        <v>5021</v>
      </c>
      <c r="G360">
        <v>16.54</v>
      </c>
      <c r="H360">
        <v>5</v>
      </c>
      <c r="I360">
        <v>5.2</v>
      </c>
      <c r="J360">
        <v>19.12</v>
      </c>
      <c r="K360">
        <v>51.4</v>
      </c>
      <c r="L360" t="s">
        <v>5029</v>
      </c>
      <c r="M360">
        <v>10</v>
      </c>
      <c r="N360">
        <v>0</v>
      </c>
      <c r="O360">
        <v>0</v>
      </c>
    </row>
    <row r="361" spans="1:15" x14ac:dyDescent="0.3">
      <c r="A361" t="s">
        <v>374</v>
      </c>
      <c r="B361">
        <v>4</v>
      </c>
      <c r="C361">
        <v>57</v>
      </c>
      <c r="D361" t="s">
        <v>5016</v>
      </c>
      <c r="E361" t="s">
        <v>5018</v>
      </c>
      <c r="F361" t="s">
        <v>5024</v>
      </c>
      <c r="G361">
        <v>9.4499999999999993</v>
      </c>
      <c r="H361">
        <v>3</v>
      </c>
      <c r="I361">
        <v>5.8</v>
      </c>
      <c r="J361">
        <v>13.7</v>
      </c>
      <c r="K361">
        <v>70.5</v>
      </c>
      <c r="L361" t="s">
        <v>5028</v>
      </c>
      <c r="M361">
        <v>2</v>
      </c>
      <c r="N361">
        <v>1</v>
      </c>
      <c r="O361">
        <v>0</v>
      </c>
    </row>
    <row r="362" spans="1:15" x14ac:dyDescent="0.3">
      <c r="A362" t="s">
        <v>375</v>
      </c>
      <c r="B362">
        <v>3</v>
      </c>
      <c r="C362">
        <v>28</v>
      </c>
      <c r="D362" t="s">
        <v>5016</v>
      </c>
      <c r="E362" t="s">
        <v>5019</v>
      </c>
      <c r="F362" t="s">
        <v>5021</v>
      </c>
      <c r="G362">
        <v>5.8</v>
      </c>
      <c r="H362">
        <v>3</v>
      </c>
      <c r="I362">
        <v>3.9</v>
      </c>
      <c r="J362">
        <v>12.23</v>
      </c>
      <c r="K362">
        <v>73.400000000000006</v>
      </c>
      <c r="L362" t="s">
        <v>5028</v>
      </c>
      <c r="M362">
        <v>10</v>
      </c>
      <c r="N362">
        <v>2</v>
      </c>
      <c r="O362">
        <v>0</v>
      </c>
    </row>
    <row r="363" spans="1:15" x14ac:dyDescent="0.3">
      <c r="A363" t="s">
        <v>376</v>
      </c>
      <c r="B363">
        <v>1</v>
      </c>
      <c r="C363">
        <v>63</v>
      </c>
      <c r="D363" t="s">
        <v>5015</v>
      </c>
      <c r="E363" t="s">
        <v>5018</v>
      </c>
      <c r="F363" t="s">
        <v>5023</v>
      </c>
      <c r="G363">
        <v>16.07</v>
      </c>
      <c r="H363">
        <v>2</v>
      </c>
      <c r="I363">
        <v>6.9</v>
      </c>
      <c r="J363">
        <v>10.67</v>
      </c>
      <c r="K363">
        <v>85.3</v>
      </c>
      <c r="L363" t="s">
        <v>5029</v>
      </c>
      <c r="M363">
        <v>4</v>
      </c>
      <c r="N363">
        <v>1</v>
      </c>
      <c r="O363">
        <v>0</v>
      </c>
    </row>
    <row r="364" spans="1:15" x14ac:dyDescent="0.3">
      <c r="A364" t="s">
        <v>377</v>
      </c>
      <c r="B364">
        <v>1</v>
      </c>
      <c r="C364">
        <v>25</v>
      </c>
      <c r="D364" t="s">
        <v>5015</v>
      </c>
      <c r="E364" t="s">
        <v>5017</v>
      </c>
      <c r="F364" t="s">
        <v>5023</v>
      </c>
      <c r="G364">
        <v>7.66</v>
      </c>
      <c r="H364">
        <v>3</v>
      </c>
      <c r="I364">
        <v>9.1</v>
      </c>
      <c r="J364">
        <v>4.8899999999999997</v>
      </c>
      <c r="K364">
        <v>97.8</v>
      </c>
      <c r="L364" t="s">
        <v>5029</v>
      </c>
      <c r="M364">
        <v>8</v>
      </c>
      <c r="N364">
        <v>1</v>
      </c>
      <c r="O364">
        <v>1</v>
      </c>
    </row>
    <row r="365" spans="1:15" x14ac:dyDescent="0.3">
      <c r="A365" t="s">
        <v>378</v>
      </c>
      <c r="B365">
        <v>12</v>
      </c>
      <c r="C365">
        <v>46</v>
      </c>
      <c r="D365" t="s">
        <v>5015</v>
      </c>
      <c r="E365" t="s">
        <v>5017</v>
      </c>
      <c r="F365" t="s">
        <v>5022</v>
      </c>
      <c r="G365">
        <v>11.85</v>
      </c>
      <c r="H365">
        <v>3</v>
      </c>
      <c r="I365">
        <v>8</v>
      </c>
      <c r="J365">
        <v>7.51</v>
      </c>
      <c r="K365">
        <v>40.1</v>
      </c>
      <c r="L365" t="s">
        <v>5026</v>
      </c>
      <c r="M365">
        <v>6</v>
      </c>
      <c r="N365">
        <v>0</v>
      </c>
      <c r="O365">
        <v>0</v>
      </c>
    </row>
    <row r="366" spans="1:15" x14ac:dyDescent="0.3">
      <c r="A366" t="s">
        <v>379</v>
      </c>
      <c r="B366">
        <v>12</v>
      </c>
      <c r="C366">
        <v>47</v>
      </c>
      <c r="D366" t="s">
        <v>5015</v>
      </c>
      <c r="E366" t="s">
        <v>5019</v>
      </c>
      <c r="F366" t="s">
        <v>5021</v>
      </c>
      <c r="G366">
        <v>15.2</v>
      </c>
      <c r="H366">
        <v>1</v>
      </c>
      <c r="I366">
        <v>5.2</v>
      </c>
      <c r="J366">
        <v>17.059999999999999</v>
      </c>
      <c r="K366">
        <v>32.299999999999997</v>
      </c>
      <c r="L366" t="s">
        <v>5029</v>
      </c>
      <c r="M366">
        <v>11</v>
      </c>
      <c r="N366">
        <v>2</v>
      </c>
      <c r="O366">
        <v>0</v>
      </c>
    </row>
    <row r="367" spans="1:15" x14ac:dyDescent="0.3">
      <c r="A367" t="s">
        <v>380</v>
      </c>
      <c r="B367">
        <v>5</v>
      </c>
      <c r="C367">
        <v>27</v>
      </c>
      <c r="D367" t="s">
        <v>5015</v>
      </c>
      <c r="E367" t="s">
        <v>5017</v>
      </c>
      <c r="F367" t="s">
        <v>5020</v>
      </c>
      <c r="G367">
        <v>23.07</v>
      </c>
      <c r="H367">
        <v>2</v>
      </c>
      <c r="I367">
        <v>9.6</v>
      </c>
      <c r="J367">
        <v>13.93</v>
      </c>
      <c r="K367">
        <v>17</v>
      </c>
      <c r="L367" t="s">
        <v>5025</v>
      </c>
      <c r="M367">
        <v>7</v>
      </c>
      <c r="N367">
        <v>0</v>
      </c>
      <c r="O367">
        <v>0</v>
      </c>
    </row>
    <row r="368" spans="1:15" x14ac:dyDescent="0.3">
      <c r="A368" t="s">
        <v>381</v>
      </c>
      <c r="B368">
        <v>6</v>
      </c>
      <c r="C368">
        <v>56</v>
      </c>
      <c r="D368" t="s">
        <v>5015</v>
      </c>
      <c r="E368" t="s">
        <v>5018</v>
      </c>
      <c r="F368" t="s">
        <v>5023</v>
      </c>
      <c r="G368">
        <v>6.64</v>
      </c>
      <c r="H368">
        <v>1</v>
      </c>
      <c r="I368">
        <v>9.9</v>
      </c>
      <c r="J368">
        <v>4.54</v>
      </c>
      <c r="K368">
        <v>87.1</v>
      </c>
      <c r="L368" t="s">
        <v>5028</v>
      </c>
      <c r="M368">
        <v>10</v>
      </c>
      <c r="N368">
        <v>1</v>
      </c>
      <c r="O368">
        <v>0</v>
      </c>
    </row>
    <row r="369" spans="1:15" x14ac:dyDescent="0.3">
      <c r="A369" t="s">
        <v>382</v>
      </c>
      <c r="B369">
        <v>3</v>
      </c>
      <c r="C369">
        <v>45</v>
      </c>
      <c r="D369" t="s">
        <v>5016</v>
      </c>
      <c r="E369" t="s">
        <v>5018</v>
      </c>
      <c r="F369" t="s">
        <v>5022</v>
      </c>
      <c r="G369">
        <v>18.37</v>
      </c>
      <c r="H369">
        <v>2</v>
      </c>
      <c r="I369">
        <v>5.4</v>
      </c>
      <c r="J369">
        <v>14.97</v>
      </c>
      <c r="K369">
        <v>36.299999999999997</v>
      </c>
      <c r="L369" t="s">
        <v>5028</v>
      </c>
      <c r="M369">
        <v>11</v>
      </c>
      <c r="N369">
        <v>2</v>
      </c>
      <c r="O369">
        <v>0</v>
      </c>
    </row>
    <row r="370" spans="1:15" x14ac:dyDescent="0.3">
      <c r="A370" t="s">
        <v>383</v>
      </c>
      <c r="B370">
        <v>12</v>
      </c>
      <c r="C370">
        <v>66</v>
      </c>
      <c r="D370" t="s">
        <v>5015</v>
      </c>
      <c r="E370" t="s">
        <v>5018</v>
      </c>
      <c r="F370" t="s">
        <v>5023</v>
      </c>
      <c r="G370">
        <v>5.28</v>
      </c>
      <c r="H370">
        <v>5</v>
      </c>
      <c r="I370">
        <v>8.8000000000000007</v>
      </c>
      <c r="J370">
        <v>4.1900000000000004</v>
      </c>
      <c r="K370">
        <v>14.5</v>
      </c>
      <c r="L370" t="s">
        <v>5025</v>
      </c>
      <c r="M370">
        <v>11</v>
      </c>
      <c r="N370">
        <v>1</v>
      </c>
      <c r="O370">
        <v>0</v>
      </c>
    </row>
    <row r="371" spans="1:15" x14ac:dyDescent="0.3">
      <c r="A371" t="s">
        <v>384</v>
      </c>
      <c r="B371">
        <v>9</v>
      </c>
      <c r="C371">
        <v>53</v>
      </c>
      <c r="D371" t="s">
        <v>5015</v>
      </c>
      <c r="E371" t="s">
        <v>5018</v>
      </c>
      <c r="F371" t="s">
        <v>5024</v>
      </c>
      <c r="G371">
        <v>17.600000000000001</v>
      </c>
      <c r="H371">
        <v>3</v>
      </c>
      <c r="I371">
        <v>1</v>
      </c>
      <c r="J371">
        <v>14.26</v>
      </c>
      <c r="K371">
        <v>87.9</v>
      </c>
      <c r="L371" t="s">
        <v>5028</v>
      </c>
      <c r="M371">
        <v>6</v>
      </c>
      <c r="N371">
        <v>0</v>
      </c>
      <c r="O371">
        <v>0</v>
      </c>
    </row>
    <row r="372" spans="1:15" x14ac:dyDescent="0.3">
      <c r="A372" t="s">
        <v>385</v>
      </c>
      <c r="B372">
        <v>5</v>
      </c>
      <c r="C372">
        <v>30</v>
      </c>
      <c r="D372" t="s">
        <v>5015</v>
      </c>
      <c r="E372" t="s">
        <v>5019</v>
      </c>
      <c r="F372" t="s">
        <v>5023</v>
      </c>
      <c r="G372">
        <v>16.03</v>
      </c>
      <c r="H372">
        <v>2</v>
      </c>
      <c r="I372">
        <v>1.6</v>
      </c>
      <c r="J372">
        <v>24.23</v>
      </c>
      <c r="K372">
        <v>55.9</v>
      </c>
      <c r="L372" t="s">
        <v>5029</v>
      </c>
      <c r="M372">
        <v>9</v>
      </c>
      <c r="N372">
        <v>0</v>
      </c>
      <c r="O372">
        <v>0</v>
      </c>
    </row>
    <row r="373" spans="1:15" x14ac:dyDescent="0.3">
      <c r="A373" t="s">
        <v>386</v>
      </c>
      <c r="B373">
        <v>8</v>
      </c>
      <c r="C373">
        <v>49</v>
      </c>
      <c r="D373" t="s">
        <v>5016</v>
      </c>
      <c r="E373" t="s">
        <v>5017</v>
      </c>
      <c r="F373" t="s">
        <v>5021</v>
      </c>
      <c r="G373">
        <v>21.24</v>
      </c>
      <c r="H373">
        <v>3</v>
      </c>
      <c r="I373">
        <v>1.2</v>
      </c>
      <c r="J373">
        <v>9.76</v>
      </c>
      <c r="K373">
        <v>85.4</v>
      </c>
      <c r="L373" t="s">
        <v>5028</v>
      </c>
      <c r="M373">
        <v>11</v>
      </c>
      <c r="N373">
        <v>4</v>
      </c>
      <c r="O373">
        <v>0</v>
      </c>
    </row>
    <row r="374" spans="1:15" x14ac:dyDescent="0.3">
      <c r="A374" t="s">
        <v>387</v>
      </c>
      <c r="B374">
        <v>1</v>
      </c>
      <c r="C374">
        <v>53</v>
      </c>
      <c r="D374" t="s">
        <v>5016</v>
      </c>
      <c r="E374" t="s">
        <v>5017</v>
      </c>
      <c r="F374" t="s">
        <v>5022</v>
      </c>
      <c r="G374">
        <v>15.63</v>
      </c>
      <c r="H374">
        <v>3</v>
      </c>
      <c r="I374">
        <v>8</v>
      </c>
      <c r="J374">
        <v>18.920000000000002</v>
      </c>
      <c r="K374">
        <v>59.9</v>
      </c>
      <c r="L374" t="s">
        <v>5025</v>
      </c>
      <c r="M374">
        <v>10</v>
      </c>
      <c r="N374">
        <v>2</v>
      </c>
      <c r="O374">
        <v>0</v>
      </c>
    </row>
    <row r="375" spans="1:15" x14ac:dyDescent="0.3">
      <c r="A375" t="s">
        <v>388</v>
      </c>
      <c r="B375">
        <v>5</v>
      </c>
      <c r="C375">
        <v>54</v>
      </c>
      <c r="D375" t="s">
        <v>5016</v>
      </c>
      <c r="E375" t="s">
        <v>5017</v>
      </c>
      <c r="F375" t="s">
        <v>5021</v>
      </c>
      <c r="G375">
        <v>12.05</v>
      </c>
      <c r="H375">
        <v>4</v>
      </c>
      <c r="I375">
        <v>1.7</v>
      </c>
      <c r="J375">
        <v>19.399999999999999</v>
      </c>
      <c r="K375">
        <v>38.200000000000003</v>
      </c>
      <c r="L375" t="s">
        <v>5028</v>
      </c>
      <c r="M375">
        <v>10</v>
      </c>
      <c r="N375">
        <v>4</v>
      </c>
      <c r="O375">
        <v>1</v>
      </c>
    </row>
    <row r="376" spans="1:15" x14ac:dyDescent="0.3">
      <c r="A376" t="s">
        <v>389</v>
      </c>
      <c r="B376">
        <v>3</v>
      </c>
      <c r="C376">
        <v>43</v>
      </c>
      <c r="D376" t="s">
        <v>5016</v>
      </c>
      <c r="E376" t="s">
        <v>5017</v>
      </c>
      <c r="F376" t="s">
        <v>5020</v>
      </c>
      <c r="G376">
        <v>9.86</v>
      </c>
      <c r="H376">
        <v>1</v>
      </c>
      <c r="I376">
        <v>1.2</v>
      </c>
      <c r="J376">
        <v>11.91</v>
      </c>
      <c r="K376">
        <v>21.7</v>
      </c>
      <c r="L376" t="s">
        <v>5029</v>
      </c>
      <c r="M376">
        <v>9</v>
      </c>
      <c r="N376">
        <v>2</v>
      </c>
      <c r="O376">
        <v>0</v>
      </c>
    </row>
    <row r="377" spans="1:15" x14ac:dyDescent="0.3">
      <c r="A377" t="s">
        <v>390</v>
      </c>
      <c r="B377">
        <v>12</v>
      </c>
      <c r="C377">
        <v>39</v>
      </c>
      <c r="D377" t="s">
        <v>5015</v>
      </c>
      <c r="E377" t="s">
        <v>5017</v>
      </c>
      <c r="F377" t="s">
        <v>5020</v>
      </c>
      <c r="G377">
        <v>6.7</v>
      </c>
      <c r="H377">
        <v>2</v>
      </c>
      <c r="I377">
        <v>2.2999999999999998</v>
      </c>
      <c r="J377">
        <v>16.05</v>
      </c>
      <c r="K377">
        <v>49.3</v>
      </c>
      <c r="L377" t="s">
        <v>5026</v>
      </c>
      <c r="M377">
        <v>6</v>
      </c>
      <c r="N377">
        <v>3</v>
      </c>
      <c r="O377">
        <v>1</v>
      </c>
    </row>
    <row r="378" spans="1:15" x14ac:dyDescent="0.3">
      <c r="A378" t="s">
        <v>391</v>
      </c>
      <c r="B378">
        <v>1</v>
      </c>
      <c r="C378">
        <v>21</v>
      </c>
      <c r="D378" t="s">
        <v>5016</v>
      </c>
      <c r="E378" t="s">
        <v>5018</v>
      </c>
      <c r="F378" t="s">
        <v>5023</v>
      </c>
      <c r="G378">
        <v>15.69</v>
      </c>
      <c r="H378">
        <v>5</v>
      </c>
      <c r="I378">
        <v>3.8</v>
      </c>
      <c r="J378">
        <v>13.39</v>
      </c>
      <c r="K378">
        <v>12.4</v>
      </c>
      <c r="L378" t="s">
        <v>5029</v>
      </c>
      <c r="M378">
        <v>6</v>
      </c>
      <c r="N378">
        <v>2</v>
      </c>
      <c r="O378">
        <v>0</v>
      </c>
    </row>
    <row r="379" spans="1:15" x14ac:dyDescent="0.3">
      <c r="A379" t="s">
        <v>392</v>
      </c>
      <c r="B379">
        <v>4</v>
      </c>
      <c r="C379">
        <v>48</v>
      </c>
      <c r="D379" t="s">
        <v>5015</v>
      </c>
      <c r="E379" t="s">
        <v>5018</v>
      </c>
      <c r="F379" t="s">
        <v>5022</v>
      </c>
      <c r="G379">
        <v>22.77</v>
      </c>
      <c r="H379">
        <v>4</v>
      </c>
      <c r="I379">
        <v>5.2</v>
      </c>
      <c r="J379">
        <v>9.23</v>
      </c>
      <c r="K379">
        <v>64.2</v>
      </c>
      <c r="L379" t="s">
        <v>5028</v>
      </c>
      <c r="M379">
        <v>9</v>
      </c>
      <c r="N379">
        <v>1</v>
      </c>
      <c r="O379">
        <v>0</v>
      </c>
    </row>
    <row r="380" spans="1:15" x14ac:dyDescent="0.3">
      <c r="A380" t="s">
        <v>393</v>
      </c>
      <c r="B380">
        <v>5</v>
      </c>
      <c r="C380">
        <v>35</v>
      </c>
      <c r="D380" t="s">
        <v>5015</v>
      </c>
      <c r="E380" t="s">
        <v>5018</v>
      </c>
      <c r="F380" t="s">
        <v>5022</v>
      </c>
      <c r="G380">
        <v>15.29</v>
      </c>
      <c r="H380">
        <v>1</v>
      </c>
      <c r="I380">
        <v>1.6</v>
      </c>
      <c r="J380">
        <v>19.600000000000001</v>
      </c>
      <c r="K380">
        <v>48.5</v>
      </c>
      <c r="L380" t="s">
        <v>5027</v>
      </c>
      <c r="M380">
        <v>10</v>
      </c>
      <c r="N380">
        <v>2</v>
      </c>
      <c r="O380">
        <v>0</v>
      </c>
    </row>
    <row r="381" spans="1:15" x14ac:dyDescent="0.3">
      <c r="A381" t="s">
        <v>394</v>
      </c>
      <c r="B381">
        <v>7</v>
      </c>
      <c r="C381">
        <v>55</v>
      </c>
      <c r="D381" t="s">
        <v>5015</v>
      </c>
      <c r="E381" t="s">
        <v>5018</v>
      </c>
      <c r="F381" t="s">
        <v>5022</v>
      </c>
      <c r="G381">
        <v>19.78</v>
      </c>
      <c r="H381">
        <v>5</v>
      </c>
      <c r="I381">
        <v>5.5</v>
      </c>
      <c r="J381">
        <v>18.46</v>
      </c>
      <c r="K381">
        <v>22.7</v>
      </c>
      <c r="L381" t="s">
        <v>5028</v>
      </c>
      <c r="M381">
        <v>9</v>
      </c>
      <c r="N381">
        <v>4</v>
      </c>
      <c r="O381">
        <v>0</v>
      </c>
    </row>
    <row r="382" spans="1:15" x14ac:dyDescent="0.3">
      <c r="A382" t="s">
        <v>395</v>
      </c>
      <c r="B382">
        <v>1</v>
      </c>
      <c r="C382">
        <v>41</v>
      </c>
      <c r="D382" t="s">
        <v>5015</v>
      </c>
      <c r="E382" t="s">
        <v>5019</v>
      </c>
      <c r="F382" t="s">
        <v>5022</v>
      </c>
      <c r="G382">
        <v>10.97</v>
      </c>
      <c r="H382">
        <v>5</v>
      </c>
      <c r="I382">
        <v>3.2</v>
      </c>
      <c r="J382">
        <v>22.81</v>
      </c>
      <c r="K382">
        <v>57.7</v>
      </c>
      <c r="L382" t="s">
        <v>5028</v>
      </c>
      <c r="M382">
        <v>3</v>
      </c>
      <c r="N382">
        <v>0</v>
      </c>
      <c r="O382">
        <v>1</v>
      </c>
    </row>
    <row r="383" spans="1:15" x14ac:dyDescent="0.3">
      <c r="A383" t="s">
        <v>396</v>
      </c>
      <c r="B383">
        <v>3</v>
      </c>
      <c r="C383">
        <v>40</v>
      </c>
      <c r="D383" t="s">
        <v>5015</v>
      </c>
      <c r="E383" t="s">
        <v>5018</v>
      </c>
      <c r="F383" t="s">
        <v>5023</v>
      </c>
      <c r="G383">
        <v>13.96</v>
      </c>
      <c r="H383">
        <v>3</v>
      </c>
      <c r="I383">
        <v>3.5</v>
      </c>
      <c r="J383">
        <v>16.600000000000001</v>
      </c>
      <c r="K383">
        <v>82.1</v>
      </c>
      <c r="L383" t="s">
        <v>5025</v>
      </c>
      <c r="M383">
        <v>7</v>
      </c>
      <c r="N383">
        <v>0</v>
      </c>
      <c r="O383">
        <v>1</v>
      </c>
    </row>
    <row r="384" spans="1:15" x14ac:dyDescent="0.3">
      <c r="A384" t="s">
        <v>397</v>
      </c>
      <c r="B384">
        <v>2</v>
      </c>
      <c r="C384">
        <v>39</v>
      </c>
      <c r="D384" t="s">
        <v>5015</v>
      </c>
      <c r="E384" t="s">
        <v>5017</v>
      </c>
      <c r="F384" t="s">
        <v>5021</v>
      </c>
      <c r="G384">
        <v>11.49</v>
      </c>
      <c r="H384">
        <v>1</v>
      </c>
      <c r="I384">
        <v>8.4</v>
      </c>
      <c r="J384">
        <v>11.55</v>
      </c>
      <c r="K384">
        <v>97.7</v>
      </c>
      <c r="L384" t="s">
        <v>5027</v>
      </c>
      <c r="M384">
        <v>3</v>
      </c>
      <c r="N384">
        <v>2</v>
      </c>
      <c r="O384">
        <v>0</v>
      </c>
    </row>
    <row r="385" spans="1:15" x14ac:dyDescent="0.3">
      <c r="A385" t="s">
        <v>398</v>
      </c>
      <c r="B385">
        <v>9</v>
      </c>
      <c r="C385">
        <v>19</v>
      </c>
      <c r="D385" t="s">
        <v>5016</v>
      </c>
      <c r="E385" t="s">
        <v>5018</v>
      </c>
      <c r="F385" t="s">
        <v>5023</v>
      </c>
      <c r="G385">
        <v>7.19</v>
      </c>
      <c r="H385">
        <v>4</v>
      </c>
      <c r="I385">
        <v>9.9</v>
      </c>
      <c r="J385">
        <v>18.71</v>
      </c>
      <c r="K385">
        <v>57.5</v>
      </c>
      <c r="L385" t="s">
        <v>5025</v>
      </c>
      <c r="M385">
        <v>4</v>
      </c>
      <c r="N385">
        <v>3</v>
      </c>
      <c r="O385">
        <v>1</v>
      </c>
    </row>
    <row r="386" spans="1:15" x14ac:dyDescent="0.3">
      <c r="A386" t="s">
        <v>399</v>
      </c>
      <c r="B386">
        <v>10</v>
      </c>
      <c r="C386">
        <v>48</v>
      </c>
      <c r="D386" t="s">
        <v>5016</v>
      </c>
      <c r="E386" t="s">
        <v>5017</v>
      </c>
      <c r="F386" t="s">
        <v>5021</v>
      </c>
      <c r="G386">
        <v>13.34</v>
      </c>
      <c r="H386">
        <v>2</v>
      </c>
      <c r="I386">
        <v>5.2</v>
      </c>
      <c r="J386">
        <v>16.62</v>
      </c>
      <c r="K386">
        <v>21.7</v>
      </c>
      <c r="L386" t="s">
        <v>5025</v>
      </c>
      <c r="M386">
        <v>9</v>
      </c>
      <c r="N386">
        <v>0</v>
      </c>
      <c r="O386">
        <v>0</v>
      </c>
    </row>
    <row r="387" spans="1:15" x14ac:dyDescent="0.3">
      <c r="A387" t="s">
        <v>400</v>
      </c>
      <c r="B387">
        <v>6</v>
      </c>
      <c r="C387">
        <v>28</v>
      </c>
      <c r="D387" t="s">
        <v>5016</v>
      </c>
      <c r="E387" t="s">
        <v>5017</v>
      </c>
      <c r="F387" t="s">
        <v>5024</v>
      </c>
      <c r="G387">
        <v>20.29</v>
      </c>
      <c r="H387">
        <v>2</v>
      </c>
      <c r="I387">
        <v>3.9</v>
      </c>
      <c r="J387">
        <v>16.57</v>
      </c>
      <c r="K387">
        <v>83</v>
      </c>
      <c r="L387" t="s">
        <v>5029</v>
      </c>
      <c r="M387">
        <v>10</v>
      </c>
      <c r="N387">
        <v>0</v>
      </c>
      <c r="O387">
        <v>0</v>
      </c>
    </row>
    <row r="388" spans="1:15" x14ac:dyDescent="0.3">
      <c r="A388" t="s">
        <v>401</v>
      </c>
      <c r="B388">
        <v>10</v>
      </c>
      <c r="C388">
        <v>45</v>
      </c>
      <c r="D388" t="s">
        <v>5016</v>
      </c>
      <c r="E388" t="s">
        <v>5018</v>
      </c>
      <c r="F388" t="s">
        <v>5024</v>
      </c>
      <c r="G388">
        <v>12.9</v>
      </c>
      <c r="H388">
        <v>4</v>
      </c>
      <c r="I388">
        <v>9.4</v>
      </c>
      <c r="J388">
        <v>21.7</v>
      </c>
      <c r="K388">
        <v>72.599999999999994</v>
      </c>
      <c r="L388" t="s">
        <v>5026</v>
      </c>
      <c r="M388">
        <v>8</v>
      </c>
      <c r="N388">
        <v>0</v>
      </c>
      <c r="O388">
        <v>0</v>
      </c>
    </row>
    <row r="389" spans="1:15" x14ac:dyDescent="0.3">
      <c r="A389" t="s">
        <v>402</v>
      </c>
      <c r="B389">
        <v>3</v>
      </c>
      <c r="C389">
        <v>63</v>
      </c>
      <c r="D389" t="s">
        <v>5016</v>
      </c>
      <c r="E389" t="s">
        <v>5019</v>
      </c>
      <c r="F389" t="s">
        <v>5021</v>
      </c>
      <c r="G389">
        <v>18</v>
      </c>
      <c r="H389">
        <v>3</v>
      </c>
      <c r="I389">
        <v>5.5</v>
      </c>
      <c r="J389">
        <v>23.03</v>
      </c>
      <c r="K389">
        <v>95.9</v>
      </c>
      <c r="L389" t="s">
        <v>5028</v>
      </c>
      <c r="M389">
        <v>6</v>
      </c>
      <c r="N389">
        <v>3</v>
      </c>
      <c r="O389">
        <v>0</v>
      </c>
    </row>
    <row r="390" spans="1:15" x14ac:dyDescent="0.3">
      <c r="A390" t="s">
        <v>403</v>
      </c>
      <c r="B390">
        <v>8</v>
      </c>
      <c r="C390">
        <v>49</v>
      </c>
      <c r="D390" t="s">
        <v>5015</v>
      </c>
      <c r="E390" t="s">
        <v>5019</v>
      </c>
      <c r="F390" t="s">
        <v>5023</v>
      </c>
      <c r="G390">
        <v>20.170000000000002</v>
      </c>
      <c r="H390">
        <v>3</v>
      </c>
      <c r="I390">
        <v>7.6</v>
      </c>
      <c r="J390">
        <v>6.97</v>
      </c>
      <c r="K390">
        <v>58.2</v>
      </c>
      <c r="L390" t="s">
        <v>5027</v>
      </c>
      <c r="M390">
        <v>6</v>
      </c>
      <c r="N390">
        <v>4</v>
      </c>
      <c r="O390">
        <v>0</v>
      </c>
    </row>
    <row r="391" spans="1:15" x14ac:dyDescent="0.3">
      <c r="A391" t="s">
        <v>404</v>
      </c>
      <c r="B391">
        <v>8</v>
      </c>
      <c r="C391">
        <v>22</v>
      </c>
      <c r="D391" t="s">
        <v>5016</v>
      </c>
      <c r="E391" t="s">
        <v>5017</v>
      </c>
      <c r="F391" t="s">
        <v>5020</v>
      </c>
      <c r="G391">
        <v>11.45</v>
      </c>
      <c r="H391">
        <v>5</v>
      </c>
      <c r="I391">
        <v>4.7</v>
      </c>
      <c r="J391">
        <v>9.91</v>
      </c>
      <c r="K391">
        <v>42.1</v>
      </c>
      <c r="L391" t="s">
        <v>5028</v>
      </c>
      <c r="M391">
        <v>8</v>
      </c>
      <c r="N391">
        <v>2</v>
      </c>
      <c r="O391">
        <v>0</v>
      </c>
    </row>
    <row r="392" spans="1:15" x14ac:dyDescent="0.3">
      <c r="A392" t="s">
        <v>405</v>
      </c>
      <c r="B392">
        <v>2</v>
      </c>
      <c r="C392">
        <v>55</v>
      </c>
      <c r="D392" t="s">
        <v>5016</v>
      </c>
      <c r="E392" t="s">
        <v>5019</v>
      </c>
      <c r="F392" t="s">
        <v>5023</v>
      </c>
      <c r="G392">
        <v>20.95</v>
      </c>
      <c r="H392">
        <v>1</v>
      </c>
      <c r="I392">
        <v>2.8</v>
      </c>
      <c r="J392">
        <v>17.309999999999999</v>
      </c>
      <c r="K392">
        <v>96.7</v>
      </c>
      <c r="L392" t="s">
        <v>5025</v>
      </c>
      <c r="M392">
        <v>2</v>
      </c>
      <c r="N392">
        <v>3</v>
      </c>
      <c r="O392">
        <v>1</v>
      </c>
    </row>
    <row r="393" spans="1:15" x14ac:dyDescent="0.3">
      <c r="A393" t="s">
        <v>406</v>
      </c>
      <c r="B393">
        <v>6</v>
      </c>
      <c r="C393">
        <v>27</v>
      </c>
      <c r="D393" t="s">
        <v>5016</v>
      </c>
      <c r="E393" t="s">
        <v>5019</v>
      </c>
      <c r="F393" t="s">
        <v>5020</v>
      </c>
      <c r="G393">
        <v>11.78</v>
      </c>
      <c r="H393">
        <v>5</v>
      </c>
      <c r="I393">
        <v>6.9</v>
      </c>
      <c r="J393">
        <v>15.26</v>
      </c>
      <c r="K393">
        <v>58.5</v>
      </c>
      <c r="L393" t="s">
        <v>5026</v>
      </c>
      <c r="M393">
        <v>5</v>
      </c>
      <c r="N393">
        <v>2</v>
      </c>
      <c r="O393">
        <v>1</v>
      </c>
    </row>
    <row r="394" spans="1:15" x14ac:dyDescent="0.3">
      <c r="A394" t="s">
        <v>407</v>
      </c>
      <c r="B394">
        <v>7</v>
      </c>
      <c r="C394">
        <v>57</v>
      </c>
      <c r="D394" t="s">
        <v>5015</v>
      </c>
      <c r="E394" t="s">
        <v>5018</v>
      </c>
      <c r="F394" t="s">
        <v>5023</v>
      </c>
      <c r="G394">
        <v>10.119999999999999</v>
      </c>
      <c r="H394">
        <v>2</v>
      </c>
      <c r="I394">
        <v>7</v>
      </c>
      <c r="J394">
        <v>17.350000000000001</v>
      </c>
      <c r="K394">
        <v>11.4</v>
      </c>
      <c r="L394" t="s">
        <v>5025</v>
      </c>
      <c r="M394">
        <v>7</v>
      </c>
      <c r="N394">
        <v>1</v>
      </c>
      <c r="O394">
        <v>1</v>
      </c>
    </row>
    <row r="395" spans="1:15" x14ac:dyDescent="0.3">
      <c r="A395" t="s">
        <v>408</v>
      </c>
      <c r="B395">
        <v>2</v>
      </c>
      <c r="C395">
        <v>63</v>
      </c>
      <c r="D395" t="s">
        <v>5015</v>
      </c>
      <c r="E395" t="s">
        <v>5019</v>
      </c>
      <c r="F395" t="s">
        <v>5022</v>
      </c>
      <c r="G395">
        <v>9.4499999999999993</v>
      </c>
      <c r="H395">
        <v>4</v>
      </c>
      <c r="I395">
        <v>5.0999999999999996</v>
      </c>
      <c r="J395">
        <v>12.53</v>
      </c>
      <c r="K395">
        <v>52.6</v>
      </c>
      <c r="L395" t="s">
        <v>5028</v>
      </c>
      <c r="M395">
        <v>3</v>
      </c>
      <c r="N395">
        <v>2</v>
      </c>
      <c r="O395">
        <v>0</v>
      </c>
    </row>
    <row r="396" spans="1:15" x14ac:dyDescent="0.3">
      <c r="A396" t="s">
        <v>409</v>
      </c>
      <c r="B396">
        <v>11</v>
      </c>
      <c r="C396">
        <v>41</v>
      </c>
      <c r="D396" t="s">
        <v>5015</v>
      </c>
      <c r="E396" t="s">
        <v>5018</v>
      </c>
      <c r="F396" t="s">
        <v>5022</v>
      </c>
      <c r="G396">
        <v>9</v>
      </c>
      <c r="H396">
        <v>1</v>
      </c>
      <c r="I396">
        <v>3.4</v>
      </c>
      <c r="J396">
        <v>12.07</v>
      </c>
      <c r="K396">
        <v>10.199999999999999</v>
      </c>
      <c r="L396" t="s">
        <v>5029</v>
      </c>
      <c r="M396">
        <v>8</v>
      </c>
      <c r="N396">
        <v>0</v>
      </c>
      <c r="O396">
        <v>0</v>
      </c>
    </row>
    <row r="397" spans="1:15" x14ac:dyDescent="0.3">
      <c r="A397" t="s">
        <v>410</v>
      </c>
      <c r="B397">
        <v>10</v>
      </c>
      <c r="C397">
        <v>52</v>
      </c>
      <c r="D397" t="s">
        <v>5016</v>
      </c>
      <c r="E397" t="s">
        <v>5017</v>
      </c>
      <c r="F397" t="s">
        <v>5024</v>
      </c>
      <c r="G397">
        <v>19.739999999999998</v>
      </c>
      <c r="H397">
        <v>4</v>
      </c>
      <c r="I397">
        <v>8.5</v>
      </c>
      <c r="J397">
        <v>5.59</v>
      </c>
      <c r="K397">
        <v>76.400000000000006</v>
      </c>
      <c r="L397" t="s">
        <v>5028</v>
      </c>
      <c r="M397">
        <v>3</v>
      </c>
      <c r="N397">
        <v>3</v>
      </c>
      <c r="O397">
        <v>1</v>
      </c>
    </row>
    <row r="398" spans="1:15" x14ac:dyDescent="0.3">
      <c r="A398" t="s">
        <v>411</v>
      </c>
      <c r="B398">
        <v>2</v>
      </c>
      <c r="C398">
        <v>61</v>
      </c>
      <c r="D398" t="s">
        <v>5016</v>
      </c>
      <c r="E398" t="s">
        <v>5018</v>
      </c>
      <c r="F398" t="s">
        <v>5024</v>
      </c>
      <c r="G398">
        <v>22.75</v>
      </c>
      <c r="H398">
        <v>1</v>
      </c>
      <c r="I398">
        <v>3.5</v>
      </c>
      <c r="J398">
        <v>16.72</v>
      </c>
      <c r="K398">
        <v>60.9</v>
      </c>
      <c r="L398" t="s">
        <v>5025</v>
      </c>
      <c r="M398">
        <v>4</v>
      </c>
      <c r="N398">
        <v>3</v>
      </c>
      <c r="O398">
        <v>0</v>
      </c>
    </row>
    <row r="399" spans="1:15" x14ac:dyDescent="0.3">
      <c r="A399" t="s">
        <v>412</v>
      </c>
      <c r="B399">
        <v>10</v>
      </c>
      <c r="C399">
        <v>65</v>
      </c>
      <c r="D399" t="s">
        <v>5016</v>
      </c>
      <c r="E399" t="s">
        <v>5018</v>
      </c>
      <c r="F399" t="s">
        <v>5021</v>
      </c>
      <c r="G399">
        <v>9.61</v>
      </c>
      <c r="H399">
        <v>2</v>
      </c>
      <c r="I399">
        <v>6.9</v>
      </c>
      <c r="J399">
        <v>6.87</v>
      </c>
      <c r="K399">
        <v>19.899999999999999</v>
      </c>
      <c r="L399" t="s">
        <v>5027</v>
      </c>
      <c r="M399">
        <v>10</v>
      </c>
      <c r="N399">
        <v>4</v>
      </c>
      <c r="O399">
        <v>1</v>
      </c>
    </row>
    <row r="400" spans="1:15" x14ac:dyDescent="0.3">
      <c r="A400" t="s">
        <v>413</v>
      </c>
      <c r="B400">
        <v>1</v>
      </c>
      <c r="C400">
        <v>40</v>
      </c>
      <c r="D400" t="s">
        <v>5016</v>
      </c>
      <c r="E400" t="s">
        <v>5018</v>
      </c>
      <c r="F400" t="s">
        <v>5020</v>
      </c>
      <c r="G400">
        <v>6.7</v>
      </c>
      <c r="H400">
        <v>2</v>
      </c>
      <c r="I400">
        <v>4.5</v>
      </c>
      <c r="J400">
        <v>17.760000000000002</v>
      </c>
      <c r="K400">
        <v>83.2</v>
      </c>
      <c r="L400" t="s">
        <v>5027</v>
      </c>
      <c r="M400">
        <v>10</v>
      </c>
      <c r="N400">
        <v>1</v>
      </c>
      <c r="O400">
        <v>0</v>
      </c>
    </row>
    <row r="401" spans="1:15" x14ac:dyDescent="0.3">
      <c r="A401" t="s">
        <v>414</v>
      </c>
      <c r="B401">
        <v>8</v>
      </c>
      <c r="C401">
        <v>34</v>
      </c>
      <c r="D401" t="s">
        <v>5016</v>
      </c>
      <c r="E401" t="s">
        <v>5018</v>
      </c>
      <c r="F401" t="s">
        <v>5022</v>
      </c>
      <c r="G401">
        <v>11.28</v>
      </c>
      <c r="H401">
        <v>1</v>
      </c>
      <c r="I401">
        <v>5.3</v>
      </c>
      <c r="J401">
        <v>24.28</v>
      </c>
      <c r="K401">
        <v>58.3</v>
      </c>
      <c r="L401" t="s">
        <v>5027</v>
      </c>
      <c r="M401">
        <v>6</v>
      </c>
      <c r="N401">
        <v>4</v>
      </c>
      <c r="O401">
        <v>0</v>
      </c>
    </row>
    <row r="402" spans="1:15" x14ac:dyDescent="0.3">
      <c r="A402" t="s">
        <v>415</v>
      </c>
      <c r="B402">
        <v>1</v>
      </c>
      <c r="C402">
        <v>18</v>
      </c>
      <c r="D402" t="s">
        <v>5015</v>
      </c>
      <c r="E402" t="s">
        <v>5019</v>
      </c>
      <c r="F402" t="s">
        <v>5023</v>
      </c>
      <c r="G402">
        <v>18.16</v>
      </c>
      <c r="H402">
        <v>3</v>
      </c>
      <c r="I402">
        <v>2.9</v>
      </c>
      <c r="J402">
        <v>8.64</v>
      </c>
      <c r="K402">
        <v>20.3</v>
      </c>
      <c r="L402" t="s">
        <v>5027</v>
      </c>
      <c r="M402">
        <v>6</v>
      </c>
      <c r="N402">
        <v>4</v>
      </c>
      <c r="O402">
        <v>0</v>
      </c>
    </row>
    <row r="403" spans="1:15" x14ac:dyDescent="0.3">
      <c r="A403" t="s">
        <v>416</v>
      </c>
      <c r="B403">
        <v>9</v>
      </c>
      <c r="C403">
        <v>48</v>
      </c>
      <c r="D403" t="s">
        <v>5016</v>
      </c>
      <c r="E403" t="s">
        <v>5019</v>
      </c>
      <c r="F403" t="s">
        <v>5021</v>
      </c>
      <c r="G403">
        <v>12.37</v>
      </c>
      <c r="H403">
        <v>1</v>
      </c>
      <c r="I403">
        <v>6.8</v>
      </c>
      <c r="J403">
        <v>6.13</v>
      </c>
      <c r="K403">
        <v>24.4</v>
      </c>
      <c r="L403" t="s">
        <v>5027</v>
      </c>
      <c r="M403">
        <v>2</v>
      </c>
      <c r="N403">
        <v>1</v>
      </c>
      <c r="O403">
        <v>1</v>
      </c>
    </row>
    <row r="404" spans="1:15" x14ac:dyDescent="0.3">
      <c r="A404" t="s">
        <v>417</v>
      </c>
      <c r="B404">
        <v>11</v>
      </c>
      <c r="C404">
        <v>48</v>
      </c>
      <c r="D404" t="s">
        <v>5015</v>
      </c>
      <c r="E404" t="s">
        <v>5019</v>
      </c>
      <c r="F404" t="s">
        <v>5023</v>
      </c>
      <c r="G404">
        <v>15.98</v>
      </c>
      <c r="H404">
        <v>2</v>
      </c>
      <c r="I404">
        <v>3</v>
      </c>
      <c r="J404">
        <v>3.53</v>
      </c>
      <c r="K404">
        <v>84</v>
      </c>
      <c r="L404" t="s">
        <v>5026</v>
      </c>
      <c r="M404">
        <v>2</v>
      </c>
      <c r="N404">
        <v>0</v>
      </c>
      <c r="O404">
        <v>0</v>
      </c>
    </row>
    <row r="405" spans="1:15" x14ac:dyDescent="0.3">
      <c r="A405" t="s">
        <v>418</v>
      </c>
      <c r="B405">
        <v>6</v>
      </c>
      <c r="C405">
        <v>59</v>
      </c>
      <c r="D405" t="s">
        <v>5016</v>
      </c>
      <c r="E405" t="s">
        <v>5019</v>
      </c>
      <c r="F405" t="s">
        <v>5022</v>
      </c>
      <c r="G405">
        <v>19.89</v>
      </c>
      <c r="H405">
        <v>4</v>
      </c>
      <c r="I405">
        <v>5.4</v>
      </c>
      <c r="J405">
        <v>11.33</v>
      </c>
      <c r="K405">
        <v>42</v>
      </c>
      <c r="L405" t="s">
        <v>5026</v>
      </c>
      <c r="M405">
        <v>3</v>
      </c>
      <c r="N405">
        <v>3</v>
      </c>
      <c r="O405">
        <v>1</v>
      </c>
    </row>
    <row r="406" spans="1:15" x14ac:dyDescent="0.3">
      <c r="A406" t="s">
        <v>419</v>
      </c>
      <c r="B406">
        <v>7</v>
      </c>
      <c r="C406">
        <v>59</v>
      </c>
      <c r="D406" t="s">
        <v>5015</v>
      </c>
      <c r="E406" t="s">
        <v>5019</v>
      </c>
      <c r="F406" t="s">
        <v>5022</v>
      </c>
      <c r="G406">
        <v>13.17</v>
      </c>
      <c r="H406">
        <v>5</v>
      </c>
      <c r="I406">
        <v>4</v>
      </c>
      <c r="J406">
        <v>7.72</v>
      </c>
      <c r="K406">
        <v>83.9</v>
      </c>
      <c r="L406" t="s">
        <v>5029</v>
      </c>
      <c r="M406">
        <v>3</v>
      </c>
      <c r="N406">
        <v>2</v>
      </c>
      <c r="O406">
        <v>0</v>
      </c>
    </row>
    <row r="407" spans="1:15" x14ac:dyDescent="0.3">
      <c r="A407" t="s">
        <v>420</v>
      </c>
      <c r="B407">
        <v>10</v>
      </c>
      <c r="C407">
        <v>51</v>
      </c>
      <c r="D407" t="s">
        <v>5015</v>
      </c>
      <c r="E407" t="s">
        <v>5017</v>
      </c>
      <c r="F407" t="s">
        <v>5022</v>
      </c>
      <c r="G407">
        <v>24.99</v>
      </c>
      <c r="H407">
        <v>4</v>
      </c>
      <c r="I407">
        <v>9.6999999999999993</v>
      </c>
      <c r="J407">
        <v>13.82</v>
      </c>
      <c r="K407">
        <v>16.3</v>
      </c>
      <c r="L407" t="s">
        <v>5027</v>
      </c>
      <c r="M407">
        <v>4</v>
      </c>
      <c r="N407">
        <v>1</v>
      </c>
      <c r="O407">
        <v>0</v>
      </c>
    </row>
    <row r="408" spans="1:15" x14ac:dyDescent="0.3">
      <c r="A408" t="s">
        <v>421</v>
      </c>
      <c r="B408">
        <v>7</v>
      </c>
      <c r="C408">
        <v>26</v>
      </c>
      <c r="D408" t="s">
        <v>5015</v>
      </c>
      <c r="E408" t="s">
        <v>5017</v>
      </c>
      <c r="F408" t="s">
        <v>5022</v>
      </c>
      <c r="G408">
        <v>10.96</v>
      </c>
      <c r="H408">
        <v>2</v>
      </c>
      <c r="I408">
        <v>9.8000000000000007</v>
      </c>
      <c r="J408">
        <v>14.53</v>
      </c>
      <c r="K408">
        <v>31.9</v>
      </c>
      <c r="L408" t="s">
        <v>5025</v>
      </c>
      <c r="M408">
        <v>4</v>
      </c>
      <c r="N408">
        <v>4</v>
      </c>
      <c r="O408">
        <v>0</v>
      </c>
    </row>
    <row r="409" spans="1:15" x14ac:dyDescent="0.3">
      <c r="A409" t="s">
        <v>422</v>
      </c>
      <c r="B409">
        <v>10</v>
      </c>
      <c r="C409">
        <v>39</v>
      </c>
      <c r="D409" t="s">
        <v>5015</v>
      </c>
      <c r="E409" t="s">
        <v>5018</v>
      </c>
      <c r="F409" t="s">
        <v>5023</v>
      </c>
      <c r="G409">
        <v>24.56</v>
      </c>
      <c r="H409">
        <v>4</v>
      </c>
      <c r="I409">
        <v>7.8</v>
      </c>
      <c r="J409">
        <v>10.69</v>
      </c>
      <c r="K409">
        <v>78.8</v>
      </c>
      <c r="L409" t="s">
        <v>5025</v>
      </c>
      <c r="M409">
        <v>4</v>
      </c>
      <c r="N409">
        <v>2</v>
      </c>
      <c r="O409">
        <v>0</v>
      </c>
    </row>
    <row r="410" spans="1:15" x14ac:dyDescent="0.3">
      <c r="A410" t="s">
        <v>423</v>
      </c>
      <c r="B410">
        <v>3</v>
      </c>
      <c r="C410">
        <v>30</v>
      </c>
      <c r="D410" t="s">
        <v>5016</v>
      </c>
      <c r="E410" t="s">
        <v>5019</v>
      </c>
      <c r="F410" t="s">
        <v>5021</v>
      </c>
      <c r="G410">
        <v>9.06</v>
      </c>
      <c r="H410">
        <v>3</v>
      </c>
      <c r="I410">
        <v>9.9</v>
      </c>
      <c r="J410">
        <v>19.5</v>
      </c>
      <c r="K410">
        <v>67.8</v>
      </c>
      <c r="L410" t="s">
        <v>5028</v>
      </c>
      <c r="M410">
        <v>10</v>
      </c>
      <c r="N410">
        <v>1</v>
      </c>
      <c r="O410">
        <v>0</v>
      </c>
    </row>
    <row r="411" spans="1:15" x14ac:dyDescent="0.3">
      <c r="A411" t="s">
        <v>424</v>
      </c>
      <c r="B411">
        <v>2</v>
      </c>
      <c r="C411">
        <v>42</v>
      </c>
      <c r="D411" t="s">
        <v>5016</v>
      </c>
      <c r="E411" t="s">
        <v>5018</v>
      </c>
      <c r="F411" t="s">
        <v>5022</v>
      </c>
      <c r="G411">
        <v>7.22</v>
      </c>
      <c r="H411">
        <v>3</v>
      </c>
      <c r="I411">
        <v>2</v>
      </c>
      <c r="J411">
        <v>22.91</v>
      </c>
      <c r="K411">
        <v>37.6</v>
      </c>
      <c r="L411" t="s">
        <v>5027</v>
      </c>
      <c r="M411">
        <v>10</v>
      </c>
      <c r="N411">
        <v>1</v>
      </c>
      <c r="O411">
        <v>1</v>
      </c>
    </row>
    <row r="412" spans="1:15" x14ac:dyDescent="0.3">
      <c r="A412" t="s">
        <v>425</v>
      </c>
      <c r="B412">
        <v>9</v>
      </c>
      <c r="C412">
        <v>65</v>
      </c>
      <c r="D412" t="s">
        <v>5016</v>
      </c>
      <c r="E412" t="s">
        <v>5019</v>
      </c>
      <c r="F412" t="s">
        <v>5024</v>
      </c>
      <c r="G412">
        <v>20.02</v>
      </c>
      <c r="H412">
        <v>1</v>
      </c>
      <c r="I412">
        <v>9.9</v>
      </c>
      <c r="J412">
        <v>7.65</v>
      </c>
      <c r="K412">
        <v>94.2</v>
      </c>
      <c r="L412" t="s">
        <v>5025</v>
      </c>
      <c r="M412">
        <v>11</v>
      </c>
      <c r="N412">
        <v>0</v>
      </c>
      <c r="O412">
        <v>0</v>
      </c>
    </row>
    <row r="413" spans="1:15" x14ac:dyDescent="0.3">
      <c r="A413" t="s">
        <v>426</v>
      </c>
      <c r="B413">
        <v>8</v>
      </c>
      <c r="C413">
        <v>35</v>
      </c>
      <c r="D413" t="s">
        <v>5015</v>
      </c>
      <c r="E413" t="s">
        <v>5017</v>
      </c>
      <c r="F413" t="s">
        <v>5021</v>
      </c>
      <c r="G413">
        <v>19.05</v>
      </c>
      <c r="H413">
        <v>4</v>
      </c>
      <c r="I413">
        <v>1.9</v>
      </c>
      <c r="J413">
        <v>21.4</v>
      </c>
      <c r="K413">
        <v>29</v>
      </c>
      <c r="L413" t="s">
        <v>5029</v>
      </c>
      <c r="M413">
        <v>3</v>
      </c>
      <c r="N413">
        <v>0</v>
      </c>
      <c r="O413">
        <v>0</v>
      </c>
    </row>
    <row r="414" spans="1:15" x14ac:dyDescent="0.3">
      <c r="A414" t="s">
        <v>427</v>
      </c>
      <c r="B414">
        <v>12</v>
      </c>
      <c r="C414">
        <v>68</v>
      </c>
      <c r="D414" t="s">
        <v>5016</v>
      </c>
      <c r="E414" t="s">
        <v>5017</v>
      </c>
      <c r="F414" t="s">
        <v>5024</v>
      </c>
      <c r="G414">
        <v>21.22</v>
      </c>
      <c r="H414">
        <v>4</v>
      </c>
      <c r="I414">
        <v>4.7</v>
      </c>
      <c r="J414">
        <v>5.89</v>
      </c>
      <c r="K414">
        <v>86.5</v>
      </c>
      <c r="L414" t="s">
        <v>5025</v>
      </c>
      <c r="M414">
        <v>1</v>
      </c>
      <c r="N414">
        <v>3</v>
      </c>
      <c r="O414">
        <v>1</v>
      </c>
    </row>
    <row r="415" spans="1:15" x14ac:dyDescent="0.3">
      <c r="A415" t="s">
        <v>428</v>
      </c>
      <c r="B415">
        <v>10</v>
      </c>
      <c r="C415">
        <v>29</v>
      </c>
      <c r="D415" t="s">
        <v>5016</v>
      </c>
      <c r="E415" t="s">
        <v>5019</v>
      </c>
      <c r="F415" t="s">
        <v>5023</v>
      </c>
      <c r="G415">
        <v>11.87</v>
      </c>
      <c r="H415">
        <v>2</v>
      </c>
      <c r="I415">
        <v>3.2</v>
      </c>
      <c r="J415">
        <v>8.0299999999999994</v>
      </c>
      <c r="K415">
        <v>72.599999999999994</v>
      </c>
      <c r="L415" t="s">
        <v>5029</v>
      </c>
      <c r="M415">
        <v>9</v>
      </c>
      <c r="N415">
        <v>3</v>
      </c>
      <c r="O415">
        <v>0</v>
      </c>
    </row>
    <row r="416" spans="1:15" x14ac:dyDescent="0.3">
      <c r="A416" t="s">
        <v>429</v>
      </c>
      <c r="B416">
        <v>7</v>
      </c>
      <c r="C416">
        <v>57</v>
      </c>
      <c r="D416" t="s">
        <v>5016</v>
      </c>
      <c r="E416" t="s">
        <v>5017</v>
      </c>
      <c r="F416" t="s">
        <v>5022</v>
      </c>
      <c r="G416">
        <v>23.62</v>
      </c>
      <c r="H416">
        <v>1</v>
      </c>
      <c r="I416">
        <v>9.6</v>
      </c>
      <c r="J416">
        <v>15.35</v>
      </c>
      <c r="K416">
        <v>20.9</v>
      </c>
      <c r="L416" t="s">
        <v>5027</v>
      </c>
      <c r="M416">
        <v>2</v>
      </c>
      <c r="N416">
        <v>2</v>
      </c>
      <c r="O416">
        <v>0</v>
      </c>
    </row>
    <row r="417" spans="1:15" x14ac:dyDescent="0.3">
      <c r="A417" t="s">
        <v>430</v>
      </c>
      <c r="B417">
        <v>9</v>
      </c>
      <c r="C417">
        <v>34</v>
      </c>
      <c r="D417" t="s">
        <v>5016</v>
      </c>
      <c r="E417" t="s">
        <v>5018</v>
      </c>
      <c r="F417" t="s">
        <v>5021</v>
      </c>
      <c r="G417">
        <v>7.39</v>
      </c>
      <c r="H417">
        <v>1</v>
      </c>
      <c r="I417">
        <v>6.7</v>
      </c>
      <c r="J417">
        <v>9.74</v>
      </c>
      <c r="K417">
        <v>60</v>
      </c>
      <c r="L417" t="s">
        <v>5028</v>
      </c>
      <c r="M417">
        <v>3</v>
      </c>
      <c r="N417">
        <v>3</v>
      </c>
      <c r="O417">
        <v>0</v>
      </c>
    </row>
    <row r="418" spans="1:15" x14ac:dyDescent="0.3">
      <c r="A418" t="s">
        <v>431</v>
      </c>
      <c r="B418">
        <v>4</v>
      </c>
      <c r="C418">
        <v>32</v>
      </c>
      <c r="D418" t="s">
        <v>5015</v>
      </c>
      <c r="E418" t="s">
        <v>5017</v>
      </c>
      <c r="F418" t="s">
        <v>5022</v>
      </c>
      <c r="G418">
        <v>5.61</v>
      </c>
      <c r="H418">
        <v>4</v>
      </c>
      <c r="I418">
        <v>6.4</v>
      </c>
      <c r="J418">
        <v>3.92</v>
      </c>
      <c r="K418">
        <v>93.7</v>
      </c>
      <c r="L418" t="s">
        <v>5028</v>
      </c>
      <c r="M418">
        <v>2</v>
      </c>
      <c r="N418">
        <v>1</v>
      </c>
      <c r="O418">
        <v>0</v>
      </c>
    </row>
    <row r="419" spans="1:15" x14ac:dyDescent="0.3">
      <c r="A419" t="s">
        <v>432</v>
      </c>
      <c r="B419">
        <v>4</v>
      </c>
      <c r="C419">
        <v>59</v>
      </c>
      <c r="D419" t="s">
        <v>5015</v>
      </c>
      <c r="E419" t="s">
        <v>5018</v>
      </c>
      <c r="F419" t="s">
        <v>5022</v>
      </c>
      <c r="G419">
        <v>11.01</v>
      </c>
      <c r="H419">
        <v>5</v>
      </c>
      <c r="I419">
        <v>10</v>
      </c>
      <c r="J419">
        <v>9.49</v>
      </c>
      <c r="K419">
        <v>65.7</v>
      </c>
      <c r="L419" t="s">
        <v>5026</v>
      </c>
      <c r="M419">
        <v>6</v>
      </c>
      <c r="N419">
        <v>1</v>
      </c>
      <c r="O419">
        <v>0</v>
      </c>
    </row>
    <row r="420" spans="1:15" x14ac:dyDescent="0.3">
      <c r="A420" t="s">
        <v>433</v>
      </c>
      <c r="B420">
        <v>1</v>
      </c>
      <c r="C420">
        <v>32</v>
      </c>
      <c r="D420" t="s">
        <v>5016</v>
      </c>
      <c r="E420" t="s">
        <v>5019</v>
      </c>
      <c r="F420" t="s">
        <v>5021</v>
      </c>
      <c r="G420">
        <v>20.95</v>
      </c>
      <c r="H420">
        <v>4</v>
      </c>
      <c r="I420">
        <v>6.5</v>
      </c>
      <c r="J420">
        <v>22.91</v>
      </c>
      <c r="K420">
        <v>57.6</v>
      </c>
      <c r="L420" t="s">
        <v>5027</v>
      </c>
      <c r="M420">
        <v>6</v>
      </c>
      <c r="N420">
        <v>1</v>
      </c>
      <c r="O420">
        <v>0</v>
      </c>
    </row>
    <row r="421" spans="1:15" x14ac:dyDescent="0.3">
      <c r="A421" t="s">
        <v>434</v>
      </c>
      <c r="B421">
        <v>8</v>
      </c>
      <c r="C421">
        <v>32</v>
      </c>
      <c r="D421" t="s">
        <v>5016</v>
      </c>
      <c r="E421" t="s">
        <v>5018</v>
      </c>
      <c r="F421" t="s">
        <v>5022</v>
      </c>
      <c r="G421">
        <v>18.46</v>
      </c>
      <c r="H421">
        <v>4</v>
      </c>
      <c r="I421">
        <v>6.8</v>
      </c>
      <c r="J421">
        <v>6.83</v>
      </c>
      <c r="K421">
        <v>43</v>
      </c>
      <c r="L421" t="s">
        <v>5025</v>
      </c>
      <c r="M421">
        <v>1</v>
      </c>
      <c r="N421">
        <v>1</v>
      </c>
      <c r="O421">
        <v>0</v>
      </c>
    </row>
    <row r="422" spans="1:15" x14ac:dyDescent="0.3">
      <c r="A422" t="s">
        <v>435</v>
      </c>
      <c r="B422">
        <v>12</v>
      </c>
      <c r="C422">
        <v>56</v>
      </c>
      <c r="D422" t="s">
        <v>5016</v>
      </c>
      <c r="E422" t="s">
        <v>5018</v>
      </c>
      <c r="F422" t="s">
        <v>5022</v>
      </c>
      <c r="G422">
        <v>13.72</v>
      </c>
      <c r="H422">
        <v>4</v>
      </c>
      <c r="I422">
        <v>1.4</v>
      </c>
      <c r="J422">
        <v>19.8</v>
      </c>
      <c r="K422">
        <v>81</v>
      </c>
      <c r="L422" t="s">
        <v>5028</v>
      </c>
      <c r="M422">
        <v>4</v>
      </c>
      <c r="N422">
        <v>0</v>
      </c>
      <c r="O422">
        <v>1</v>
      </c>
    </row>
    <row r="423" spans="1:15" x14ac:dyDescent="0.3">
      <c r="A423" t="s">
        <v>436</v>
      </c>
      <c r="B423">
        <v>3</v>
      </c>
      <c r="C423">
        <v>30</v>
      </c>
      <c r="D423" t="s">
        <v>5015</v>
      </c>
      <c r="E423" t="s">
        <v>5017</v>
      </c>
      <c r="F423" t="s">
        <v>5020</v>
      </c>
      <c r="G423">
        <v>10.130000000000001</v>
      </c>
      <c r="H423">
        <v>3</v>
      </c>
      <c r="I423">
        <v>8.6999999999999993</v>
      </c>
      <c r="J423">
        <v>18.89</v>
      </c>
      <c r="K423">
        <v>92.2</v>
      </c>
      <c r="L423" t="s">
        <v>5029</v>
      </c>
      <c r="M423">
        <v>10</v>
      </c>
      <c r="N423">
        <v>1</v>
      </c>
      <c r="O423">
        <v>1</v>
      </c>
    </row>
    <row r="424" spans="1:15" x14ac:dyDescent="0.3">
      <c r="A424" t="s">
        <v>437</v>
      </c>
      <c r="B424">
        <v>7</v>
      </c>
      <c r="C424">
        <v>34</v>
      </c>
      <c r="D424" t="s">
        <v>5015</v>
      </c>
      <c r="E424" t="s">
        <v>5019</v>
      </c>
      <c r="F424" t="s">
        <v>5020</v>
      </c>
      <c r="G424">
        <v>6.19</v>
      </c>
      <c r="H424">
        <v>1</v>
      </c>
      <c r="I424">
        <v>9.6999999999999993</v>
      </c>
      <c r="J424">
        <v>5.34</v>
      </c>
      <c r="K424">
        <v>77.8</v>
      </c>
      <c r="L424" t="s">
        <v>5029</v>
      </c>
      <c r="M424">
        <v>5</v>
      </c>
      <c r="N424">
        <v>1</v>
      </c>
      <c r="O424">
        <v>0</v>
      </c>
    </row>
    <row r="425" spans="1:15" x14ac:dyDescent="0.3">
      <c r="A425" t="s">
        <v>438</v>
      </c>
      <c r="B425">
        <v>12</v>
      </c>
      <c r="C425">
        <v>49</v>
      </c>
      <c r="D425" t="s">
        <v>5015</v>
      </c>
      <c r="E425" t="s">
        <v>5018</v>
      </c>
      <c r="F425" t="s">
        <v>5021</v>
      </c>
      <c r="G425">
        <v>11.75</v>
      </c>
      <c r="H425">
        <v>3</v>
      </c>
      <c r="I425">
        <v>9.6</v>
      </c>
      <c r="J425">
        <v>10.25</v>
      </c>
      <c r="K425">
        <v>75.3</v>
      </c>
      <c r="L425" t="s">
        <v>5025</v>
      </c>
      <c r="M425">
        <v>6</v>
      </c>
      <c r="N425">
        <v>1</v>
      </c>
      <c r="O425">
        <v>0</v>
      </c>
    </row>
    <row r="426" spans="1:15" x14ac:dyDescent="0.3">
      <c r="A426" t="s">
        <v>439</v>
      </c>
      <c r="B426">
        <v>2</v>
      </c>
      <c r="C426">
        <v>26</v>
      </c>
      <c r="D426" t="s">
        <v>5016</v>
      </c>
      <c r="E426" t="s">
        <v>5018</v>
      </c>
      <c r="F426" t="s">
        <v>5021</v>
      </c>
      <c r="G426">
        <v>14.2</v>
      </c>
      <c r="H426">
        <v>5</v>
      </c>
      <c r="I426">
        <v>3</v>
      </c>
      <c r="J426">
        <v>7.17</v>
      </c>
      <c r="K426">
        <v>27.3</v>
      </c>
      <c r="L426" t="s">
        <v>5025</v>
      </c>
      <c r="M426">
        <v>5</v>
      </c>
      <c r="N426">
        <v>4</v>
      </c>
      <c r="O426">
        <v>0</v>
      </c>
    </row>
    <row r="427" spans="1:15" x14ac:dyDescent="0.3">
      <c r="A427" t="s">
        <v>440</v>
      </c>
      <c r="B427">
        <v>2</v>
      </c>
      <c r="C427">
        <v>57</v>
      </c>
      <c r="D427" t="s">
        <v>5015</v>
      </c>
      <c r="E427" t="s">
        <v>5019</v>
      </c>
      <c r="F427" t="s">
        <v>5022</v>
      </c>
      <c r="G427">
        <v>18.739999999999998</v>
      </c>
      <c r="H427">
        <v>2</v>
      </c>
      <c r="I427">
        <v>3</v>
      </c>
      <c r="J427">
        <v>3.51</v>
      </c>
      <c r="K427">
        <v>85.1</v>
      </c>
      <c r="L427" t="s">
        <v>5027</v>
      </c>
      <c r="M427">
        <v>3</v>
      </c>
      <c r="N427">
        <v>2</v>
      </c>
      <c r="O427">
        <v>0</v>
      </c>
    </row>
    <row r="428" spans="1:15" x14ac:dyDescent="0.3">
      <c r="A428" t="s">
        <v>441</v>
      </c>
      <c r="B428">
        <v>7</v>
      </c>
      <c r="C428">
        <v>37</v>
      </c>
      <c r="D428" t="s">
        <v>5015</v>
      </c>
      <c r="E428" t="s">
        <v>5017</v>
      </c>
      <c r="F428" t="s">
        <v>5024</v>
      </c>
      <c r="G428">
        <v>17.920000000000002</v>
      </c>
      <c r="H428">
        <v>5</v>
      </c>
      <c r="I428">
        <v>4.3</v>
      </c>
      <c r="J428">
        <v>6.81</v>
      </c>
      <c r="K428">
        <v>13.7</v>
      </c>
      <c r="L428" t="s">
        <v>5025</v>
      </c>
      <c r="M428">
        <v>3</v>
      </c>
      <c r="N428">
        <v>2</v>
      </c>
      <c r="O428">
        <v>1</v>
      </c>
    </row>
    <row r="429" spans="1:15" x14ac:dyDescent="0.3">
      <c r="A429" t="s">
        <v>442</v>
      </c>
      <c r="B429">
        <v>6</v>
      </c>
      <c r="C429">
        <v>43</v>
      </c>
      <c r="D429" t="s">
        <v>5015</v>
      </c>
      <c r="E429" t="s">
        <v>5019</v>
      </c>
      <c r="F429" t="s">
        <v>5021</v>
      </c>
      <c r="G429">
        <v>23.95</v>
      </c>
      <c r="H429">
        <v>1</v>
      </c>
      <c r="I429">
        <v>3.8</v>
      </c>
      <c r="J429">
        <v>7.43</v>
      </c>
      <c r="K429">
        <v>78.2</v>
      </c>
      <c r="L429" t="s">
        <v>5025</v>
      </c>
      <c r="M429">
        <v>3</v>
      </c>
      <c r="N429">
        <v>1</v>
      </c>
      <c r="O429">
        <v>0</v>
      </c>
    </row>
    <row r="430" spans="1:15" x14ac:dyDescent="0.3">
      <c r="A430" t="s">
        <v>443</v>
      </c>
      <c r="B430">
        <v>3</v>
      </c>
      <c r="C430">
        <v>44</v>
      </c>
      <c r="D430" t="s">
        <v>5015</v>
      </c>
      <c r="E430" t="s">
        <v>5018</v>
      </c>
      <c r="F430" t="s">
        <v>5022</v>
      </c>
      <c r="G430">
        <v>7.01</v>
      </c>
      <c r="H430">
        <v>2</v>
      </c>
      <c r="I430">
        <v>3.8</v>
      </c>
      <c r="J430">
        <v>6.65</v>
      </c>
      <c r="K430">
        <v>29</v>
      </c>
      <c r="L430" t="s">
        <v>5025</v>
      </c>
      <c r="M430">
        <v>6</v>
      </c>
      <c r="N430">
        <v>1</v>
      </c>
      <c r="O430">
        <v>1</v>
      </c>
    </row>
    <row r="431" spans="1:15" x14ac:dyDescent="0.3">
      <c r="A431" t="s">
        <v>444</v>
      </c>
      <c r="B431">
        <v>9</v>
      </c>
      <c r="C431">
        <v>38</v>
      </c>
      <c r="D431" t="s">
        <v>5015</v>
      </c>
      <c r="E431" t="s">
        <v>5018</v>
      </c>
      <c r="F431" t="s">
        <v>5024</v>
      </c>
      <c r="G431">
        <v>11.73</v>
      </c>
      <c r="H431">
        <v>5</v>
      </c>
      <c r="I431">
        <v>6.4</v>
      </c>
      <c r="J431">
        <v>5</v>
      </c>
      <c r="K431">
        <v>53.9</v>
      </c>
      <c r="L431" t="s">
        <v>5028</v>
      </c>
      <c r="M431">
        <v>4</v>
      </c>
      <c r="N431">
        <v>2</v>
      </c>
      <c r="O431">
        <v>0</v>
      </c>
    </row>
    <row r="432" spans="1:15" x14ac:dyDescent="0.3">
      <c r="A432" t="s">
        <v>445</v>
      </c>
      <c r="B432">
        <v>10</v>
      </c>
      <c r="C432">
        <v>35</v>
      </c>
      <c r="D432" t="s">
        <v>5016</v>
      </c>
      <c r="E432" t="s">
        <v>5017</v>
      </c>
      <c r="F432" t="s">
        <v>5020</v>
      </c>
      <c r="G432">
        <v>14.63</v>
      </c>
      <c r="H432">
        <v>1</v>
      </c>
      <c r="I432">
        <v>8.3000000000000007</v>
      </c>
      <c r="J432">
        <v>14.58</v>
      </c>
      <c r="K432">
        <v>72.599999999999994</v>
      </c>
      <c r="L432" t="s">
        <v>5027</v>
      </c>
      <c r="M432">
        <v>4</v>
      </c>
      <c r="N432">
        <v>3</v>
      </c>
      <c r="O432">
        <v>0</v>
      </c>
    </row>
    <row r="433" spans="1:15" x14ac:dyDescent="0.3">
      <c r="A433" t="s">
        <v>446</v>
      </c>
      <c r="B433">
        <v>6</v>
      </c>
      <c r="C433">
        <v>30</v>
      </c>
      <c r="D433" t="s">
        <v>5016</v>
      </c>
      <c r="E433" t="s">
        <v>5019</v>
      </c>
      <c r="F433" t="s">
        <v>5021</v>
      </c>
      <c r="G433">
        <v>18.41</v>
      </c>
      <c r="H433">
        <v>5</v>
      </c>
      <c r="I433">
        <v>9.4</v>
      </c>
      <c r="J433">
        <v>10.1</v>
      </c>
      <c r="K433">
        <v>78.3</v>
      </c>
      <c r="L433" t="s">
        <v>5025</v>
      </c>
      <c r="M433">
        <v>3</v>
      </c>
      <c r="N433">
        <v>4</v>
      </c>
      <c r="O433">
        <v>0</v>
      </c>
    </row>
    <row r="434" spans="1:15" x14ac:dyDescent="0.3">
      <c r="A434" t="s">
        <v>447</v>
      </c>
      <c r="B434">
        <v>10</v>
      </c>
      <c r="C434">
        <v>33</v>
      </c>
      <c r="D434" t="s">
        <v>5016</v>
      </c>
      <c r="E434" t="s">
        <v>5019</v>
      </c>
      <c r="F434" t="s">
        <v>5022</v>
      </c>
      <c r="G434">
        <v>14.91</v>
      </c>
      <c r="H434">
        <v>2</v>
      </c>
      <c r="I434">
        <v>1.6</v>
      </c>
      <c r="J434">
        <v>22.98</v>
      </c>
      <c r="K434">
        <v>89.9</v>
      </c>
      <c r="L434" t="s">
        <v>5025</v>
      </c>
      <c r="M434">
        <v>4</v>
      </c>
      <c r="N434">
        <v>4</v>
      </c>
      <c r="O434">
        <v>0</v>
      </c>
    </row>
    <row r="435" spans="1:15" x14ac:dyDescent="0.3">
      <c r="A435" t="s">
        <v>448</v>
      </c>
      <c r="B435">
        <v>10</v>
      </c>
      <c r="C435">
        <v>26</v>
      </c>
      <c r="D435" t="s">
        <v>5016</v>
      </c>
      <c r="E435" t="s">
        <v>5017</v>
      </c>
      <c r="F435" t="s">
        <v>5020</v>
      </c>
      <c r="G435">
        <v>23.26</v>
      </c>
      <c r="H435">
        <v>2</v>
      </c>
      <c r="I435">
        <v>3.5</v>
      </c>
      <c r="J435">
        <v>7.12</v>
      </c>
      <c r="K435">
        <v>35.4</v>
      </c>
      <c r="L435" t="s">
        <v>5029</v>
      </c>
      <c r="M435">
        <v>8</v>
      </c>
      <c r="N435">
        <v>3</v>
      </c>
      <c r="O435">
        <v>0</v>
      </c>
    </row>
    <row r="436" spans="1:15" x14ac:dyDescent="0.3">
      <c r="A436" t="s">
        <v>449</v>
      </c>
      <c r="B436">
        <v>6</v>
      </c>
      <c r="C436">
        <v>29</v>
      </c>
      <c r="D436" t="s">
        <v>5015</v>
      </c>
      <c r="E436" t="s">
        <v>5018</v>
      </c>
      <c r="F436" t="s">
        <v>5023</v>
      </c>
      <c r="G436">
        <v>17.170000000000002</v>
      </c>
      <c r="H436">
        <v>5</v>
      </c>
      <c r="I436">
        <v>3.3</v>
      </c>
      <c r="J436">
        <v>16.260000000000002</v>
      </c>
      <c r="K436">
        <v>30.2</v>
      </c>
      <c r="L436" t="s">
        <v>5028</v>
      </c>
      <c r="M436">
        <v>3</v>
      </c>
      <c r="N436">
        <v>1</v>
      </c>
      <c r="O436">
        <v>1</v>
      </c>
    </row>
    <row r="437" spans="1:15" x14ac:dyDescent="0.3">
      <c r="A437" t="s">
        <v>450</v>
      </c>
      <c r="B437">
        <v>1</v>
      </c>
      <c r="C437">
        <v>61</v>
      </c>
      <c r="D437" t="s">
        <v>5016</v>
      </c>
      <c r="E437" t="s">
        <v>5019</v>
      </c>
      <c r="F437" t="s">
        <v>5020</v>
      </c>
      <c r="G437">
        <v>5.79</v>
      </c>
      <c r="H437">
        <v>3</v>
      </c>
      <c r="I437">
        <v>4.2</v>
      </c>
      <c r="J437">
        <v>22.81</v>
      </c>
      <c r="K437">
        <v>99.7</v>
      </c>
      <c r="L437" t="s">
        <v>5025</v>
      </c>
      <c r="M437">
        <v>10</v>
      </c>
      <c r="N437">
        <v>2</v>
      </c>
      <c r="O437">
        <v>0</v>
      </c>
    </row>
    <row r="438" spans="1:15" x14ac:dyDescent="0.3">
      <c r="A438" t="s">
        <v>451</v>
      </c>
      <c r="B438">
        <v>4</v>
      </c>
      <c r="C438">
        <v>55</v>
      </c>
      <c r="D438" t="s">
        <v>5016</v>
      </c>
      <c r="E438" t="s">
        <v>5018</v>
      </c>
      <c r="F438" t="s">
        <v>5022</v>
      </c>
      <c r="G438">
        <v>7.27</v>
      </c>
      <c r="H438">
        <v>5</v>
      </c>
      <c r="I438">
        <v>4.8</v>
      </c>
      <c r="J438">
        <v>4.04</v>
      </c>
      <c r="K438">
        <v>28.7</v>
      </c>
      <c r="L438" t="s">
        <v>5028</v>
      </c>
      <c r="M438">
        <v>3</v>
      </c>
      <c r="N438">
        <v>4</v>
      </c>
      <c r="O438">
        <v>0</v>
      </c>
    </row>
    <row r="439" spans="1:15" x14ac:dyDescent="0.3">
      <c r="A439" t="s">
        <v>452</v>
      </c>
      <c r="B439">
        <v>10</v>
      </c>
      <c r="C439">
        <v>36</v>
      </c>
      <c r="D439" t="s">
        <v>5016</v>
      </c>
      <c r="E439" t="s">
        <v>5019</v>
      </c>
      <c r="F439" t="s">
        <v>5024</v>
      </c>
      <c r="G439">
        <v>20.07</v>
      </c>
      <c r="H439">
        <v>5</v>
      </c>
      <c r="I439">
        <v>4.5</v>
      </c>
      <c r="J439">
        <v>14.36</v>
      </c>
      <c r="K439">
        <v>69.900000000000006</v>
      </c>
      <c r="L439" t="s">
        <v>5027</v>
      </c>
      <c r="M439">
        <v>6</v>
      </c>
      <c r="N439">
        <v>3</v>
      </c>
      <c r="O439">
        <v>0</v>
      </c>
    </row>
    <row r="440" spans="1:15" x14ac:dyDescent="0.3">
      <c r="A440" t="s">
        <v>453</v>
      </c>
      <c r="B440">
        <v>6</v>
      </c>
      <c r="C440">
        <v>24</v>
      </c>
      <c r="D440" t="s">
        <v>5015</v>
      </c>
      <c r="E440" t="s">
        <v>5018</v>
      </c>
      <c r="F440" t="s">
        <v>5023</v>
      </c>
      <c r="G440">
        <v>19.32</v>
      </c>
      <c r="H440">
        <v>5</v>
      </c>
      <c r="I440">
        <v>9.6</v>
      </c>
      <c r="J440">
        <v>12.91</v>
      </c>
      <c r="K440">
        <v>95.7</v>
      </c>
      <c r="L440" t="s">
        <v>5027</v>
      </c>
      <c r="M440">
        <v>1</v>
      </c>
      <c r="N440">
        <v>3</v>
      </c>
      <c r="O440">
        <v>0</v>
      </c>
    </row>
    <row r="441" spans="1:15" x14ac:dyDescent="0.3">
      <c r="A441" t="s">
        <v>454</v>
      </c>
      <c r="B441">
        <v>6</v>
      </c>
      <c r="C441">
        <v>52</v>
      </c>
      <c r="D441" t="s">
        <v>5016</v>
      </c>
      <c r="E441" t="s">
        <v>5019</v>
      </c>
      <c r="F441" t="s">
        <v>5023</v>
      </c>
      <c r="G441">
        <v>8.07</v>
      </c>
      <c r="H441">
        <v>3</v>
      </c>
      <c r="I441">
        <v>4.9000000000000004</v>
      </c>
      <c r="J441">
        <v>23.43</v>
      </c>
      <c r="K441">
        <v>90.7</v>
      </c>
      <c r="L441" t="s">
        <v>5026</v>
      </c>
      <c r="M441">
        <v>10</v>
      </c>
      <c r="N441">
        <v>0</v>
      </c>
      <c r="O441">
        <v>0</v>
      </c>
    </row>
    <row r="442" spans="1:15" x14ac:dyDescent="0.3">
      <c r="A442" t="s">
        <v>455</v>
      </c>
      <c r="B442">
        <v>11</v>
      </c>
      <c r="C442">
        <v>65</v>
      </c>
      <c r="D442" t="s">
        <v>5015</v>
      </c>
      <c r="E442" t="s">
        <v>5018</v>
      </c>
      <c r="F442" t="s">
        <v>5023</v>
      </c>
      <c r="G442">
        <v>6.18</v>
      </c>
      <c r="H442">
        <v>4</v>
      </c>
      <c r="I442">
        <v>6</v>
      </c>
      <c r="J442">
        <v>17.600000000000001</v>
      </c>
      <c r="K442">
        <v>49.9</v>
      </c>
      <c r="L442" t="s">
        <v>5029</v>
      </c>
      <c r="M442">
        <v>6</v>
      </c>
      <c r="N442">
        <v>3</v>
      </c>
      <c r="O442">
        <v>0</v>
      </c>
    </row>
    <row r="443" spans="1:15" x14ac:dyDescent="0.3">
      <c r="A443" t="s">
        <v>456</v>
      </c>
      <c r="B443">
        <v>12</v>
      </c>
      <c r="C443">
        <v>35</v>
      </c>
      <c r="D443" t="s">
        <v>5015</v>
      </c>
      <c r="E443" t="s">
        <v>5017</v>
      </c>
      <c r="F443" t="s">
        <v>5021</v>
      </c>
      <c r="G443">
        <v>16.57</v>
      </c>
      <c r="H443">
        <v>2</v>
      </c>
      <c r="I443">
        <v>7.7</v>
      </c>
      <c r="J443">
        <v>10.68</v>
      </c>
      <c r="K443">
        <v>67.400000000000006</v>
      </c>
      <c r="L443" t="s">
        <v>5026</v>
      </c>
      <c r="M443">
        <v>11</v>
      </c>
      <c r="N443">
        <v>0</v>
      </c>
      <c r="O443">
        <v>0</v>
      </c>
    </row>
    <row r="444" spans="1:15" x14ac:dyDescent="0.3">
      <c r="A444" t="s">
        <v>457</v>
      </c>
      <c r="B444">
        <v>5</v>
      </c>
      <c r="C444">
        <v>33</v>
      </c>
      <c r="D444" t="s">
        <v>5015</v>
      </c>
      <c r="E444" t="s">
        <v>5018</v>
      </c>
      <c r="F444" t="s">
        <v>5022</v>
      </c>
      <c r="G444">
        <v>17.71</v>
      </c>
      <c r="H444">
        <v>1</v>
      </c>
      <c r="I444">
        <v>7.5</v>
      </c>
      <c r="J444">
        <v>18.649999999999999</v>
      </c>
      <c r="K444">
        <v>57.6</v>
      </c>
      <c r="L444" t="s">
        <v>5028</v>
      </c>
      <c r="M444">
        <v>9</v>
      </c>
      <c r="N444">
        <v>0</v>
      </c>
      <c r="O444">
        <v>0</v>
      </c>
    </row>
    <row r="445" spans="1:15" x14ac:dyDescent="0.3">
      <c r="A445" t="s">
        <v>458</v>
      </c>
      <c r="B445">
        <v>1</v>
      </c>
      <c r="C445">
        <v>56</v>
      </c>
      <c r="D445" t="s">
        <v>5016</v>
      </c>
      <c r="E445" t="s">
        <v>5019</v>
      </c>
      <c r="F445" t="s">
        <v>5023</v>
      </c>
      <c r="G445">
        <v>7.71</v>
      </c>
      <c r="H445">
        <v>2</v>
      </c>
      <c r="I445">
        <v>6.2</v>
      </c>
      <c r="J445">
        <v>15.82</v>
      </c>
      <c r="K445">
        <v>41.2</v>
      </c>
      <c r="L445" t="s">
        <v>5029</v>
      </c>
      <c r="M445">
        <v>3</v>
      </c>
      <c r="N445">
        <v>4</v>
      </c>
      <c r="O445">
        <v>0</v>
      </c>
    </row>
    <row r="446" spans="1:15" x14ac:dyDescent="0.3">
      <c r="A446" t="s">
        <v>459</v>
      </c>
      <c r="B446">
        <v>8</v>
      </c>
      <c r="C446">
        <v>21</v>
      </c>
      <c r="D446" t="s">
        <v>5015</v>
      </c>
      <c r="E446" t="s">
        <v>5018</v>
      </c>
      <c r="F446" t="s">
        <v>5020</v>
      </c>
      <c r="G446">
        <v>14.47</v>
      </c>
      <c r="H446">
        <v>2</v>
      </c>
      <c r="I446">
        <v>8.6999999999999993</v>
      </c>
      <c r="J446">
        <v>10.64</v>
      </c>
      <c r="K446">
        <v>23</v>
      </c>
      <c r="L446" t="s">
        <v>5025</v>
      </c>
      <c r="M446">
        <v>2</v>
      </c>
      <c r="N446">
        <v>1</v>
      </c>
      <c r="O446">
        <v>1</v>
      </c>
    </row>
    <row r="447" spans="1:15" x14ac:dyDescent="0.3">
      <c r="A447" t="s">
        <v>460</v>
      </c>
      <c r="B447">
        <v>5</v>
      </c>
      <c r="C447">
        <v>42</v>
      </c>
      <c r="D447" t="s">
        <v>5016</v>
      </c>
      <c r="E447" t="s">
        <v>5018</v>
      </c>
      <c r="F447" t="s">
        <v>5024</v>
      </c>
      <c r="G447">
        <v>11.12</v>
      </c>
      <c r="H447">
        <v>4</v>
      </c>
      <c r="I447">
        <v>6.6</v>
      </c>
      <c r="J447">
        <v>20.28</v>
      </c>
      <c r="K447">
        <v>82.3</v>
      </c>
      <c r="L447" t="s">
        <v>5029</v>
      </c>
      <c r="M447">
        <v>3</v>
      </c>
      <c r="N447">
        <v>1</v>
      </c>
      <c r="O447">
        <v>0</v>
      </c>
    </row>
    <row r="448" spans="1:15" x14ac:dyDescent="0.3">
      <c r="A448" t="s">
        <v>461</v>
      </c>
      <c r="B448">
        <v>12</v>
      </c>
      <c r="C448">
        <v>49</v>
      </c>
      <c r="D448" t="s">
        <v>5016</v>
      </c>
      <c r="E448" t="s">
        <v>5018</v>
      </c>
      <c r="F448" t="s">
        <v>5022</v>
      </c>
      <c r="G448">
        <v>23.63</v>
      </c>
      <c r="H448">
        <v>2</v>
      </c>
      <c r="I448">
        <v>8.9</v>
      </c>
      <c r="J448">
        <v>17.7</v>
      </c>
      <c r="K448">
        <v>18.100000000000001</v>
      </c>
      <c r="L448" t="s">
        <v>5029</v>
      </c>
      <c r="M448">
        <v>3</v>
      </c>
      <c r="N448">
        <v>3</v>
      </c>
      <c r="O448">
        <v>0</v>
      </c>
    </row>
    <row r="449" spans="1:15" x14ac:dyDescent="0.3">
      <c r="A449" t="s">
        <v>462</v>
      </c>
      <c r="B449">
        <v>12</v>
      </c>
      <c r="C449">
        <v>57</v>
      </c>
      <c r="D449" t="s">
        <v>5016</v>
      </c>
      <c r="E449" t="s">
        <v>5018</v>
      </c>
      <c r="F449" t="s">
        <v>5020</v>
      </c>
      <c r="G449">
        <v>9.3800000000000008</v>
      </c>
      <c r="H449">
        <v>2</v>
      </c>
      <c r="I449">
        <v>3.7</v>
      </c>
      <c r="J449">
        <v>3.12</v>
      </c>
      <c r="K449">
        <v>64.900000000000006</v>
      </c>
      <c r="L449" t="s">
        <v>5027</v>
      </c>
      <c r="M449">
        <v>2</v>
      </c>
      <c r="N449">
        <v>2</v>
      </c>
      <c r="O449">
        <v>0</v>
      </c>
    </row>
    <row r="450" spans="1:15" x14ac:dyDescent="0.3">
      <c r="A450" t="s">
        <v>463</v>
      </c>
      <c r="B450">
        <v>12</v>
      </c>
      <c r="C450">
        <v>30</v>
      </c>
      <c r="D450" t="s">
        <v>5015</v>
      </c>
      <c r="E450" t="s">
        <v>5019</v>
      </c>
      <c r="F450" t="s">
        <v>5021</v>
      </c>
      <c r="G450">
        <v>19.670000000000002</v>
      </c>
      <c r="H450">
        <v>3</v>
      </c>
      <c r="I450">
        <v>2.2000000000000002</v>
      </c>
      <c r="J450">
        <v>22.03</v>
      </c>
      <c r="K450">
        <v>63.5</v>
      </c>
      <c r="L450" t="s">
        <v>5026</v>
      </c>
      <c r="M450">
        <v>11</v>
      </c>
      <c r="N450">
        <v>2</v>
      </c>
      <c r="O450">
        <v>0</v>
      </c>
    </row>
    <row r="451" spans="1:15" x14ac:dyDescent="0.3">
      <c r="A451" t="s">
        <v>464</v>
      </c>
      <c r="B451">
        <v>5</v>
      </c>
      <c r="C451">
        <v>62</v>
      </c>
      <c r="D451" t="s">
        <v>5015</v>
      </c>
      <c r="E451" t="s">
        <v>5019</v>
      </c>
      <c r="F451" t="s">
        <v>5023</v>
      </c>
      <c r="G451">
        <v>15.36</v>
      </c>
      <c r="H451">
        <v>3</v>
      </c>
      <c r="I451">
        <v>8.4</v>
      </c>
      <c r="J451">
        <v>11.74</v>
      </c>
      <c r="K451">
        <v>40.1</v>
      </c>
      <c r="L451" t="s">
        <v>5027</v>
      </c>
      <c r="M451">
        <v>4</v>
      </c>
      <c r="N451">
        <v>0</v>
      </c>
      <c r="O451">
        <v>0</v>
      </c>
    </row>
    <row r="452" spans="1:15" x14ac:dyDescent="0.3">
      <c r="A452" t="s">
        <v>465</v>
      </c>
      <c r="B452">
        <v>7</v>
      </c>
      <c r="C452">
        <v>34</v>
      </c>
      <c r="D452" t="s">
        <v>5016</v>
      </c>
      <c r="E452" t="s">
        <v>5017</v>
      </c>
      <c r="F452" t="s">
        <v>5020</v>
      </c>
      <c r="G452">
        <v>5.23</v>
      </c>
      <c r="H452">
        <v>3</v>
      </c>
      <c r="I452">
        <v>4.4000000000000004</v>
      </c>
      <c r="J452">
        <v>17.2</v>
      </c>
      <c r="K452">
        <v>22.2</v>
      </c>
      <c r="L452" t="s">
        <v>5027</v>
      </c>
      <c r="M452">
        <v>8</v>
      </c>
      <c r="N452">
        <v>3</v>
      </c>
      <c r="O452">
        <v>0</v>
      </c>
    </row>
    <row r="453" spans="1:15" x14ac:dyDescent="0.3">
      <c r="A453" t="s">
        <v>466</v>
      </c>
      <c r="B453">
        <v>4</v>
      </c>
      <c r="C453">
        <v>66</v>
      </c>
      <c r="D453" t="s">
        <v>5015</v>
      </c>
      <c r="E453" t="s">
        <v>5019</v>
      </c>
      <c r="F453" t="s">
        <v>5022</v>
      </c>
      <c r="G453">
        <v>15.34</v>
      </c>
      <c r="H453">
        <v>3</v>
      </c>
      <c r="I453">
        <v>6.9</v>
      </c>
      <c r="J453">
        <v>11.73</v>
      </c>
      <c r="K453">
        <v>82</v>
      </c>
      <c r="L453" t="s">
        <v>5026</v>
      </c>
      <c r="M453">
        <v>7</v>
      </c>
      <c r="N453">
        <v>3</v>
      </c>
      <c r="O453">
        <v>0</v>
      </c>
    </row>
    <row r="454" spans="1:15" x14ac:dyDescent="0.3">
      <c r="A454" t="s">
        <v>467</v>
      </c>
      <c r="B454">
        <v>6</v>
      </c>
      <c r="C454">
        <v>54</v>
      </c>
      <c r="D454" t="s">
        <v>5015</v>
      </c>
      <c r="E454" t="s">
        <v>5019</v>
      </c>
      <c r="F454" t="s">
        <v>5020</v>
      </c>
      <c r="G454">
        <v>6.99</v>
      </c>
      <c r="H454">
        <v>3</v>
      </c>
      <c r="I454">
        <v>7.6</v>
      </c>
      <c r="J454">
        <v>22.39</v>
      </c>
      <c r="K454">
        <v>51.6</v>
      </c>
      <c r="L454" t="s">
        <v>5027</v>
      </c>
      <c r="M454">
        <v>10</v>
      </c>
      <c r="N454">
        <v>1</v>
      </c>
      <c r="O454">
        <v>1</v>
      </c>
    </row>
    <row r="455" spans="1:15" x14ac:dyDescent="0.3">
      <c r="A455" t="s">
        <v>468</v>
      </c>
      <c r="B455">
        <v>4</v>
      </c>
      <c r="C455">
        <v>23</v>
      </c>
      <c r="D455" t="s">
        <v>5015</v>
      </c>
      <c r="E455" t="s">
        <v>5019</v>
      </c>
      <c r="F455" t="s">
        <v>5021</v>
      </c>
      <c r="G455">
        <v>18.18</v>
      </c>
      <c r="H455">
        <v>1</v>
      </c>
      <c r="I455">
        <v>3.9</v>
      </c>
      <c r="J455">
        <v>17.32</v>
      </c>
      <c r="K455">
        <v>75.3</v>
      </c>
      <c r="L455" t="s">
        <v>5029</v>
      </c>
      <c r="M455">
        <v>9</v>
      </c>
      <c r="N455">
        <v>2</v>
      </c>
      <c r="O455">
        <v>0</v>
      </c>
    </row>
    <row r="456" spans="1:15" x14ac:dyDescent="0.3">
      <c r="A456" t="s">
        <v>469</v>
      </c>
      <c r="B456">
        <v>3</v>
      </c>
      <c r="C456">
        <v>36</v>
      </c>
      <c r="D456" t="s">
        <v>5016</v>
      </c>
      <c r="E456" t="s">
        <v>5018</v>
      </c>
      <c r="F456" t="s">
        <v>5024</v>
      </c>
      <c r="G456">
        <v>16.309999999999999</v>
      </c>
      <c r="H456">
        <v>4</v>
      </c>
      <c r="I456">
        <v>5.5</v>
      </c>
      <c r="J456">
        <v>15.75</v>
      </c>
      <c r="K456">
        <v>11.5</v>
      </c>
      <c r="L456" t="s">
        <v>5028</v>
      </c>
      <c r="M456">
        <v>8</v>
      </c>
      <c r="N456">
        <v>4</v>
      </c>
      <c r="O456">
        <v>0</v>
      </c>
    </row>
    <row r="457" spans="1:15" x14ac:dyDescent="0.3">
      <c r="A457" t="s">
        <v>470</v>
      </c>
      <c r="B457">
        <v>7</v>
      </c>
      <c r="C457">
        <v>30</v>
      </c>
      <c r="D457" t="s">
        <v>5015</v>
      </c>
      <c r="E457" t="s">
        <v>5019</v>
      </c>
      <c r="F457" t="s">
        <v>5023</v>
      </c>
      <c r="G457">
        <v>5.21</v>
      </c>
      <c r="H457">
        <v>5</v>
      </c>
      <c r="I457">
        <v>9.1</v>
      </c>
      <c r="J457">
        <v>24.57</v>
      </c>
      <c r="K457">
        <v>16.7</v>
      </c>
      <c r="L457" t="s">
        <v>5025</v>
      </c>
      <c r="M457">
        <v>7</v>
      </c>
      <c r="N457">
        <v>3</v>
      </c>
      <c r="O457">
        <v>1</v>
      </c>
    </row>
    <row r="458" spans="1:15" x14ac:dyDescent="0.3">
      <c r="A458" t="s">
        <v>471</v>
      </c>
      <c r="B458">
        <v>8</v>
      </c>
      <c r="C458">
        <v>43</v>
      </c>
      <c r="D458" t="s">
        <v>5015</v>
      </c>
      <c r="E458" t="s">
        <v>5017</v>
      </c>
      <c r="F458" t="s">
        <v>5022</v>
      </c>
      <c r="G458">
        <v>9.09</v>
      </c>
      <c r="H458">
        <v>3</v>
      </c>
      <c r="I458">
        <v>8.9</v>
      </c>
      <c r="J458">
        <v>9.17</v>
      </c>
      <c r="K458">
        <v>25.8</v>
      </c>
      <c r="L458" t="s">
        <v>5025</v>
      </c>
      <c r="M458">
        <v>6</v>
      </c>
      <c r="N458">
        <v>3</v>
      </c>
      <c r="O458">
        <v>0</v>
      </c>
    </row>
    <row r="459" spans="1:15" x14ac:dyDescent="0.3">
      <c r="A459" t="s">
        <v>472</v>
      </c>
      <c r="B459">
        <v>4</v>
      </c>
      <c r="C459">
        <v>31</v>
      </c>
      <c r="D459" t="s">
        <v>5016</v>
      </c>
      <c r="E459" t="s">
        <v>5018</v>
      </c>
      <c r="F459" t="s">
        <v>5023</v>
      </c>
      <c r="G459">
        <v>20.52</v>
      </c>
      <c r="H459">
        <v>4</v>
      </c>
      <c r="I459">
        <v>7.7</v>
      </c>
      <c r="J459">
        <v>4.4400000000000004</v>
      </c>
      <c r="K459">
        <v>20.2</v>
      </c>
      <c r="L459" t="s">
        <v>5027</v>
      </c>
      <c r="M459">
        <v>3</v>
      </c>
      <c r="N459">
        <v>1</v>
      </c>
      <c r="O459">
        <v>0</v>
      </c>
    </row>
    <row r="460" spans="1:15" x14ac:dyDescent="0.3">
      <c r="A460" t="s">
        <v>473</v>
      </c>
      <c r="B460">
        <v>2</v>
      </c>
      <c r="C460">
        <v>48</v>
      </c>
      <c r="D460" t="s">
        <v>5015</v>
      </c>
      <c r="E460" t="s">
        <v>5019</v>
      </c>
      <c r="F460" t="s">
        <v>5023</v>
      </c>
      <c r="G460">
        <v>10.52</v>
      </c>
      <c r="H460">
        <v>5</v>
      </c>
      <c r="I460">
        <v>7.9</v>
      </c>
      <c r="J460">
        <v>14.35</v>
      </c>
      <c r="K460">
        <v>27.3</v>
      </c>
      <c r="L460" t="s">
        <v>5026</v>
      </c>
      <c r="M460">
        <v>10</v>
      </c>
      <c r="N460">
        <v>4</v>
      </c>
      <c r="O460">
        <v>1</v>
      </c>
    </row>
    <row r="461" spans="1:15" x14ac:dyDescent="0.3">
      <c r="A461" t="s">
        <v>474</v>
      </c>
      <c r="B461">
        <v>12</v>
      </c>
      <c r="C461">
        <v>21</v>
      </c>
      <c r="D461" t="s">
        <v>5016</v>
      </c>
      <c r="E461" t="s">
        <v>5017</v>
      </c>
      <c r="F461" t="s">
        <v>5023</v>
      </c>
      <c r="G461">
        <v>14.99</v>
      </c>
      <c r="H461">
        <v>2</v>
      </c>
      <c r="I461">
        <v>9.1</v>
      </c>
      <c r="J461">
        <v>12.33</v>
      </c>
      <c r="K461">
        <v>71.8</v>
      </c>
      <c r="L461" t="s">
        <v>5029</v>
      </c>
      <c r="M461">
        <v>4</v>
      </c>
      <c r="N461">
        <v>4</v>
      </c>
      <c r="O461">
        <v>0</v>
      </c>
    </row>
    <row r="462" spans="1:15" x14ac:dyDescent="0.3">
      <c r="A462" t="s">
        <v>475</v>
      </c>
      <c r="B462">
        <v>10</v>
      </c>
      <c r="C462">
        <v>56</v>
      </c>
      <c r="D462" t="s">
        <v>5015</v>
      </c>
      <c r="E462" t="s">
        <v>5017</v>
      </c>
      <c r="F462" t="s">
        <v>5020</v>
      </c>
      <c r="G462">
        <v>11.24</v>
      </c>
      <c r="H462">
        <v>2</v>
      </c>
      <c r="I462">
        <v>7.6</v>
      </c>
      <c r="J462">
        <v>12.99</v>
      </c>
      <c r="K462">
        <v>14.2</v>
      </c>
      <c r="L462" t="s">
        <v>5027</v>
      </c>
      <c r="M462">
        <v>8</v>
      </c>
      <c r="N462">
        <v>4</v>
      </c>
      <c r="O462">
        <v>1</v>
      </c>
    </row>
    <row r="463" spans="1:15" x14ac:dyDescent="0.3">
      <c r="A463" t="s">
        <v>476</v>
      </c>
      <c r="B463">
        <v>3</v>
      </c>
      <c r="C463">
        <v>25</v>
      </c>
      <c r="D463" t="s">
        <v>5015</v>
      </c>
      <c r="E463" t="s">
        <v>5019</v>
      </c>
      <c r="F463" t="s">
        <v>5020</v>
      </c>
      <c r="G463">
        <v>23.43</v>
      </c>
      <c r="H463">
        <v>4</v>
      </c>
      <c r="I463">
        <v>4.0999999999999996</v>
      </c>
      <c r="J463">
        <v>16.64</v>
      </c>
      <c r="K463">
        <v>13.4</v>
      </c>
      <c r="L463" t="s">
        <v>5029</v>
      </c>
      <c r="M463">
        <v>2</v>
      </c>
      <c r="N463">
        <v>4</v>
      </c>
      <c r="O463">
        <v>1</v>
      </c>
    </row>
    <row r="464" spans="1:15" x14ac:dyDescent="0.3">
      <c r="A464" t="s">
        <v>477</v>
      </c>
      <c r="B464">
        <v>1</v>
      </c>
      <c r="C464">
        <v>42</v>
      </c>
      <c r="D464" t="s">
        <v>5015</v>
      </c>
      <c r="E464" t="s">
        <v>5019</v>
      </c>
      <c r="F464" t="s">
        <v>5024</v>
      </c>
      <c r="G464">
        <v>15.73</v>
      </c>
      <c r="H464">
        <v>1</v>
      </c>
      <c r="I464">
        <v>2.1</v>
      </c>
      <c r="J464">
        <v>16.53</v>
      </c>
      <c r="K464">
        <v>12.8</v>
      </c>
      <c r="L464" t="s">
        <v>5029</v>
      </c>
      <c r="M464">
        <v>6</v>
      </c>
      <c r="N464">
        <v>2</v>
      </c>
      <c r="O464">
        <v>0</v>
      </c>
    </row>
    <row r="465" spans="1:15" x14ac:dyDescent="0.3">
      <c r="A465" t="s">
        <v>478</v>
      </c>
      <c r="B465">
        <v>8</v>
      </c>
      <c r="C465">
        <v>30</v>
      </c>
      <c r="D465" t="s">
        <v>5015</v>
      </c>
      <c r="E465" t="s">
        <v>5017</v>
      </c>
      <c r="F465" t="s">
        <v>5021</v>
      </c>
      <c r="G465">
        <v>18.920000000000002</v>
      </c>
      <c r="H465">
        <v>1</v>
      </c>
      <c r="I465">
        <v>4.8</v>
      </c>
      <c r="J465">
        <v>11.63</v>
      </c>
      <c r="K465">
        <v>72.8</v>
      </c>
      <c r="L465" t="s">
        <v>5025</v>
      </c>
      <c r="M465">
        <v>1</v>
      </c>
      <c r="N465">
        <v>0</v>
      </c>
      <c r="O465">
        <v>0</v>
      </c>
    </row>
    <row r="466" spans="1:15" x14ac:dyDescent="0.3">
      <c r="A466" t="s">
        <v>479</v>
      </c>
      <c r="B466">
        <v>3</v>
      </c>
      <c r="C466">
        <v>49</v>
      </c>
      <c r="D466" t="s">
        <v>5015</v>
      </c>
      <c r="E466" t="s">
        <v>5019</v>
      </c>
      <c r="F466" t="s">
        <v>5022</v>
      </c>
      <c r="G466">
        <v>6.67</v>
      </c>
      <c r="H466">
        <v>4</v>
      </c>
      <c r="I466">
        <v>1.8</v>
      </c>
      <c r="J466">
        <v>21.98</v>
      </c>
      <c r="K466">
        <v>58.3</v>
      </c>
      <c r="L466" t="s">
        <v>5028</v>
      </c>
      <c r="M466">
        <v>7</v>
      </c>
      <c r="N466">
        <v>4</v>
      </c>
      <c r="O466">
        <v>1</v>
      </c>
    </row>
    <row r="467" spans="1:15" x14ac:dyDescent="0.3">
      <c r="A467" t="s">
        <v>480</v>
      </c>
      <c r="B467">
        <v>12</v>
      </c>
      <c r="C467">
        <v>55</v>
      </c>
      <c r="D467" t="s">
        <v>5015</v>
      </c>
      <c r="E467" t="s">
        <v>5018</v>
      </c>
      <c r="F467" t="s">
        <v>5020</v>
      </c>
      <c r="G467">
        <v>5.81</v>
      </c>
      <c r="H467">
        <v>1</v>
      </c>
      <c r="I467">
        <v>2</v>
      </c>
      <c r="J467">
        <v>17.329999999999998</v>
      </c>
      <c r="K467">
        <v>43.3</v>
      </c>
      <c r="L467" t="s">
        <v>5028</v>
      </c>
      <c r="M467">
        <v>4</v>
      </c>
      <c r="N467">
        <v>0</v>
      </c>
      <c r="O467">
        <v>0</v>
      </c>
    </row>
    <row r="468" spans="1:15" x14ac:dyDescent="0.3">
      <c r="A468" t="s">
        <v>481</v>
      </c>
      <c r="B468">
        <v>10</v>
      </c>
      <c r="C468">
        <v>55</v>
      </c>
      <c r="D468" t="s">
        <v>5016</v>
      </c>
      <c r="E468" t="s">
        <v>5018</v>
      </c>
      <c r="F468" t="s">
        <v>5023</v>
      </c>
      <c r="G468">
        <v>10.18</v>
      </c>
      <c r="H468">
        <v>1</v>
      </c>
      <c r="I468">
        <v>9.6</v>
      </c>
      <c r="J468">
        <v>22.58</v>
      </c>
      <c r="K468">
        <v>70.8</v>
      </c>
      <c r="L468" t="s">
        <v>5026</v>
      </c>
      <c r="M468">
        <v>1</v>
      </c>
      <c r="N468">
        <v>0</v>
      </c>
      <c r="O468">
        <v>0</v>
      </c>
    </row>
    <row r="469" spans="1:15" x14ac:dyDescent="0.3">
      <c r="A469" t="s">
        <v>482</v>
      </c>
      <c r="B469">
        <v>7</v>
      </c>
      <c r="C469">
        <v>45</v>
      </c>
      <c r="D469" t="s">
        <v>5015</v>
      </c>
      <c r="E469" t="s">
        <v>5019</v>
      </c>
      <c r="F469" t="s">
        <v>5021</v>
      </c>
      <c r="G469">
        <v>11.18</v>
      </c>
      <c r="H469">
        <v>2</v>
      </c>
      <c r="I469">
        <v>7.1</v>
      </c>
      <c r="J469">
        <v>23.09</v>
      </c>
      <c r="K469">
        <v>59.8</v>
      </c>
      <c r="L469" t="s">
        <v>5028</v>
      </c>
      <c r="M469">
        <v>5</v>
      </c>
      <c r="N469">
        <v>1</v>
      </c>
      <c r="O469">
        <v>0</v>
      </c>
    </row>
    <row r="470" spans="1:15" x14ac:dyDescent="0.3">
      <c r="A470" t="s">
        <v>483</v>
      </c>
      <c r="B470">
        <v>10</v>
      </c>
      <c r="C470">
        <v>47</v>
      </c>
      <c r="D470" t="s">
        <v>5015</v>
      </c>
      <c r="E470" t="s">
        <v>5018</v>
      </c>
      <c r="F470" t="s">
        <v>5022</v>
      </c>
      <c r="G470">
        <v>18.75</v>
      </c>
      <c r="H470">
        <v>1</v>
      </c>
      <c r="I470">
        <v>8.6999999999999993</v>
      </c>
      <c r="J470">
        <v>6.68</v>
      </c>
      <c r="K470">
        <v>10.7</v>
      </c>
      <c r="L470" t="s">
        <v>5027</v>
      </c>
      <c r="M470">
        <v>5</v>
      </c>
      <c r="N470">
        <v>4</v>
      </c>
      <c r="O470">
        <v>1</v>
      </c>
    </row>
    <row r="471" spans="1:15" x14ac:dyDescent="0.3">
      <c r="A471" t="s">
        <v>484</v>
      </c>
      <c r="B471">
        <v>5</v>
      </c>
      <c r="C471">
        <v>20</v>
      </c>
      <c r="D471" t="s">
        <v>5015</v>
      </c>
      <c r="E471" t="s">
        <v>5017</v>
      </c>
      <c r="F471" t="s">
        <v>5022</v>
      </c>
      <c r="G471">
        <v>16.38</v>
      </c>
      <c r="H471">
        <v>1</v>
      </c>
      <c r="I471">
        <v>6.8</v>
      </c>
      <c r="J471">
        <v>17.97</v>
      </c>
      <c r="K471">
        <v>85.5</v>
      </c>
      <c r="L471" t="s">
        <v>5025</v>
      </c>
      <c r="M471">
        <v>6</v>
      </c>
      <c r="N471">
        <v>2</v>
      </c>
      <c r="O471">
        <v>0</v>
      </c>
    </row>
    <row r="472" spans="1:15" x14ac:dyDescent="0.3">
      <c r="A472" t="s">
        <v>485</v>
      </c>
      <c r="B472">
        <v>10</v>
      </c>
      <c r="C472">
        <v>45</v>
      </c>
      <c r="D472" t="s">
        <v>5016</v>
      </c>
      <c r="E472" t="s">
        <v>5017</v>
      </c>
      <c r="F472" t="s">
        <v>5022</v>
      </c>
      <c r="G472">
        <v>12.49</v>
      </c>
      <c r="H472">
        <v>4</v>
      </c>
      <c r="I472">
        <v>4.8</v>
      </c>
      <c r="J472">
        <v>9.99</v>
      </c>
      <c r="K472">
        <v>41.5</v>
      </c>
      <c r="L472" t="s">
        <v>5025</v>
      </c>
      <c r="M472">
        <v>8</v>
      </c>
      <c r="N472">
        <v>1</v>
      </c>
      <c r="O472">
        <v>1</v>
      </c>
    </row>
    <row r="473" spans="1:15" x14ac:dyDescent="0.3">
      <c r="A473" t="s">
        <v>486</v>
      </c>
      <c r="B473">
        <v>5</v>
      </c>
      <c r="C473">
        <v>20</v>
      </c>
      <c r="D473" t="s">
        <v>5016</v>
      </c>
      <c r="E473" t="s">
        <v>5018</v>
      </c>
      <c r="F473" t="s">
        <v>5022</v>
      </c>
      <c r="G473">
        <v>18.079999999999998</v>
      </c>
      <c r="H473">
        <v>1</v>
      </c>
      <c r="I473">
        <v>1.2</v>
      </c>
      <c r="J473">
        <v>21.4</v>
      </c>
      <c r="K473">
        <v>46</v>
      </c>
      <c r="L473" t="s">
        <v>5029</v>
      </c>
      <c r="M473">
        <v>4</v>
      </c>
      <c r="N473">
        <v>1</v>
      </c>
      <c r="O473">
        <v>0</v>
      </c>
    </row>
    <row r="474" spans="1:15" x14ac:dyDescent="0.3">
      <c r="A474" t="s">
        <v>487</v>
      </c>
      <c r="B474">
        <v>7</v>
      </c>
      <c r="C474">
        <v>62</v>
      </c>
      <c r="D474" t="s">
        <v>5016</v>
      </c>
      <c r="E474" t="s">
        <v>5018</v>
      </c>
      <c r="F474" t="s">
        <v>5024</v>
      </c>
      <c r="G474">
        <v>8.27</v>
      </c>
      <c r="H474">
        <v>3</v>
      </c>
      <c r="I474">
        <v>9.6</v>
      </c>
      <c r="J474">
        <v>19.12</v>
      </c>
      <c r="K474">
        <v>80.400000000000006</v>
      </c>
      <c r="L474" t="s">
        <v>5027</v>
      </c>
      <c r="M474">
        <v>7</v>
      </c>
      <c r="N474">
        <v>0</v>
      </c>
      <c r="O474">
        <v>1</v>
      </c>
    </row>
    <row r="475" spans="1:15" x14ac:dyDescent="0.3">
      <c r="A475" t="s">
        <v>488</v>
      </c>
      <c r="B475">
        <v>9</v>
      </c>
      <c r="C475">
        <v>51</v>
      </c>
      <c r="D475" t="s">
        <v>5015</v>
      </c>
      <c r="E475" t="s">
        <v>5019</v>
      </c>
      <c r="F475" t="s">
        <v>5022</v>
      </c>
      <c r="G475">
        <v>6.27</v>
      </c>
      <c r="H475">
        <v>3</v>
      </c>
      <c r="I475">
        <v>1.6</v>
      </c>
      <c r="J475">
        <v>7.37</v>
      </c>
      <c r="K475">
        <v>26.8</v>
      </c>
      <c r="L475" t="s">
        <v>5027</v>
      </c>
      <c r="M475">
        <v>11</v>
      </c>
      <c r="N475">
        <v>3</v>
      </c>
      <c r="O475">
        <v>1</v>
      </c>
    </row>
    <row r="476" spans="1:15" x14ac:dyDescent="0.3">
      <c r="A476" t="s">
        <v>489</v>
      </c>
      <c r="B476">
        <v>12</v>
      </c>
      <c r="C476">
        <v>33</v>
      </c>
      <c r="D476" t="s">
        <v>5015</v>
      </c>
      <c r="E476" t="s">
        <v>5019</v>
      </c>
      <c r="F476" t="s">
        <v>5021</v>
      </c>
      <c r="G476">
        <v>22.09</v>
      </c>
      <c r="H476">
        <v>4</v>
      </c>
      <c r="I476">
        <v>6.5</v>
      </c>
      <c r="J476">
        <v>23.65</v>
      </c>
      <c r="K476">
        <v>10.9</v>
      </c>
      <c r="L476" t="s">
        <v>5029</v>
      </c>
      <c r="M476">
        <v>4</v>
      </c>
      <c r="N476">
        <v>2</v>
      </c>
      <c r="O476">
        <v>0</v>
      </c>
    </row>
    <row r="477" spans="1:15" x14ac:dyDescent="0.3">
      <c r="A477" t="s">
        <v>490</v>
      </c>
      <c r="B477">
        <v>5</v>
      </c>
      <c r="C477">
        <v>39</v>
      </c>
      <c r="D477" t="s">
        <v>5016</v>
      </c>
      <c r="E477" t="s">
        <v>5018</v>
      </c>
      <c r="F477" t="s">
        <v>5020</v>
      </c>
      <c r="G477">
        <v>16.28</v>
      </c>
      <c r="H477">
        <v>3</v>
      </c>
      <c r="I477">
        <v>1.9</v>
      </c>
      <c r="J477">
        <v>18.04</v>
      </c>
      <c r="K477">
        <v>91.8</v>
      </c>
      <c r="L477" t="s">
        <v>5029</v>
      </c>
      <c r="M477">
        <v>2</v>
      </c>
      <c r="N477">
        <v>4</v>
      </c>
      <c r="O477">
        <v>1</v>
      </c>
    </row>
    <row r="478" spans="1:15" x14ac:dyDescent="0.3">
      <c r="A478" t="s">
        <v>491</v>
      </c>
      <c r="B478">
        <v>1</v>
      </c>
      <c r="C478">
        <v>49</v>
      </c>
      <c r="D478" t="s">
        <v>5016</v>
      </c>
      <c r="E478" t="s">
        <v>5019</v>
      </c>
      <c r="F478" t="s">
        <v>5021</v>
      </c>
      <c r="G478">
        <v>17.98</v>
      </c>
      <c r="H478">
        <v>2</v>
      </c>
      <c r="I478">
        <v>3.6</v>
      </c>
      <c r="J478">
        <v>23.87</v>
      </c>
      <c r="K478">
        <v>55.5</v>
      </c>
      <c r="L478" t="s">
        <v>5025</v>
      </c>
      <c r="M478">
        <v>8</v>
      </c>
      <c r="N478">
        <v>4</v>
      </c>
      <c r="O478">
        <v>0</v>
      </c>
    </row>
    <row r="479" spans="1:15" x14ac:dyDescent="0.3">
      <c r="A479" t="s">
        <v>492</v>
      </c>
      <c r="B479">
        <v>10</v>
      </c>
      <c r="C479">
        <v>55</v>
      </c>
      <c r="D479" t="s">
        <v>5016</v>
      </c>
      <c r="E479" t="s">
        <v>5017</v>
      </c>
      <c r="F479" t="s">
        <v>5023</v>
      </c>
      <c r="G479">
        <v>11.14</v>
      </c>
      <c r="H479">
        <v>4</v>
      </c>
      <c r="I479">
        <v>2.7</v>
      </c>
      <c r="J479">
        <v>7.44</v>
      </c>
      <c r="K479">
        <v>41.5</v>
      </c>
      <c r="L479" t="s">
        <v>5027</v>
      </c>
      <c r="M479">
        <v>5</v>
      </c>
      <c r="N479">
        <v>2</v>
      </c>
      <c r="O479">
        <v>1</v>
      </c>
    </row>
    <row r="480" spans="1:15" x14ac:dyDescent="0.3">
      <c r="A480" t="s">
        <v>493</v>
      </c>
      <c r="B480">
        <v>10</v>
      </c>
      <c r="C480">
        <v>25</v>
      </c>
      <c r="D480" t="s">
        <v>5015</v>
      </c>
      <c r="E480" t="s">
        <v>5017</v>
      </c>
      <c r="F480" t="s">
        <v>5024</v>
      </c>
      <c r="G480">
        <v>12.44</v>
      </c>
      <c r="H480">
        <v>1</v>
      </c>
      <c r="I480">
        <v>6</v>
      </c>
      <c r="J480">
        <v>22.13</v>
      </c>
      <c r="K480">
        <v>83.7</v>
      </c>
      <c r="L480" t="s">
        <v>5028</v>
      </c>
      <c r="M480">
        <v>10</v>
      </c>
      <c r="N480">
        <v>4</v>
      </c>
      <c r="O480">
        <v>1</v>
      </c>
    </row>
    <row r="481" spans="1:15" x14ac:dyDescent="0.3">
      <c r="A481" t="s">
        <v>494</v>
      </c>
      <c r="B481">
        <v>1</v>
      </c>
      <c r="C481">
        <v>25</v>
      </c>
      <c r="D481" t="s">
        <v>5016</v>
      </c>
      <c r="E481" t="s">
        <v>5019</v>
      </c>
      <c r="F481" t="s">
        <v>5024</v>
      </c>
      <c r="G481">
        <v>6.65</v>
      </c>
      <c r="H481">
        <v>3</v>
      </c>
      <c r="I481">
        <v>9</v>
      </c>
      <c r="J481">
        <v>17.7</v>
      </c>
      <c r="K481">
        <v>12.4</v>
      </c>
      <c r="L481" t="s">
        <v>5028</v>
      </c>
      <c r="M481">
        <v>4</v>
      </c>
      <c r="N481">
        <v>3</v>
      </c>
      <c r="O481">
        <v>0</v>
      </c>
    </row>
    <row r="482" spans="1:15" x14ac:dyDescent="0.3">
      <c r="A482" t="s">
        <v>495</v>
      </c>
      <c r="B482">
        <v>2</v>
      </c>
      <c r="C482">
        <v>23</v>
      </c>
      <c r="D482" t="s">
        <v>5015</v>
      </c>
      <c r="E482" t="s">
        <v>5017</v>
      </c>
      <c r="F482" t="s">
        <v>5023</v>
      </c>
      <c r="G482">
        <v>22.14</v>
      </c>
      <c r="H482">
        <v>2</v>
      </c>
      <c r="I482">
        <v>6.7</v>
      </c>
      <c r="J482">
        <v>15.15</v>
      </c>
      <c r="K482">
        <v>28.2</v>
      </c>
      <c r="L482" t="s">
        <v>5025</v>
      </c>
      <c r="M482">
        <v>2</v>
      </c>
      <c r="N482">
        <v>3</v>
      </c>
      <c r="O482">
        <v>0</v>
      </c>
    </row>
    <row r="483" spans="1:15" x14ac:dyDescent="0.3">
      <c r="A483" t="s">
        <v>496</v>
      </c>
      <c r="B483">
        <v>6</v>
      </c>
      <c r="C483">
        <v>31</v>
      </c>
      <c r="D483" t="s">
        <v>5015</v>
      </c>
      <c r="E483" t="s">
        <v>5017</v>
      </c>
      <c r="F483" t="s">
        <v>5021</v>
      </c>
      <c r="G483">
        <v>16.850000000000001</v>
      </c>
      <c r="H483">
        <v>4</v>
      </c>
      <c r="I483">
        <v>7</v>
      </c>
      <c r="J483">
        <v>21.05</v>
      </c>
      <c r="K483">
        <v>24</v>
      </c>
      <c r="L483" t="s">
        <v>5028</v>
      </c>
      <c r="M483">
        <v>7</v>
      </c>
      <c r="N483">
        <v>4</v>
      </c>
      <c r="O483">
        <v>0</v>
      </c>
    </row>
    <row r="484" spans="1:15" x14ac:dyDescent="0.3">
      <c r="A484" t="s">
        <v>497</v>
      </c>
      <c r="B484">
        <v>9</v>
      </c>
      <c r="C484">
        <v>49</v>
      </c>
      <c r="D484" t="s">
        <v>5015</v>
      </c>
      <c r="E484" t="s">
        <v>5018</v>
      </c>
      <c r="F484" t="s">
        <v>5021</v>
      </c>
      <c r="G484">
        <v>6.67</v>
      </c>
      <c r="H484">
        <v>4</v>
      </c>
      <c r="I484">
        <v>9.1999999999999993</v>
      </c>
      <c r="J484">
        <v>16.920000000000002</v>
      </c>
      <c r="K484">
        <v>76.400000000000006</v>
      </c>
      <c r="L484" t="s">
        <v>5028</v>
      </c>
      <c r="M484">
        <v>5</v>
      </c>
      <c r="N484">
        <v>1</v>
      </c>
      <c r="O484">
        <v>0</v>
      </c>
    </row>
    <row r="485" spans="1:15" x14ac:dyDescent="0.3">
      <c r="A485" t="s">
        <v>498</v>
      </c>
      <c r="B485">
        <v>8</v>
      </c>
      <c r="C485">
        <v>52</v>
      </c>
      <c r="D485" t="s">
        <v>5016</v>
      </c>
      <c r="E485" t="s">
        <v>5018</v>
      </c>
      <c r="F485" t="s">
        <v>5023</v>
      </c>
      <c r="G485">
        <v>21.09</v>
      </c>
      <c r="H485">
        <v>1</v>
      </c>
      <c r="I485">
        <v>7.7</v>
      </c>
      <c r="J485">
        <v>17.73</v>
      </c>
      <c r="K485">
        <v>38.1</v>
      </c>
      <c r="L485" t="s">
        <v>5027</v>
      </c>
      <c r="M485">
        <v>9</v>
      </c>
      <c r="N485">
        <v>4</v>
      </c>
      <c r="O485">
        <v>0</v>
      </c>
    </row>
    <row r="486" spans="1:15" x14ac:dyDescent="0.3">
      <c r="A486" t="s">
        <v>499</v>
      </c>
      <c r="B486">
        <v>5</v>
      </c>
      <c r="C486">
        <v>27</v>
      </c>
      <c r="D486" t="s">
        <v>5015</v>
      </c>
      <c r="E486" t="s">
        <v>5019</v>
      </c>
      <c r="F486" t="s">
        <v>5022</v>
      </c>
      <c r="G486">
        <v>13.88</v>
      </c>
      <c r="H486">
        <v>5</v>
      </c>
      <c r="I486">
        <v>8.8000000000000007</v>
      </c>
      <c r="J486">
        <v>8.58</v>
      </c>
      <c r="K486">
        <v>79.599999999999994</v>
      </c>
      <c r="L486" t="s">
        <v>5027</v>
      </c>
      <c r="M486">
        <v>7</v>
      </c>
      <c r="N486">
        <v>4</v>
      </c>
      <c r="O486">
        <v>0</v>
      </c>
    </row>
    <row r="487" spans="1:15" x14ac:dyDescent="0.3">
      <c r="A487" t="s">
        <v>500</v>
      </c>
      <c r="B487">
        <v>1</v>
      </c>
      <c r="C487">
        <v>20</v>
      </c>
      <c r="D487" t="s">
        <v>5016</v>
      </c>
      <c r="E487" t="s">
        <v>5017</v>
      </c>
      <c r="F487" t="s">
        <v>5022</v>
      </c>
      <c r="G487">
        <v>20.3</v>
      </c>
      <c r="H487">
        <v>3</v>
      </c>
      <c r="I487">
        <v>4.7</v>
      </c>
      <c r="J487">
        <v>20.98</v>
      </c>
      <c r="K487">
        <v>13.7</v>
      </c>
      <c r="L487" t="s">
        <v>5026</v>
      </c>
      <c r="M487">
        <v>9</v>
      </c>
      <c r="N487">
        <v>2</v>
      </c>
      <c r="O487">
        <v>0</v>
      </c>
    </row>
    <row r="488" spans="1:15" x14ac:dyDescent="0.3">
      <c r="A488" t="s">
        <v>501</v>
      </c>
      <c r="B488">
        <v>7</v>
      </c>
      <c r="C488">
        <v>29</v>
      </c>
      <c r="D488" t="s">
        <v>5016</v>
      </c>
      <c r="E488" t="s">
        <v>5017</v>
      </c>
      <c r="F488" t="s">
        <v>5020</v>
      </c>
      <c r="G488">
        <v>5.25</v>
      </c>
      <c r="H488">
        <v>2</v>
      </c>
      <c r="I488">
        <v>8.8000000000000007</v>
      </c>
      <c r="J488">
        <v>17.309999999999999</v>
      </c>
      <c r="K488">
        <v>64.7</v>
      </c>
      <c r="L488" t="s">
        <v>5027</v>
      </c>
      <c r="M488">
        <v>10</v>
      </c>
      <c r="N488">
        <v>3</v>
      </c>
      <c r="O488">
        <v>0</v>
      </c>
    </row>
    <row r="489" spans="1:15" x14ac:dyDescent="0.3">
      <c r="A489" t="s">
        <v>502</v>
      </c>
      <c r="B489">
        <v>5</v>
      </c>
      <c r="C489">
        <v>66</v>
      </c>
      <c r="D489" t="s">
        <v>5016</v>
      </c>
      <c r="E489" t="s">
        <v>5018</v>
      </c>
      <c r="F489" t="s">
        <v>5021</v>
      </c>
      <c r="G489">
        <v>5.57</v>
      </c>
      <c r="H489">
        <v>4</v>
      </c>
      <c r="I489">
        <v>6.8</v>
      </c>
      <c r="J489">
        <v>21.58</v>
      </c>
      <c r="K489">
        <v>38.6</v>
      </c>
      <c r="L489" t="s">
        <v>5026</v>
      </c>
      <c r="M489">
        <v>10</v>
      </c>
      <c r="N489">
        <v>1</v>
      </c>
      <c r="O489">
        <v>1</v>
      </c>
    </row>
    <row r="490" spans="1:15" x14ac:dyDescent="0.3">
      <c r="A490" t="s">
        <v>503</v>
      </c>
      <c r="B490">
        <v>6</v>
      </c>
      <c r="C490">
        <v>48</v>
      </c>
      <c r="D490" t="s">
        <v>5016</v>
      </c>
      <c r="E490" t="s">
        <v>5018</v>
      </c>
      <c r="F490" t="s">
        <v>5021</v>
      </c>
      <c r="G490">
        <v>8.42</v>
      </c>
      <c r="H490">
        <v>3</v>
      </c>
      <c r="I490">
        <v>2.2000000000000002</v>
      </c>
      <c r="J490">
        <v>10.73</v>
      </c>
      <c r="K490">
        <v>26.8</v>
      </c>
      <c r="L490" t="s">
        <v>5027</v>
      </c>
      <c r="M490">
        <v>5</v>
      </c>
      <c r="N490">
        <v>2</v>
      </c>
      <c r="O490">
        <v>0</v>
      </c>
    </row>
    <row r="491" spans="1:15" x14ac:dyDescent="0.3">
      <c r="A491" t="s">
        <v>504</v>
      </c>
      <c r="B491">
        <v>7</v>
      </c>
      <c r="C491">
        <v>46</v>
      </c>
      <c r="D491" t="s">
        <v>5015</v>
      </c>
      <c r="E491" t="s">
        <v>5018</v>
      </c>
      <c r="F491" t="s">
        <v>5023</v>
      </c>
      <c r="G491">
        <v>9.2200000000000006</v>
      </c>
      <c r="H491">
        <v>2</v>
      </c>
      <c r="I491">
        <v>1.3</v>
      </c>
      <c r="J491">
        <v>10.3</v>
      </c>
      <c r="K491">
        <v>83.5</v>
      </c>
      <c r="L491" t="s">
        <v>5029</v>
      </c>
      <c r="M491">
        <v>11</v>
      </c>
      <c r="N491">
        <v>2</v>
      </c>
      <c r="O491">
        <v>0</v>
      </c>
    </row>
    <row r="492" spans="1:15" x14ac:dyDescent="0.3">
      <c r="A492" t="s">
        <v>505</v>
      </c>
      <c r="B492">
        <v>3</v>
      </c>
      <c r="C492">
        <v>22</v>
      </c>
      <c r="D492" t="s">
        <v>5015</v>
      </c>
      <c r="E492" t="s">
        <v>5018</v>
      </c>
      <c r="F492" t="s">
        <v>5023</v>
      </c>
      <c r="G492">
        <v>20.28</v>
      </c>
      <c r="H492">
        <v>2</v>
      </c>
      <c r="I492">
        <v>3.2</v>
      </c>
      <c r="J492">
        <v>3.53</v>
      </c>
      <c r="K492">
        <v>47.1</v>
      </c>
      <c r="L492" t="s">
        <v>5027</v>
      </c>
      <c r="M492">
        <v>6</v>
      </c>
      <c r="N492">
        <v>1</v>
      </c>
      <c r="O492">
        <v>0</v>
      </c>
    </row>
    <row r="493" spans="1:15" x14ac:dyDescent="0.3">
      <c r="A493" t="s">
        <v>506</v>
      </c>
      <c r="B493">
        <v>12</v>
      </c>
      <c r="C493">
        <v>69</v>
      </c>
      <c r="D493" t="s">
        <v>5015</v>
      </c>
      <c r="E493" t="s">
        <v>5019</v>
      </c>
      <c r="F493" t="s">
        <v>5022</v>
      </c>
      <c r="G493">
        <v>19.13</v>
      </c>
      <c r="H493">
        <v>4</v>
      </c>
      <c r="I493">
        <v>4.4000000000000004</v>
      </c>
      <c r="J493">
        <v>19.91</v>
      </c>
      <c r="K493">
        <v>61.4</v>
      </c>
      <c r="L493" t="s">
        <v>5026</v>
      </c>
      <c r="M493">
        <v>8</v>
      </c>
      <c r="N493">
        <v>1</v>
      </c>
      <c r="O493">
        <v>0</v>
      </c>
    </row>
    <row r="494" spans="1:15" x14ac:dyDescent="0.3">
      <c r="A494" t="s">
        <v>507</v>
      </c>
      <c r="B494">
        <v>10</v>
      </c>
      <c r="C494">
        <v>42</v>
      </c>
      <c r="D494" t="s">
        <v>5015</v>
      </c>
      <c r="E494" t="s">
        <v>5019</v>
      </c>
      <c r="F494" t="s">
        <v>5021</v>
      </c>
      <c r="G494">
        <v>17.32</v>
      </c>
      <c r="H494">
        <v>3</v>
      </c>
      <c r="I494">
        <v>8.5</v>
      </c>
      <c r="J494">
        <v>10.27</v>
      </c>
      <c r="K494">
        <v>13</v>
      </c>
      <c r="L494" t="s">
        <v>5028</v>
      </c>
      <c r="M494">
        <v>10</v>
      </c>
      <c r="N494">
        <v>2</v>
      </c>
      <c r="O494">
        <v>1</v>
      </c>
    </row>
    <row r="495" spans="1:15" x14ac:dyDescent="0.3">
      <c r="A495" t="s">
        <v>508</v>
      </c>
      <c r="B495">
        <v>3</v>
      </c>
      <c r="C495">
        <v>58</v>
      </c>
      <c r="D495" t="s">
        <v>5016</v>
      </c>
      <c r="E495" t="s">
        <v>5017</v>
      </c>
      <c r="F495" t="s">
        <v>5021</v>
      </c>
      <c r="G495">
        <v>22.7</v>
      </c>
      <c r="H495">
        <v>2</v>
      </c>
      <c r="I495">
        <v>7.7</v>
      </c>
      <c r="J495">
        <v>10.199999999999999</v>
      </c>
      <c r="K495">
        <v>81.2</v>
      </c>
      <c r="L495" t="s">
        <v>5027</v>
      </c>
      <c r="M495">
        <v>6</v>
      </c>
      <c r="N495">
        <v>4</v>
      </c>
      <c r="O495">
        <v>0</v>
      </c>
    </row>
    <row r="496" spans="1:15" x14ac:dyDescent="0.3">
      <c r="A496" t="s">
        <v>509</v>
      </c>
      <c r="B496">
        <v>5</v>
      </c>
      <c r="C496">
        <v>48</v>
      </c>
      <c r="D496" t="s">
        <v>5016</v>
      </c>
      <c r="E496" t="s">
        <v>5018</v>
      </c>
      <c r="F496" t="s">
        <v>5024</v>
      </c>
      <c r="G496">
        <v>9.94</v>
      </c>
      <c r="H496">
        <v>4</v>
      </c>
      <c r="I496">
        <v>9.6</v>
      </c>
      <c r="J496">
        <v>18.149999999999999</v>
      </c>
      <c r="K496">
        <v>35.799999999999997</v>
      </c>
      <c r="L496" t="s">
        <v>5028</v>
      </c>
      <c r="M496">
        <v>11</v>
      </c>
      <c r="N496">
        <v>1</v>
      </c>
      <c r="O496">
        <v>0</v>
      </c>
    </row>
    <row r="497" spans="1:15" x14ac:dyDescent="0.3">
      <c r="A497" t="s">
        <v>510</v>
      </c>
      <c r="B497">
        <v>6</v>
      </c>
      <c r="C497">
        <v>38</v>
      </c>
      <c r="D497" t="s">
        <v>5016</v>
      </c>
      <c r="E497" t="s">
        <v>5018</v>
      </c>
      <c r="F497" t="s">
        <v>5020</v>
      </c>
      <c r="G497">
        <v>23.09</v>
      </c>
      <c r="H497">
        <v>3</v>
      </c>
      <c r="I497">
        <v>6</v>
      </c>
      <c r="J497">
        <v>8.56</v>
      </c>
      <c r="K497">
        <v>72.400000000000006</v>
      </c>
      <c r="L497" t="s">
        <v>5028</v>
      </c>
      <c r="M497">
        <v>4</v>
      </c>
      <c r="N497">
        <v>0</v>
      </c>
      <c r="O497">
        <v>0</v>
      </c>
    </row>
    <row r="498" spans="1:15" x14ac:dyDescent="0.3">
      <c r="A498" t="s">
        <v>511</v>
      </c>
      <c r="B498">
        <v>9</v>
      </c>
      <c r="C498">
        <v>37</v>
      </c>
      <c r="D498" t="s">
        <v>5016</v>
      </c>
      <c r="E498" t="s">
        <v>5019</v>
      </c>
      <c r="F498" t="s">
        <v>5020</v>
      </c>
      <c r="G498">
        <v>23.19</v>
      </c>
      <c r="H498">
        <v>3</v>
      </c>
      <c r="I498">
        <v>7.7</v>
      </c>
      <c r="J498">
        <v>23</v>
      </c>
      <c r="K498">
        <v>78.400000000000006</v>
      </c>
      <c r="L498" t="s">
        <v>5027</v>
      </c>
      <c r="M498">
        <v>2</v>
      </c>
      <c r="N498">
        <v>1</v>
      </c>
      <c r="O498">
        <v>0</v>
      </c>
    </row>
    <row r="499" spans="1:15" x14ac:dyDescent="0.3">
      <c r="A499" t="s">
        <v>512</v>
      </c>
      <c r="B499">
        <v>12</v>
      </c>
      <c r="C499">
        <v>56</v>
      </c>
      <c r="D499" t="s">
        <v>5015</v>
      </c>
      <c r="E499" t="s">
        <v>5019</v>
      </c>
      <c r="F499" t="s">
        <v>5022</v>
      </c>
      <c r="G499">
        <v>13.69</v>
      </c>
      <c r="H499">
        <v>4</v>
      </c>
      <c r="I499">
        <v>3.5</v>
      </c>
      <c r="J499">
        <v>14.84</v>
      </c>
      <c r="K499">
        <v>20.5</v>
      </c>
      <c r="L499" t="s">
        <v>5027</v>
      </c>
      <c r="M499">
        <v>6</v>
      </c>
      <c r="N499">
        <v>2</v>
      </c>
      <c r="O499">
        <v>0</v>
      </c>
    </row>
    <row r="500" spans="1:15" x14ac:dyDescent="0.3">
      <c r="A500" t="s">
        <v>513</v>
      </c>
      <c r="B500">
        <v>5</v>
      </c>
      <c r="C500">
        <v>39</v>
      </c>
      <c r="D500" t="s">
        <v>5016</v>
      </c>
      <c r="E500" t="s">
        <v>5017</v>
      </c>
      <c r="F500" t="s">
        <v>5021</v>
      </c>
      <c r="G500">
        <v>6.89</v>
      </c>
      <c r="H500">
        <v>3</v>
      </c>
      <c r="I500">
        <v>7.1</v>
      </c>
      <c r="J500">
        <v>24.33</v>
      </c>
      <c r="K500">
        <v>36.6</v>
      </c>
      <c r="L500" t="s">
        <v>5029</v>
      </c>
      <c r="M500">
        <v>9</v>
      </c>
      <c r="N500">
        <v>0</v>
      </c>
      <c r="O500">
        <v>0</v>
      </c>
    </row>
    <row r="501" spans="1:15" x14ac:dyDescent="0.3">
      <c r="A501" t="s">
        <v>514</v>
      </c>
      <c r="B501">
        <v>1</v>
      </c>
      <c r="C501">
        <v>21</v>
      </c>
      <c r="D501" t="s">
        <v>5015</v>
      </c>
      <c r="E501" t="s">
        <v>5019</v>
      </c>
      <c r="F501" t="s">
        <v>5024</v>
      </c>
      <c r="G501">
        <v>19.53</v>
      </c>
      <c r="H501">
        <v>5</v>
      </c>
      <c r="I501">
        <v>7.4</v>
      </c>
      <c r="J501">
        <v>4.6900000000000004</v>
      </c>
      <c r="K501">
        <v>75.099999999999994</v>
      </c>
      <c r="L501" t="s">
        <v>5026</v>
      </c>
      <c r="M501">
        <v>8</v>
      </c>
      <c r="N501">
        <v>2</v>
      </c>
      <c r="O501">
        <v>0</v>
      </c>
    </row>
    <row r="502" spans="1:15" x14ac:dyDescent="0.3">
      <c r="A502" t="s">
        <v>515</v>
      </c>
      <c r="B502">
        <v>4</v>
      </c>
      <c r="C502">
        <v>30</v>
      </c>
      <c r="D502" t="s">
        <v>5016</v>
      </c>
      <c r="E502" t="s">
        <v>5018</v>
      </c>
      <c r="F502" t="s">
        <v>5021</v>
      </c>
      <c r="G502">
        <v>11.74</v>
      </c>
      <c r="H502">
        <v>2</v>
      </c>
      <c r="I502">
        <v>8.6</v>
      </c>
      <c r="J502">
        <v>10.41</v>
      </c>
      <c r="K502">
        <v>30.9</v>
      </c>
      <c r="L502" t="s">
        <v>5027</v>
      </c>
      <c r="M502">
        <v>3</v>
      </c>
      <c r="N502">
        <v>3</v>
      </c>
      <c r="O502">
        <v>0</v>
      </c>
    </row>
    <row r="503" spans="1:15" x14ac:dyDescent="0.3">
      <c r="A503" t="s">
        <v>516</v>
      </c>
      <c r="B503">
        <v>5</v>
      </c>
      <c r="C503">
        <v>62</v>
      </c>
      <c r="D503" t="s">
        <v>5016</v>
      </c>
      <c r="E503" t="s">
        <v>5017</v>
      </c>
      <c r="F503" t="s">
        <v>5023</v>
      </c>
      <c r="G503">
        <v>20.9</v>
      </c>
      <c r="H503">
        <v>2</v>
      </c>
      <c r="I503">
        <v>5.8</v>
      </c>
      <c r="J503">
        <v>11.39</v>
      </c>
      <c r="K503">
        <v>86.3</v>
      </c>
      <c r="L503" t="s">
        <v>5028</v>
      </c>
      <c r="M503">
        <v>5</v>
      </c>
      <c r="N503">
        <v>3</v>
      </c>
      <c r="O503">
        <v>1</v>
      </c>
    </row>
    <row r="504" spans="1:15" x14ac:dyDescent="0.3">
      <c r="A504" t="s">
        <v>517</v>
      </c>
      <c r="B504">
        <v>12</v>
      </c>
      <c r="C504">
        <v>59</v>
      </c>
      <c r="D504" t="s">
        <v>5016</v>
      </c>
      <c r="E504" t="s">
        <v>5017</v>
      </c>
      <c r="F504" t="s">
        <v>5022</v>
      </c>
      <c r="G504">
        <v>8.27</v>
      </c>
      <c r="H504">
        <v>3</v>
      </c>
      <c r="I504">
        <v>6.8</v>
      </c>
      <c r="J504">
        <v>19.07</v>
      </c>
      <c r="K504">
        <v>38.1</v>
      </c>
      <c r="L504" t="s">
        <v>5028</v>
      </c>
      <c r="M504">
        <v>6</v>
      </c>
      <c r="N504">
        <v>4</v>
      </c>
      <c r="O504">
        <v>0</v>
      </c>
    </row>
    <row r="505" spans="1:15" x14ac:dyDescent="0.3">
      <c r="A505" t="s">
        <v>518</v>
      </c>
      <c r="B505">
        <v>10</v>
      </c>
      <c r="C505">
        <v>67</v>
      </c>
      <c r="D505" t="s">
        <v>5016</v>
      </c>
      <c r="E505" t="s">
        <v>5018</v>
      </c>
      <c r="F505" t="s">
        <v>5020</v>
      </c>
      <c r="G505">
        <v>15.79</v>
      </c>
      <c r="H505">
        <v>4</v>
      </c>
      <c r="I505">
        <v>2.8</v>
      </c>
      <c r="J505">
        <v>7.69</v>
      </c>
      <c r="K505">
        <v>46.2</v>
      </c>
      <c r="L505" t="s">
        <v>5027</v>
      </c>
      <c r="M505">
        <v>7</v>
      </c>
      <c r="N505">
        <v>1</v>
      </c>
      <c r="O505">
        <v>0</v>
      </c>
    </row>
    <row r="506" spans="1:15" x14ac:dyDescent="0.3">
      <c r="A506" t="s">
        <v>519</v>
      </c>
      <c r="B506">
        <v>10</v>
      </c>
      <c r="C506">
        <v>66</v>
      </c>
      <c r="D506" t="s">
        <v>5015</v>
      </c>
      <c r="E506" t="s">
        <v>5018</v>
      </c>
      <c r="F506" t="s">
        <v>5021</v>
      </c>
      <c r="G506">
        <v>15.16</v>
      </c>
      <c r="H506">
        <v>1</v>
      </c>
      <c r="I506">
        <v>7.6</v>
      </c>
      <c r="J506">
        <v>11.26</v>
      </c>
      <c r="K506">
        <v>19</v>
      </c>
      <c r="L506" t="s">
        <v>5026</v>
      </c>
      <c r="M506">
        <v>2</v>
      </c>
      <c r="N506">
        <v>2</v>
      </c>
      <c r="O506">
        <v>0</v>
      </c>
    </row>
    <row r="507" spans="1:15" x14ac:dyDescent="0.3">
      <c r="A507" t="s">
        <v>520</v>
      </c>
      <c r="B507">
        <v>5</v>
      </c>
      <c r="C507">
        <v>37</v>
      </c>
      <c r="D507" t="s">
        <v>5015</v>
      </c>
      <c r="E507" t="s">
        <v>5017</v>
      </c>
      <c r="F507" t="s">
        <v>5022</v>
      </c>
      <c r="G507">
        <v>7.01</v>
      </c>
      <c r="H507">
        <v>3</v>
      </c>
      <c r="I507">
        <v>8.5</v>
      </c>
      <c r="J507">
        <v>23.03</v>
      </c>
      <c r="K507">
        <v>23.3</v>
      </c>
      <c r="L507" t="s">
        <v>5028</v>
      </c>
      <c r="M507">
        <v>6</v>
      </c>
      <c r="N507">
        <v>0</v>
      </c>
      <c r="O507">
        <v>1</v>
      </c>
    </row>
    <row r="508" spans="1:15" x14ac:dyDescent="0.3">
      <c r="A508" t="s">
        <v>521</v>
      </c>
      <c r="B508">
        <v>7</v>
      </c>
      <c r="C508">
        <v>69</v>
      </c>
      <c r="D508" t="s">
        <v>5015</v>
      </c>
      <c r="E508" t="s">
        <v>5018</v>
      </c>
      <c r="F508" t="s">
        <v>5020</v>
      </c>
      <c r="G508">
        <v>12.27</v>
      </c>
      <c r="H508">
        <v>1</v>
      </c>
      <c r="I508">
        <v>6.3</v>
      </c>
      <c r="J508">
        <v>5.52</v>
      </c>
      <c r="K508">
        <v>34.799999999999997</v>
      </c>
      <c r="L508" t="s">
        <v>5029</v>
      </c>
      <c r="M508">
        <v>2</v>
      </c>
      <c r="N508">
        <v>1</v>
      </c>
      <c r="O508">
        <v>1</v>
      </c>
    </row>
    <row r="509" spans="1:15" x14ac:dyDescent="0.3">
      <c r="A509" t="s">
        <v>522</v>
      </c>
      <c r="B509">
        <v>4</v>
      </c>
      <c r="C509">
        <v>30</v>
      </c>
      <c r="D509" t="s">
        <v>5015</v>
      </c>
      <c r="E509" t="s">
        <v>5017</v>
      </c>
      <c r="F509" t="s">
        <v>5021</v>
      </c>
      <c r="G509">
        <v>6.7</v>
      </c>
      <c r="H509">
        <v>3</v>
      </c>
      <c r="I509">
        <v>2</v>
      </c>
      <c r="J509">
        <v>19.399999999999999</v>
      </c>
      <c r="K509">
        <v>14.4</v>
      </c>
      <c r="L509" t="s">
        <v>5028</v>
      </c>
      <c r="M509">
        <v>8</v>
      </c>
      <c r="N509">
        <v>4</v>
      </c>
      <c r="O509">
        <v>0</v>
      </c>
    </row>
    <row r="510" spans="1:15" x14ac:dyDescent="0.3">
      <c r="A510" t="s">
        <v>523</v>
      </c>
      <c r="B510">
        <v>1</v>
      </c>
      <c r="C510">
        <v>34</v>
      </c>
      <c r="D510" t="s">
        <v>5016</v>
      </c>
      <c r="E510" t="s">
        <v>5018</v>
      </c>
      <c r="F510" t="s">
        <v>5024</v>
      </c>
      <c r="G510">
        <v>14.29</v>
      </c>
      <c r="H510">
        <v>1</v>
      </c>
      <c r="I510">
        <v>3.8</v>
      </c>
      <c r="J510">
        <v>18.45</v>
      </c>
      <c r="K510">
        <v>27.4</v>
      </c>
      <c r="L510" t="s">
        <v>5026</v>
      </c>
      <c r="M510">
        <v>7</v>
      </c>
      <c r="N510">
        <v>2</v>
      </c>
      <c r="O510">
        <v>1</v>
      </c>
    </row>
    <row r="511" spans="1:15" x14ac:dyDescent="0.3">
      <c r="A511" t="s">
        <v>524</v>
      </c>
      <c r="B511">
        <v>5</v>
      </c>
      <c r="C511">
        <v>53</v>
      </c>
      <c r="D511" t="s">
        <v>5016</v>
      </c>
      <c r="E511" t="s">
        <v>5018</v>
      </c>
      <c r="F511" t="s">
        <v>5022</v>
      </c>
      <c r="G511">
        <v>21.86</v>
      </c>
      <c r="H511">
        <v>3</v>
      </c>
      <c r="I511">
        <v>5.3</v>
      </c>
      <c r="J511">
        <v>5.87</v>
      </c>
      <c r="K511">
        <v>46.8</v>
      </c>
      <c r="L511" t="s">
        <v>5025</v>
      </c>
      <c r="M511">
        <v>2</v>
      </c>
      <c r="N511">
        <v>2</v>
      </c>
      <c r="O511">
        <v>1</v>
      </c>
    </row>
    <row r="512" spans="1:15" x14ac:dyDescent="0.3">
      <c r="A512" t="s">
        <v>525</v>
      </c>
      <c r="B512">
        <v>7</v>
      </c>
      <c r="C512">
        <v>50</v>
      </c>
      <c r="D512" t="s">
        <v>5015</v>
      </c>
      <c r="E512" t="s">
        <v>5017</v>
      </c>
      <c r="F512" t="s">
        <v>5021</v>
      </c>
      <c r="G512">
        <v>10.4</v>
      </c>
      <c r="H512">
        <v>4</v>
      </c>
      <c r="I512">
        <v>7.1</v>
      </c>
      <c r="J512">
        <v>18.149999999999999</v>
      </c>
      <c r="K512">
        <v>44.2</v>
      </c>
      <c r="L512" t="s">
        <v>5029</v>
      </c>
      <c r="M512">
        <v>4</v>
      </c>
      <c r="N512">
        <v>3</v>
      </c>
      <c r="O512">
        <v>0</v>
      </c>
    </row>
    <row r="513" spans="1:15" x14ac:dyDescent="0.3">
      <c r="A513" t="s">
        <v>526</v>
      </c>
      <c r="B513">
        <v>10</v>
      </c>
      <c r="C513">
        <v>18</v>
      </c>
      <c r="D513" t="s">
        <v>5015</v>
      </c>
      <c r="E513" t="s">
        <v>5018</v>
      </c>
      <c r="F513" t="s">
        <v>5020</v>
      </c>
      <c r="G513">
        <v>20.3</v>
      </c>
      <c r="H513">
        <v>1</v>
      </c>
      <c r="I513">
        <v>3.9</v>
      </c>
      <c r="J513">
        <v>15.54</v>
      </c>
      <c r="K513">
        <v>27.9</v>
      </c>
      <c r="L513" t="s">
        <v>5029</v>
      </c>
      <c r="M513">
        <v>7</v>
      </c>
      <c r="N513">
        <v>4</v>
      </c>
      <c r="O513">
        <v>0</v>
      </c>
    </row>
    <row r="514" spans="1:15" x14ac:dyDescent="0.3">
      <c r="A514" t="s">
        <v>527</v>
      </c>
      <c r="B514">
        <v>10</v>
      </c>
      <c r="C514">
        <v>32</v>
      </c>
      <c r="D514" t="s">
        <v>5016</v>
      </c>
      <c r="E514" t="s">
        <v>5017</v>
      </c>
      <c r="F514" t="s">
        <v>5020</v>
      </c>
      <c r="G514">
        <v>8.67</v>
      </c>
      <c r="H514">
        <v>5</v>
      </c>
      <c r="I514">
        <v>8.6</v>
      </c>
      <c r="J514">
        <v>9.33</v>
      </c>
      <c r="K514">
        <v>17.2</v>
      </c>
      <c r="L514" t="s">
        <v>5025</v>
      </c>
      <c r="M514">
        <v>9</v>
      </c>
      <c r="N514">
        <v>2</v>
      </c>
      <c r="O514">
        <v>0</v>
      </c>
    </row>
    <row r="515" spans="1:15" x14ac:dyDescent="0.3">
      <c r="A515" t="s">
        <v>528</v>
      </c>
      <c r="B515">
        <v>6</v>
      </c>
      <c r="C515">
        <v>30</v>
      </c>
      <c r="D515" t="s">
        <v>5016</v>
      </c>
      <c r="E515" t="s">
        <v>5018</v>
      </c>
      <c r="F515" t="s">
        <v>5024</v>
      </c>
      <c r="G515">
        <v>18.47</v>
      </c>
      <c r="H515">
        <v>4</v>
      </c>
      <c r="I515">
        <v>4.3</v>
      </c>
      <c r="J515">
        <v>9.85</v>
      </c>
      <c r="K515">
        <v>38.6</v>
      </c>
      <c r="L515" t="s">
        <v>5029</v>
      </c>
      <c r="M515">
        <v>3</v>
      </c>
      <c r="N515">
        <v>3</v>
      </c>
      <c r="O515">
        <v>0</v>
      </c>
    </row>
    <row r="516" spans="1:15" x14ac:dyDescent="0.3">
      <c r="A516" t="s">
        <v>529</v>
      </c>
      <c r="B516">
        <v>5</v>
      </c>
      <c r="C516">
        <v>34</v>
      </c>
      <c r="D516" t="s">
        <v>5015</v>
      </c>
      <c r="E516" t="s">
        <v>5017</v>
      </c>
      <c r="F516" t="s">
        <v>5022</v>
      </c>
      <c r="G516">
        <v>23.31</v>
      </c>
      <c r="H516">
        <v>3</v>
      </c>
      <c r="I516">
        <v>1.4</v>
      </c>
      <c r="J516">
        <v>21.33</v>
      </c>
      <c r="K516">
        <v>77.099999999999994</v>
      </c>
      <c r="L516" t="s">
        <v>5029</v>
      </c>
      <c r="M516">
        <v>10</v>
      </c>
      <c r="N516">
        <v>3</v>
      </c>
      <c r="O516">
        <v>0</v>
      </c>
    </row>
    <row r="517" spans="1:15" x14ac:dyDescent="0.3">
      <c r="A517" t="s">
        <v>530</v>
      </c>
      <c r="B517">
        <v>4</v>
      </c>
      <c r="C517">
        <v>41</v>
      </c>
      <c r="D517" t="s">
        <v>5015</v>
      </c>
      <c r="E517" t="s">
        <v>5018</v>
      </c>
      <c r="F517" t="s">
        <v>5022</v>
      </c>
      <c r="G517">
        <v>11.48</v>
      </c>
      <c r="H517">
        <v>1</v>
      </c>
      <c r="I517">
        <v>8.1</v>
      </c>
      <c r="J517">
        <v>8.08</v>
      </c>
      <c r="K517">
        <v>55.9</v>
      </c>
      <c r="L517" t="s">
        <v>5029</v>
      </c>
      <c r="M517">
        <v>10</v>
      </c>
      <c r="N517">
        <v>0</v>
      </c>
      <c r="O517">
        <v>0</v>
      </c>
    </row>
    <row r="518" spans="1:15" x14ac:dyDescent="0.3">
      <c r="A518" t="s">
        <v>531</v>
      </c>
      <c r="B518">
        <v>2</v>
      </c>
      <c r="C518">
        <v>25</v>
      </c>
      <c r="D518" t="s">
        <v>5015</v>
      </c>
      <c r="E518" t="s">
        <v>5017</v>
      </c>
      <c r="F518" t="s">
        <v>5021</v>
      </c>
      <c r="G518">
        <v>23.01</v>
      </c>
      <c r="H518">
        <v>2</v>
      </c>
      <c r="I518">
        <v>6.8</v>
      </c>
      <c r="J518">
        <v>14.28</v>
      </c>
      <c r="K518">
        <v>95.2</v>
      </c>
      <c r="L518" t="s">
        <v>5028</v>
      </c>
      <c r="M518">
        <v>8</v>
      </c>
      <c r="N518">
        <v>4</v>
      </c>
      <c r="O518">
        <v>1</v>
      </c>
    </row>
    <row r="519" spans="1:15" x14ac:dyDescent="0.3">
      <c r="A519" t="s">
        <v>532</v>
      </c>
      <c r="B519">
        <v>4</v>
      </c>
      <c r="C519">
        <v>67</v>
      </c>
      <c r="D519" t="s">
        <v>5016</v>
      </c>
      <c r="E519" t="s">
        <v>5018</v>
      </c>
      <c r="F519" t="s">
        <v>5020</v>
      </c>
      <c r="G519">
        <v>15.11</v>
      </c>
      <c r="H519">
        <v>4</v>
      </c>
      <c r="I519">
        <v>8.1999999999999993</v>
      </c>
      <c r="J519">
        <v>17.989999999999998</v>
      </c>
      <c r="K519">
        <v>22.6</v>
      </c>
      <c r="L519" t="s">
        <v>5028</v>
      </c>
      <c r="M519">
        <v>9</v>
      </c>
      <c r="N519">
        <v>4</v>
      </c>
      <c r="O519">
        <v>1</v>
      </c>
    </row>
    <row r="520" spans="1:15" x14ac:dyDescent="0.3">
      <c r="A520" t="s">
        <v>533</v>
      </c>
      <c r="B520">
        <v>10</v>
      </c>
      <c r="C520">
        <v>44</v>
      </c>
      <c r="D520" t="s">
        <v>5015</v>
      </c>
      <c r="E520" t="s">
        <v>5019</v>
      </c>
      <c r="F520" t="s">
        <v>5020</v>
      </c>
      <c r="G520">
        <v>11.34</v>
      </c>
      <c r="H520">
        <v>1</v>
      </c>
      <c r="I520">
        <v>4.0999999999999996</v>
      </c>
      <c r="J520">
        <v>5.86</v>
      </c>
      <c r="K520">
        <v>28.7</v>
      </c>
      <c r="L520" t="s">
        <v>5027</v>
      </c>
      <c r="M520">
        <v>8</v>
      </c>
      <c r="N520">
        <v>2</v>
      </c>
      <c r="O520">
        <v>0</v>
      </c>
    </row>
    <row r="521" spans="1:15" x14ac:dyDescent="0.3">
      <c r="A521" t="s">
        <v>534</v>
      </c>
      <c r="B521">
        <v>10</v>
      </c>
      <c r="C521">
        <v>62</v>
      </c>
      <c r="D521" t="s">
        <v>5015</v>
      </c>
      <c r="E521" t="s">
        <v>5017</v>
      </c>
      <c r="F521" t="s">
        <v>5024</v>
      </c>
      <c r="G521">
        <v>22.93</v>
      </c>
      <c r="H521">
        <v>4</v>
      </c>
      <c r="I521">
        <v>1.2</v>
      </c>
      <c r="J521">
        <v>23.51</v>
      </c>
      <c r="K521">
        <v>35.200000000000003</v>
      </c>
      <c r="L521" t="s">
        <v>5027</v>
      </c>
      <c r="M521">
        <v>4</v>
      </c>
      <c r="N521">
        <v>0</v>
      </c>
      <c r="O521">
        <v>0</v>
      </c>
    </row>
    <row r="522" spans="1:15" x14ac:dyDescent="0.3">
      <c r="A522" t="s">
        <v>535</v>
      </c>
      <c r="B522">
        <v>3</v>
      </c>
      <c r="C522">
        <v>40</v>
      </c>
      <c r="D522" t="s">
        <v>5015</v>
      </c>
      <c r="E522" t="s">
        <v>5018</v>
      </c>
      <c r="F522" t="s">
        <v>5024</v>
      </c>
      <c r="G522">
        <v>5.64</v>
      </c>
      <c r="H522">
        <v>1</v>
      </c>
      <c r="I522">
        <v>1.7</v>
      </c>
      <c r="J522">
        <v>8.73</v>
      </c>
      <c r="K522">
        <v>11.2</v>
      </c>
      <c r="L522" t="s">
        <v>5028</v>
      </c>
      <c r="M522">
        <v>4</v>
      </c>
      <c r="N522">
        <v>1</v>
      </c>
      <c r="O522">
        <v>0</v>
      </c>
    </row>
    <row r="523" spans="1:15" x14ac:dyDescent="0.3">
      <c r="A523" t="s">
        <v>536</v>
      </c>
      <c r="B523">
        <v>10</v>
      </c>
      <c r="C523">
        <v>63</v>
      </c>
      <c r="D523" t="s">
        <v>5015</v>
      </c>
      <c r="E523" t="s">
        <v>5017</v>
      </c>
      <c r="F523" t="s">
        <v>5022</v>
      </c>
      <c r="G523">
        <v>5.56</v>
      </c>
      <c r="H523">
        <v>2</v>
      </c>
      <c r="I523">
        <v>2</v>
      </c>
      <c r="J523">
        <v>10.01</v>
      </c>
      <c r="K523">
        <v>94.9</v>
      </c>
      <c r="L523" t="s">
        <v>5029</v>
      </c>
      <c r="M523">
        <v>11</v>
      </c>
      <c r="N523">
        <v>2</v>
      </c>
      <c r="O523">
        <v>0</v>
      </c>
    </row>
    <row r="524" spans="1:15" x14ac:dyDescent="0.3">
      <c r="A524" t="s">
        <v>537</v>
      </c>
      <c r="B524">
        <v>1</v>
      </c>
      <c r="C524">
        <v>25</v>
      </c>
      <c r="D524" t="s">
        <v>5015</v>
      </c>
      <c r="E524" t="s">
        <v>5018</v>
      </c>
      <c r="F524" t="s">
        <v>5020</v>
      </c>
      <c r="G524">
        <v>17</v>
      </c>
      <c r="H524">
        <v>5</v>
      </c>
      <c r="I524">
        <v>8.1999999999999993</v>
      </c>
      <c r="J524">
        <v>17.649999999999999</v>
      </c>
      <c r="K524">
        <v>50.1</v>
      </c>
      <c r="L524" t="s">
        <v>5026</v>
      </c>
      <c r="M524">
        <v>7</v>
      </c>
      <c r="N524">
        <v>3</v>
      </c>
      <c r="O524">
        <v>1</v>
      </c>
    </row>
    <row r="525" spans="1:15" x14ac:dyDescent="0.3">
      <c r="A525" t="s">
        <v>538</v>
      </c>
      <c r="B525">
        <v>8</v>
      </c>
      <c r="C525">
        <v>25</v>
      </c>
      <c r="D525" t="s">
        <v>5016</v>
      </c>
      <c r="E525" t="s">
        <v>5017</v>
      </c>
      <c r="F525" t="s">
        <v>5021</v>
      </c>
      <c r="G525">
        <v>20.94</v>
      </c>
      <c r="H525">
        <v>2</v>
      </c>
      <c r="I525">
        <v>3.7</v>
      </c>
      <c r="J525">
        <v>4.72</v>
      </c>
      <c r="K525">
        <v>53.3</v>
      </c>
      <c r="L525" t="s">
        <v>5025</v>
      </c>
      <c r="M525">
        <v>4</v>
      </c>
      <c r="N525">
        <v>1</v>
      </c>
      <c r="O525">
        <v>0</v>
      </c>
    </row>
    <row r="526" spans="1:15" x14ac:dyDescent="0.3">
      <c r="A526" t="s">
        <v>539</v>
      </c>
      <c r="B526">
        <v>5</v>
      </c>
      <c r="C526">
        <v>43</v>
      </c>
      <c r="D526" t="s">
        <v>5015</v>
      </c>
      <c r="E526" t="s">
        <v>5018</v>
      </c>
      <c r="F526" t="s">
        <v>5023</v>
      </c>
      <c r="G526">
        <v>20.03</v>
      </c>
      <c r="H526">
        <v>3</v>
      </c>
      <c r="I526">
        <v>10</v>
      </c>
      <c r="J526">
        <v>16.809999999999999</v>
      </c>
      <c r="K526">
        <v>24.2</v>
      </c>
      <c r="L526" t="s">
        <v>5027</v>
      </c>
      <c r="M526">
        <v>11</v>
      </c>
      <c r="N526">
        <v>1</v>
      </c>
      <c r="O526">
        <v>0</v>
      </c>
    </row>
    <row r="527" spans="1:15" x14ac:dyDescent="0.3">
      <c r="A527" t="s">
        <v>540</v>
      </c>
      <c r="B527">
        <v>4</v>
      </c>
      <c r="C527">
        <v>64</v>
      </c>
      <c r="D527" t="s">
        <v>5016</v>
      </c>
      <c r="E527" t="s">
        <v>5018</v>
      </c>
      <c r="F527" t="s">
        <v>5021</v>
      </c>
      <c r="G527">
        <v>6.59</v>
      </c>
      <c r="H527">
        <v>4</v>
      </c>
      <c r="I527">
        <v>7.8</v>
      </c>
      <c r="J527">
        <v>23.15</v>
      </c>
      <c r="K527">
        <v>88.5</v>
      </c>
      <c r="L527" t="s">
        <v>5029</v>
      </c>
      <c r="M527">
        <v>10</v>
      </c>
      <c r="N527">
        <v>2</v>
      </c>
      <c r="O527">
        <v>0</v>
      </c>
    </row>
    <row r="528" spans="1:15" x14ac:dyDescent="0.3">
      <c r="A528" t="s">
        <v>541</v>
      </c>
      <c r="B528">
        <v>8</v>
      </c>
      <c r="C528">
        <v>30</v>
      </c>
      <c r="D528" t="s">
        <v>5015</v>
      </c>
      <c r="E528" t="s">
        <v>5019</v>
      </c>
      <c r="F528" t="s">
        <v>5024</v>
      </c>
      <c r="G528">
        <v>24.01</v>
      </c>
      <c r="H528">
        <v>5</v>
      </c>
      <c r="I528">
        <v>6.4</v>
      </c>
      <c r="J528">
        <v>8.48</v>
      </c>
      <c r="K528">
        <v>72.3</v>
      </c>
      <c r="L528" t="s">
        <v>5027</v>
      </c>
      <c r="M528">
        <v>10</v>
      </c>
      <c r="N528">
        <v>0</v>
      </c>
      <c r="O528">
        <v>0</v>
      </c>
    </row>
    <row r="529" spans="1:15" x14ac:dyDescent="0.3">
      <c r="A529" t="s">
        <v>542</v>
      </c>
      <c r="B529">
        <v>7</v>
      </c>
      <c r="C529">
        <v>56</v>
      </c>
      <c r="D529" t="s">
        <v>5015</v>
      </c>
      <c r="E529" t="s">
        <v>5018</v>
      </c>
      <c r="F529" t="s">
        <v>5021</v>
      </c>
      <c r="G529">
        <v>19.059999999999999</v>
      </c>
      <c r="H529">
        <v>4</v>
      </c>
      <c r="I529">
        <v>9.9</v>
      </c>
      <c r="J529">
        <v>10.96</v>
      </c>
      <c r="K529">
        <v>48.8</v>
      </c>
      <c r="L529" t="s">
        <v>5026</v>
      </c>
      <c r="M529">
        <v>7</v>
      </c>
      <c r="N529">
        <v>4</v>
      </c>
      <c r="O529">
        <v>0</v>
      </c>
    </row>
    <row r="530" spans="1:15" x14ac:dyDescent="0.3">
      <c r="A530" t="s">
        <v>543</v>
      </c>
      <c r="B530">
        <v>2</v>
      </c>
      <c r="C530">
        <v>54</v>
      </c>
      <c r="D530" t="s">
        <v>5015</v>
      </c>
      <c r="E530" t="s">
        <v>5018</v>
      </c>
      <c r="F530" t="s">
        <v>5020</v>
      </c>
      <c r="G530">
        <v>23.98</v>
      </c>
      <c r="H530">
        <v>1</v>
      </c>
      <c r="I530">
        <v>3.8</v>
      </c>
      <c r="J530">
        <v>8.11</v>
      </c>
      <c r="K530">
        <v>89</v>
      </c>
      <c r="L530" t="s">
        <v>5029</v>
      </c>
      <c r="M530">
        <v>9</v>
      </c>
      <c r="N530">
        <v>0</v>
      </c>
      <c r="O530">
        <v>0</v>
      </c>
    </row>
    <row r="531" spans="1:15" x14ac:dyDescent="0.3">
      <c r="A531" t="s">
        <v>544</v>
      </c>
      <c r="B531">
        <v>1</v>
      </c>
      <c r="C531">
        <v>66</v>
      </c>
      <c r="D531" t="s">
        <v>5016</v>
      </c>
      <c r="E531" t="s">
        <v>5018</v>
      </c>
      <c r="F531" t="s">
        <v>5022</v>
      </c>
      <c r="G531">
        <v>11.58</v>
      </c>
      <c r="H531">
        <v>3</v>
      </c>
      <c r="I531">
        <v>2.5</v>
      </c>
      <c r="J531">
        <v>21.01</v>
      </c>
      <c r="K531">
        <v>91.5</v>
      </c>
      <c r="L531" t="s">
        <v>5028</v>
      </c>
      <c r="M531">
        <v>9</v>
      </c>
      <c r="N531">
        <v>2</v>
      </c>
      <c r="O531">
        <v>0</v>
      </c>
    </row>
    <row r="532" spans="1:15" x14ac:dyDescent="0.3">
      <c r="A532" t="s">
        <v>545</v>
      </c>
      <c r="B532">
        <v>12</v>
      </c>
      <c r="C532">
        <v>45</v>
      </c>
      <c r="D532" t="s">
        <v>5016</v>
      </c>
      <c r="E532" t="s">
        <v>5019</v>
      </c>
      <c r="F532" t="s">
        <v>5023</v>
      </c>
      <c r="G532">
        <v>18.88</v>
      </c>
      <c r="H532">
        <v>3</v>
      </c>
      <c r="I532">
        <v>7.6</v>
      </c>
      <c r="J532">
        <v>6.69</v>
      </c>
      <c r="K532">
        <v>14.5</v>
      </c>
      <c r="L532" t="s">
        <v>5026</v>
      </c>
      <c r="M532">
        <v>9</v>
      </c>
      <c r="N532">
        <v>4</v>
      </c>
      <c r="O532">
        <v>1</v>
      </c>
    </row>
    <row r="533" spans="1:15" x14ac:dyDescent="0.3">
      <c r="A533" t="s">
        <v>546</v>
      </c>
      <c r="B533">
        <v>11</v>
      </c>
      <c r="C533">
        <v>42</v>
      </c>
      <c r="D533" t="s">
        <v>5016</v>
      </c>
      <c r="E533" t="s">
        <v>5019</v>
      </c>
      <c r="F533" t="s">
        <v>5022</v>
      </c>
      <c r="G533">
        <v>22.2</v>
      </c>
      <c r="H533">
        <v>4</v>
      </c>
      <c r="I533">
        <v>3.5</v>
      </c>
      <c r="J533">
        <v>10.63</v>
      </c>
      <c r="K533">
        <v>20.7</v>
      </c>
      <c r="L533" t="s">
        <v>5027</v>
      </c>
      <c r="M533">
        <v>10</v>
      </c>
      <c r="N533">
        <v>1</v>
      </c>
      <c r="O533">
        <v>0</v>
      </c>
    </row>
    <row r="534" spans="1:15" x14ac:dyDescent="0.3">
      <c r="A534" t="s">
        <v>547</v>
      </c>
      <c r="B534">
        <v>4</v>
      </c>
      <c r="C534">
        <v>33</v>
      </c>
      <c r="D534" t="s">
        <v>5015</v>
      </c>
      <c r="E534" t="s">
        <v>5017</v>
      </c>
      <c r="F534" t="s">
        <v>5023</v>
      </c>
      <c r="G534">
        <v>12.61</v>
      </c>
      <c r="H534">
        <v>3</v>
      </c>
      <c r="I534">
        <v>9.6</v>
      </c>
      <c r="J534">
        <v>16.22</v>
      </c>
      <c r="K534">
        <v>12.5</v>
      </c>
      <c r="L534" t="s">
        <v>5029</v>
      </c>
      <c r="M534">
        <v>10</v>
      </c>
      <c r="N534">
        <v>3</v>
      </c>
      <c r="O534">
        <v>1</v>
      </c>
    </row>
    <row r="535" spans="1:15" x14ac:dyDescent="0.3">
      <c r="A535" t="s">
        <v>548</v>
      </c>
      <c r="B535">
        <v>8</v>
      </c>
      <c r="C535">
        <v>19</v>
      </c>
      <c r="D535" t="s">
        <v>5015</v>
      </c>
      <c r="E535" t="s">
        <v>5019</v>
      </c>
      <c r="F535" t="s">
        <v>5023</v>
      </c>
      <c r="G535">
        <v>24.3</v>
      </c>
      <c r="H535">
        <v>4</v>
      </c>
      <c r="I535">
        <v>9.9</v>
      </c>
      <c r="J535">
        <v>11.9</v>
      </c>
      <c r="K535">
        <v>62.4</v>
      </c>
      <c r="L535" t="s">
        <v>5029</v>
      </c>
      <c r="M535">
        <v>6</v>
      </c>
      <c r="N535">
        <v>0</v>
      </c>
      <c r="O535">
        <v>0</v>
      </c>
    </row>
    <row r="536" spans="1:15" x14ac:dyDescent="0.3">
      <c r="A536" t="s">
        <v>549</v>
      </c>
      <c r="B536">
        <v>12</v>
      </c>
      <c r="C536">
        <v>35</v>
      </c>
      <c r="D536" t="s">
        <v>5016</v>
      </c>
      <c r="E536" t="s">
        <v>5018</v>
      </c>
      <c r="F536" t="s">
        <v>5020</v>
      </c>
      <c r="G536">
        <v>10.3</v>
      </c>
      <c r="H536">
        <v>1</v>
      </c>
      <c r="I536">
        <v>9.3000000000000007</v>
      </c>
      <c r="J536">
        <v>4.4400000000000004</v>
      </c>
      <c r="K536">
        <v>29.6</v>
      </c>
      <c r="L536" t="s">
        <v>5025</v>
      </c>
      <c r="M536">
        <v>1</v>
      </c>
      <c r="N536">
        <v>4</v>
      </c>
      <c r="O536">
        <v>1</v>
      </c>
    </row>
    <row r="537" spans="1:15" x14ac:dyDescent="0.3">
      <c r="A537" t="s">
        <v>550</v>
      </c>
      <c r="B537">
        <v>2</v>
      </c>
      <c r="C537">
        <v>34</v>
      </c>
      <c r="D537" t="s">
        <v>5016</v>
      </c>
      <c r="E537" t="s">
        <v>5019</v>
      </c>
      <c r="F537" t="s">
        <v>5020</v>
      </c>
      <c r="G537">
        <v>11.31</v>
      </c>
      <c r="H537">
        <v>1</v>
      </c>
      <c r="I537">
        <v>9.5</v>
      </c>
      <c r="J537">
        <v>23.85</v>
      </c>
      <c r="K537">
        <v>86</v>
      </c>
      <c r="L537" t="s">
        <v>5025</v>
      </c>
      <c r="M537">
        <v>8</v>
      </c>
      <c r="N537">
        <v>0</v>
      </c>
      <c r="O537">
        <v>0</v>
      </c>
    </row>
    <row r="538" spans="1:15" x14ac:dyDescent="0.3">
      <c r="A538" t="s">
        <v>551</v>
      </c>
      <c r="B538">
        <v>3</v>
      </c>
      <c r="C538">
        <v>47</v>
      </c>
      <c r="D538" t="s">
        <v>5015</v>
      </c>
      <c r="E538" t="s">
        <v>5019</v>
      </c>
      <c r="F538" t="s">
        <v>5024</v>
      </c>
      <c r="G538">
        <v>23.41</v>
      </c>
      <c r="H538">
        <v>4</v>
      </c>
      <c r="I538">
        <v>6.5</v>
      </c>
      <c r="J538">
        <v>10.43</v>
      </c>
      <c r="K538">
        <v>51.9</v>
      </c>
      <c r="L538" t="s">
        <v>5025</v>
      </c>
      <c r="M538">
        <v>6</v>
      </c>
      <c r="N538">
        <v>4</v>
      </c>
      <c r="O538">
        <v>0</v>
      </c>
    </row>
    <row r="539" spans="1:15" x14ac:dyDescent="0.3">
      <c r="A539" t="s">
        <v>552</v>
      </c>
      <c r="B539">
        <v>12</v>
      </c>
      <c r="C539">
        <v>56</v>
      </c>
      <c r="D539" t="s">
        <v>5016</v>
      </c>
      <c r="E539" t="s">
        <v>5017</v>
      </c>
      <c r="F539" t="s">
        <v>5024</v>
      </c>
      <c r="G539">
        <v>24.39</v>
      </c>
      <c r="H539">
        <v>2</v>
      </c>
      <c r="I539">
        <v>7.2</v>
      </c>
      <c r="J539">
        <v>12.8</v>
      </c>
      <c r="K539">
        <v>85.4</v>
      </c>
      <c r="L539" t="s">
        <v>5028</v>
      </c>
      <c r="M539">
        <v>7</v>
      </c>
      <c r="N539">
        <v>3</v>
      </c>
      <c r="O539">
        <v>0</v>
      </c>
    </row>
    <row r="540" spans="1:15" x14ac:dyDescent="0.3">
      <c r="A540" t="s">
        <v>553</v>
      </c>
      <c r="B540">
        <v>1</v>
      </c>
      <c r="C540">
        <v>30</v>
      </c>
      <c r="D540" t="s">
        <v>5015</v>
      </c>
      <c r="E540" t="s">
        <v>5019</v>
      </c>
      <c r="F540" t="s">
        <v>5023</v>
      </c>
      <c r="G540">
        <v>10.7</v>
      </c>
      <c r="H540">
        <v>2</v>
      </c>
      <c r="I540">
        <v>1.8</v>
      </c>
      <c r="J540">
        <v>6.69</v>
      </c>
      <c r="K540">
        <v>60</v>
      </c>
      <c r="L540" t="s">
        <v>5029</v>
      </c>
      <c r="M540">
        <v>2</v>
      </c>
      <c r="N540">
        <v>2</v>
      </c>
      <c r="O540">
        <v>0</v>
      </c>
    </row>
    <row r="541" spans="1:15" x14ac:dyDescent="0.3">
      <c r="A541" t="s">
        <v>554</v>
      </c>
      <c r="B541">
        <v>1</v>
      </c>
      <c r="C541">
        <v>49</v>
      </c>
      <c r="D541" t="s">
        <v>5016</v>
      </c>
      <c r="E541" t="s">
        <v>5017</v>
      </c>
      <c r="F541" t="s">
        <v>5024</v>
      </c>
      <c r="G541">
        <v>7.73</v>
      </c>
      <c r="H541">
        <v>1</v>
      </c>
      <c r="I541">
        <v>7.9</v>
      </c>
      <c r="J541">
        <v>22.04</v>
      </c>
      <c r="K541">
        <v>81.7</v>
      </c>
      <c r="L541" t="s">
        <v>5029</v>
      </c>
      <c r="M541">
        <v>3</v>
      </c>
      <c r="N541">
        <v>2</v>
      </c>
      <c r="O541">
        <v>1</v>
      </c>
    </row>
    <row r="542" spans="1:15" x14ac:dyDescent="0.3">
      <c r="A542" t="s">
        <v>555</v>
      </c>
      <c r="B542">
        <v>3</v>
      </c>
      <c r="C542">
        <v>67</v>
      </c>
      <c r="D542" t="s">
        <v>5016</v>
      </c>
      <c r="E542" t="s">
        <v>5017</v>
      </c>
      <c r="F542" t="s">
        <v>5020</v>
      </c>
      <c r="G542">
        <v>20.18</v>
      </c>
      <c r="H542">
        <v>5</v>
      </c>
      <c r="I542">
        <v>2.8</v>
      </c>
      <c r="J542">
        <v>9.41</v>
      </c>
      <c r="K542">
        <v>43.5</v>
      </c>
      <c r="L542" t="s">
        <v>5027</v>
      </c>
      <c r="M542">
        <v>6</v>
      </c>
      <c r="N542">
        <v>4</v>
      </c>
      <c r="O542">
        <v>0</v>
      </c>
    </row>
    <row r="543" spans="1:15" x14ac:dyDescent="0.3">
      <c r="A543" t="s">
        <v>556</v>
      </c>
      <c r="B543">
        <v>11</v>
      </c>
      <c r="C543">
        <v>46</v>
      </c>
      <c r="D543" t="s">
        <v>5016</v>
      </c>
      <c r="E543" t="s">
        <v>5017</v>
      </c>
      <c r="F543" t="s">
        <v>5024</v>
      </c>
      <c r="G543">
        <v>23.59</v>
      </c>
      <c r="H543">
        <v>2</v>
      </c>
      <c r="I543">
        <v>8.6</v>
      </c>
      <c r="J543">
        <v>3.44</v>
      </c>
      <c r="K543">
        <v>95.1</v>
      </c>
      <c r="L543" t="s">
        <v>5028</v>
      </c>
      <c r="M543">
        <v>3</v>
      </c>
      <c r="N543">
        <v>4</v>
      </c>
      <c r="O543">
        <v>0</v>
      </c>
    </row>
    <row r="544" spans="1:15" x14ac:dyDescent="0.3">
      <c r="A544" t="s">
        <v>557</v>
      </c>
      <c r="B544">
        <v>5</v>
      </c>
      <c r="C544">
        <v>63</v>
      </c>
      <c r="D544" t="s">
        <v>5015</v>
      </c>
      <c r="E544" t="s">
        <v>5019</v>
      </c>
      <c r="F544" t="s">
        <v>5023</v>
      </c>
      <c r="G544">
        <v>17.010000000000002</v>
      </c>
      <c r="H544">
        <v>4</v>
      </c>
      <c r="I544">
        <v>9.6999999999999993</v>
      </c>
      <c r="J544">
        <v>9.9600000000000009</v>
      </c>
      <c r="K544">
        <v>70</v>
      </c>
      <c r="L544" t="s">
        <v>5025</v>
      </c>
      <c r="M544">
        <v>5</v>
      </c>
      <c r="N544">
        <v>2</v>
      </c>
      <c r="O544">
        <v>1</v>
      </c>
    </row>
    <row r="545" spans="1:15" x14ac:dyDescent="0.3">
      <c r="A545" t="s">
        <v>558</v>
      </c>
      <c r="B545">
        <v>12</v>
      </c>
      <c r="C545">
        <v>47</v>
      </c>
      <c r="D545" t="s">
        <v>5015</v>
      </c>
      <c r="E545" t="s">
        <v>5017</v>
      </c>
      <c r="F545" t="s">
        <v>5022</v>
      </c>
      <c r="G545">
        <v>17.690000000000001</v>
      </c>
      <c r="H545">
        <v>1</v>
      </c>
      <c r="I545">
        <v>2.9</v>
      </c>
      <c r="J545">
        <v>24.65</v>
      </c>
      <c r="K545">
        <v>63.6</v>
      </c>
      <c r="L545" t="s">
        <v>5029</v>
      </c>
      <c r="M545">
        <v>4</v>
      </c>
      <c r="N545">
        <v>1</v>
      </c>
      <c r="O545">
        <v>0</v>
      </c>
    </row>
    <row r="546" spans="1:15" x14ac:dyDescent="0.3">
      <c r="A546" t="s">
        <v>559</v>
      </c>
      <c r="B546">
        <v>3</v>
      </c>
      <c r="C546">
        <v>35</v>
      </c>
      <c r="D546" t="s">
        <v>5016</v>
      </c>
      <c r="E546" t="s">
        <v>5017</v>
      </c>
      <c r="F546" t="s">
        <v>5021</v>
      </c>
      <c r="G546">
        <v>20.260000000000002</v>
      </c>
      <c r="H546">
        <v>3</v>
      </c>
      <c r="I546">
        <v>1.7</v>
      </c>
      <c r="J546">
        <v>6.23</v>
      </c>
      <c r="K546">
        <v>41.7</v>
      </c>
      <c r="L546" t="s">
        <v>5025</v>
      </c>
      <c r="M546">
        <v>5</v>
      </c>
      <c r="N546">
        <v>1</v>
      </c>
      <c r="O546">
        <v>1</v>
      </c>
    </row>
    <row r="547" spans="1:15" x14ac:dyDescent="0.3">
      <c r="A547" t="s">
        <v>560</v>
      </c>
      <c r="B547">
        <v>1</v>
      </c>
      <c r="C547">
        <v>30</v>
      </c>
      <c r="D547" t="s">
        <v>5015</v>
      </c>
      <c r="E547" t="s">
        <v>5019</v>
      </c>
      <c r="F547" t="s">
        <v>5024</v>
      </c>
      <c r="G547">
        <v>8.06</v>
      </c>
      <c r="H547">
        <v>3</v>
      </c>
      <c r="I547">
        <v>5.4</v>
      </c>
      <c r="J547">
        <v>3.69</v>
      </c>
      <c r="K547">
        <v>94.3</v>
      </c>
      <c r="L547" t="s">
        <v>5026</v>
      </c>
      <c r="M547">
        <v>8</v>
      </c>
      <c r="N547">
        <v>1</v>
      </c>
      <c r="O547">
        <v>0</v>
      </c>
    </row>
    <row r="548" spans="1:15" x14ac:dyDescent="0.3">
      <c r="A548" t="s">
        <v>561</v>
      </c>
      <c r="B548">
        <v>1</v>
      </c>
      <c r="C548">
        <v>60</v>
      </c>
      <c r="D548" t="s">
        <v>5015</v>
      </c>
      <c r="E548" t="s">
        <v>5017</v>
      </c>
      <c r="F548" t="s">
        <v>5020</v>
      </c>
      <c r="G548">
        <v>24.47</v>
      </c>
      <c r="H548">
        <v>2</v>
      </c>
      <c r="I548">
        <v>8.1</v>
      </c>
      <c r="J548">
        <v>15.72</v>
      </c>
      <c r="K548">
        <v>40.4</v>
      </c>
      <c r="L548" t="s">
        <v>5028</v>
      </c>
      <c r="M548">
        <v>4</v>
      </c>
      <c r="N548">
        <v>3</v>
      </c>
      <c r="O548">
        <v>1</v>
      </c>
    </row>
    <row r="549" spans="1:15" x14ac:dyDescent="0.3">
      <c r="A549" t="s">
        <v>562</v>
      </c>
      <c r="B549">
        <v>8</v>
      </c>
      <c r="C549">
        <v>38</v>
      </c>
      <c r="D549" t="s">
        <v>5015</v>
      </c>
      <c r="E549" t="s">
        <v>5017</v>
      </c>
      <c r="F549" t="s">
        <v>5022</v>
      </c>
      <c r="G549">
        <v>12.29</v>
      </c>
      <c r="H549">
        <v>5</v>
      </c>
      <c r="I549">
        <v>7.9</v>
      </c>
      <c r="J549">
        <v>11.18</v>
      </c>
      <c r="K549">
        <v>85.2</v>
      </c>
      <c r="L549" t="s">
        <v>5025</v>
      </c>
      <c r="M549">
        <v>9</v>
      </c>
      <c r="N549">
        <v>4</v>
      </c>
      <c r="O549">
        <v>0</v>
      </c>
    </row>
    <row r="550" spans="1:15" x14ac:dyDescent="0.3">
      <c r="A550" t="s">
        <v>563</v>
      </c>
      <c r="B550">
        <v>10</v>
      </c>
      <c r="C550">
        <v>47</v>
      </c>
      <c r="D550" t="s">
        <v>5015</v>
      </c>
      <c r="E550" t="s">
        <v>5017</v>
      </c>
      <c r="F550" t="s">
        <v>5020</v>
      </c>
      <c r="G550">
        <v>17.559999999999999</v>
      </c>
      <c r="H550">
        <v>2</v>
      </c>
      <c r="I550">
        <v>7.3</v>
      </c>
      <c r="J550">
        <v>20.49</v>
      </c>
      <c r="K550">
        <v>46.4</v>
      </c>
      <c r="L550" t="s">
        <v>5028</v>
      </c>
      <c r="M550">
        <v>3</v>
      </c>
      <c r="N550">
        <v>0</v>
      </c>
      <c r="O550">
        <v>0</v>
      </c>
    </row>
    <row r="551" spans="1:15" x14ac:dyDescent="0.3">
      <c r="A551" t="s">
        <v>564</v>
      </c>
      <c r="B551">
        <v>11</v>
      </c>
      <c r="C551">
        <v>38</v>
      </c>
      <c r="D551" t="s">
        <v>5016</v>
      </c>
      <c r="E551" t="s">
        <v>5018</v>
      </c>
      <c r="F551" t="s">
        <v>5024</v>
      </c>
      <c r="G551">
        <v>14.37</v>
      </c>
      <c r="H551">
        <v>5</v>
      </c>
      <c r="I551">
        <v>8.4</v>
      </c>
      <c r="J551">
        <v>19.100000000000001</v>
      </c>
      <c r="K551">
        <v>79</v>
      </c>
      <c r="L551" t="s">
        <v>5029</v>
      </c>
      <c r="M551">
        <v>7</v>
      </c>
      <c r="N551">
        <v>0</v>
      </c>
      <c r="O551">
        <v>0</v>
      </c>
    </row>
    <row r="552" spans="1:15" x14ac:dyDescent="0.3">
      <c r="A552" t="s">
        <v>565</v>
      </c>
      <c r="B552">
        <v>12</v>
      </c>
      <c r="C552">
        <v>65</v>
      </c>
      <c r="D552" t="s">
        <v>5015</v>
      </c>
      <c r="E552" t="s">
        <v>5018</v>
      </c>
      <c r="F552" t="s">
        <v>5023</v>
      </c>
      <c r="G552">
        <v>14.36</v>
      </c>
      <c r="H552">
        <v>2</v>
      </c>
      <c r="I552">
        <v>2.6</v>
      </c>
      <c r="J552">
        <v>7.08</v>
      </c>
      <c r="K552">
        <v>92.1</v>
      </c>
      <c r="L552" t="s">
        <v>5026</v>
      </c>
      <c r="M552">
        <v>7</v>
      </c>
      <c r="N552">
        <v>4</v>
      </c>
      <c r="O552">
        <v>1</v>
      </c>
    </row>
    <row r="553" spans="1:15" x14ac:dyDescent="0.3">
      <c r="A553" t="s">
        <v>566</v>
      </c>
      <c r="B553">
        <v>12</v>
      </c>
      <c r="C553">
        <v>34</v>
      </c>
      <c r="D553" t="s">
        <v>5015</v>
      </c>
      <c r="E553" t="s">
        <v>5017</v>
      </c>
      <c r="F553" t="s">
        <v>5021</v>
      </c>
      <c r="G553">
        <v>19.05</v>
      </c>
      <c r="H553">
        <v>3</v>
      </c>
      <c r="I553">
        <v>6.9</v>
      </c>
      <c r="J553">
        <v>15.42</v>
      </c>
      <c r="K553">
        <v>51.9</v>
      </c>
      <c r="L553" t="s">
        <v>5027</v>
      </c>
      <c r="M553">
        <v>1</v>
      </c>
      <c r="N553">
        <v>2</v>
      </c>
      <c r="O553">
        <v>0</v>
      </c>
    </row>
    <row r="554" spans="1:15" x14ac:dyDescent="0.3">
      <c r="A554" t="s">
        <v>567</v>
      </c>
      <c r="B554">
        <v>2</v>
      </c>
      <c r="C554">
        <v>57</v>
      </c>
      <c r="D554" t="s">
        <v>5016</v>
      </c>
      <c r="E554" t="s">
        <v>5019</v>
      </c>
      <c r="F554" t="s">
        <v>5021</v>
      </c>
      <c r="G554">
        <v>24.89</v>
      </c>
      <c r="H554">
        <v>5</v>
      </c>
      <c r="I554">
        <v>6.5</v>
      </c>
      <c r="J554">
        <v>3.71</v>
      </c>
      <c r="K554">
        <v>57.4</v>
      </c>
      <c r="L554" t="s">
        <v>5026</v>
      </c>
      <c r="M554">
        <v>3</v>
      </c>
      <c r="N554">
        <v>4</v>
      </c>
      <c r="O554">
        <v>0</v>
      </c>
    </row>
    <row r="555" spans="1:15" x14ac:dyDescent="0.3">
      <c r="A555" t="s">
        <v>568</v>
      </c>
      <c r="B555">
        <v>3</v>
      </c>
      <c r="C555">
        <v>36</v>
      </c>
      <c r="D555" t="s">
        <v>5015</v>
      </c>
      <c r="E555" t="s">
        <v>5019</v>
      </c>
      <c r="F555" t="s">
        <v>5022</v>
      </c>
      <c r="G555">
        <v>18.18</v>
      </c>
      <c r="H555">
        <v>3</v>
      </c>
      <c r="I555">
        <v>2.4</v>
      </c>
      <c r="J555">
        <v>12.67</v>
      </c>
      <c r="K555">
        <v>39.700000000000003</v>
      </c>
      <c r="L555" t="s">
        <v>5028</v>
      </c>
      <c r="M555">
        <v>10</v>
      </c>
      <c r="N555">
        <v>1</v>
      </c>
      <c r="O555">
        <v>0</v>
      </c>
    </row>
    <row r="556" spans="1:15" x14ac:dyDescent="0.3">
      <c r="A556" t="s">
        <v>569</v>
      </c>
      <c r="B556">
        <v>2</v>
      </c>
      <c r="C556">
        <v>69</v>
      </c>
      <c r="D556" t="s">
        <v>5015</v>
      </c>
      <c r="E556" t="s">
        <v>5018</v>
      </c>
      <c r="F556" t="s">
        <v>5021</v>
      </c>
      <c r="G556">
        <v>20.88</v>
      </c>
      <c r="H556">
        <v>4</v>
      </c>
      <c r="I556">
        <v>4.7</v>
      </c>
      <c r="J556">
        <v>18.71</v>
      </c>
      <c r="K556">
        <v>14.9</v>
      </c>
      <c r="L556" t="s">
        <v>5026</v>
      </c>
      <c r="M556">
        <v>1</v>
      </c>
      <c r="N556">
        <v>1</v>
      </c>
      <c r="O556">
        <v>0</v>
      </c>
    </row>
    <row r="557" spans="1:15" x14ac:dyDescent="0.3">
      <c r="A557" t="s">
        <v>570</v>
      </c>
      <c r="B557">
        <v>3</v>
      </c>
      <c r="C557">
        <v>32</v>
      </c>
      <c r="D557" t="s">
        <v>5015</v>
      </c>
      <c r="E557" t="s">
        <v>5018</v>
      </c>
      <c r="F557" t="s">
        <v>5023</v>
      </c>
      <c r="G557">
        <v>5.55</v>
      </c>
      <c r="H557">
        <v>4</v>
      </c>
      <c r="I557">
        <v>8.6999999999999993</v>
      </c>
      <c r="J557">
        <v>12.13</v>
      </c>
      <c r="K557">
        <v>68.7</v>
      </c>
      <c r="L557" t="s">
        <v>5029</v>
      </c>
      <c r="M557">
        <v>8</v>
      </c>
      <c r="N557">
        <v>0</v>
      </c>
      <c r="O557">
        <v>0</v>
      </c>
    </row>
    <row r="558" spans="1:15" x14ac:dyDescent="0.3">
      <c r="A558" t="s">
        <v>571</v>
      </c>
      <c r="B558">
        <v>7</v>
      </c>
      <c r="C558">
        <v>26</v>
      </c>
      <c r="D558" t="s">
        <v>5016</v>
      </c>
      <c r="E558" t="s">
        <v>5018</v>
      </c>
      <c r="F558" t="s">
        <v>5020</v>
      </c>
      <c r="G558">
        <v>21.21</v>
      </c>
      <c r="H558">
        <v>1</v>
      </c>
      <c r="I558">
        <v>9.6999999999999993</v>
      </c>
      <c r="J558">
        <v>5.59</v>
      </c>
      <c r="K558">
        <v>20.8</v>
      </c>
      <c r="L558" t="s">
        <v>5028</v>
      </c>
      <c r="M558">
        <v>10</v>
      </c>
      <c r="N558">
        <v>4</v>
      </c>
      <c r="O558">
        <v>1</v>
      </c>
    </row>
    <row r="559" spans="1:15" x14ac:dyDescent="0.3">
      <c r="A559" t="s">
        <v>572</v>
      </c>
      <c r="B559">
        <v>1</v>
      </c>
      <c r="C559">
        <v>69</v>
      </c>
      <c r="D559" t="s">
        <v>5016</v>
      </c>
      <c r="E559" t="s">
        <v>5018</v>
      </c>
      <c r="F559" t="s">
        <v>5023</v>
      </c>
      <c r="G559">
        <v>11</v>
      </c>
      <c r="H559">
        <v>3</v>
      </c>
      <c r="I559">
        <v>7</v>
      </c>
      <c r="J559">
        <v>4.3499999999999996</v>
      </c>
      <c r="K559">
        <v>41.9</v>
      </c>
      <c r="L559" t="s">
        <v>5028</v>
      </c>
      <c r="M559">
        <v>5</v>
      </c>
      <c r="N559">
        <v>0</v>
      </c>
      <c r="O559">
        <v>0</v>
      </c>
    </row>
    <row r="560" spans="1:15" x14ac:dyDescent="0.3">
      <c r="A560" t="s">
        <v>573</v>
      </c>
      <c r="B560">
        <v>10</v>
      </c>
      <c r="C560">
        <v>27</v>
      </c>
      <c r="D560" t="s">
        <v>5015</v>
      </c>
      <c r="E560" t="s">
        <v>5017</v>
      </c>
      <c r="F560" t="s">
        <v>5022</v>
      </c>
      <c r="G560">
        <v>7.53</v>
      </c>
      <c r="H560">
        <v>3</v>
      </c>
      <c r="I560">
        <v>9.3000000000000007</v>
      </c>
      <c r="J560">
        <v>21.78</v>
      </c>
      <c r="K560">
        <v>41.5</v>
      </c>
      <c r="L560" t="s">
        <v>5029</v>
      </c>
      <c r="M560">
        <v>4</v>
      </c>
      <c r="N560">
        <v>2</v>
      </c>
      <c r="O560">
        <v>0</v>
      </c>
    </row>
    <row r="561" spans="1:15" x14ac:dyDescent="0.3">
      <c r="A561" t="s">
        <v>574</v>
      </c>
      <c r="B561">
        <v>8</v>
      </c>
      <c r="C561">
        <v>61</v>
      </c>
      <c r="D561" t="s">
        <v>5015</v>
      </c>
      <c r="E561" t="s">
        <v>5017</v>
      </c>
      <c r="F561" t="s">
        <v>5022</v>
      </c>
      <c r="G561">
        <v>7.27</v>
      </c>
      <c r="H561">
        <v>1</v>
      </c>
      <c r="I561">
        <v>2.2000000000000002</v>
      </c>
      <c r="J561">
        <v>22.61</v>
      </c>
      <c r="K561">
        <v>23.6</v>
      </c>
      <c r="L561" t="s">
        <v>5025</v>
      </c>
      <c r="M561">
        <v>3</v>
      </c>
      <c r="N561">
        <v>3</v>
      </c>
      <c r="O561">
        <v>1</v>
      </c>
    </row>
    <row r="562" spans="1:15" x14ac:dyDescent="0.3">
      <c r="A562" t="s">
        <v>575</v>
      </c>
      <c r="B562">
        <v>10</v>
      </c>
      <c r="C562">
        <v>48</v>
      </c>
      <c r="D562" t="s">
        <v>5016</v>
      </c>
      <c r="E562" t="s">
        <v>5019</v>
      </c>
      <c r="F562" t="s">
        <v>5021</v>
      </c>
      <c r="G562">
        <v>18.600000000000001</v>
      </c>
      <c r="H562">
        <v>4</v>
      </c>
      <c r="I562">
        <v>9.8000000000000007</v>
      </c>
      <c r="J562">
        <v>10.55</v>
      </c>
      <c r="K562">
        <v>70</v>
      </c>
      <c r="L562" t="s">
        <v>5027</v>
      </c>
      <c r="M562">
        <v>7</v>
      </c>
      <c r="N562">
        <v>3</v>
      </c>
      <c r="O562">
        <v>0</v>
      </c>
    </row>
    <row r="563" spans="1:15" x14ac:dyDescent="0.3">
      <c r="A563" t="s">
        <v>576</v>
      </c>
      <c r="B563">
        <v>10</v>
      </c>
      <c r="C563">
        <v>40</v>
      </c>
      <c r="D563" t="s">
        <v>5016</v>
      </c>
      <c r="E563" t="s">
        <v>5017</v>
      </c>
      <c r="F563" t="s">
        <v>5023</v>
      </c>
      <c r="G563">
        <v>24.95</v>
      </c>
      <c r="H563">
        <v>4</v>
      </c>
      <c r="I563">
        <v>1.3</v>
      </c>
      <c r="J563">
        <v>6.61</v>
      </c>
      <c r="K563">
        <v>25.7</v>
      </c>
      <c r="L563" t="s">
        <v>5026</v>
      </c>
      <c r="M563">
        <v>8</v>
      </c>
      <c r="N563">
        <v>2</v>
      </c>
      <c r="O563">
        <v>0</v>
      </c>
    </row>
    <row r="564" spans="1:15" x14ac:dyDescent="0.3">
      <c r="A564" t="s">
        <v>577</v>
      </c>
      <c r="B564">
        <v>10</v>
      </c>
      <c r="C564">
        <v>69</v>
      </c>
      <c r="D564" t="s">
        <v>5016</v>
      </c>
      <c r="E564" t="s">
        <v>5018</v>
      </c>
      <c r="F564" t="s">
        <v>5020</v>
      </c>
      <c r="G564">
        <v>18.32</v>
      </c>
      <c r="H564">
        <v>5</v>
      </c>
      <c r="I564">
        <v>5.7</v>
      </c>
      <c r="J564">
        <v>24.53</v>
      </c>
      <c r="K564">
        <v>80.099999999999994</v>
      </c>
      <c r="L564" t="s">
        <v>5027</v>
      </c>
      <c r="M564">
        <v>8</v>
      </c>
      <c r="N564">
        <v>1</v>
      </c>
      <c r="O564">
        <v>0</v>
      </c>
    </row>
    <row r="565" spans="1:15" x14ac:dyDescent="0.3">
      <c r="A565" t="s">
        <v>578</v>
      </c>
      <c r="B565">
        <v>2</v>
      </c>
      <c r="C565">
        <v>47</v>
      </c>
      <c r="D565" t="s">
        <v>5015</v>
      </c>
      <c r="E565" t="s">
        <v>5019</v>
      </c>
      <c r="F565" t="s">
        <v>5023</v>
      </c>
      <c r="G565">
        <v>10.25</v>
      </c>
      <c r="H565">
        <v>5</v>
      </c>
      <c r="I565">
        <v>3.6</v>
      </c>
      <c r="J565">
        <v>15.01</v>
      </c>
      <c r="K565">
        <v>32.4</v>
      </c>
      <c r="L565" t="s">
        <v>5027</v>
      </c>
      <c r="M565">
        <v>1</v>
      </c>
      <c r="N565">
        <v>1</v>
      </c>
      <c r="O565">
        <v>1</v>
      </c>
    </row>
    <row r="566" spans="1:15" x14ac:dyDescent="0.3">
      <c r="A566" t="s">
        <v>579</v>
      </c>
      <c r="B566">
        <v>3</v>
      </c>
      <c r="C566">
        <v>50</v>
      </c>
      <c r="D566" t="s">
        <v>5015</v>
      </c>
      <c r="E566" t="s">
        <v>5018</v>
      </c>
      <c r="F566" t="s">
        <v>5020</v>
      </c>
      <c r="G566">
        <v>9.07</v>
      </c>
      <c r="H566">
        <v>4</v>
      </c>
      <c r="I566">
        <v>8.3000000000000007</v>
      </c>
      <c r="J566">
        <v>13.49</v>
      </c>
      <c r="K566">
        <v>35.9</v>
      </c>
      <c r="L566" t="s">
        <v>5029</v>
      </c>
      <c r="M566">
        <v>7</v>
      </c>
      <c r="N566">
        <v>1</v>
      </c>
      <c r="O566">
        <v>0</v>
      </c>
    </row>
    <row r="567" spans="1:15" x14ac:dyDescent="0.3">
      <c r="A567" t="s">
        <v>580</v>
      </c>
      <c r="B567">
        <v>9</v>
      </c>
      <c r="C567">
        <v>69</v>
      </c>
      <c r="D567" t="s">
        <v>5016</v>
      </c>
      <c r="E567" t="s">
        <v>5018</v>
      </c>
      <c r="F567" t="s">
        <v>5020</v>
      </c>
      <c r="G567">
        <v>15.52</v>
      </c>
      <c r="H567">
        <v>2</v>
      </c>
      <c r="I567">
        <v>3</v>
      </c>
      <c r="J567">
        <v>19.32</v>
      </c>
      <c r="K567">
        <v>40.9</v>
      </c>
      <c r="L567" t="s">
        <v>5025</v>
      </c>
      <c r="M567">
        <v>5</v>
      </c>
      <c r="N567">
        <v>0</v>
      </c>
      <c r="O567">
        <v>0</v>
      </c>
    </row>
    <row r="568" spans="1:15" x14ac:dyDescent="0.3">
      <c r="A568" t="s">
        <v>581</v>
      </c>
      <c r="B568">
        <v>7</v>
      </c>
      <c r="C568">
        <v>26</v>
      </c>
      <c r="D568" t="s">
        <v>5015</v>
      </c>
      <c r="E568" t="s">
        <v>5018</v>
      </c>
      <c r="F568" t="s">
        <v>5023</v>
      </c>
      <c r="G568">
        <v>6.3</v>
      </c>
      <c r="H568">
        <v>3</v>
      </c>
      <c r="I568">
        <v>1.1000000000000001</v>
      </c>
      <c r="J568">
        <v>6.72</v>
      </c>
      <c r="K568">
        <v>23.7</v>
      </c>
      <c r="L568" t="s">
        <v>5027</v>
      </c>
      <c r="M568">
        <v>2</v>
      </c>
      <c r="N568">
        <v>0</v>
      </c>
      <c r="O568">
        <v>0</v>
      </c>
    </row>
    <row r="569" spans="1:15" x14ac:dyDescent="0.3">
      <c r="A569" t="s">
        <v>582</v>
      </c>
      <c r="B569">
        <v>4</v>
      </c>
      <c r="C569">
        <v>64</v>
      </c>
      <c r="D569" t="s">
        <v>5015</v>
      </c>
      <c r="E569" t="s">
        <v>5017</v>
      </c>
      <c r="F569" t="s">
        <v>5024</v>
      </c>
      <c r="G569">
        <v>12.99</v>
      </c>
      <c r="H569">
        <v>5</v>
      </c>
      <c r="I569">
        <v>4.7</v>
      </c>
      <c r="J569">
        <v>15.76</v>
      </c>
      <c r="K569">
        <v>49.1</v>
      </c>
      <c r="L569" t="s">
        <v>5028</v>
      </c>
      <c r="M569">
        <v>8</v>
      </c>
      <c r="N569">
        <v>3</v>
      </c>
      <c r="O569">
        <v>0</v>
      </c>
    </row>
    <row r="570" spans="1:15" x14ac:dyDescent="0.3">
      <c r="A570" t="s">
        <v>583</v>
      </c>
      <c r="B570">
        <v>10</v>
      </c>
      <c r="C570">
        <v>18</v>
      </c>
      <c r="D570" t="s">
        <v>5015</v>
      </c>
      <c r="E570" t="s">
        <v>5019</v>
      </c>
      <c r="F570" t="s">
        <v>5023</v>
      </c>
      <c r="G570">
        <v>18.32</v>
      </c>
      <c r="H570">
        <v>2</v>
      </c>
      <c r="I570">
        <v>1.6</v>
      </c>
      <c r="J570">
        <v>22.58</v>
      </c>
      <c r="K570">
        <v>17.2</v>
      </c>
      <c r="L570" t="s">
        <v>5025</v>
      </c>
      <c r="M570">
        <v>2</v>
      </c>
      <c r="N570">
        <v>1</v>
      </c>
      <c r="O570">
        <v>1</v>
      </c>
    </row>
    <row r="571" spans="1:15" x14ac:dyDescent="0.3">
      <c r="A571" t="s">
        <v>584</v>
      </c>
      <c r="B571">
        <v>5</v>
      </c>
      <c r="C571">
        <v>61</v>
      </c>
      <c r="D571" t="s">
        <v>5015</v>
      </c>
      <c r="E571" t="s">
        <v>5018</v>
      </c>
      <c r="F571" t="s">
        <v>5020</v>
      </c>
      <c r="G571">
        <v>24.35</v>
      </c>
      <c r="H571">
        <v>5</v>
      </c>
      <c r="I571">
        <v>3.6</v>
      </c>
      <c r="J571">
        <v>3.51</v>
      </c>
      <c r="K571">
        <v>48.4</v>
      </c>
      <c r="L571" t="s">
        <v>5029</v>
      </c>
      <c r="M571">
        <v>6</v>
      </c>
      <c r="N571">
        <v>1</v>
      </c>
      <c r="O571">
        <v>0</v>
      </c>
    </row>
    <row r="572" spans="1:15" x14ac:dyDescent="0.3">
      <c r="A572" t="s">
        <v>585</v>
      </c>
      <c r="B572">
        <v>2</v>
      </c>
      <c r="C572">
        <v>52</v>
      </c>
      <c r="D572" t="s">
        <v>5015</v>
      </c>
      <c r="E572" t="s">
        <v>5019</v>
      </c>
      <c r="F572" t="s">
        <v>5022</v>
      </c>
      <c r="G572">
        <v>13.51</v>
      </c>
      <c r="H572">
        <v>1</v>
      </c>
      <c r="I572">
        <v>6.8</v>
      </c>
      <c r="J572">
        <v>17.8</v>
      </c>
      <c r="K572">
        <v>40.6</v>
      </c>
      <c r="L572" t="s">
        <v>5027</v>
      </c>
      <c r="M572">
        <v>5</v>
      </c>
      <c r="N572">
        <v>2</v>
      </c>
      <c r="O572">
        <v>0</v>
      </c>
    </row>
    <row r="573" spans="1:15" x14ac:dyDescent="0.3">
      <c r="A573" t="s">
        <v>586</v>
      </c>
      <c r="B573">
        <v>11</v>
      </c>
      <c r="C573">
        <v>28</v>
      </c>
      <c r="D573" t="s">
        <v>5015</v>
      </c>
      <c r="E573" t="s">
        <v>5019</v>
      </c>
      <c r="F573" t="s">
        <v>5022</v>
      </c>
      <c r="G573">
        <v>9</v>
      </c>
      <c r="H573">
        <v>3</v>
      </c>
      <c r="I573">
        <v>3.7</v>
      </c>
      <c r="J573">
        <v>15.13</v>
      </c>
      <c r="K573">
        <v>40.4</v>
      </c>
      <c r="L573" t="s">
        <v>5029</v>
      </c>
      <c r="M573">
        <v>6</v>
      </c>
      <c r="N573">
        <v>3</v>
      </c>
      <c r="O573">
        <v>1</v>
      </c>
    </row>
    <row r="574" spans="1:15" x14ac:dyDescent="0.3">
      <c r="A574" t="s">
        <v>587</v>
      </c>
      <c r="B574">
        <v>8</v>
      </c>
      <c r="C574">
        <v>51</v>
      </c>
      <c r="D574" t="s">
        <v>5015</v>
      </c>
      <c r="E574" t="s">
        <v>5019</v>
      </c>
      <c r="F574" t="s">
        <v>5021</v>
      </c>
      <c r="G574">
        <v>21.35</v>
      </c>
      <c r="H574">
        <v>5</v>
      </c>
      <c r="I574">
        <v>3.2</v>
      </c>
      <c r="J574">
        <v>23.92</v>
      </c>
      <c r="K574">
        <v>69.5</v>
      </c>
      <c r="L574" t="s">
        <v>5026</v>
      </c>
      <c r="M574">
        <v>11</v>
      </c>
      <c r="N574">
        <v>0</v>
      </c>
      <c r="O574">
        <v>0</v>
      </c>
    </row>
    <row r="575" spans="1:15" x14ac:dyDescent="0.3">
      <c r="A575" t="s">
        <v>588</v>
      </c>
      <c r="B575">
        <v>4</v>
      </c>
      <c r="C575">
        <v>33</v>
      </c>
      <c r="D575" t="s">
        <v>5016</v>
      </c>
      <c r="E575" t="s">
        <v>5019</v>
      </c>
      <c r="F575" t="s">
        <v>5022</v>
      </c>
      <c r="G575">
        <v>19.88</v>
      </c>
      <c r="H575">
        <v>4</v>
      </c>
      <c r="I575">
        <v>2.4</v>
      </c>
      <c r="J575">
        <v>8.69</v>
      </c>
      <c r="K575">
        <v>79.2</v>
      </c>
      <c r="L575" t="s">
        <v>5029</v>
      </c>
      <c r="M575">
        <v>10</v>
      </c>
      <c r="N575">
        <v>3</v>
      </c>
      <c r="O575">
        <v>0</v>
      </c>
    </row>
    <row r="576" spans="1:15" x14ac:dyDescent="0.3">
      <c r="A576" t="s">
        <v>589</v>
      </c>
      <c r="B576">
        <v>9</v>
      </c>
      <c r="C576">
        <v>26</v>
      </c>
      <c r="D576" t="s">
        <v>5016</v>
      </c>
      <c r="E576" t="s">
        <v>5018</v>
      </c>
      <c r="F576" t="s">
        <v>5024</v>
      </c>
      <c r="G576">
        <v>22.19</v>
      </c>
      <c r="H576">
        <v>1</v>
      </c>
      <c r="I576">
        <v>2.2000000000000002</v>
      </c>
      <c r="J576">
        <v>21.9</v>
      </c>
      <c r="K576">
        <v>42</v>
      </c>
      <c r="L576" t="s">
        <v>5028</v>
      </c>
      <c r="M576">
        <v>8</v>
      </c>
      <c r="N576">
        <v>1</v>
      </c>
      <c r="O576">
        <v>0</v>
      </c>
    </row>
    <row r="577" spans="1:15" x14ac:dyDescent="0.3">
      <c r="A577" t="s">
        <v>590</v>
      </c>
      <c r="B577">
        <v>5</v>
      </c>
      <c r="C577">
        <v>49</v>
      </c>
      <c r="D577" t="s">
        <v>5016</v>
      </c>
      <c r="E577" t="s">
        <v>5018</v>
      </c>
      <c r="F577" t="s">
        <v>5020</v>
      </c>
      <c r="G577">
        <v>9.2899999999999991</v>
      </c>
      <c r="H577">
        <v>1</v>
      </c>
      <c r="I577">
        <v>5.7</v>
      </c>
      <c r="J577">
        <v>9.8000000000000007</v>
      </c>
      <c r="K577">
        <v>33.6</v>
      </c>
      <c r="L577" t="s">
        <v>5029</v>
      </c>
      <c r="M577">
        <v>9</v>
      </c>
      <c r="N577">
        <v>1</v>
      </c>
      <c r="O577">
        <v>1</v>
      </c>
    </row>
    <row r="578" spans="1:15" x14ac:dyDescent="0.3">
      <c r="A578" t="s">
        <v>591</v>
      </c>
      <c r="B578">
        <v>9</v>
      </c>
      <c r="C578">
        <v>32</v>
      </c>
      <c r="D578" t="s">
        <v>5016</v>
      </c>
      <c r="E578" t="s">
        <v>5018</v>
      </c>
      <c r="F578" t="s">
        <v>5023</v>
      </c>
      <c r="G578">
        <v>13.1</v>
      </c>
      <c r="H578">
        <v>4</v>
      </c>
      <c r="I578">
        <v>7.1</v>
      </c>
      <c r="J578">
        <v>12.46</v>
      </c>
      <c r="K578">
        <v>54.5</v>
      </c>
      <c r="L578" t="s">
        <v>5025</v>
      </c>
      <c r="M578">
        <v>3</v>
      </c>
      <c r="N578">
        <v>0</v>
      </c>
      <c r="O578">
        <v>0</v>
      </c>
    </row>
    <row r="579" spans="1:15" x14ac:dyDescent="0.3">
      <c r="A579" t="s">
        <v>592</v>
      </c>
      <c r="B579">
        <v>4</v>
      </c>
      <c r="C579">
        <v>29</v>
      </c>
      <c r="D579" t="s">
        <v>5016</v>
      </c>
      <c r="E579" t="s">
        <v>5018</v>
      </c>
      <c r="F579" t="s">
        <v>5023</v>
      </c>
      <c r="G579">
        <v>24.63</v>
      </c>
      <c r="H579">
        <v>1</v>
      </c>
      <c r="I579">
        <v>5.0999999999999996</v>
      </c>
      <c r="J579">
        <v>7.69</v>
      </c>
      <c r="K579">
        <v>80.900000000000006</v>
      </c>
      <c r="L579" t="s">
        <v>5026</v>
      </c>
      <c r="M579">
        <v>3</v>
      </c>
      <c r="N579">
        <v>0</v>
      </c>
      <c r="O579">
        <v>0</v>
      </c>
    </row>
    <row r="580" spans="1:15" x14ac:dyDescent="0.3">
      <c r="A580" t="s">
        <v>593</v>
      </c>
      <c r="B580">
        <v>10</v>
      </c>
      <c r="C580">
        <v>50</v>
      </c>
      <c r="D580" t="s">
        <v>5016</v>
      </c>
      <c r="E580" t="s">
        <v>5019</v>
      </c>
      <c r="F580" t="s">
        <v>5024</v>
      </c>
      <c r="G580">
        <v>8.16</v>
      </c>
      <c r="H580">
        <v>3</v>
      </c>
      <c r="I580">
        <v>2.1</v>
      </c>
      <c r="J580">
        <v>22</v>
      </c>
      <c r="K580">
        <v>68</v>
      </c>
      <c r="L580" t="s">
        <v>5028</v>
      </c>
      <c r="M580">
        <v>7</v>
      </c>
      <c r="N580">
        <v>3</v>
      </c>
      <c r="O580">
        <v>0</v>
      </c>
    </row>
    <row r="581" spans="1:15" x14ac:dyDescent="0.3">
      <c r="A581" t="s">
        <v>594</v>
      </c>
      <c r="B581">
        <v>5</v>
      </c>
      <c r="C581">
        <v>62</v>
      </c>
      <c r="D581" t="s">
        <v>5016</v>
      </c>
      <c r="E581" t="s">
        <v>5017</v>
      </c>
      <c r="F581" t="s">
        <v>5022</v>
      </c>
      <c r="G581">
        <v>18.43</v>
      </c>
      <c r="H581">
        <v>5</v>
      </c>
      <c r="I581">
        <v>6.8</v>
      </c>
      <c r="J581">
        <v>7.3</v>
      </c>
      <c r="K581">
        <v>13.4</v>
      </c>
      <c r="L581" t="s">
        <v>5026</v>
      </c>
      <c r="M581">
        <v>3</v>
      </c>
      <c r="N581">
        <v>4</v>
      </c>
      <c r="O581">
        <v>1</v>
      </c>
    </row>
    <row r="582" spans="1:15" x14ac:dyDescent="0.3">
      <c r="A582" t="s">
        <v>595</v>
      </c>
      <c r="B582">
        <v>9</v>
      </c>
      <c r="C582">
        <v>31</v>
      </c>
      <c r="D582" t="s">
        <v>5016</v>
      </c>
      <c r="E582" t="s">
        <v>5019</v>
      </c>
      <c r="F582" t="s">
        <v>5020</v>
      </c>
      <c r="G582">
        <v>9.74</v>
      </c>
      <c r="H582">
        <v>1</v>
      </c>
      <c r="I582">
        <v>6</v>
      </c>
      <c r="J582">
        <v>21.9</v>
      </c>
      <c r="K582">
        <v>53.2</v>
      </c>
      <c r="L582" t="s">
        <v>5028</v>
      </c>
      <c r="M582">
        <v>11</v>
      </c>
      <c r="N582">
        <v>1</v>
      </c>
      <c r="O582">
        <v>1</v>
      </c>
    </row>
    <row r="583" spans="1:15" x14ac:dyDescent="0.3">
      <c r="A583" t="s">
        <v>596</v>
      </c>
      <c r="B583">
        <v>8</v>
      </c>
      <c r="C583">
        <v>25</v>
      </c>
      <c r="D583" t="s">
        <v>5016</v>
      </c>
      <c r="E583" t="s">
        <v>5019</v>
      </c>
      <c r="F583" t="s">
        <v>5022</v>
      </c>
      <c r="G583">
        <v>15</v>
      </c>
      <c r="H583">
        <v>3</v>
      </c>
      <c r="I583">
        <v>4.4000000000000004</v>
      </c>
      <c r="J583">
        <v>13.02</v>
      </c>
      <c r="K583">
        <v>99.2</v>
      </c>
      <c r="L583" t="s">
        <v>5026</v>
      </c>
      <c r="M583">
        <v>10</v>
      </c>
      <c r="N583">
        <v>1</v>
      </c>
      <c r="O583">
        <v>0</v>
      </c>
    </row>
    <row r="584" spans="1:15" x14ac:dyDescent="0.3">
      <c r="A584" t="s">
        <v>597</v>
      </c>
      <c r="B584">
        <v>3</v>
      </c>
      <c r="C584">
        <v>25</v>
      </c>
      <c r="D584" t="s">
        <v>5015</v>
      </c>
      <c r="E584" t="s">
        <v>5019</v>
      </c>
      <c r="F584" t="s">
        <v>5021</v>
      </c>
      <c r="G584">
        <v>21.01</v>
      </c>
      <c r="H584">
        <v>4</v>
      </c>
      <c r="I584">
        <v>4</v>
      </c>
      <c r="J584">
        <v>21.37</v>
      </c>
      <c r="K584">
        <v>41.8</v>
      </c>
      <c r="L584" t="s">
        <v>5027</v>
      </c>
      <c r="M584">
        <v>5</v>
      </c>
      <c r="N584">
        <v>4</v>
      </c>
      <c r="O584">
        <v>0</v>
      </c>
    </row>
    <row r="585" spans="1:15" x14ac:dyDescent="0.3">
      <c r="A585" t="s">
        <v>598</v>
      </c>
      <c r="B585">
        <v>1</v>
      </c>
      <c r="C585">
        <v>44</v>
      </c>
      <c r="D585" t="s">
        <v>5015</v>
      </c>
      <c r="E585" t="s">
        <v>5019</v>
      </c>
      <c r="F585" t="s">
        <v>5022</v>
      </c>
      <c r="G585">
        <v>14.77</v>
      </c>
      <c r="H585">
        <v>5</v>
      </c>
      <c r="I585">
        <v>2.6</v>
      </c>
      <c r="J585">
        <v>8.82</v>
      </c>
      <c r="K585">
        <v>49.7</v>
      </c>
      <c r="L585" t="s">
        <v>5029</v>
      </c>
      <c r="M585">
        <v>10</v>
      </c>
      <c r="N585">
        <v>3</v>
      </c>
      <c r="O585">
        <v>1</v>
      </c>
    </row>
    <row r="586" spans="1:15" x14ac:dyDescent="0.3">
      <c r="A586" t="s">
        <v>599</v>
      </c>
      <c r="B586">
        <v>3</v>
      </c>
      <c r="C586">
        <v>29</v>
      </c>
      <c r="D586" t="s">
        <v>5016</v>
      </c>
      <c r="E586" t="s">
        <v>5017</v>
      </c>
      <c r="F586" t="s">
        <v>5021</v>
      </c>
      <c r="G586">
        <v>21.11</v>
      </c>
      <c r="H586">
        <v>4</v>
      </c>
      <c r="I586">
        <v>2.2999999999999998</v>
      </c>
      <c r="J586">
        <v>5.92</v>
      </c>
      <c r="K586">
        <v>35.9</v>
      </c>
      <c r="L586" t="s">
        <v>5025</v>
      </c>
      <c r="M586">
        <v>4</v>
      </c>
      <c r="N586">
        <v>2</v>
      </c>
      <c r="O586">
        <v>1</v>
      </c>
    </row>
    <row r="587" spans="1:15" x14ac:dyDescent="0.3">
      <c r="A587" t="s">
        <v>600</v>
      </c>
      <c r="B587">
        <v>4</v>
      </c>
      <c r="C587">
        <v>18</v>
      </c>
      <c r="D587" t="s">
        <v>5015</v>
      </c>
      <c r="E587" t="s">
        <v>5017</v>
      </c>
      <c r="F587" t="s">
        <v>5023</v>
      </c>
      <c r="G587">
        <v>13.53</v>
      </c>
      <c r="H587">
        <v>5</v>
      </c>
      <c r="I587">
        <v>4</v>
      </c>
      <c r="J587">
        <v>15.21</v>
      </c>
      <c r="K587">
        <v>54.8</v>
      </c>
      <c r="L587" t="s">
        <v>5025</v>
      </c>
      <c r="M587">
        <v>11</v>
      </c>
      <c r="N587">
        <v>2</v>
      </c>
      <c r="O587">
        <v>1</v>
      </c>
    </row>
    <row r="588" spans="1:15" x14ac:dyDescent="0.3">
      <c r="A588" t="s">
        <v>601</v>
      </c>
      <c r="B588">
        <v>2</v>
      </c>
      <c r="C588">
        <v>60</v>
      </c>
      <c r="D588" t="s">
        <v>5015</v>
      </c>
      <c r="E588" t="s">
        <v>5017</v>
      </c>
      <c r="F588" t="s">
        <v>5020</v>
      </c>
      <c r="G588">
        <v>24.99</v>
      </c>
      <c r="H588">
        <v>1</v>
      </c>
      <c r="I588">
        <v>1.4</v>
      </c>
      <c r="J588">
        <v>14.21</v>
      </c>
      <c r="K588">
        <v>24.5</v>
      </c>
      <c r="L588" t="s">
        <v>5027</v>
      </c>
      <c r="M588">
        <v>9</v>
      </c>
      <c r="N588">
        <v>1</v>
      </c>
      <c r="O588">
        <v>1</v>
      </c>
    </row>
    <row r="589" spans="1:15" x14ac:dyDescent="0.3">
      <c r="A589" t="s">
        <v>602</v>
      </c>
      <c r="B589">
        <v>1</v>
      </c>
      <c r="C589">
        <v>57</v>
      </c>
      <c r="D589" t="s">
        <v>5016</v>
      </c>
      <c r="E589" t="s">
        <v>5017</v>
      </c>
      <c r="F589" t="s">
        <v>5021</v>
      </c>
      <c r="G589">
        <v>13.72</v>
      </c>
      <c r="H589">
        <v>1</v>
      </c>
      <c r="I589">
        <v>4.9000000000000004</v>
      </c>
      <c r="J589">
        <v>10.85</v>
      </c>
      <c r="K589">
        <v>32.200000000000003</v>
      </c>
      <c r="L589" t="s">
        <v>5026</v>
      </c>
      <c r="M589">
        <v>11</v>
      </c>
      <c r="N589">
        <v>2</v>
      </c>
      <c r="O589">
        <v>0</v>
      </c>
    </row>
    <row r="590" spans="1:15" x14ac:dyDescent="0.3">
      <c r="A590" t="s">
        <v>603</v>
      </c>
      <c r="B590">
        <v>7</v>
      </c>
      <c r="C590">
        <v>59</v>
      </c>
      <c r="D590" t="s">
        <v>5016</v>
      </c>
      <c r="E590" t="s">
        <v>5018</v>
      </c>
      <c r="F590" t="s">
        <v>5022</v>
      </c>
      <c r="G590">
        <v>7.99</v>
      </c>
      <c r="H590">
        <v>5</v>
      </c>
      <c r="I590">
        <v>6.4</v>
      </c>
      <c r="J590">
        <v>17.579999999999998</v>
      </c>
      <c r="K590">
        <v>74.099999999999994</v>
      </c>
      <c r="L590" t="s">
        <v>5029</v>
      </c>
      <c r="M590">
        <v>8</v>
      </c>
      <c r="N590">
        <v>3</v>
      </c>
      <c r="O590">
        <v>0</v>
      </c>
    </row>
    <row r="591" spans="1:15" x14ac:dyDescent="0.3">
      <c r="A591" t="s">
        <v>604</v>
      </c>
      <c r="B591">
        <v>8</v>
      </c>
      <c r="C591">
        <v>68</v>
      </c>
      <c r="D591" t="s">
        <v>5016</v>
      </c>
      <c r="E591" t="s">
        <v>5019</v>
      </c>
      <c r="F591" t="s">
        <v>5022</v>
      </c>
      <c r="G591">
        <v>13.04</v>
      </c>
      <c r="H591">
        <v>3</v>
      </c>
      <c r="I591">
        <v>9.5</v>
      </c>
      <c r="J591">
        <v>5.09</v>
      </c>
      <c r="K591">
        <v>22.4</v>
      </c>
      <c r="L591" t="s">
        <v>5027</v>
      </c>
      <c r="M591">
        <v>9</v>
      </c>
      <c r="N591">
        <v>2</v>
      </c>
      <c r="O591">
        <v>1</v>
      </c>
    </row>
    <row r="592" spans="1:15" x14ac:dyDescent="0.3">
      <c r="A592" t="s">
        <v>605</v>
      </c>
      <c r="B592">
        <v>7</v>
      </c>
      <c r="C592">
        <v>28</v>
      </c>
      <c r="D592" t="s">
        <v>5015</v>
      </c>
      <c r="E592" t="s">
        <v>5019</v>
      </c>
      <c r="F592" t="s">
        <v>5023</v>
      </c>
      <c r="G592">
        <v>19.850000000000001</v>
      </c>
      <c r="H592">
        <v>3</v>
      </c>
      <c r="I592">
        <v>6.6</v>
      </c>
      <c r="J592">
        <v>16.68</v>
      </c>
      <c r="K592">
        <v>93.4</v>
      </c>
      <c r="L592" t="s">
        <v>5026</v>
      </c>
      <c r="M592">
        <v>6</v>
      </c>
      <c r="N592">
        <v>0</v>
      </c>
      <c r="O592">
        <v>1</v>
      </c>
    </row>
    <row r="593" spans="1:15" x14ac:dyDescent="0.3">
      <c r="A593" t="s">
        <v>606</v>
      </c>
      <c r="B593">
        <v>5</v>
      </c>
      <c r="C593">
        <v>56</v>
      </c>
      <c r="D593" t="s">
        <v>5015</v>
      </c>
      <c r="E593" t="s">
        <v>5018</v>
      </c>
      <c r="F593" t="s">
        <v>5024</v>
      </c>
      <c r="G593">
        <v>21.96</v>
      </c>
      <c r="H593">
        <v>3</v>
      </c>
      <c r="I593">
        <v>6.6</v>
      </c>
      <c r="J593">
        <v>7.66</v>
      </c>
      <c r="K593">
        <v>37.700000000000003</v>
      </c>
      <c r="L593" t="s">
        <v>5029</v>
      </c>
      <c r="M593">
        <v>2</v>
      </c>
      <c r="N593">
        <v>3</v>
      </c>
      <c r="O593">
        <v>1</v>
      </c>
    </row>
    <row r="594" spans="1:15" x14ac:dyDescent="0.3">
      <c r="A594" t="s">
        <v>607</v>
      </c>
      <c r="B594">
        <v>12</v>
      </c>
      <c r="C594">
        <v>60</v>
      </c>
      <c r="D594" t="s">
        <v>5016</v>
      </c>
      <c r="E594" t="s">
        <v>5017</v>
      </c>
      <c r="F594" t="s">
        <v>5024</v>
      </c>
      <c r="G594">
        <v>14.2</v>
      </c>
      <c r="H594">
        <v>2</v>
      </c>
      <c r="I594">
        <v>4.4000000000000004</v>
      </c>
      <c r="J594">
        <v>5.84</v>
      </c>
      <c r="K594">
        <v>61.8</v>
      </c>
      <c r="L594" t="s">
        <v>5026</v>
      </c>
      <c r="M594">
        <v>8</v>
      </c>
      <c r="N594">
        <v>4</v>
      </c>
      <c r="O594">
        <v>0</v>
      </c>
    </row>
    <row r="595" spans="1:15" x14ac:dyDescent="0.3">
      <c r="A595" t="s">
        <v>608</v>
      </c>
      <c r="B595">
        <v>1</v>
      </c>
      <c r="C595">
        <v>48</v>
      </c>
      <c r="D595" t="s">
        <v>5015</v>
      </c>
      <c r="E595" t="s">
        <v>5017</v>
      </c>
      <c r="F595" t="s">
        <v>5022</v>
      </c>
      <c r="G595">
        <v>16.89</v>
      </c>
      <c r="H595">
        <v>3</v>
      </c>
      <c r="I595">
        <v>2.2000000000000002</v>
      </c>
      <c r="J595">
        <v>23.01</v>
      </c>
      <c r="K595">
        <v>39</v>
      </c>
      <c r="L595" t="s">
        <v>5025</v>
      </c>
      <c r="M595">
        <v>1</v>
      </c>
      <c r="N595">
        <v>1</v>
      </c>
      <c r="O595">
        <v>0</v>
      </c>
    </row>
    <row r="596" spans="1:15" x14ac:dyDescent="0.3">
      <c r="A596" t="s">
        <v>609</v>
      </c>
      <c r="B596">
        <v>7</v>
      </c>
      <c r="C596">
        <v>34</v>
      </c>
      <c r="D596" t="s">
        <v>5015</v>
      </c>
      <c r="E596" t="s">
        <v>5017</v>
      </c>
      <c r="F596" t="s">
        <v>5024</v>
      </c>
      <c r="G596">
        <v>21.9</v>
      </c>
      <c r="H596">
        <v>1</v>
      </c>
      <c r="I596">
        <v>5</v>
      </c>
      <c r="J596">
        <v>13.12</v>
      </c>
      <c r="K596">
        <v>53</v>
      </c>
      <c r="L596" t="s">
        <v>5029</v>
      </c>
      <c r="M596">
        <v>11</v>
      </c>
      <c r="N596">
        <v>3</v>
      </c>
      <c r="O596">
        <v>0</v>
      </c>
    </row>
    <row r="597" spans="1:15" x14ac:dyDescent="0.3">
      <c r="A597" t="s">
        <v>610</v>
      </c>
      <c r="B597">
        <v>7</v>
      </c>
      <c r="C597">
        <v>50</v>
      </c>
      <c r="D597" t="s">
        <v>5015</v>
      </c>
      <c r="E597" t="s">
        <v>5018</v>
      </c>
      <c r="F597" t="s">
        <v>5020</v>
      </c>
      <c r="G597">
        <v>21.27</v>
      </c>
      <c r="H597">
        <v>2</v>
      </c>
      <c r="I597">
        <v>6.4</v>
      </c>
      <c r="J597">
        <v>19.8</v>
      </c>
      <c r="K597">
        <v>91.3</v>
      </c>
      <c r="L597" t="s">
        <v>5025</v>
      </c>
      <c r="M597">
        <v>5</v>
      </c>
      <c r="N597">
        <v>2</v>
      </c>
      <c r="O597">
        <v>1</v>
      </c>
    </row>
    <row r="598" spans="1:15" x14ac:dyDescent="0.3">
      <c r="A598" t="s">
        <v>611</v>
      </c>
      <c r="B598">
        <v>9</v>
      </c>
      <c r="C598">
        <v>49</v>
      </c>
      <c r="D598" t="s">
        <v>5016</v>
      </c>
      <c r="E598" t="s">
        <v>5018</v>
      </c>
      <c r="F598" t="s">
        <v>5024</v>
      </c>
      <c r="G598">
        <v>18.149999999999999</v>
      </c>
      <c r="H598">
        <v>3</v>
      </c>
      <c r="I598">
        <v>7.5</v>
      </c>
      <c r="J598">
        <v>4.96</v>
      </c>
      <c r="K598">
        <v>16.2</v>
      </c>
      <c r="L598" t="s">
        <v>5025</v>
      </c>
      <c r="M598">
        <v>2</v>
      </c>
      <c r="N598">
        <v>3</v>
      </c>
      <c r="O598">
        <v>0</v>
      </c>
    </row>
    <row r="599" spans="1:15" x14ac:dyDescent="0.3">
      <c r="A599" t="s">
        <v>612</v>
      </c>
      <c r="B599">
        <v>3</v>
      </c>
      <c r="C599">
        <v>46</v>
      </c>
      <c r="D599" t="s">
        <v>5015</v>
      </c>
      <c r="E599" t="s">
        <v>5017</v>
      </c>
      <c r="F599" t="s">
        <v>5020</v>
      </c>
      <c r="G599">
        <v>21.3</v>
      </c>
      <c r="H599">
        <v>1</v>
      </c>
      <c r="I599">
        <v>8.4</v>
      </c>
      <c r="J599">
        <v>4.26</v>
      </c>
      <c r="K599">
        <v>87.1</v>
      </c>
      <c r="L599" t="s">
        <v>5029</v>
      </c>
      <c r="M599">
        <v>7</v>
      </c>
      <c r="N599">
        <v>4</v>
      </c>
      <c r="O599">
        <v>1</v>
      </c>
    </row>
    <row r="600" spans="1:15" x14ac:dyDescent="0.3">
      <c r="A600" t="s">
        <v>613</v>
      </c>
      <c r="B600">
        <v>9</v>
      </c>
      <c r="C600">
        <v>38</v>
      </c>
      <c r="D600" t="s">
        <v>5015</v>
      </c>
      <c r="E600" t="s">
        <v>5018</v>
      </c>
      <c r="F600" t="s">
        <v>5022</v>
      </c>
      <c r="G600">
        <v>16.52</v>
      </c>
      <c r="H600">
        <v>2</v>
      </c>
      <c r="I600">
        <v>3.3</v>
      </c>
      <c r="J600">
        <v>13.89</v>
      </c>
      <c r="K600">
        <v>60.2</v>
      </c>
      <c r="L600" t="s">
        <v>5027</v>
      </c>
      <c r="M600">
        <v>5</v>
      </c>
      <c r="N600">
        <v>3</v>
      </c>
      <c r="O600">
        <v>0</v>
      </c>
    </row>
    <row r="601" spans="1:15" x14ac:dyDescent="0.3">
      <c r="A601" t="s">
        <v>614</v>
      </c>
      <c r="B601">
        <v>1</v>
      </c>
      <c r="C601">
        <v>38</v>
      </c>
      <c r="D601" t="s">
        <v>5015</v>
      </c>
      <c r="E601" t="s">
        <v>5017</v>
      </c>
      <c r="F601" t="s">
        <v>5022</v>
      </c>
      <c r="G601">
        <v>5.09</v>
      </c>
      <c r="H601">
        <v>1</v>
      </c>
      <c r="I601">
        <v>3.2</v>
      </c>
      <c r="J601">
        <v>9.94</v>
      </c>
      <c r="K601">
        <v>69.900000000000006</v>
      </c>
      <c r="L601" t="s">
        <v>5026</v>
      </c>
      <c r="M601">
        <v>10</v>
      </c>
      <c r="N601">
        <v>4</v>
      </c>
      <c r="O601">
        <v>0</v>
      </c>
    </row>
    <row r="602" spans="1:15" x14ac:dyDescent="0.3">
      <c r="A602" t="s">
        <v>615</v>
      </c>
      <c r="B602">
        <v>1</v>
      </c>
      <c r="C602">
        <v>57</v>
      </c>
      <c r="D602" t="s">
        <v>5015</v>
      </c>
      <c r="E602" t="s">
        <v>5018</v>
      </c>
      <c r="F602" t="s">
        <v>5022</v>
      </c>
      <c r="G602">
        <v>5.83</v>
      </c>
      <c r="H602">
        <v>5</v>
      </c>
      <c r="I602">
        <v>6.1</v>
      </c>
      <c r="J602">
        <v>3.11</v>
      </c>
      <c r="K602">
        <v>15</v>
      </c>
      <c r="L602" t="s">
        <v>5029</v>
      </c>
      <c r="M602">
        <v>3</v>
      </c>
      <c r="N602">
        <v>4</v>
      </c>
      <c r="O602">
        <v>0</v>
      </c>
    </row>
    <row r="603" spans="1:15" x14ac:dyDescent="0.3">
      <c r="A603" t="s">
        <v>616</v>
      </c>
      <c r="B603">
        <v>4</v>
      </c>
      <c r="C603">
        <v>40</v>
      </c>
      <c r="D603" t="s">
        <v>5015</v>
      </c>
      <c r="E603" t="s">
        <v>5018</v>
      </c>
      <c r="F603" t="s">
        <v>5023</v>
      </c>
      <c r="G603">
        <v>24.6</v>
      </c>
      <c r="H603">
        <v>1</v>
      </c>
      <c r="I603">
        <v>6.1</v>
      </c>
      <c r="J603">
        <v>7.03</v>
      </c>
      <c r="K603">
        <v>78.5</v>
      </c>
      <c r="L603" t="s">
        <v>5025</v>
      </c>
      <c r="M603">
        <v>7</v>
      </c>
      <c r="N603">
        <v>3</v>
      </c>
      <c r="O603">
        <v>0</v>
      </c>
    </row>
    <row r="604" spans="1:15" x14ac:dyDescent="0.3">
      <c r="A604" t="s">
        <v>617</v>
      </c>
      <c r="B604">
        <v>9</v>
      </c>
      <c r="C604">
        <v>23</v>
      </c>
      <c r="D604" t="s">
        <v>5015</v>
      </c>
      <c r="E604" t="s">
        <v>5018</v>
      </c>
      <c r="F604" t="s">
        <v>5024</v>
      </c>
      <c r="G604">
        <v>7.9</v>
      </c>
      <c r="H604">
        <v>2</v>
      </c>
      <c r="I604">
        <v>3</v>
      </c>
      <c r="J604">
        <v>7.81</v>
      </c>
      <c r="K604">
        <v>21.5</v>
      </c>
      <c r="L604" t="s">
        <v>5026</v>
      </c>
      <c r="M604">
        <v>3</v>
      </c>
      <c r="N604">
        <v>1</v>
      </c>
      <c r="O604">
        <v>0</v>
      </c>
    </row>
    <row r="605" spans="1:15" x14ac:dyDescent="0.3">
      <c r="A605" t="s">
        <v>618</v>
      </c>
      <c r="B605">
        <v>6</v>
      </c>
      <c r="C605">
        <v>39</v>
      </c>
      <c r="D605" t="s">
        <v>5015</v>
      </c>
      <c r="E605" t="s">
        <v>5018</v>
      </c>
      <c r="F605" t="s">
        <v>5021</v>
      </c>
      <c r="G605">
        <v>13.09</v>
      </c>
      <c r="H605">
        <v>3</v>
      </c>
      <c r="I605">
        <v>6.3</v>
      </c>
      <c r="J605">
        <v>9.35</v>
      </c>
      <c r="K605">
        <v>96.8</v>
      </c>
      <c r="L605" t="s">
        <v>5029</v>
      </c>
      <c r="M605">
        <v>6</v>
      </c>
      <c r="N605">
        <v>1</v>
      </c>
      <c r="O605">
        <v>1</v>
      </c>
    </row>
    <row r="606" spans="1:15" x14ac:dyDescent="0.3">
      <c r="A606" t="s">
        <v>619</v>
      </c>
      <c r="B606">
        <v>11</v>
      </c>
      <c r="C606">
        <v>67</v>
      </c>
      <c r="D606" t="s">
        <v>5016</v>
      </c>
      <c r="E606" t="s">
        <v>5019</v>
      </c>
      <c r="F606" t="s">
        <v>5021</v>
      </c>
      <c r="G606">
        <v>23.68</v>
      </c>
      <c r="H606">
        <v>2</v>
      </c>
      <c r="I606">
        <v>4.0999999999999996</v>
      </c>
      <c r="J606">
        <v>22.31</v>
      </c>
      <c r="K606">
        <v>81.900000000000006</v>
      </c>
      <c r="L606" t="s">
        <v>5027</v>
      </c>
      <c r="M606">
        <v>4</v>
      </c>
      <c r="N606">
        <v>2</v>
      </c>
      <c r="O606">
        <v>0</v>
      </c>
    </row>
    <row r="607" spans="1:15" x14ac:dyDescent="0.3">
      <c r="A607" t="s">
        <v>620</v>
      </c>
      <c r="B607">
        <v>3</v>
      </c>
      <c r="C607">
        <v>55</v>
      </c>
      <c r="D607" t="s">
        <v>5016</v>
      </c>
      <c r="E607" t="s">
        <v>5017</v>
      </c>
      <c r="F607" t="s">
        <v>5022</v>
      </c>
      <c r="G607">
        <v>8.9</v>
      </c>
      <c r="H607">
        <v>3</v>
      </c>
      <c r="I607">
        <v>6.8</v>
      </c>
      <c r="J607">
        <v>12.25</v>
      </c>
      <c r="K607">
        <v>54.4</v>
      </c>
      <c r="L607" t="s">
        <v>5029</v>
      </c>
      <c r="M607">
        <v>10</v>
      </c>
      <c r="N607">
        <v>3</v>
      </c>
      <c r="O607">
        <v>0</v>
      </c>
    </row>
    <row r="608" spans="1:15" x14ac:dyDescent="0.3">
      <c r="A608" t="s">
        <v>621</v>
      </c>
      <c r="B608">
        <v>1</v>
      </c>
      <c r="C608">
        <v>54</v>
      </c>
      <c r="D608" t="s">
        <v>5015</v>
      </c>
      <c r="E608" t="s">
        <v>5018</v>
      </c>
      <c r="F608" t="s">
        <v>5024</v>
      </c>
      <c r="G608">
        <v>21.88</v>
      </c>
      <c r="H608">
        <v>3</v>
      </c>
      <c r="I608">
        <v>3.6</v>
      </c>
      <c r="J608">
        <v>17.95</v>
      </c>
      <c r="K608">
        <v>93.2</v>
      </c>
      <c r="L608" t="s">
        <v>5029</v>
      </c>
      <c r="M608">
        <v>2</v>
      </c>
      <c r="N608">
        <v>3</v>
      </c>
      <c r="O608">
        <v>0</v>
      </c>
    </row>
    <row r="609" spans="1:15" x14ac:dyDescent="0.3">
      <c r="A609" t="s">
        <v>622</v>
      </c>
      <c r="B609">
        <v>4</v>
      </c>
      <c r="C609">
        <v>62</v>
      </c>
      <c r="D609" t="s">
        <v>5016</v>
      </c>
      <c r="E609" t="s">
        <v>5019</v>
      </c>
      <c r="F609" t="s">
        <v>5020</v>
      </c>
      <c r="G609">
        <v>21.37</v>
      </c>
      <c r="H609">
        <v>4</v>
      </c>
      <c r="I609">
        <v>6.3</v>
      </c>
      <c r="J609">
        <v>3.4</v>
      </c>
      <c r="K609">
        <v>25.2</v>
      </c>
      <c r="L609" t="s">
        <v>5028</v>
      </c>
      <c r="M609">
        <v>9</v>
      </c>
      <c r="N609">
        <v>0</v>
      </c>
      <c r="O609">
        <v>1</v>
      </c>
    </row>
    <row r="610" spans="1:15" x14ac:dyDescent="0.3">
      <c r="A610" t="s">
        <v>623</v>
      </c>
      <c r="B610">
        <v>12</v>
      </c>
      <c r="C610">
        <v>68</v>
      </c>
      <c r="D610" t="s">
        <v>5015</v>
      </c>
      <c r="E610" t="s">
        <v>5018</v>
      </c>
      <c r="F610" t="s">
        <v>5021</v>
      </c>
      <c r="G610">
        <v>24.73</v>
      </c>
      <c r="H610">
        <v>5</v>
      </c>
      <c r="I610">
        <v>7.9</v>
      </c>
      <c r="J610">
        <v>20.91</v>
      </c>
      <c r="K610">
        <v>99.2</v>
      </c>
      <c r="L610" t="s">
        <v>5026</v>
      </c>
      <c r="M610">
        <v>6</v>
      </c>
      <c r="N610">
        <v>1</v>
      </c>
      <c r="O610">
        <v>0</v>
      </c>
    </row>
    <row r="611" spans="1:15" x14ac:dyDescent="0.3">
      <c r="A611" t="s">
        <v>624</v>
      </c>
      <c r="B611">
        <v>9</v>
      </c>
      <c r="C611">
        <v>25</v>
      </c>
      <c r="D611" t="s">
        <v>5015</v>
      </c>
      <c r="E611" t="s">
        <v>5019</v>
      </c>
      <c r="F611" t="s">
        <v>5022</v>
      </c>
      <c r="G611">
        <v>10.63</v>
      </c>
      <c r="H611">
        <v>4</v>
      </c>
      <c r="I611">
        <v>9.8000000000000007</v>
      </c>
      <c r="J611">
        <v>8.2899999999999991</v>
      </c>
      <c r="K611">
        <v>74.5</v>
      </c>
      <c r="L611" t="s">
        <v>5029</v>
      </c>
      <c r="M611">
        <v>5</v>
      </c>
      <c r="N611">
        <v>4</v>
      </c>
      <c r="O611">
        <v>0</v>
      </c>
    </row>
    <row r="612" spans="1:15" x14ac:dyDescent="0.3">
      <c r="A612" t="s">
        <v>625</v>
      </c>
      <c r="B612">
        <v>3</v>
      </c>
      <c r="C612">
        <v>58</v>
      </c>
      <c r="D612" t="s">
        <v>5015</v>
      </c>
      <c r="E612" t="s">
        <v>5018</v>
      </c>
      <c r="F612" t="s">
        <v>5021</v>
      </c>
      <c r="G612">
        <v>11.31</v>
      </c>
      <c r="H612">
        <v>2</v>
      </c>
      <c r="I612">
        <v>9.1999999999999993</v>
      </c>
      <c r="J612">
        <v>9.8000000000000007</v>
      </c>
      <c r="K612">
        <v>18.899999999999999</v>
      </c>
      <c r="L612" t="s">
        <v>5025</v>
      </c>
      <c r="M612">
        <v>5</v>
      </c>
      <c r="N612">
        <v>0</v>
      </c>
      <c r="O612">
        <v>1</v>
      </c>
    </row>
    <row r="613" spans="1:15" x14ac:dyDescent="0.3">
      <c r="A613" t="s">
        <v>626</v>
      </c>
      <c r="B613">
        <v>12</v>
      </c>
      <c r="C613">
        <v>66</v>
      </c>
      <c r="D613" t="s">
        <v>5016</v>
      </c>
      <c r="E613" t="s">
        <v>5018</v>
      </c>
      <c r="F613" t="s">
        <v>5021</v>
      </c>
      <c r="G613">
        <v>23.06</v>
      </c>
      <c r="H613">
        <v>4</v>
      </c>
      <c r="I613">
        <v>5.5</v>
      </c>
      <c r="J613">
        <v>4</v>
      </c>
      <c r="K613">
        <v>58.3</v>
      </c>
      <c r="L613" t="s">
        <v>5025</v>
      </c>
      <c r="M613">
        <v>8</v>
      </c>
      <c r="N613">
        <v>3</v>
      </c>
      <c r="O613">
        <v>0</v>
      </c>
    </row>
    <row r="614" spans="1:15" x14ac:dyDescent="0.3">
      <c r="A614" t="s">
        <v>627</v>
      </c>
      <c r="B614">
        <v>9</v>
      </c>
      <c r="C614">
        <v>52</v>
      </c>
      <c r="D614" t="s">
        <v>5015</v>
      </c>
      <c r="E614" t="s">
        <v>5017</v>
      </c>
      <c r="F614" t="s">
        <v>5021</v>
      </c>
      <c r="G614">
        <v>9.68</v>
      </c>
      <c r="H614">
        <v>3</v>
      </c>
      <c r="I614">
        <v>5.4</v>
      </c>
      <c r="J614">
        <v>12.01</v>
      </c>
      <c r="K614">
        <v>74</v>
      </c>
      <c r="L614" t="s">
        <v>5028</v>
      </c>
      <c r="M614">
        <v>5</v>
      </c>
      <c r="N614">
        <v>0</v>
      </c>
      <c r="O614">
        <v>0</v>
      </c>
    </row>
    <row r="615" spans="1:15" x14ac:dyDescent="0.3">
      <c r="A615" t="s">
        <v>628</v>
      </c>
      <c r="B615">
        <v>7</v>
      </c>
      <c r="C615">
        <v>68</v>
      </c>
      <c r="D615" t="s">
        <v>5015</v>
      </c>
      <c r="E615" t="s">
        <v>5018</v>
      </c>
      <c r="F615" t="s">
        <v>5022</v>
      </c>
      <c r="G615">
        <v>15.96</v>
      </c>
      <c r="H615">
        <v>2</v>
      </c>
      <c r="I615">
        <v>4.9000000000000004</v>
      </c>
      <c r="J615">
        <v>21.76</v>
      </c>
      <c r="K615">
        <v>65.2</v>
      </c>
      <c r="L615" t="s">
        <v>5025</v>
      </c>
      <c r="M615">
        <v>8</v>
      </c>
      <c r="N615">
        <v>1</v>
      </c>
      <c r="O615">
        <v>1</v>
      </c>
    </row>
    <row r="616" spans="1:15" x14ac:dyDescent="0.3">
      <c r="A616" t="s">
        <v>629</v>
      </c>
      <c r="B616">
        <v>12</v>
      </c>
      <c r="C616">
        <v>28</v>
      </c>
      <c r="D616" t="s">
        <v>5016</v>
      </c>
      <c r="E616" t="s">
        <v>5017</v>
      </c>
      <c r="F616" t="s">
        <v>5022</v>
      </c>
      <c r="G616">
        <v>19.149999999999999</v>
      </c>
      <c r="H616">
        <v>4</v>
      </c>
      <c r="I616">
        <v>1.2</v>
      </c>
      <c r="J616">
        <v>11.33</v>
      </c>
      <c r="K616">
        <v>48.2</v>
      </c>
      <c r="L616" t="s">
        <v>5029</v>
      </c>
      <c r="M616">
        <v>8</v>
      </c>
      <c r="N616">
        <v>3</v>
      </c>
      <c r="O616">
        <v>0</v>
      </c>
    </row>
    <row r="617" spans="1:15" x14ac:dyDescent="0.3">
      <c r="A617" t="s">
        <v>630</v>
      </c>
      <c r="B617">
        <v>4</v>
      </c>
      <c r="C617">
        <v>41</v>
      </c>
      <c r="D617" t="s">
        <v>5016</v>
      </c>
      <c r="E617" t="s">
        <v>5017</v>
      </c>
      <c r="F617" t="s">
        <v>5023</v>
      </c>
      <c r="G617">
        <v>10.44</v>
      </c>
      <c r="H617">
        <v>1</v>
      </c>
      <c r="I617">
        <v>2.5</v>
      </c>
      <c r="J617">
        <v>22.99</v>
      </c>
      <c r="K617">
        <v>32.299999999999997</v>
      </c>
      <c r="L617" t="s">
        <v>5026</v>
      </c>
      <c r="M617">
        <v>1</v>
      </c>
      <c r="N617">
        <v>1</v>
      </c>
      <c r="O617">
        <v>0</v>
      </c>
    </row>
    <row r="618" spans="1:15" x14ac:dyDescent="0.3">
      <c r="A618" t="s">
        <v>631</v>
      </c>
      <c r="B618">
        <v>3</v>
      </c>
      <c r="C618">
        <v>66</v>
      </c>
      <c r="D618" t="s">
        <v>5015</v>
      </c>
      <c r="E618" t="s">
        <v>5018</v>
      </c>
      <c r="F618" t="s">
        <v>5023</v>
      </c>
      <c r="G618">
        <v>23.77</v>
      </c>
      <c r="H618">
        <v>5</v>
      </c>
      <c r="I618">
        <v>1.5</v>
      </c>
      <c r="J618">
        <v>22.08</v>
      </c>
      <c r="K618">
        <v>31.4</v>
      </c>
      <c r="L618" t="s">
        <v>5028</v>
      </c>
      <c r="M618">
        <v>4</v>
      </c>
      <c r="N618">
        <v>0</v>
      </c>
      <c r="O618">
        <v>0</v>
      </c>
    </row>
    <row r="619" spans="1:15" x14ac:dyDescent="0.3">
      <c r="A619" t="s">
        <v>632</v>
      </c>
      <c r="B619">
        <v>10</v>
      </c>
      <c r="C619">
        <v>38</v>
      </c>
      <c r="D619" t="s">
        <v>5016</v>
      </c>
      <c r="E619" t="s">
        <v>5018</v>
      </c>
      <c r="F619" t="s">
        <v>5023</v>
      </c>
      <c r="G619">
        <v>18.309999999999999</v>
      </c>
      <c r="H619">
        <v>1</v>
      </c>
      <c r="I619">
        <v>7.3</v>
      </c>
      <c r="J619">
        <v>4.3600000000000003</v>
      </c>
      <c r="K619">
        <v>93.4</v>
      </c>
      <c r="L619" t="s">
        <v>5028</v>
      </c>
      <c r="M619">
        <v>9</v>
      </c>
      <c r="N619">
        <v>2</v>
      </c>
      <c r="O619">
        <v>1</v>
      </c>
    </row>
    <row r="620" spans="1:15" x14ac:dyDescent="0.3">
      <c r="A620" t="s">
        <v>633</v>
      </c>
      <c r="B620">
        <v>5</v>
      </c>
      <c r="C620">
        <v>68</v>
      </c>
      <c r="D620" t="s">
        <v>5016</v>
      </c>
      <c r="E620" t="s">
        <v>5017</v>
      </c>
      <c r="F620" t="s">
        <v>5021</v>
      </c>
      <c r="G620">
        <v>5.94</v>
      </c>
      <c r="H620">
        <v>2</v>
      </c>
      <c r="I620">
        <v>4.7</v>
      </c>
      <c r="J620">
        <v>9.7200000000000006</v>
      </c>
      <c r="K620">
        <v>31.1</v>
      </c>
      <c r="L620" t="s">
        <v>5027</v>
      </c>
      <c r="M620">
        <v>2</v>
      </c>
      <c r="N620">
        <v>4</v>
      </c>
      <c r="O620">
        <v>0</v>
      </c>
    </row>
    <row r="621" spans="1:15" x14ac:dyDescent="0.3">
      <c r="A621" t="s">
        <v>634</v>
      </c>
      <c r="B621">
        <v>5</v>
      </c>
      <c r="C621">
        <v>19</v>
      </c>
      <c r="D621" t="s">
        <v>5015</v>
      </c>
      <c r="E621" t="s">
        <v>5018</v>
      </c>
      <c r="F621" t="s">
        <v>5024</v>
      </c>
      <c r="G621">
        <v>7.71</v>
      </c>
      <c r="H621">
        <v>4</v>
      </c>
      <c r="I621">
        <v>1.6</v>
      </c>
      <c r="J621">
        <v>23.03</v>
      </c>
      <c r="K621">
        <v>96.6</v>
      </c>
      <c r="L621" t="s">
        <v>5027</v>
      </c>
      <c r="M621">
        <v>11</v>
      </c>
      <c r="N621">
        <v>4</v>
      </c>
      <c r="O621">
        <v>0</v>
      </c>
    </row>
    <row r="622" spans="1:15" x14ac:dyDescent="0.3">
      <c r="A622" t="s">
        <v>635</v>
      </c>
      <c r="B622">
        <v>3</v>
      </c>
      <c r="C622">
        <v>57</v>
      </c>
      <c r="D622" t="s">
        <v>5015</v>
      </c>
      <c r="E622" t="s">
        <v>5018</v>
      </c>
      <c r="F622" t="s">
        <v>5022</v>
      </c>
      <c r="G622">
        <v>8.82</v>
      </c>
      <c r="H622">
        <v>3</v>
      </c>
      <c r="I622">
        <v>7.2</v>
      </c>
      <c r="J622">
        <v>3.66</v>
      </c>
      <c r="K622">
        <v>28.9</v>
      </c>
      <c r="L622" t="s">
        <v>5026</v>
      </c>
      <c r="M622">
        <v>4</v>
      </c>
      <c r="N622">
        <v>2</v>
      </c>
      <c r="O622">
        <v>0</v>
      </c>
    </row>
    <row r="623" spans="1:15" x14ac:dyDescent="0.3">
      <c r="A623" t="s">
        <v>636</v>
      </c>
      <c r="B623">
        <v>12</v>
      </c>
      <c r="C623">
        <v>36</v>
      </c>
      <c r="D623" t="s">
        <v>5015</v>
      </c>
      <c r="E623" t="s">
        <v>5017</v>
      </c>
      <c r="F623" t="s">
        <v>5023</v>
      </c>
      <c r="G623">
        <v>9.9</v>
      </c>
      <c r="H623">
        <v>4</v>
      </c>
      <c r="I623">
        <v>6.8</v>
      </c>
      <c r="J623">
        <v>19.850000000000001</v>
      </c>
      <c r="K623">
        <v>44.6</v>
      </c>
      <c r="L623" t="s">
        <v>5026</v>
      </c>
      <c r="M623">
        <v>4</v>
      </c>
      <c r="N623">
        <v>2</v>
      </c>
      <c r="O623">
        <v>0</v>
      </c>
    </row>
    <row r="624" spans="1:15" x14ac:dyDescent="0.3">
      <c r="A624" t="s">
        <v>637</v>
      </c>
      <c r="B624">
        <v>9</v>
      </c>
      <c r="C624">
        <v>56</v>
      </c>
      <c r="D624" t="s">
        <v>5016</v>
      </c>
      <c r="E624" t="s">
        <v>5018</v>
      </c>
      <c r="F624" t="s">
        <v>5024</v>
      </c>
      <c r="G624">
        <v>19.61</v>
      </c>
      <c r="H624">
        <v>2</v>
      </c>
      <c r="I624">
        <v>7.5</v>
      </c>
      <c r="J624">
        <v>22.94</v>
      </c>
      <c r="K624">
        <v>11.1</v>
      </c>
      <c r="L624" t="s">
        <v>5028</v>
      </c>
      <c r="M624">
        <v>1</v>
      </c>
      <c r="N624">
        <v>2</v>
      </c>
      <c r="O624">
        <v>0</v>
      </c>
    </row>
    <row r="625" spans="1:15" x14ac:dyDescent="0.3">
      <c r="A625" t="s">
        <v>638</v>
      </c>
      <c r="B625">
        <v>4</v>
      </c>
      <c r="C625">
        <v>45</v>
      </c>
      <c r="D625" t="s">
        <v>5016</v>
      </c>
      <c r="E625" t="s">
        <v>5019</v>
      </c>
      <c r="F625" t="s">
        <v>5023</v>
      </c>
      <c r="G625">
        <v>6.78</v>
      </c>
      <c r="H625">
        <v>2</v>
      </c>
      <c r="I625">
        <v>6.4</v>
      </c>
      <c r="J625">
        <v>19.95</v>
      </c>
      <c r="K625">
        <v>91.3</v>
      </c>
      <c r="L625" t="s">
        <v>5029</v>
      </c>
      <c r="M625">
        <v>10</v>
      </c>
      <c r="N625">
        <v>1</v>
      </c>
      <c r="O625">
        <v>0</v>
      </c>
    </row>
    <row r="626" spans="1:15" x14ac:dyDescent="0.3">
      <c r="A626" t="s">
        <v>639</v>
      </c>
      <c r="B626">
        <v>11</v>
      </c>
      <c r="C626">
        <v>34</v>
      </c>
      <c r="D626" t="s">
        <v>5016</v>
      </c>
      <c r="E626" t="s">
        <v>5018</v>
      </c>
      <c r="F626" t="s">
        <v>5023</v>
      </c>
      <c r="G626">
        <v>12.01</v>
      </c>
      <c r="H626">
        <v>2</v>
      </c>
      <c r="I626">
        <v>2.5</v>
      </c>
      <c r="J626">
        <v>19.36</v>
      </c>
      <c r="K626">
        <v>19.399999999999999</v>
      </c>
      <c r="L626" t="s">
        <v>5029</v>
      </c>
      <c r="M626">
        <v>10</v>
      </c>
      <c r="N626">
        <v>3</v>
      </c>
      <c r="O626">
        <v>0</v>
      </c>
    </row>
    <row r="627" spans="1:15" x14ac:dyDescent="0.3">
      <c r="A627" t="s">
        <v>640</v>
      </c>
      <c r="B627">
        <v>5</v>
      </c>
      <c r="C627">
        <v>23</v>
      </c>
      <c r="D627" t="s">
        <v>5015</v>
      </c>
      <c r="E627" t="s">
        <v>5018</v>
      </c>
      <c r="F627" t="s">
        <v>5024</v>
      </c>
      <c r="G627">
        <v>23.23</v>
      </c>
      <c r="H627">
        <v>2</v>
      </c>
      <c r="I627">
        <v>1.6</v>
      </c>
      <c r="J627">
        <v>21.55</v>
      </c>
      <c r="K627">
        <v>42.2</v>
      </c>
      <c r="L627" t="s">
        <v>5027</v>
      </c>
      <c r="M627">
        <v>7</v>
      </c>
      <c r="N627">
        <v>2</v>
      </c>
      <c r="O627">
        <v>1</v>
      </c>
    </row>
    <row r="628" spans="1:15" x14ac:dyDescent="0.3">
      <c r="A628" t="s">
        <v>641</v>
      </c>
      <c r="B628">
        <v>4</v>
      </c>
      <c r="C628">
        <v>36</v>
      </c>
      <c r="D628" t="s">
        <v>5016</v>
      </c>
      <c r="E628" t="s">
        <v>5018</v>
      </c>
      <c r="F628" t="s">
        <v>5023</v>
      </c>
      <c r="G628">
        <v>16.13</v>
      </c>
      <c r="H628">
        <v>4</v>
      </c>
      <c r="I628">
        <v>8.4</v>
      </c>
      <c r="J628">
        <v>17.649999999999999</v>
      </c>
      <c r="K628">
        <v>85.8</v>
      </c>
      <c r="L628" t="s">
        <v>5026</v>
      </c>
      <c r="M628">
        <v>1</v>
      </c>
      <c r="N628">
        <v>1</v>
      </c>
      <c r="O628">
        <v>0</v>
      </c>
    </row>
    <row r="629" spans="1:15" x14ac:dyDescent="0.3">
      <c r="A629" t="s">
        <v>642</v>
      </c>
      <c r="B629">
        <v>5</v>
      </c>
      <c r="C629">
        <v>55</v>
      </c>
      <c r="D629" t="s">
        <v>5016</v>
      </c>
      <c r="E629" t="s">
        <v>5018</v>
      </c>
      <c r="F629" t="s">
        <v>5021</v>
      </c>
      <c r="G629">
        <v>10.31</v>
      </c>
      <c r="H629">
        <v>1</v>
      </c>
      <c r="I629">
        <v>2.9</v>
      </c>
      <c r="J629">
        <v>12.31</v>
      </c>
      <c r="K629">
        <v>81.3</v>
      </c>
      <c r="L629" t="s">
        <v>5026</v>
      </c>
      <c r="M629">
        <v>5</v>
      </c>
      <c r="N629">
        <v>0</v>
      </c>
      <c r="O629">
        <v>0</v>
      </c>
    </row>
    <row r="630" spans="1:15" x14ac:dyDescent="0.3">
      <c r="A630" t="s">
        <v>643</v>
      </c>
      <c r="B630">
        <v>7</v>
      </c>
      <c r="C630">
        <v>45</v>
      </c>
      <c r="D630" t="s">
        <v>5015</v>
      </c>
      <c r="E630" t="s">
        <v>5019</v>
      </c>
      <c r="F630" t="s">
        <v>5021</v>
      </c>
      <c r="G630">
        <v>24.14</v>
      </c>
      <c r="H630">
        <v>3</v>
      </c>
      <c r="I630">
        <v>5.9</v>
      </c>
      <c r="J630">
        <v>4.38</v>
      </c>
      <c r="K630">
        <v>85.7</v>
      </c>
      <c r="L630" t="s">
        <v>5029</v>
      </c>
      <c r="M630">
        <v>8</v>
      </c>
      <c r="N630">
        <v>0</v>
      </c>
      <c r="O630">
        <v>0</v>
      </c>
    </row>
    <row r="631" spans="1:15" x14ac:dyDescent="0.3">
      <c r="A631" t="s">
        <v>644</v>
      </c>
      <c r="B631">
        <v>9</v>
      </c>
      <c r="C631">
        <v>19</v>
      </c>
      <c r="D631" t="s">
        <v>5015</v>
      </c>
      <c r="E631" t="s">
        <v>5018</v>
      </c>
      <c r="F631" t="s">
        <v>5021</v>
      </c>
      <c r="G631">
        <v>9.89</v>
      </c>
      <c r="H631">
        <v>3</v>
      </c>
      <c r="I631">
        <v>5.4</v>
      </c>
      <c r="J631">
        <v>20.34</v>
      </c>
      <c r="K631">
        <v>92.3</v>
      </c>
      <c r="L631" t="s">
        <v>5027</v>
      </c>
      <c r="M631">
        <v>4</v>
      </c>
      <c r="N631">
        <v>2</v>
      </c>
      <c r="O631">
        <v>1</v>
      </c>
    </row>
    <row r="632" spans="1:15" x14ac:dyDescent="0.3">
      <c r="A632" t="s">
        <v>645</v>
      </c>
      <c r="B632">
        <v>7</v>
      </c>
      <c r="C632">
        <v>55</v>
      </c>
      <c r="D632" t="s">
        <v>5015</v>
      </c>
      <c r="E632" t="s">
        <v>5017</v>
      </c>
      <c r="F632" t="s">
        <v>5020</v>
      </c>
      <c r="G632">
        <v>23.1</v>
      </c>
      <c r="H632">
        <v>5</v>
      </c>
      <c r="I632">
        <v>9.3000000000000007</v>
      </c>
      <c r="J632">
        <v>22.92</v>
      </c>
      <c r="K632">
        <v>92</v>
      </c>
      <c r="L632" t="s">
        <v>5029</v>
      </c>
      <c r="M632">
        <v>5</v>
      </c>
      <c r="N632">
        <v>0</v>
      </c>
      <c r="O632">
        <v>1</v>
      </c>
    </row>
    <row r="633" spans="1:15" x14ac:dyDescent="0.3">
      <c r="A633" t="s">
        <v>646</v>
      </c>
      <c r="B633">
        <v>5</v>
      </c>
      <c r="C633">
        <v>54</v>
      </c>
      <c r="D633" t="s">
        <v>5016</v>
      </c>
      <c r="E633" t="s">
        <v>5018</v>
      </c>
      <c r="F633" t="s">
        <v>5023</v>
      </c>
      <c r="G633">
        <v>19.52</v>
      </c>
      <c r="H633">
        <v>2</v>
      </c>
      <c r="I633">
        <v>6</v>
      </c>
      <c r="J633">
        <v>14.25</v>
      </c>
      <c r="K633">
        <v>79.3</v>
      </c>
      <c r="L633" t="s">
        <v>5029</v>
      </c>
      <c r="M633">
        <v>11</v>
      </c>
      <c r="N633">
        <v>2</v>
      </c>
      <c r="O633">
        <v>1</v>
      </c>
    </row>
    <row r="634" spans="1:15" x14ac:dyDescent="0.3">
      <c r="A634" t="s">
        <v>647</v>
      </c>
      <c r="B634">
        <v>10</v>
      </c>
      <c r="C634">
        <v>68</v>
      </c>
      <c r="D634" t="s">
        <v>5015</v>
      </c>
      <c r="E634" t="s">
        <v>5019</v>
      </c>
      <c r="F634" t="s">
        <v>5020</v>
      </c>
      <c r="G634">
        <v>19.809999999999999</v>
      </c>
      <c r="H634">
        <v>2</v>
      </c>
      <c r="I634">
        <v>6.2</v>
      </c>
      <c r="J634">
        <v>14.72</v>
      </c>
      <c r="K634">
        <v>62.4</v>
      </c>
      <c r="L634" t="s">
        <v>5028</v>
      </c>
      <c r="M634">
        <v>10</v>
      </c>
      <c r="N634">
        <v>0</v>
      </c>
      <c r="O634">
        <v>0</v>
      </c>
    </row>
    <row r="635" spans="1:15" x14ac:dyDescent="0.3">
      <c r="A635" t="s">
        <v>648</v>
      </c>
      <c r="B635">
        <v>10</v>
      </c>
      <c r="C635">
        <v>69</v>
      </c>
      <c r="D635" t="s">
        <v>5016</v>
      </c>
      <c r="E635" t="s">
        <v>5017</v>
      </c>
      <c r="F635" t="s">
        <v>5022</v>
      </c>
      <c r="G635">
        <v>20.3</v>
      </c>
      <c r="H635">
        <v>2</v>
      </c>
      <c r="I635">
        <v>3.9</v>
      </c>
      <c r="J635">
        <v>11.87</v>
      </c>
      <c r="K635">
        <v>60.5</v>
      </c>
      <c r="L635" t="s">
        <v>5026</v>
      </c>
      <c r="M635">
        <v>3</v>
      </c>
      <c r="N635">
        <v>0</v>
      </c>
      <c r="O635">
        <v>1</v>
      </c>
    </row>
    <row r="636" spans="1:15" x14ac:dyDescent="0.3">
      <c r="A636" t="s">
        <v>649</v>
      </c>
      <c r="B636">
        <v>7</v>
      </c>
      <c r="C636">
        <v>21</v>
      </c>
      <c r="D636" t="s">
        <v>5016</v>
      </c>
      <c r="E636" t="s">
        <v>5019</v>
      </c>
      <c r="F636" t="s">
        <v>5024</v>
      </c>
      <c r="G636">
        <v>15.13</v>
      </c>
      <c r="H636">
        <v>1</v>
      </c>
      <c r="I636">
        <v>9.6</v>
      </c>
      <c r="J636">
        <v>21.85</v>
      </c>
      <c r="K636">
        <v>11.2</v>
      </c>
      <c r="L636" t="s">
        <v>5028</v>
      </c>
      <c r="M636">
        <v>5</v>
      </c>
      <c r="N636">
        <v>3</v>
      </c>
      <c r="O636">
        <v>0</v>
      </c>
    </row>
    <row r="637" spans="1:15" x14ac:dyDescent="0.3">
      <c r="A637" t="s">
        <v>650</v>
      </c>
      <c r="B637">
        <v>10</v>
      </c>
      <c r="C637">
        <v>39</v>
      </c>
      <c r="D637" t="s">
        <v>5015</v>
      </c>
      <c r="E637" t="s">
        <v>5019</v>
      </c>
      <c r="F637" t="s">
        <v>5022</v>
      </c>
      <c r="G637">
        <v>21.29</v>
      </c>
      <c r="H637">
        <v>2</v>
      </c>
      <c r="I637">
        <v>6.5</v>
      </c>
      <c r="J637">
        <v>3.33</v>
      </c>
      <c r="K637">
        <v>75</v>
      </c>
      <c r="L637" t="s">
        <v>5028</v>
      </c>
      <c r="M637">
        <v>3</v>
      </c>
      <c r="N637">
        <v>3</v>
      </c>
      <c r="O637">
        <v>0</v>
      </c>
    </row>
    <row r="638" spans="1:15" x14ac:dyDescent="0.3">
      <c r="A638" t="s">
        <v>651</v>
      </c>
      <c r="B638">
        <v>5</v>
      </c>
      <c r="C638">
        <v>43</v>
      </c>
      <c r="D638" t="s">
        <v>5015</v>
      </c>
      <c r="E638" t="s">
        <v>5017</v>
      </c>
      <c r="F638" t="s">
        <v>5020</v>
      </c>
      <c r="G638">
        <v>21.72</v>
      </c>
      <c r="H638">
        <v>5</v>
      </c>
      <c r="I638">
        <v>1</v>
      </c>
      <c r="J638">
        <v>16.739999999999998</v>
      </c>
      <c r="K638">
        <v>30.4</v>
      </c>
      <c r="L638" t="s">
        <v>5029</v>
      </c>
      <c r="M638">
        <v>4</v>
      </c>
      <c r="N638">
        <v>0</v>
      </c>
      <c r="O638">
        <v>0</v>
      </c>
    </row>
    <row r="639" spans="1:15" x14ac:dyDescent="0.3">
      <c r="A639" t="s">
        <v>652</v>
      </c>
      <c r="B639">
        <v>3</v>
      </c>
      <c r="C639">
        <v>66</v>
      </c>
      <c r="D639" t="s">
        <v>5015</v>
      </c>
      <c r="E639" t="s">
        <v>5019</v>
      </c>
      <c r="F639" t="s">
        <v>5021</v>
      </c>
      <c r="G639">
        <v>12.21</v>
      </c>
      <c r="H639">
        <v>5</v>
      </c>
      <c r="I639">
        <v>6</v>
      </c>
      <c r="J639">
        <v>22.96</v>
      </c>
      <c r="K639">
        <v>84.6</v>
      </c>
      <c r="L639" t="s">
        <v>5027</v>
      </c>
      <c r="M639">
        <v>11</v>
      </c>
      <c r="N639">
        <v>3</v>
      </c>
      <c r="O639">
        <v>0</v>
      </c>
    </row>
    <row r="640" spans="1:15" x14ac:dyDescent="0.3">
      <c r="A640" t="s">
        <v>653</v>
      </c>
      <c r="B640">
        <v>7</v>
      </c>
      <c r="C640">
        <v>60</v>
      </c>
      <c r="D640" t="s">
        <v>5015</v>
      </c>
      <c r="E640" t="s">
        <v>5018</v>
      </c>
      <c r="F640" t="s">
        <v>5023</v>
      </c>
      <c r="G640">
        <v>13.01</v>
      </c>
      <c r="H640">
        <v>1</v>
      </c>
      <c r="I640">
        <v>4.3</v>
      </c>
      <c r="J640">
        <v>5.27</v>
      </c>
      <c r="K640">
        <v>59.8</v>
      </c>
      <c r="L640" t="s">
        <v>5029</v>
      </c>
      <c r="M640">
        <v>3</v>
      </c>
      <c r="N640">
        <v>2</v>
      </c>
      <c r="O640">
        <v>0</v>
      </c>
    </row>
    <row r="641" spans="1:15" x14ac:dyDescent="0.3">
      <c r="A641" t="s">
        <v>654</v>
      </c>
      <c r="B641">
        <v>11</v>
      </c>
      <c r="C641">
        <v>53</v>
      </c>
      <c r="D641" t="s">
        <v>5015</v>
      </c>
      <c r="E641" t="s">
        <v>5019</v>
      </c>
      <c r="F641" t="s">
        <v>5023</v>
      </c>
      <c r="G641">
        <v>22.78</v>
      </c>
      <c r="H641">
        <v>2</v>
      </c>
      <c r="I641">
        <v>1.3</v>
      </c>
      <c r="J641">
        <v>24.1</v>
      </c>
      <c r="K641">
        <v>98.9</v>
      </c>
      <c r="L641" t="s">
        <v>5027</v>
      </c>
      <c r="M641">
        <v>5</v>
      </c>
      <c r="N641">
        <v>4</v>
      </c>
      <c r="O641">
        <v>1</v>
      </c>
    </row>
    <row r="642" spans="1:15" x14ac:dyDescent="0.3">
      <c r="A642" t="s">
        <v>655</v>
      </c>
      <c r="B642">
        <v>11</v>
      </c>
      <c r="C642">
        <v>30</v>
      </c>
      <c r="D642" t="s">
        <v>5016</v>
      </c>
      <c r="E642" t="s">
        <v>5018</v>
      </c>
      <c r="F642" t="s">
        <v>5021</v>
      </c>
      <c r="G642">
        <v>15.49</v>
      </c>
      <c r="H642">
        <v>4</v>
      </c>
      <c r="I642">
        <v>4.9000000000000004</v>
      </c>
      <c r="J642">
        <v>24.29</v>
      </c>
      <c r="K642">
        <v>28.9</v>
      </c>
      <c r="L642" t="s">
        <v>5026</v>
      </c>
      <c r="M642">
        <v>2</v>
      </c>
      <c r="N642">
        <v>2</v>
      </c>
      <c r="O642">
        <v>1</v>
      </c>
    </row>
    <row r="643" spans="1:15" x14ac:dyDescent="0.3">
      <c r="A643" t="s">
        <v>656</v>
      </c>
      <c r="B643">
        <v>2</v>
      </c>
      <c r="C643">
        <v>69</v>
      </c>
      <c r="D643" t="s">
        <v>5016</v>
      </c>
      <c r="E643" t="s">
        <v>5018</v>
      </c>
      <c r="F643" t="s">
        <v>5023</v>
      </c>
      <c r="G643">
        <v>22.34</v>
      </c>
      <c r="H643">
        <v>4</v>
      </c>
      <c r="I643">
        <v>8</v>
      </c>
      <c r="J643">
        <v>23.46</v>
      </c>
      <c r="K643">
        <v>75.099999999999994</v>
      </c>
      <c r="L643" t="s">
        <v>5025</v>
      </c>
      <c r="M643">
        <v>9</v>
      </c>
      <c r="N643">
        <v>3</v>
      </c>
      <c r="O643">
        <v>0</v>
      </c>
    </row>
    <row r="644" spans="1:15" x14ac:dyDescent="0.3">
      <c r="A644" t="s">
        <v>657</v>
      </c>
      <c r="B644">
        <v>12</v>
      </c>
      <c r="C644">
        <v>49</v>
      </c>
      <c r="D644" t="s">
        <v>5016</v>
      </c>
      <c r="E644" t="s">
        <v>5018</v>
      </c>
      <c r="F644" t="s">
        <v>5024</v>
      </c>
      <c r="G644">
        <v>17.54</v>
      </c>
      <c r="H644">
        <v>3</v>
      </c>
      <c r="I644">
        <v>5.5</v>
      </c>
      <c r="J644">
        <v>13.18</v>
      </c>
      <c r="K644">
        <v>59.3</v>
      </c>
      <c r="L644" t="s">
        <v>5026</v>
      </c>
      <c r="M644">
        <v>3</v>
      </c>
      <c r="N644">
        <v>1</v>
      </c>
      <c r="O644">
        <v>1</v>
      </c>
    </row>
    <row r="645" spans="1:15" x14ac:dyDescent="0.3">
      <c r="A645" t="s">
        <v>658</v>
      </c>
      <c r="B645">
        <v>9</v>
      </c>
      <c r="C645">
        <v>34</v>
      </c>
      <c r="D645" t="s">
        <v>5015</v>
      </c>
      <c r="E645" t="s">
        <v>5019</v>
      </c>
      <c r="F645" t="s">
        <v>5024</v>
      </c>
      <c r="G645">
        <v>16.87</v>
      </c>
      <c r="H645">
        <v>1</v>
      </c>
      <c r="I645">
        <v>6.8</v>
      </c>
      <c r="J645">
        <v>11.43</v>
      </c>
      <c r="K645">
        <v>93.9</v>
      </c>
      <c r="L645" t="s">
        <v>5029</v>
      </c>
      <c r="M645">
        <v>10</v>
      </c>
      <c r="N645">
        <v>0</v>
      </c>
      <c r="O645">
        <v>0</v>
      </c>
    </row>
    <row r="646" spans="1:15" x14ac:dyDescent="0.3">
      <c r="A646" t="s">
        <v>659</v>
      </c>
      <c r="B646">
        <v>10</v>
      </c>
      <c r="C646">
        <v>58</v>
      </c>
      <c r="D646" t="s">
        <v>5016</v>
      </c>
      <c r="E646" t="s">
        <v>5017</v>
      </c>
      <c r="F646" t="s">
        <v>5024</v>
      </c>
      <c r="G646">
        <v>5.62</v>
      </c>
      <c r="H646">
        <v>4</v>
      </c>
      <c r="I646">
        <v>6.8</v>
      </c>
      <c r="J646">
        <v>18.53</v>
      </c>
      <c r="K646">
        <v>33.9</v>
      </c>
      <c r="L646" t="s">
        <v>5027</v>
      </c>
      <c r="M646">
        <v>1</v>
      </c>
      <c r="N646">
        <v>3</v>
      </c>
      <c r="O646">
        <v>0</v>
      </c>
    </row>
    <row r="647" spans="1:15" x14ac:dyDescent="0.3">
      <c r="A647" t="s">
        <v>660</v>
      </c>
      <c r="B647">
        <v>10</v>
      </c>
      <c r="C647">
        <v>53</v>
      </c>
      <c r="D647" t="s">
        <v>5015</v>
      </c>
      <c r="E647" t="s">
        <v>5018</v>
      </c>
      <c r="F647" t="s">
        <v>5022</v>
      </c>
      <c r="G647">
        <v>10.56</v>
      </c>
      <c r="H647">
        <v>3</v>
      </c>
      <c r="I647">
        <v>7</v>
      </c>
      <c r="J647">
        <v>10.01</v>
      </c>
      <c r="K647">
        <v>15.3</v>
      </c>
      <c r="L647" t="s">
        <v>5025</v>
      </c>
      <c r="M647">
        <v>5</v>
      </c>
      <c r="N647">
        <v>3</v>
      </c>
      <c r="O647">
        <v>1</v>
      </c>
    </row>
    <row r="648" spans="1:15" x14ac:dyDescent="0.3">
      <c r="A648" t="s">
        <v>661</v>
      </c>
      <c r="B648">
        <v>12</v>
      </c>
      <c r="C648">
        <v>63</v>
      </c>
      <c r="D648" t="s">
        <v>5015</v>
      </c>
      <c r="E648" t="s">
        <v>5017</v>
      </c>
      <c r="F648" t="s">
        <v>5021</v>
      </c>
      <c r="G648">
        <v>15.04</v>
      </c>
      <c r="H648">
        <v>5</v>
      </c>
      <c r="I648">
        <v>4.5</v>
      </c>
      <c r="J648">
        <v>4.5</v>
      </c>
      <c r="K648">
        <v>58.9</v>
      </c>
      <c r="L648" t="s">
        <v>5027</v>
      </c>
      <c r="M648">
        <v>4</v>
      </c>
      <c r="N648">
        <v>3</v>
      </c>
      <c r="O648">
        <v>0</v>
      </c>
    </row>
    <row r="649" spans="1:15" x14ac:dyDescent="0.3">
      <c r="A649" t="s">
        <v>662</v>
      </c>
      <c r="B649">
        <v>1</v>
      </c>
      <c r="C649">
        <v>36</v>
      </c>
      <c r="D649" t="s">
        <v>5016</v>
      </c>
      <c r="E649" t="s">
        <v>5018</v>
      </c>
      <c r="F649" t="s">
        <v>5024</v>
      </c>
      <c r="G649">
        <v>16.75</v>
      </c>
      <c r="H649">
        <v>3</v>
      </c>
      <c r="I649">
        <v>4.3</v>
      </c>
      <c r="J649">
        <v>22.83</v>
      </c>
      <c r="K649">
        <v>56.9</v>
      </c>
      <c r="L649" t="s">
        <v>5027</v>
      </c>
      <c r="M649">
        <v>2</v>
      </c>
      <c r="N649">
        <v>2</v>
      </c>
      <c r="O649">
        <v>0</v>
      </c>
    </row>
    <row r="650" spans="1:15" x14ac:dyDescent="0.3">
      <c r="A650" t="s">
        <v>663</v>
      </c>
      <c r="B650">
        <v>6</v>
      </c>
      <c r="C650">
        <v>52</v>
      </c>
      <c r="D650" t="s">
        <v>5016</v>
      </c>
      <c r="E650" t="s">
        <v>5018</v>
      </c>
      <c r="F650" t="s">
        <v>5020</v>
      </c>
      <c r="G650">
        <v>17.61</v>
      </c>
      <c r="H650">
        <v>2</v>
      </c>
      <c r="I650">
        <v>1</v>
      </c>
      <c r="J650">
        <v>16.97</v>
      </c>
      <c r="K650">
        <v>38.1</v>
      </c>
      <c r="L650" t="s">
        <v>5025</v>
      </c>
      <c r="M650">
        <v>8</v>
      </c>
      <c r="N650">
        <v>0</v>
      </c>
      <c r="O650">
        <v>0</v>
      </c>
    </row>
    <row r="651" spans="1:15" x14ac:dyDescent="0.3">
      <c r="A651" t="s">
        <v>664</v>
      </c>
      <c r="B651">
        <v>7</v>
      </c>
      <c r="C651">
        <v>63</v>
      </c>
      <c r="D651" t="s">
        <v>5015</v>
      </c>
      <c r="E651" t="s">
        <v>5018</v>
      </c>
      <c r="F651" t="s">
        <v>5024</v>
      </c>
      <c r="G651">
        <v>19.32</v>
      </c>
      <c r="H651">
        <v>2</v>
      </c>
      <c r="I651">
        <v>2.4</v>
      </c>
      <c r="J651">
        <v>7.56</v>
      </c>
      <c r="K651">
        <v>98.8</v>
      </c>
      <c r="L651" t="s">
        <v>5025</v>
      </c>
      <c r="M651">
        <v>9</v>
      </c>
      <c r="N651">
        <v>4</v>
      </c>
      <c r="O651">
        <v>0</v>
      </c>
    </row>
    <row r="652" spans="1:15" x14ac:dyDescent="0.3">
      <c r="A652" t="s">
        <v>665</v>
      </c>
      <c r="B652">
        <v>8</v>
      </c>
      <c r="C652">
        <v>57</v>
      </c>
      <c r="D652" t="s">
        <v>5016</v>
      </c>
      <c r="E652" t="s">
        <v>5018</v>
      </c>
      <c r="F652" t="s">
        <v>5022</v>
      </c>
      <c r="G652">
        <v>18.12</v>
      </c>
      <c r="H652">
        <v>5</v>
      </c>
      <c r="I652">
        <v>9.6</v>
      </c>
      <c r="J652">
        <v>3.4</v>
      </c>
      <c r="K652">
        <v>16.3</v>
      </c>
      <c r="L652" t="s">
        <v>5026</v>
      </c>
      <c r="M652">
        <v>6</v>
      </c>
      <c r="N652">
        <v>3</v>
      </c>
      <c r="O652">
        <v>0</v>
      </c>
    </row>
    <row r="653" spans="1:15" x14ac:dyDescent="0.3">
      <c r="A653" t="s">
        <v>666</v>
      </c>
      <c r="B653">
        <v>10</v>
      </c>
      <c r="C653">
        <v>45</v>
      </c>
      <c r="D653" t="s">
        <v>5015</v>
      </c>
      <c r="E653" t="s">
        <v>5017</v>
      </c>
      <c r="F653" t="s">
        <v>5020</v>
      </c>
      <c r="G653">
        <v>21.97</v>
      </c>
      <c r="H653">
        <v>1</v>
      </c>
      <c r="I653">
        <v>8.6</v>
      </c>
      <c r="J653">
        <v>18.920000000000002</v>
      </c>
      <c r="K653">
        <v>61.3</v>
      </c>
      <c r="L653" t="s">
        <v>5028</v>
      </c>
      <c r="M653">
        <v>8</v>
      </c>
      <c r="N653">
        <v>1</v>
      </c>
      <c r="O653">
        <v>0</v>
      </c>
    </row>
    <row r="654" spans="1:15" x14ac:dyDescent="0.3">
      <c r="A654" t="s">
        <v>667</v>
      </c>
      <c r="B654">
        <v>9</v>
      </c>
      <c r="C654">
        <v>18</v>
      </c>
      <c r="D654" t="s">
        <v>5016</v>
      </c>
      <c r="E654" t="s">
        <v>5017</v>
      </c>
      <c r="F654" t="s">
        <v>5021</v>
      </c>
      <c r="G654">
        <v>10.91</v>
      </c>
      <c r="H654">
        <v>2</v>
      </c>
      <c r="I654">
        <v>3.5</v>
      </c>
      <c r="J654">
        <v>21.76</v>
      </c>
      <c r="K654">
        <v>33.4</v>
      </c>
      <c r="L654" t="s">
        <v>5025</v>
      </c>
      <c r="M654">
        <v>2</v>
      </c>
      <c r="N654">
        <v>0</v>
      </c>
      <c r="O654">
        <v>0</v>
      </c>
    </row>
    <row r="655" spans="1:15" x14ac:dyDescent="0.3">
      <c r="A655" t="s">
        <v>668</v>
      </c>
      <c r="B655">
        <v>2</v>
      </c>
      <c r="C655">
        <v>59</v>
      </c>
      <c r="D655" t="s">
        <v>5016</v>
      </c>
      <c r="E655" t="s">
        <v>5017</v>
      </c>
      <c r="F655" t="s">
        <v>5021</v>
      </c>
      <c r="G655">
        <v>17.829999999999998</v>
      </c>
      <c r="H655">
        <v>2</v>
      </c>
      <c r="I655">
        <v>4.5999999999999996</v>
      </c>
      <c r="J655">
        <v>11.92</v>
      </c>
      <c r="K655">
        <v>10.199999999999999</v>
      </c>
      <c r="L655" t="s">
        <v>5028</v>
      </c>
      <c r="M655">
        <v>11</v>
      </c>
      <c r="N655">
        <v>4</v>
      </c>
      <c r="O655">
        <v>0</v>
      </c>
    </row>
    <row r="656" spans="1:15" x14ac:dyDescent="0.3">
      <c r="A656" t="s">
        <v>669</v>
      </c>
      <c r="B656">
        <v>11</v>
      </c>
      <c r="C656">
        <v>35</v>
      </c>
      <c r="D656" t="s">
        <v>5016</v>
      </c>
      <c r="E656" t="s">
        <v>5018</v>
      </c>
      <c r="F656" t="s">
        <v>5024</v>
      </c>
      <c r="G656">
        <v>6.02</v>
      </c>
      <c r="H656">
        <v>3</v>
      </c>
      <c r="I656">
        <v>9.5</v>
      </c>
      <c r="J656">
        <v>4.78</v>
      </c>
      <c r="K656">
        <v>98.9</v>
      </c>
      <c r="L656" t="s">
        <v>5028</v>
      </c>
      <c r="M656">
        <v>6</v>
      </c>
      <c r="N656">
        <v>1</v>
      </c>
      <c r="O656">
        <v>0</v>
      </c>
    </row>
    <row r="657" spans="1:15" x14ac:dyDescent="0.3">
      <c r="A657" t="s">
        <v>670</v>
      </c>
      <c r="B657">
        <v>10</v>
      </c>
      <c r="C657">
        <v>65</v>
      </c>
      <c r="D657" t="s">
        <v>5016</v>
      </c>
      <c r="E657" t="s">
        <v>5019</v>
      </c>
      <c r="F657" t="s">
        <v>5020</v>
      </c>
      <c r="G657">
        <v>14.6</v>
      </c>
      <c r="H657">
        <v>3</v>
      </c>
      <c r="I657">
        <v>3.3</v>
      </c>
      <c r="J657">
        <v>17.27</v>
      </c>
      <c r="K657">
        <v>53.3</v>
      </c>
      <c r="L657" t="s">
        <v>5028</v>
      </c>
      <c r="M657">
        <v>1</v>
      </c>
      <c r="N657">
        <v>4</v>
      </c>
      <c r="O657">
        <v>0</v>
      </c>
    </row>
    <row r="658" spans="1:15" x14ac:dyDescent="0.3">
      <c r="A658" t="s">
        <v>671</v>
      </c>
      <c r="B658">
        <v>2</v>
      </c>
      <c r="C658">
        <v>57</v>
      </c>
      <c r="D658" t="s">
        <v>5016</v>
      </c>
      <c r="E658" t="s">
        <v>5017</v>
      </c>
      <c r="F658" t="s">
        <v>5020</v>
      </c>
      <c r="G658">
        <v>10.36</v>
      </c>
      <c r="H658">
        <v>3</v>
      </c>
      <c r="I658">
        <v>5.8</v>
      </c>
      <c r="J658">
        <v>9.5299999999999994</v>
      </c>
      <c r="K658">
        <v>87.1</v>
      </c>
      <c r="L658" t="s">
        <v>5028</v>
      </c>
      <c r="M658">
        <v>10</v>
      </c>
      <c r="N658">
        <v>4</v>
      </c>
      <c r="O658">
        <v>0</v>
      </c>
    </row>
    <row r="659" spans="1:15" x14ac:dyDescent="0.3">
      <c r="A659" t="s">
        <v>672</v>
      </c>
      <c r="B659">
        <v>5</v>
      </c>
      <c r="C659">
        <v>50</v>
      </c>
      <c r="D659" t="s">
        <v>5015</v>
      </c>
      <c r="E659" t="s">
        <v>5019</v>
      </c>
      <c r="F659" t="s">
        <v>5024</v>
      </c>
      <c r="G659">
        <v>12.62</v>
      </c>
      <c r="H659">
        <v>4</v>
      </c>
      <c r="I659">
        <v>1.2</v>
      </c>
      <c r="J659">
        <v>6.17</v>
      </c>
      <c r="K659">
        <v>85.6</v>
      </c>
      <c r="L659" t="s">
        <v>5025</v>
      </c>
      <c r="M659">
        <v>3</v>
      </c>
      <c r="N659">
        <v>0</v>
      </c>
      <c r="O659">
        <v>0</v>
      </c>
    </row>
    <row r="660" spans="1:15" x14ac:dyDescent="0.3">
      <c r="A660" t="s">
        <v>673</v>
      </c>
      <c r="B660">
        <v>5</v>
      </c>
      <c r="C660">
        <v>29</v>
      </c>
      <c r="D660" t="s">
        <v>5016</v>
      </c>
      <c r="E660" t="s">
        <v>5019</v>
      </c>
      <c r="F660" t="s">
        <v>5024</v>
      </c>
      <c r="G660">
        <v>12.09</v>
      </c>
      <c r="H660">
        <v>5</v>
      </c>
      <c r="I660">
        <v>6.6</v>
      </c>
      <c r="J660">
        <v>14.23</v>
      </c>
      <c r="K660">
        <v>83.1</v>
      </c>
      <c r="L660" t="s">
        <v>5027</v>
      </c>
      <c r="M660">
        <v>7</v>
      </c>
      <c r="N660">
        <v>2</v>
      </c>
      <c r="O660">
        <v>0</v>
      </c>
    </row>
    <row r="661" spans="1:15" x14ac:dyDescent="0.3">
      <c r="A661" t="s">
        <v>674</v>
      </c>
      <c r="B661">
        <v>6</v>
      </c>
      <c r="C661">
        <v>25</v>
      </c>
      <c r="D661" t="s">
        <v>5016</v>
      </c>
      <c r="E661" t="s">
        <v>5018</v>
      </c>
      <c r="F661" t="s">
        <v>5023</v>
      </c>
      <c r="G661">
        <v>6.21</v>
      </c>
      <c r="H661">
        <v>1</v>
      </c>
      <c r="I661">
        <v>9.4</v>
      </c>
      <c r="J661">
        <v>13.6</v>
      </c>
      <c r="K661">
        <v>51.3</v>
      </c>
      <c r="L661" t="s">
        <v>5025</v>
      </c>
      <c r="M661">
        <v>1</v>
      </c>
      <c r="N661">
        <v>1</v>
      </c>
      <c r="O661">
        <v>0</v>
      </c>
    </row>
    <row r="662" spans="1:15" x14ac:dyDescent="0.3">
      <c r="A662" t="s">
        <v>675</v>
      </c>
      <c r="B662">
        <v>3</v>
      </c>
      <c r="C662">
        <v>41</v>
      </c>
      <c r="D662" t="s">
        <v>5016</v>
      </c>
      <c r="E662" t="s">
        <v>5018</v>
      </c>
      <c r="F662" t="s">
        <v>5023</v>
      </c>
      <c r="G662">
        <v>14.33</v>
      </c>
      <c r="H662">
        <v>3</v>
      </c>
      <c r="I662">
        <v>9</v>
      </c>
      <c r="J662">
        <v>14.37</v>
      </c>
      <c r="K662">
        <v>90.6</v>
      </c>
      <c r="L662" t="s">
        <v>5025</v>
      </c>
      <c r="M662">
        <v>6</v>
      </c>
      <c r="N662">
        <v>3</v>
      </c>
      <c r="O662">
        <v>0</v>
      </c>
    </row>
    <row r="663" spans="1:15" x14ac:dyDescent="0.3">
      <c r="A663" t="s">
        <v>676</v>
      </c>
      <c r="B663">
        <v>8</v>
      </c>
      <c r="C663">
        <v>33</v>
      </c>
      <c r="D663" t="s">
        <v>5015</v>
      </c>
      <c r="E663" t="s">
        <v>5019</v>
      </c>
      <c r="F663" t="s">
        <v>5024</v>
      </c>
      <c r="G663">
        <v>24.89</v>
      </c>
      <c r="H663">
        <v>1</v>
      </c>
      <c r="I663">
        <v>5.5</v>
      </c>
      <c r="J663">
        <v>21.13</v>
      </c>
      <c r="K663">
        <v>43.1</v>
      </c>
      <c r="L663" t="s">
        <v>5029</v>
      </c>
      <c r="M663">
        <v>7</v>
      </c>
      <c r="N663">
        <v>4</v>
      </c>
      <c r="O663">
        <v>0</v>
      </c>
    </row>
    <row r="664" spans="1:15" x14ac:dyDescent="0.3">
      <c r="A664" t="s">
        <v>677</v>
      </c>
      <c r="B664">
        <v>1</v>
      </c>
      <c r="C664">
        <v>67</v>
      </c>
      <c r="D664" t="s">
        <v>5015</v>
      </c>
      <c r="E664" t="s">
        <v>5017</v>
      </c>
      <c r="F664" t="s">
        <v>5022</v>
      </c>
      <c r="G664">
        <v>10.98</v>
      </c>
      <c r="H664">
        <v>3</v>
      </c>
      <c r="I664">
        <v>6.8</v>
      </c>
      <c r="J664">
        <v>13.66</v>
      </c>
      <c r="K664">
        <v>46.8</v>
      </c>
      <c r="L664" t="s">
        <v>5029</v>
      </c>
      <c r="M664">
        <v>3</v>
      </c>
      <c r="N664">
        <v>1</v>
      </c>
      <c r="O664">
        <v>0</v>
      </c>
    </row>
    <row r="665" spans="1:15" x14ac:dyDescent="0.3">
      <c r="A665" t="s">
        <v>678</v>
      </c>
      <c r="B665">
        <v>6</v>
      </c>
      <c r="C665">
        <v>21</v>
      </c>
      <c r="D665" t="s">
        <v>5015</v>
      </c>
      <c r="E665" t="s">
        <v>5018</v>
      </c>
      <c r="F665" t="s">
        <v>5023</v>
      </c>
      <c r="G665">
        <v>19.72</v>
      </c>
      <c r="H665">
        <v>2</v>
      </c>
      <c r="I665">
        <v>6.1</v>
      </c>
      <c r="J665">
        <v>22.81</v>
      </c>
      <c r="K665">
        <v>33</v>
      </c>
      <c r="L665" t="s">
        <v>5026</v>
      </c>
      <c r="M665">
        <v>11</v>
      </c>
      <c r="N665">
        <v>0</v>
      </c>
      <c r="O665">
        <v>0</v>
      </c>
    </row>
    <row r="666" spans="1:15" x14ac:dyDescent="0.3">
      <c r="A666" t="s">
        <v>679</v>
      </c>
      <c r="B666">
        <v>4</v>
      </c>
      <c r="C666">
        <v>55</v>
      </c>
      <c r="D666" t="s">
        <v>5015</v>
      </c>
      <c r="E666" t="s">
        <v>5018</v>
      </c>
      <c r="F666" t="s">
        <v>5024</v>
      </c>
      <c r="G666">
        <v>15.96</v>
      </c>
      <c r="H666">
        <v>1</v>
      </c>
      <c r="I666">
        <v>1.6</v>
      </c>
      <c r="J666">
        <v>21.52</v>
      </c>
      <c r="K666">
        <v>50.3</v>
      </c>
      <c r="L666" t="s">
        <v>5028</v>
      </c>
      <c r="M666">
        <v>8</v>
      </c>
      <c r="N666">
        <v>1</v>
      </c>
      <c r="O666">
        <v>0</v>
      </c>
    </row>
    <row r="667" spans="1:15" x14ac:dyDescent="0.3">
      <c r="A667" t="s">
        <v>680</v>
      </c>
      <c r="B667">
        <v>1</v>
      </c>
      <c r="C667">
        <v>61</v>
      </c>
      <c r="D667" t="s">
        <v>5015</v>
      </c>
      <c r="E667" t="s">
        <v>5018</v>
      </c>
      <c r="F667" t="s">
        <v>5020</v>
      </c>
      <c r="G667">
        <v>11.5</v>
      </c>
      <c r="H667">
        <v>4</v>
      </c>
      <c r="I667">
        <v>2.4</v>
      </c>
      <c r="J667">
        <v>17.32</v>
      </c>
      <c r="K667">
        <v>98.8</v>
      </c>
      <c r="L667" t="s">
        <v>5028</v>
      </c>
      <c r="M667">
        <v>8</v>
      </c>
      <c r="N667">
        <v>3</v>
      </c>
      <c r="O667">
        <v>0</v>
      </c>
    </row>
    <row r="668" spans="1:15" x14ac:dyDescent="0.3">
      <c r="A668" t="s">
        <v>681</v>
      </c>
      <c r="B668">
        <v>7</v>
      </c>
      <c r="C668">
        <v>44</v>
      </c>
      <c r="D668" t="s">
        <v>5016</v>
      </c>
      <c r="E668" t="s">
        <v>5019</v>
      </c>
      <c r="F668" t="s">
        <v>5023</v>
      </c>
      <c r="G668">
        <v>6.79</v>
      </c>
      <c r="H668">
        <v>3</v>
      </c>
      <c r="I668">
        <v>9.6999999999999993</v>
      </c>
      <c r="J668">
        <v>4.25</v>
      </c>
      <c r="K668">
        <v>61.6</v>
      </c>
      <c r="L668" t="s">
        <v>5029</v>
      </c>
      <c r="M668">
        <v>5</v>
      </c>
      <c r="N668">
        <v>3</v>
      </c>
      <c r="O668">
        <v>0</v>
      </c>
    </row>
    <row r="669" spans="1:15" x14ac:dyDescent="0.3">
      <c r="A669" t="s">
        <v>682</v>
      </c>
      <c r="B669">
        <v>9</v>
      </c>
      <c r="C669">
        <v>26</v>
      </c>
      <c r="D669" t="s">
        <v>5016</v>
      </c>
      <c r="E669" t="s">
        <v>5017</v>
      </c>
      <c r="F669" t="s">
        <v>5022</v>
      </c>
      <c r="G669">
        <v>9.32</v>
      </c>
      <c r="H669">
        <v>5</v>
      </c>
      <c r="I669">
        <v>3.3</v>
      </c>
      <c r="J669">
        <v>22.03</v>
      </c>
      <c r="K669">
        <v>84.8</v>
      </c>
      <c r="L669" t="s">
        <v>5027</v>
      </c>
      <c r="M669">
        <v>11</v>
      </c>
      <c r="N669">
        <v>0</v>
      </c>
      <c r="O669">
        <v>0</v>
      </c>
    </row>
    <row r="670" spans="1:15" x14ac:dyDescent="0.3">
      <c r="A670" t="s">
        <v>683</v>
      </c>
      <c r="B670">
        <v>4</v>
      </c>
      <c r="C670">
        <v>64</v>
      </c>
      <c r="D670" t="s">
        <v>5016</v>
      </c>
      <c r="E670" t="s">
        <v>5018</v>
      </c>
      <c r="F670" t="s">
        <v>5021</v>
      </c>
      <c r="G670">
        <v>20.64</v>
      </c>
      <c r="H670">
        <v>2</v>
      </c>
      <c r="I670">
        <v>4.5</v>
      </c>
      <c r="J670">
        <v>22.92</v>
      </c>
      <c r="K670">
        <v>33.700000000000003</v>
      </c>
      <c r="L670" t="s">
        <v>5026</v>
      </c>
      <c r="M670">
        <v>2</v>
      </c>
      <c r="N670">
        <v>1</v>
      </c>
      <c r="O670">
        <v>0</v>
      </c>
    </row>
    <row r="671" spans="1:15" x14ac:dyDescent="0.3">
      <c r="A671" t="s">
        <v>684</v>
      </c>
      <c r="B671">
        <v>4</v>
      </c>
      <c r="C671">
        <v>33</v>
      </c>
      <c r="D671" t="s">
        <v>5015</v>
      </c>
      <c r="E671" t="s">
        <v>5018</v>
      </c>
      <c r="F671" t="s">
        <v>5020</v>
      </c>
      <c r="G671">
        <v>10.58</v>
      </c>
      <c r="H671">
        <v>3</v>
      </c>
      <c r="I671">
        <v>5.6</v>
      </c>
      <c r="J671">
        <v>11.25</v>
      </c>
      <c r="K671">
        <v>96</v>
      </c>
      <c r="L671" t="s">
        <v>5027</v>
      </c>
      <c r="M671">
        <v>2</v>
      </c>
      <c r="N671">
        <v>2</v>
      </c>
      <c r="O671">
        <v>1</v>
      </c>
    </row>
    <row r="672" spans="1:15" x14ac:dyDescent="0.3">
      <c r="A672" t="s">
        <v>685</v>
      </c>
      <c r="B672">
        <v>6</v>
      </c>
      <c r="C672">
        <v>29</v>
      </c>
      <c r="D672" t="s">
        <v>5015</v>
      </c>
      <c r="E672" t="s">
        <v>5018</v>
      </c>
      <c r="F672" t="s">
        <v>5022</v>
      </c>
      <c r="G672">
        <v>7.89</v>
      </c>
      <c r="H672">
        <v>1</v>
      </c>
      <c r="I672">
        <v>9.8000000000000007</v>
      </c>
      <c r="J672">
        <v>14.58</v>
      </c>
      <c r="K672">
        <v>11.2</v>
      </c>
      <c r="L672" t="s">
        <v>5029</v>
      </c>
      <c r="M672">
        <v>5</v>
      </c>
      <c r="N672">
        <v>2</v>
      </c>
      <c r="O672">
        <v>0</v>
      </c>
    </row>
    <row r="673" spans="1:15" x14ac:dyDescent="0.3">
      <c r="A673" t="s">
        <v>686</v>
      </c>
      <c r="B673">
        <v>12</v>
      </c>
      <c r="C673">
        <v>48</v>
      </c>
      <c r="D673" t="s">
        <v>5016</v>
      </c>
      <c r="E673" t="s">
        <v>5018</v>
      </c>
      <c r="F673" t="s">
        <v>5022</v>
      </c>
      <c r="G673">
        <v>11.63</v>
      </c>
      <c r="H673">
        <v>3</v>
      </c>
      <c r="I673">
        <v>7.2</v>
      </c>
      <c r="J673">
        <v>9.18</v>
      </c>
      <c r="K673">
        <v>93.7</v>
      </c>
      <c r="L673" t="s">
        <v>5027</v>
      </c>
      <c r="M673">
        <v>4</v>
      </c>
      <c r="N673">
        <v>4</v>
      </c>
      <c r="O673">
        <v>0</v>
      </c>
    </row>
    <row r="674" spans="1:15" x14ac:dyDescent="0.3">
      <c r="A674" t="s">
        <v>687</v>
      </c>
      <c r="B674">
        <v>3</v>
      </c>
      <c r="C674">
        <v>41</v>
      </c>
      <c r="D674" t="s">
        <v>5015</v>
      </c>
      <c r="E674" t="s">
        <v>5018</v>
      </c>
      <c r="F674" t="s">
        <v>5022</v>
      </c>
      <c r="G674">
        <v>16.68</v>
      </c>
      <c r="H674">
        <v>2</v>
      </c>
      <c r="I674">
        <v>6.7</v>
      </c>
      <c r="J674">
        <v>3.32</v>
      </c>
      <c r="K674">
        <v>90.8</v>
      </c>
      <c r="L674" t="s">
        <v>5028</v>
      </c>
      <c r="M674">
        <v>4</v>
      </c>
      <c r="N674">
        <v>4</v>
      </c>
      <c r="O674">
        <v>0</v>
      </c>
    </row>
    <row r="675" spans="1:15" x14ac:dyDescent="0.3">
      <c r="A675" t="s">
        <v>688</v>
      </c>
      <c r="B675">
        <v>12</v>
      </c>
      <c r="C675">
        <v>31</v>
      </c>
      <c r="D675" t="s">
        <v>5015</v>
      </c>
      <c r="E675" t="s">
        <v>5019</v>
      </c>
      <c r="F675" t="s">
        <v>5020</v>
      </c>
      <c r="G675">
        <v>19.07</v>
      </c>
      <c r="H675">
        <v>5</v>
      </c>
      <c r="I675">
        <v>5.7</v>
      </c>
      <c r="J675">
        <v>13.55</v>
      </c>
      <c r="K675">
        <v>16.100000000000001</v>
      </c>
      <c r="L675" t="s">
        <v>5029</v>
      </c>
      <c r="M675">
        <v>5</v>
      </c>
      <c r="N675">
        <v>1</v>
      </c>
      <c r="O675">
        <v>0</v>
      </c>
    </row>
    <row r="676" spans="1:15" x14ac:dyDescent="0.3">
      <c r="A676" t="s">
        <v>689</v>
      </c>
      <c r="B676">
        <v>6</v>
      </c>
      <c r="C676">
        <v>62</v>
      </c>
      <c r="D676" t="s">
        <v>5015</v>
      </c>
      <c r="E676" t="s">
        <v>5018</v>
      </c>
      <c r="F676" t="s">
        <v>5022</v>
      </c>
      <c r="G676">
        <v>12.75</v>
      </c>
      <c r="H676">
        <v>5</v>
      </c>
      <c r="I676">
        <v>7.3</v>
      </c>
      <c r="J676">
        <v>5.85</v>
      </c>
      <c r="K676">
        <v>64.400000000000006</v>
      </c>
      <c r="L676" t="s">
        <v>5027</v>
      </c>
      <c r="M676">
        <v>1</v>
      </c>
      <c r="N676">
        <v>4</v>
      </c>
      <c r="O676">
        <v>0</v>
      </c>
    </row>
    <row r="677" spans="1:15" x14ac:dyDescent="0.3">
      <c r="A677" t="s">
        <v>690</v>
      </c>
      <c r="B677">
        <v>7</v>
      </c>
      <c r="C677">
        <v>42</v>
      </c>
      <c r="D677" t="s">
        <v>5016</v>
      </c>
      <c r="E677" t="s">
        <v>5019</v>
      </c>
      <c r="F677" t="s">
        <v>5021</v>
      </c>
      <c r="G677">
        <v>14.96</v>
      </c>
      <c r="H677">
        <v>5</v>
      </c>
      <c r="I677">
        <v>7</v>
      </c>
      <c r="J677">
        <v>7.03</v>
      </c>
      <c r="K677">
        <v>80.7</v>
      </c>
      <c r="L677" t="s">
        <v>5026</v>
      </c>
      <c r="M677">
        <v>7</v>
      </c>
      <c r="N677">
        <v>3</v>
      </c>
      <c r="O677">
        <v>0</v>
      </c>
    </row>
    <row r="678" spans="1:15" x14ac:dyDescent="0.3">
      <c r="A678" t="s">
        <v>691</v>
      </c>
      <c r="B678">
        <v>11</v>
      </c>
      <c r="C678">
        <v>51</v>
      </c>
      <c r="D678" t="s">
        <v>5016</v>
      </c>
      <c r="E678" t="s">
        <v>5018</v>
      </c>
      <c r="F678" t="s">
        <v>5023</v>
      </c>
      <c r="G678">
        <v>14.1</v>
      </c>
      <c r="H678">
        <v>2</v>
      </c>
      <c r="I678">
        <v>9.1</v>
      </c>
      <c r="J678">
        <v>13.58</v>
      </c>
      <c r="K678">
        <v>46.3</v>
      </c>
      <c r="L678" t="s">
        <v>5026</v>
      </c>
      <c r="M678">
        <v>3</v>
      </c>
      <c r="N678">
        <v>0</v>
      </c>
      <c r="O678">
        <v>0</v>
      </c>
    </row>
    <row r="679" spans="1:15" x14ac:dyDescent="0.3">
      <c r="A679" t="s">
        <v>692</v>
      </c>
      <c r="B679">
        <v>10</v>
      </c>
      <c r="C679">
        <v>20</v>
      </c>
      <c r="D679" t="s">
        <v>5015</v>
      </c>
      <c r="E679" t="s">
        <v>5017</v>
      </c>
      <c r="F679" t="s">
        <v>5020</v>
      </c>
      <c r="G679">
        <v>5.18</v>
      </c>
      <c r="H679">
        <v>3</v>
      </c>
      <c r="I679">
        <v>5.9</v>
      </c>
      <c r="J679">
        <v>22.07</v>
      </c>
      <c r="K679">
        <v>18.3</v>
      </c>
      <c r="L679" t="s">
        <v>5025</v>
      </c>
      <c r="M679">
        <v>10</v>
      </c>
      <c r="N679">
        <v>4</v>
      </c>
      <c r="O679">
        <v>0</v>
      </c>
    </row>
    <row r="680" spans="1:15" x14ac:dyDescent="0.3">
      <c r="A680" t="s">
        <v>693</v>
      </c>
      <c r="B680">
        <v>10</v>
      </c>
      <c r="C680">
        <v>41</v>
      </c>
      <c r="D680" t="s">
        <v>5015</v>
      </c>
      <c r="E680" t="s">
        <v>5017</v>
      </c>
      <c r="F680" t="s">
        <v>5022</v>
      </c>
      <c r="G680">
        <v>12.91</v>
      </c>
      <c r="H680">
        <v>2</v>
      </c>
      <c r="I680">
        <v>4.8</v>
      </c>
      <c r="J680">
        <v>21.58</v>
      </c>
      <c r="K680">
        <v>84.6</v>
      </c>
      <c r="L680" t="s">
        <v>5029</v>
      </c>
      <c r="M680">
        <v>10</v>
      </c>
      <c r="N680">
        <v>2</v>
      </c>
      <c r="O680">
        <v>0</v>
      </c>
    </row>
    <row r="681" spans="1:15" x14ac:dyDescent="0.3">
      <c r="A681" t="s">
        <v>694</v>
      </c>
      <c r="B681">
        <v>3</v>
      </c>
      <c r="C681">
        <v>59</v>
      </c>
      <c r="D681" t="s">
        <v>5015</v>
      </c>
      <c r="E681" t="s">
        <v>5017</v>
      </c>
      <c r="F681" t="s">
        <v>5024</v>
      </c>
      <c r="G681">
        <v>16.75</v>
      </c>
      <c r="H681">
        <v>2</v>
      </c>
      <c r="I681">
        <v>8.3000000000000007</v>
      </c>
      <c r="J681">
        <v>24.23</v>
      </c>
      <c r="K681">
        <v>52</v>
      </c>
      <c r="L681" t="s">
        <v>5029</v>
      </c>
      <c r="M681">
        <v>8</v>
      </c>
      <c r="N681">
        <v>3</v>
      </c>
      <c r="O681">
        <v>1</v>
      </c>
    </row>
    <row r="682" spans="1:15" x14ac:dyDescent="0.3">
      <c r="A682" t="s">
        <v>695</v>
      </c>
      <c r="B682">
        <v>7</v>
      </c>
      <c r="C682">
        <v>26</v>
      </c>
      <c r="D682" t="s">
        <v>5015</v>
      </c>
      <c r="E682" t="s">
        <v>5018</v>
      </c>
      <c r="F682" t="s">
        <v>5023</v>
      </c>
      <c r="G682">
        <v>16.399999999999999</v>
      </c>
      <c r="H682">
        <v>3</v>
      </c>
      <c r="I682">
        <v>8.1999999999999993</v>
      </c>
      <c r="J682">
        <v>13.62</v>
      </c>
      <c r="K682">
        <v>33.700000000000003</v>
      </c>
      <c r="L682" t="s">
        <v>5029</v>
      </c>
      <c r="M682">
        <v>9</v>
      </c>
      <c r="N682">
        <v>2</v>
      </c>
      <c r="O682">
        <v>0</v>
      </c>
    </row>
    <row r="683" spans="1:15" x14ac:dyDescent="0.3">
      <c r="A683" t="s">
        <v>696</v>
      </c>
      <c r="B683">
        <v>3</v>
      </c>
      <c r="C683">
        <v>43</v>
      </c>
      <c r="D683" t="s">
        <v>5016</v>
      </c>
      <c r="E683" t="s">
        <v>5018</v>
      </c>
      <c r="F683" t="s">
        <v>5020</v>
      </c>
      <c r="G683">
        <v>20</v>
      </c>
      <c r="H683">
        <v>4</v>
      </c>
      <c r="I683">
        <v>2.5</v>
      </c>
      <c r="J683">
        <v>15.14</v>
      </c>
      <c r="K683">
        <v>16.399999999999999</v>
      </c>
      <c r="L683" t="s">
        <v>5028</v>
      </c>
      <c r="M683">
        <v>8</v>
      </c>
      <c r="N683">
        <v>4</v>
      </c>
      <c r="O683">
        <v>0</v>
      </c>
    </row>
    <row r="684" spans="1:15" x14ac:dyDescent="0.3">
      <c r="A684" t="s">
        <v>697</v>
      </c>
      <c r="B684">
        <v>2</v>
      </c>
      <c r="C684">
        <v>37</v>
      </c>
      <c r="D684" t="s">
        <v>5015</v>
      </c>
      <c r="E684" t="s">
        <v>5019</v>
      </c>
      <c r="F684" t="s">
        <v>5024</v>
      </c>
      <c r="G684">
        <v>18.41</v>
      </c>
      <c r="H684">
        <v>5</v>
      </c>
      <c r="I684">
        <v>3.1</v>
      </c>
      <c r="J684">
        <v>21.09</v>
      </c>
      <c r="K684">
        <v>67.599999999999994</v>
      </c>
      <c r="L684" t="s">
        <v>5028</v>
      </c>
      <c r="M684">
        <v>11</v>
      </c>
      <c r="N684">
        <v>4</v>
      </c>
      <c r="O684">
        <v>1</v>
      </c>
    </row>
    <row r="685" spans="1:15" x14ac:dyDescent="0.3">
      <c r="A685" t="s">
        <v>698</v>
      </c>
      <c r="B685">
        <v>12</v>
      </c>
      <c r="C685">
        <v>57</v>
      </c>
      <c r="D685" t="s">
        <v>5016</v>
      </c>
      <c r="E685" t="s">
        <v>5019</v>
      </c>
      <c r="F685" t="s">
        <v>5024</v>
      </c>
      <c r="G685">
        <v>10.54</v>
      </c>
      <c r="H685">
        <v>1</v>
      </c>
      <c r="I685">
        <v>9.6</v>
      </c>
      <c r="J685">
        <v>18.39</v>
      </c>
      <c r="K685">
        <v>13.8</v>
      </c>
      <c r="L685" t="s">
        <v>5029</v>
      </c>
      <c r="M685">
        <v>2</v>
      </c>
      <c r="N685">
        <v>3</v>
      </c>
      <c r="O685">
        <v>0</v>
      </c>
    </row>
    <row r="686" spans="1:15" x14ac:dyDescent="0.3">
      <c r="A686" t="s">
        <v>699</v>
      </c>
      <c r="B686">
        <v>10</v>
      </c>
      <c r="C686">
        <v>27</v>
      </c>
      <c r="D686" t="s">
        <v>5016</v>
      </c>
      <c r="E686" t="s">
        <v>5017</v>
      </c>
      <c r="F686" t="s">
        <v>5022</v>
      </c>
      <c r="G686">
        <v>10.11</v>
      </c>
      <c r="H686">
        <v>1</v>
      </c>
      <c r="I686">
        <v>5</v>
      </c>
      <c r="J686">
        <v>7.02</v>
      </c>
      <c r="K686">
        <v>81.2</v>
      </c>
      <c r="L686" t="s">
        <v>5027</v>
      </c>
      <c r="M686">
        <v>7</v>
      </c>
      <c r="N686">
        <v>2</v>
      </c>
      <c r="O686">
        <v>0</v>
      </c>
    </row>
    <row r="687" spans="1:15" x14ac:dyDescent="0.3">
      <c r="A687" t="s">
        <v>700</v>
      </c>
      <c r="B687">
        <v>4</v>
      </c>
      <c r="C687">
        <v>36</v>
      </c>
      <c r="D687" t="s">
        <v>5016</v>
      </c>
      <c r="E687" t="s">
        <v>5017</v>
      </c>
      <c r="F687" t="s">
        <v>5020</v>
      </c>
      <c r="G687">
        <v>14.28</v>
      </c>
      <c r="H687">
        <v>3</v>
      </c>
      <c r="I687">
        <v>5.7</v>
      </c>
      <c r="J687">
        <v>11.76</v>
      </c>
      <c r="K687">
        <v>79.400000000000006</v>
      </c>
      <c r="L687" t="s">
        <v>5028</v>
      </c>
      <c r="M687">
        <v>4</v>
      </c>
      <c r="N687">
        <v>0</v>
      </c>
      <c r="O687">
        <v>0</v>
      </c>
    </row>
    <row r="688" spans="1:15" x14ac:dyDescent="0.3">
      <c r="A688" t="s">
        <v>701</v>
      </c>
      <c r="B688">
        <v>12</v>
      </c>
      <c r="C688">
        <v>20</v>
      </c>
      <c r="D688" t="s">
        <v>5015</v>
      </c>
      <c r="E688" t="s">
        <v>5017</v>
      </c>
      <c r="F688" t="s">
        <v>5022</v>
      </c>
      <c r="G688">
        <v>19.66</v>
      </c>
      <c r="H688">
        <v>1</v>
      </c>
      <c r="I688">
        <v>3.8</v>
      </c>
      <c r="J688">
        <v>23.44</v>
      </c>
      <c r="K688">
        <v>39.1</v>
      </c>
      <c r="L688" t="s">
        <v>5029</v>
      </c>
      <c r="M688">
        <v>5</v>
      </c>
      <c r="N688">
        <v>0</v>
      </c>
      <c r="O688">
        <v>0</v>
      </c>
    </row>
    <row r="689" spans="1:15" x14ac:dyDescent="0.3">
      <c r="A689" t="s">
        <v>702</v>
      </c>
      <c r="B689">
        <v>8</v>
      </c>
      <c r="C689">
        <v>41</v>
      </c>
      <c r="D689" t="s">
        <v>5016</v>
      </c>
      <c r="E689" t="s">
        <v>5018</v>
      </c>
      <c r="F689" t="s">
        <v>5021</v>
      </c>
      <c r="G689">
        <v>6.88</v>
      </c>
      <c r="H689">
        <v>4</v>
      </c>
      <c r="I689">
        <v>5.3</v>
      </c>
      <c r="J689">
        <v>6.21</v>
      </c>
      <c r="K689">
        <v>52.5</v>
      </c>
      <c r="L689" t="s">
        <v>5028</v>
      </c>
      <c r="M689">
        <v>11</v>
      </c>
      <c r="N689">
        <v>3</v>
      </c>
      <c r="O689">
        <v>0</v>
      </c>
    </row>
    <row r="690" spans="1:15" x14ac:dyDescent="0.3">
      <c r="A690" t="s">
        <v>703</v>
      </c>
      <c r="B690">
        <v>9</v>
      </c>
      <c r="C690">
        <v>22</v>
      </c>
      <c r="D690" t="s">
        <v>5016</v>
      </c>
      <c r="E690" t="s">
        <v>5017</v>
      </c>
      <c r="F690" t="s">
        <v>5024</v>
      </c>
      <c r="G690">
        <v>23.97</v>
      </c>
      <c r="H690">
        <v>2</v>
      </c>
      <c r="I690">
        <v>7.7</v>
      </c>
      <c r="J690">
        <v>7.61</v>
      </c>
      <c r="K690">
        <v>70.2</v>
      </c>
      <c r="L690" t="s">
        <v>5025</v>
      </c>
      <c r="M690">
        <v>10</v>
      </c>
      <c r="N690">
        <v>4</v>
      </c>
      <c r="O690">
        <v>1</v>
      </c>
    </row>
    <row r="691" spans="1:15" x14ac:dyDescent="0.3">
      <c r="A691" t="s">
        <v>704</v>
      </c>
      <c r="B691">
        <v>7</v>
      </c>
      <c r="C691">
        <v>20</v>
      </c>
      <c r="D691" t="s">
        <v>5015</v>
      </c>
      <c r="E691" t="s">
        <v>5017</v>
      </c>
      <c r="F691" t="s">
        <v>5021</v>
      </c>
      <c r="G691">
        <v>15.86</v>
      </c>
      <c r="H691">
        <v>5</v>
      </c>
      <c r="I691">
        <v>5.3</v>
      </c>
      <c r="J691">
        <v>11.81</v>
      </c>
      <c r="K691">
        <v>96.3</v>
      </c>
      <c r="L691" t="s">
        <v>5026</v>
      </c>
      <c r="M691">
        <v>5</v>
      </c>
      <c r="N691">
        <v>3</v>
      </c>
      <c r="O691">
        <v>1</v>
      </c>
    </row>
    <row r="692" spans="1:15" x14ac:dyDescent="0.3">
      <c r="A692" t="s">
        <v>705</v>
      </c>
      <c r="B692">
        <v>1</v>
      </c>
      <c r="C692">
        <v>44</v>
      </c>
      <c r="D692" t="s">
        <v>5015</v>
      </c>
      <c r="E692" t="s">
        <v>5019</v>
      </c>
      <c r="F692" t="s">
        <v>5022</v>
      </c>
      <c r="G692">
        <v>11.13</v>
      </c>
      <c r="H692">
        <v>1</v>
      </c>
      <c r="I692">
        <v>3.8</v>
      </c>
      <c r="J692">
        <v>23.68</v>
      </c>
      <c r="K692">
        <v>56.8</v>
      </c>
      <c r="L692" t="s">
        <v>5025</v>
      </c>
      <c r="M692">
        <v>11</v>
      </c>
      <c r="N692">
        <v>2</v>
      </c>
      <c r="O692">
        <v>0</v>
      </c>
    </row>
    <row r="693" spans="1:15" x14ac:dyDescent="0.3">
      <c r="A693" t="s">
        <v>706</v>
      </c>
      <c r="B693">
        <v>3</v>
      </c>
      <c r="C693">
        <v>33</v>
      </c>
      <c r="D693" t="s">
        <v>5015</v>
      </c>
      <c r="E693" t="s">
        <v>5019</v>
      </c>
      <c r="F693" t="s">
        <v>5023</v>
      </c>
      <c r="G693">
        <v>18.87</v>
      </c>
      <c r="H693">
        <v>1</v>
      </c>
      <c r="I693">
        <v>1.9</v>
      </c>
      <c r="J693">
        <v>5.5</v>
      </c>
      <c r="K693">
        <v>99.7</v>
      </c>
      <c r="L693" t="s">
        <v>5029</v>
      </c>
      <c r="M693">
        <v>9</v>
      </c>
      <c r="N693">
        <v>0</v>
      </c>
      <c r="O693">
        <v>0</v>
      </c>
    </row>
    <row r="694" spans="1:15" x14ac:dyDescent="0.3">
      <c r="A694" t="s">
        <v>707</v>
      </c>
      <c r="B694">
        <v>12</v>
      </c>
      <c r="C694">
        <v>66</v>
      </c>
      <c r="D694" t="s">
        <v>5016</v>
      </c>
      <c r="E694" t="s">
        <v>5017</v>
      </c>
      <c r="F694" t="s">
        <v>5024</v>
      </c>
      <c r="G694">
        <v>5.89</v>
      </c>
      <c r="H694">
        <v>3</v>
      </c>
      <c r="I694">
        <v>9.4</v>
      </c>
      <c r="J694">
        <v>17.8</v>
      </c>
      <c r="K694">
        <v>39.299999999999997</v>
      </c>
      <c r="L694" t="s">
        <v>5026</v>
      </c>
      <c r="M694">
        <v>2</v>
      </c>
      <c r="N694">
        <v>4</v>
      </c>
      <c r="O694">
        <v>0</v>
      </c>
    </row>
    <row r="695" spans="1:15" x14ac:dyDescent="0.3">
      <c r="A695" t="s">
        <v>708</v>
      </c>
      <c r="B695">
        <v>9</v>
      </c>
      <c r="C695">
        <v>32</v>
      </c>
      <c r="D695" t="s">
        <v>5015</v>
      </c>
      <c r="E695" t="s">
        <v>5018</v>
      </c>
      <c r="F695" t="s">
        <v>5023</v>
      </c>
      <c r="G695">
        <v>14.69</v>
      </c>
      <c r="H695">
        <v>3</v>
      </c>
      <c r="I695">
        <v>8.8000000000000007</v>
      </c>
      <c r="J695">
        <v>5.91</v>
      </c>
      <c r="K695">
        <v>57.4</v>
      </c>
      <c r="L695" t="s">
        <v>5027</v>
      </c>
      <c r="M695">
        <v>2</v>
      </c>
      <c r="N695">
        <v>2</v>
      </c>
      <c r="O695">
        <v>0</v>
      </c>
    </row>
    <row r="696" spans="1:15" x14ac:dyDescent="0.3">
      <c r="A696" t="s">
        <v>709</v>
      </c>
      <c r="B696">
        <v>12</v>
      </c>
      <c r="C696">
        <v>52</v>
      </c>
      <c r="D696" t="s">
        <v>5016</v>
      </c>
      <c r="E696" t="s">
        <v>5018</v>
      </c>
      <c r="F696" t="s">
        <v>5020</v>
      </c>
      <c r="G696">
        <v>14.72</v>
      </c>
      <c r="H696">
        <v>2</v>
      </c>
      <c r="I696">
        <v>8.1</v>
      </c>
      <c r="J696">
        <v>14.54</v>
      </c>
      <c r="K696">
        <v>20.399999999999999</v>
      </c>
      <c r="L696" t="s">
        <v>5029</v>
      </c>
      <c r="M696">
        <v>3</v>
      </c>
      <c r="N696">
        <v>0</v>
      </c>
      <c r="O696">
        <v>1</v>
      </c>
    </row>
    <row r="697" spans="1:15" x14ac:dyDescent="0.3">
      <c r="A697" t="s">
        <v>710</v>
      </c>
      <c r="B697">
        <v>1</v>
      </c>
      <c r="C697">
        <v>29</v>
      </c>
      <c r="D697" t="s">
        <v>5016</v>
      </c>
      <c r="E697" t="s">
        <v>5019</v>
      </c>
      <c r="F697" t="s">
        <v>5024</v>
      </c>
      <c r="G697">
        <v>8.24</v>
      </c>
      <c r="H697">
        <v>5</v>
      </c>
      <c r="I697">
        <v>7.2</v>
      </c>
      <c r="J697">
        <v>14.8</v>
      </c>
      <c r="K697">
        <v>60.1</v>
      </c>
      <c r="L697" t="s">
        <v>5027</v>
      </c>
      <c r="M697">
        <v>5</v>
      </c>
      <c r="N697">
        <v>0</v>
      </c>
      <c r="O697">
        <v>0</v>
      </c>
    </row>
    <row r="698" spans="1:15" x14ac:dyDescent="0.3">
      <c r="A698" t="s">
        <v>711</v>
      </c>
      <c r="B698">
        <v>9</v>
      </c>
      <c r="C698">
        <v>58</v>
      </c>
      <c r="D698" t="s">
        <v>5015</v>
      </c>
      <c r="E698" t="s">
        <v>5018</v>
      </c>
      <c r="F698" t="s">
        <v>5021</v>
      </c>
      <c r="G698">
        <v>21.75</v>
      </c>
      <c r="H698">
        <v>1</v>
      </c>
      <c r="I698">
        <v>5.6</v>
      </c>
      <c r="J698">
        <v>3.94</v>
      </c>
      <c r="K698">
        <v>58.3</v>
      </c>
      <c r="L698" t="s">
        <v>5027</v>
      </c>
      <c r="M698">
        <v>4</v>
      </c>
      <c r="N698">
        <v>1</v>
      </c>
      <c r="O698">
        <v>0</v>
      </c>
    </row>
    <row r="699" spans="1:15" x14ac:dyDescent="0.3">
      <c r="A699" t="s">
        <v>712</v>
      </c>
      <c r="B699">
        <v>8</v>
      </c>
      <c r="C699">
        <v>61</v>
      </c>
      <c r="D699" t="s">
        <v>5016</v>
      </c>
      <c r="E699" t="s">
        <v>5017</v>
      </c>
      <c r="F699" t="s">
        <v>5023</v>
      </c>
      <c r="G699">
        <v>20.94</v>
      </c>
      <c r="H699">
        <v>2</v>
      </c>
      <c r="I699">
        <v>9.1</v>
      </c>
      <c r="J699">
        <v>23.99</v>
      </c>
      <c r="K699">
        <v>86.4</v>
      </c>
      <c r="L699" t="s">
        <v>5028</v>
      </c>
      <c r="M699">
        <v>10</v>
      </c>
      <c r="N699">
        <v>4</v>
      </c>
      <c r="O699">
        <v>0</v>
      </c>
    </row>
    <row r="700" spans="1:15" x14ac:dyDescent="0.3">
      <c r="A700" t="s">
        <v>713</v>
      </c>
      <c r="B700">
        <v>1</v>
      </c>
      <c r="C700">
        <v>43</v>
      </c>
      <c r="D700" t="s">
        <v>5016</v>
      </c>
      <c r="E700" t="s">
        <v>5019</v>
      </c>
      <c r="F700" t="s">
        <v>5020</v>
      </c>
      <c r="G700">
        <v>8.0500000000000007</v>
      </c>
      <c r="H700">
        <v>5</v>
      </c>
      <c r="I700">
        <v>8.1</v>
      </c>
      <c r="J700">
        <v>20.75</v>
      </c>
      <c r="K700">
        <v>99.7</v>
      </c>
      <c r="L700" t="s">
        <v>5028</v>
      </c>
      <c r="M700">
        <v>10</v>
      </c>
      <c r="N700">
        <v>3</v>
      </c>
      <c r="O700">
        <v>1</v>
      </c>
    </row>
    <row r="701" spans="1:15" x14ac:dyDescent="0.3">
      <c r="A701" t="s">
        <v>714</v>
      </c>
      <c r="B701">
        <v>6</v>
      </c>
      <c r="C701">
        <v>64</v>
      </c>
      <c r="D701" t="s">
        <v>5016</v>
      </c>
      <c r="E701" t="s">
        <v>5018</v>
      </c>
      <c r="F701" t="s">
        <v>5024</v>
      </c>
      <c r="G701">
        <v>12.28</v>
      </c>
      <c r="H701">
        <v>2</v>
      </c>
      <c r="I701">
        <v>8.3000000000000007</v>
      </c>
      <c r="J701">
        <v>9.66</v>
      </c>
      <c r="K701">
        <v>98.8</v>
      </c>
      <c r="L701" t="s">
        <v>5026</v>
      </c>
      <c r="M701">
        <v>9</v>
      </c>
      <c r="N701">
        <v>1</v>
      </c>
      <c r="O701">
        <v>0</v>
      </c>
    </row>
    <row r="702" spans="1:15" x14ac:dyDescent="0.3">
      <c r="A702" t="s">
        <v>715</v>
      </c>
      <c r="B702">
        <v>5</v>
      </c>
      <c r="C702">
        <v>51</v>
      </c>
      <c r="D702" t="s">
        <v>5016</v>
      </c>
      <c r="E702" t="s">
        <v>5017</v>
      </c>
      <c r="F702" t="s">
        <v>5020</v>
      </c>
      <c r="G702">
        <v>7.01</v>
      </c>
      <c r="H702">
        <v>1</v>
      </c>
      <c r="I702">
        <v>3.8</v>
      </c>
      <c r="J702">
        <v>5.87</v>
      </c>
      <c r="K702">
        <v>31.3</v>
      </c>
      <c r="L702" t="s">
        <v>5026</v>
      </c>
      <c r="M702">
        <v>3</v>
      </c>
      <c r="N702">
        <v>0</v>
      </c>
      <c r="O702">
        <v>1</v>
      </c>
    </row>
    <row r="703" spans="1:15" x14ac:dyDescent="0.3">
      <c r="A703" t="s">
        <v>716</v>
      </c>
      <c r="B703">
        <v>6</v>
      </c>
      <c r="C703">
        <v>40</v>
      </c>
      <c r="D703" t="s">
        <v>5015</v>
      </c>
      <c r="E703" t="s">
        <v>5018</v>
      </c>
      <c r="F703" t="s">
        <v>5021</v>
      </c>
      <c r="G703">
        <v>21.97</v>
      </c>
      <c r="H703">
        <v>3</v>
      </c>
      <c r="I703">
        <v>4.8</v>
      </c>
      <c r="J703">
        <v>10.6</v>
      </c>
      <c r="K703">
        <v>40.5</v>
      </c>
      <c r="L703" t="s">
        <v>5028</v>
      </c>
      <c r="M703">
        <v>1</v>
      </c>
      <c r="N703">
        <v>4</v>
      </c>
      <c r="O703">
        <v>0</v>
      </c>
    </row>
    <row r="704" spans="1:15" x14ac:dyDescent="0.3">
      <c r="A704" t="s">
        <v>717</v>
      </c>
      <c r="B704">
        <v>10</v>
      </c>
      <c r="C704">
        <v>48</v>
      </c>
      <c r="D704" t="s">
        <v>5016</v>
      </c>
      <c r="E704" t="s">
        <v>5018</v>
      </c>
      <c r="F704" t="s">
        <v>5024</v>
      </c>
      <c r="G704">
        <v>11.47</v>
      </c>
      <c r="H704">
        <v>3</v>
      </c>
      <c r="I704">
        <v>7.4</v>
      </c>
      <c r="J704">
        <v>22.67</v>
      </c>
      <c r="K704">
        <v>34.700000000000003</v>
      </c>
      <c r="L704" t="s">
        <v>5026</v>
      </c>
      <c r="M704">
        <v>5</v>
      </c>
      <c r="N704">
        <v>4</v>
      </c>
      <c r="O704">
        <v>0</v>
      </c>
    </row>
    <row r="705" spans="1:15" x14ac:dyDescent="0.3">
      <c r="A705" t="s">
        <v>718</v>
      </c>
      <c r="B705">
        <v>12</v>
      </c>
      <c r="C705">
        <v>67</v>
      </c>
      <c r="D705" t="s">
        <v>5015</v>
      </c>
      <c r="E705" t="s">
        <v>5018</v>
      </c>
      <c r="F705" t="s">
        <v>5020</v>
      </c>
      <c r="G705">
        <v>13.79</v>
      </c>
      <c r="H705">
        <v>3</v>
      </c>
      <c r="I705">
        <v>4.3</v>
      </c>
      <c r="J705">
        <v>5.92</v>
      </c>
      <c r="K705">
        <v>28</v>
      </c>
      <c r="L705" t="s">
        <v>5025</v>
      </c>
      <c r="M705">
        <v>8</v>
      </c>
      <c r="N705">
        <v>1</v>
      </c>
      <c r="O705">
        <v>0</v>
      </c>
    </row>
    <row r="706" spans="1:15" x14ac:dyDescent="0.3">
      <c r="A706" t="s">
        <v>719</v>
      </c>
      <c r="B706">
        <v>5</v>
      </c>
      <c r="C706">
        <v>37</v>
      </c>
      <c r="D706" t="s">
        <v>5016</v>
      </c>
      <c r="E706" t="s">
        <v>5017</v>
      </c>
      <c r="F706" t="s">
        <v>5022</v>
      </c>
      <c r="G706">
        <v>11.48</v>
      </c>
      <c r="H706">
        <v>4</v>
      </c>
      <c r="I706">
        <v>5.4</v>
      </c>
      <c r="J706">
        <v>10.68</v>
      </c>
      <c r="K706">
        <v>23.5</v>
      </c>
      <c r="L706" t="s">
        <v>5029</v>
      </c>
      <c r="M706">
        <v>1</v>
      </c>
      <c r="N706">
        <v>2</v>
      </c>
      <c r="O706">
        <v>0</v>
      </c>
    </row>
    <row r="707" spans="1:15" x14ac:dyDescent="0.3">
      <c r="A707" t="s">
        <v>720</v>
      </c>
      <c r="B707">
        <v>6</v>
      </c>
      <c r="C707">
        <v>29</v>
      </c>
      <c r="D707" t="s">
        <v>5016</v>
      </c>
      <c r="E707" t="s">
        <v>5018</v>
      </c>
      <c r="F707" t="s">
        <v>5024</v>
      </c>
      <c r="G707">
        <v>11.2</v>
      </c>
      <c r="H707">
        <v>2</v>
      </c>
      <c r="I707">
        <v>6.8</v>
      </c>
      <c r="J707">
        <v>13.87</v>
      </c>
      <c r="K707">
        <v>56.1</v>
      </c>
      <c r="L707" t="s">
        <v>5025</v>
      </c>
      <c r="M707">
        <v>1</v>
      </c>
      <c r="N707">
        <v>2</v>
      </c>
      <c r="O707">
        <v>0</v>
      </c>
    </row>
    <row r="708" spans="1:15" x14ac:dyDescent="0.3">
      <c r="A708" t="s">
        <v>721</v>
      </c>
      <c r="B708">
        <v>5</v>
      </c>
      <c r="C708">
        <v>40</v>
      </c>
      <c r="D708" t="s">
        <v>5015</v>
      </c>
      <c r="E708" t="s">
        <v>5017</v>
      </c>
      <c r="F708" t="s">
        <v>5024</v>
      </c>
      <c r="G708">
        <v>19.95</v>
      </c>
      <c r="H708">
        <v>1</v>
      </c>
      <c r="I708">
        <v>4.9000000000000004</v>
      </c>
      <c r="J708">
        <v>3.72</v>
      </c>
      <c r="K708">
        <v>88.5</v>
      </c>
      <c r="L708" t="s">
        <v>5029</v>
      </c>
      <c r="M708">
        <v>6</v>
      </c>
      <c r="N708">
        <v>3</v>
      </c>
      <c r="O708">
        <v>0</v>
      </c>
    </row>
    <row r="709" spans="1:15" x14ac:dyDescent="0.3">
      <c r="A709" t="s">
        <v>722</v>
      </c>
      <c r="B709">
        <v>11</v>
      </c>
      <c r="C709">
        <v>21</v>
      </c>
      <c r="D709" t="s">
        <v>5016</v>
      </c>
      <c r="E709" t="s">
        <v>5019</v>
      </c>
      <c r="F709" t="s">
        <v>5024</v>
      </c>
      <c r="G709">
        <v>19.95</v>
      </c>
      <c r="H709">
        <v>2</v>
      </c>
      <c r="I709">
        <v>8.1</v>
      </c>
      <c r="J709">
        <v>8.9</v>
      </c>
      <c r="K709">
        <v>63.1</v>
      </c>
      <c r="L709" t="s">
        <v>5028</v>
      </c>
      <c r="M709">
        <v>7</v>
      </c>
      <c r="N709">
        <v>4</v>
      </c>
      <c r="O709">
        <v>0</v>
      </c>
    </row>
    <row r="710" spans="1:15" x14ac:dyDescent="0.3">
      <c r="A710" t="s">
        <v>723</v>
      </c>
      <c r="B710">
        <v>12</v>
      </c>
      <c r="C710">
        <v>40</v>
      </c>
      <c r="D710" t="s">
        <v>5016</v>
      </c>
      <c r="E710" t="s">
        <v>5017</v>
      </c>
      <c r="F710" t="s">
        <v>5024</v>
      </c>
      <c r="G710">
        <v>15.36</v>
      </c>
      <c r="H710">
        <v>3</v>
      </c>
      <c r="I710">
        <v>2</v>
      </c>
      <c r="J710">
        <v>16.100000000000001</v>
      </c>
      <c r="K710">
        <v>88.5</v>
      </c>
      <c r="L710" t="s">
        <v>5025</v>
      </c>
      <c r="M710">
        <v>8</v>
      </c>
      <c r="N710">
        <v>1</v>
      </c>
      <c r="O710">
        <v>0</v>
      </c>
    </row>
    <row r="711" spans="1:15" x14ac:dyDescent="0.3">
      <c r="A711" t="s">
        <v>724</v>
      </c>
      <c r="B711">
        <v>5</v>
      </c>
      <c r="C711">
        <v>65</v>
      </c>
      <c r="D711" t="s">
        <v>5016</v>
      </c>
      <c r="E711" t="s">
        <v>5017</v>
      </c>
      <c r="F711" t="s">
        <v>5022</v>
      </c>
      <c r="G711">
        <v>18.149999999999999</v>
      </c>
      <c r="H711">
        <v>2</v>
      </c>
      <c r="I711">
        <v>7.5</v>
      </c>
      <c r="J711">
        <v>10.130000000000001</v>
      </c>
      <c r="K711">
        <v>96.4</v>
      </c>
      <c r="L711" t="s">
        <v>5027</v>
      </c>
      <c r="M711">
        <v>8</v>
      </c>
      <c r="N711">
        <v>0</v>
      </c>
      <c r="O711">
        <v>0</v>
      </c>
    </row>
    <row r="712" spans="1:15" x14ac:dyDescent="0.3">
      <c r="A712" t="s">
        <v>725</v>
      </c>
      <c r="B712">
        <v>4</v>
      </c>
      <c r="C712">
        <v>65</v>
      </c>
      <c r="D712" t="s">
        <v>5016</v>
      </c>
      <c r="E712" t="s">
        <v>5018</v>
      </c>
      <c r="F712" t="s">
        <v>5021</v>
      </c>
      <c r="G712">
        <v>15.23</v>
      </c>
      <c r="H712">
        <v>5</v>
      </c>
      <c r="I712">
        <v>2.2999999999999998</v>
      </c>
      <c r="J712">
        <v>22.15</v>
      </c>
      <c r="K712">
        <v>44.5</v>
      </c>
      <c r="L712" t="s">
        <v>5025</v>
      </c>
      <c r="M712">
        <v>3</v>
      </c>
      <c r="N712">
        <v>2</v>
      </c>
      <c r="O712">
        <v>1</v>
      </c>
    </row>
    <row r="713" spans="1:15" x14ac:dyDescent="0.3">
      <c r="A713" t="s">
        <v>726</v>
      </c>
      <c r="B713">
        <v>3</v>
      </c>
      <c r="C713">
        <v>18</v>
      </c>
      <c r="D713" t="s">
        <v>5016</v>
      </c>
      <c r="E713" t="s">
        <v>5019</v>
      </c>
      <c r="F713" t="s">
        <v>5022</v>
      </c>
      <c r="G713">
        <v>5.57</v>
      </c>
      <c r="H713">
        <v>2</v>
      </c>
      <c r="I713">
        <v>9.4</v>
      </c>
      <c r="J713">
        <v>23.61</v>
      </c>
      <c r="K713">
        <v>85.2</v>
      </c>
      <c r="L713" t="s">
        <v>5026</v>
      </c>
      <c r="M713">
        <v>4</v>
      </c>
      <c r="N713">
        <v>1</v>
      </c>
      <c r="O713">
        <v>1</v>
      </c>
    </row>
    <row r="714" spans="1:15" x14ac:dyDescent="0.3">
      <c r="A714" t="s">
        <v>727</v>
      </c>
      <c r="B714">
        <v>3</v>
      </c>
      <c r="C714">
        <v>42</v>
      </c>
      <c r="D714" t="s">
        <v>5016</v>
      </c>
      <c r="E714" t="s">
        <v>5019</v>
      </c>
      <c r="F714" t="s">
        <v>5022</v>
      </c>
      <c r="G714">
        <v>6.32</v>
      </c>
      <c r="H714">
        <v>4</v>
      </c>
      <c r="I714">
        <v>3.8</v>
      </c>
      <c r="J714">
        <v>12.71</v>
      </c>
      <c r="K714">
        <v>14.7</v>
      </c>
      <c r="L714" t="s">
        <v>5025</v>
      </c>
      <c r="M714">
        <v>9</v>
      </c>
      <c r="N714">
        <v>3</v>
      </c>
      <c r="O714">
        <v>1</v>
      </c>
    </row>
    <row r="715" spans="1:15" x14ac:dyDescent="0.3">
      <c r="A715" t="s">
        <v>728</v>
      </c>
      <c r="B715">
        <v>4</v>
      </c>
      <c r="C715">
        <v>19</v>
      </c>
      <c r="D715" t="s">
        <v>5015</v>
      </c>
      <c r="E715" t="s">
        <v>5018</v>
      </c>
      <c r="F715" t="s">
        <v>5020</v>
      </c>
      <c r="G715">
        <v>12.67</v>
      </c>
      <c r="H715">
        <v>4</v>
      </c>
      <c r="I715">
        <v>8.1999999999999993</v>
      </c>
      <c r="J715">
        <v>14.7</v>
      </c>
      <c r="K715">
        <v>53.3</v>
      </c>
      <c r="L715" t="s">
        <v>5028</v>
      </c>
      <c r="M715">
        <v>11</v>
      </c>
      <c r="N715">
        <v>3</v>
      </c>
      <c r="O715">
        <v>0</v>
      </c>
    </row>
    <row r="716" spans="1:15" x14ac:dyDescent="0.3">
      <c r="A716" t="s">
        <v>729</v>
      </c>
      <c r="B716">
        <v>9</v>
      </c>
      <c r="C716">
        <v>47</v>
      </c>
      <c r="D716" t="s">
        <v>5015</v>
      </c>
      <c r="E716" t="s">
        <v>5017</v>
      </c>
      <c r="F716" t="s">
        <v>5023</v>
      </c>
      <c r="G716">
        <v>19.989999999999998</v>
      </c>
      <c r="H716">
        <v>3</v>
      </c>
      <c r="I716">
        <v>5.7</v>
      </c>
      <c r="J716">
        <v>16.88</v>
      </c>
      <c r="K716">
        <v>43.1</v>
      </c>
      <c r="L716" t="s">
        <v>5028</v>
      </c>
      <c r="M716">
        <v>5</v>
      </c>
      <c r="N716">
        <v>4</v>
      </c>
      <c r="O716">
        <v>0</v>
      </c>
    </row>
    <row r="717" spans="1:15" x14ac:dyDescent="0.3">
      <c r="A717" t="s">
        <v>730</v>
      </c>
      <c r="B717">
        <v>2</v>
      </c>
      <c r="C717">
        <v>20</v>
      </c>
      <c r="D717" t="s">
        <v>5015</v>
      </c>
      <c r="E717" t="s">
        <v>5019</v>
      </c>
      <c r="F717" t="s">
        <v>5023</v>
      </c>
      <c r="G717">
        <v>23.26</v>
      </c>
      <c r="H717">
        <v>1</v>
      </c>
      <c r="I717">
        <v>1.8</v>
      </c>
      <c r="J717">
        <v>17.62</v>
      </c>
      <c r="K717">
        <v>28.4</v>
      </c>
      <c r="L717" t="s">
        <v>5026</v>
      </c>
      <c r="M717">
        <v>11</v>
      </c>
      <c r="N717">
        <v>3</v>
      </c>
      <c r="O717">
        <v>0</v>
      </c>
    </row>
    <row r="718" spans="1:15" x14ac:dyDescent="0.3">
      <c r="A718" t="s">
        <v>731</v>
      </c>
      <c r="B718">
        <v>9</v>
      </c>
      <c r="C718">
        <v>38</v>
      </c>
      <c r="D718" t="s">
        <v>5016</v>
      </c>
      <c r="E718" t="s">
        <v>5018</v>
      </c>
      <c r="F718" t="s">
        <v>5020</v>
      </c>
      <c r="G718">
        <v>5.59</v>
      </c>
      <c r="H718">
        <v>5</v>
      </c>
      <c r="I718">
        <v>6.2</v>
      </c>
      <c r="J718">
        <v>4.3899999999999997</v>
      </c>
      <c r="K718">
        <v>49.5</v>
      </c>
      <c r="L718" t="s">
        <v>5029</v>
      </c>
      <c r="M718">
        <v>9</v>
      </c>
      <c r="N718">
        <v>3</v>
      </c>
      <c r="O718">
        <v>0</v>
      </c>
    </row>
    <row r="719" spans="1:15" x14ac:dyDescent="0.3">
      <c r="A719" t="s">
        <v>732</v>
      </c>
      <c r="B719">
        <v>1</v>
      </c>
      <c r="C719">
        <v>42</v>
      </c>
      <c r="D719" t="s">
        <v>5016</v>
      </c>
      <c r="E719" t="s">
        <v>5017</v>
      </c>
      <c r="F719" t="s">
        <v>5022</v>
      </c>
      <c r="G719">
        <v>12.36</v>
      </c>
      <c r="H719">
        <v>1</v>
      </c>
      <c r="I719">
        <v>9.1999999999999993</v>
      </c>
      <c r="J719">
        <v>4.18</v>
      </c>
      <c r="K719">
        <v>49.9</v>
      </c>
      <c r="L719" t="s">
        <v>5026</v>
      </c>
      <c r="M719">
        <v>5</v>
      </c>
      <c r="N719">
        <v>2</v>
      </c>
      <c r="O719">
        <v>0</v>
      </c>
    </row>
    <row r="720" spans="1:15" x14ac:dyDescent="0.3">
      <c r="A720" t="s">
        <v>733</v>
      </c>
      <c r="B720">
        <v>1</v>
      </c>
      <c r="C720">
        <v>37</v>
      </c>
      <c r="D720" t="s">
        <v>5016</v>
      </c>
      <c r="E720" t="s">
        <v>5019</v>
      </c>
      <c r="F720" t="s">
        <v>5020</v>
      </c>
      <c r="G720">
        <v>9.48</v>
      </c>
      <c r="H720">
        <v>1</v>
      </c>
      <c r="I720">
        <v>2.4</v>
      </c>
      <c r="J720">
        <v>22.04</v>
      </c>
      <c r="K720">
        <v>82.8</v>
      </c>
      <c r="L720" t="s">
        <v>5029</v>
      </c>
      <c r="M720">
        <v>5</v>
      </c>
      <c r="N720">
        <v>2</v>
      </c>
      <c r="O720">
        <v>0</v>
      </c>
    </row>
    <row r="721" spans="1:15" x14ac:dyDescent="0.3">
      <c r="A721" t="s">
        <v>734</v>
      </c>
      <c r="B721">
        <v>5</v>
      </c>
      <c r="C721">
        <v>66</v>
      </c>
      <c r="D721" t="s">
        <v>5015</v>
      </c>
      <c r="E721" t="s">
        <v>5017</v>
      </c>
      <c r="F721" t="s">
        <v>5024</v>
      </c>
      <c r="G721">
        <v>21.3</v>
      </c>
      <c r="H721">
        <v>5</v>
      </c>
      <c r="I721">
        <v>3.9</v>
      </c>
      <c r="J721">
        <v>7.84</v>
      </c>
      <c r="K721">
        <v>88.2</v>
      </c>
      <c r="L721" t="s">
        <v>5028</v>
      </c>
      <c r="M721">
        <v>9</v>
      </c>
      <c r="N721">
        <v>3</v>
      </c>
      <c r="O721">
        <v>0</v>
      </c>
    </row>
    <row r="722" spans="1:15" x14ac:dyDescent="0.3">
      <c r="A722" t="s">
        <v>735</v>
      </c>
      <c r="B722">
        <v>6</v>
      </c>
      <c r="C722">
        <v>69</v>
      </c>
      <c r="D722" t="s">
        <v>5016</v>
      </c>
      <c r="E722" t="s">
        <v>5019</v>
      </c>
      <c r="F722" t="s">
        <v>5020</v>
      </c>
      <c r="G722">
        <v>21.92</v>
      </c>
      <c r="H722">
        <v>4</v>
      </c>
      <c r="I722">
        <v>5</v>
      </c>
      <c r="J722">
        <v>15.85</v>
      </c>
      <c r="K722">
        <v>69.099999999999994</v>
      </c>
      <c r="L722" t="s">
        <v>5028</v>
      </c>
      <c r="M722">
        <v>6</v>
      </c>
      <c r="N722">
        <v>4</v>
      </c>
      <c r="O722">
        <v>1</v>
      </c>
    </row>
    <row r="723" spans="1:15" x14ac:dyDescent="0.3">
      <c r="A723" t="s">
        <v>736</v>
      </c>
      <c r="B723">
        <v>6</v>
      </c>
      <c r="C723">
        <v>39</v>
      </c>
      <c r="D723" t="s">
        <v>5015</v>
      </c>
      <c r="E723" t="s">
        <v>5019</v>
      </c>
      <c r="F723" t="s">
        <v>5020</v>
      </c>
      <c r="G723">
        <v>9.1300000000000008</v>
      </c>
      <c r="H723">
        <v>3</v>
      </c>
      <c r="I723">
        <v>3.5</v>
      </c>
      <c r="J723">
        <v>16.739999999999998</v>
      </c>
      <c r="K723">
        <v>67</v>
      </c>
      <c r="L723" t="s">
        <v>5029</v>
      </c>
      <c r="M723">
        <v>3</v>
      </c>
      <c r="N723">
        <v>2</v>
      </c>
      <c r="O723">
        <v>0</v>
      </c>
    </row>
    <row r="724" spans="1:15" x14ac:dyDescent="0.3">
      <c r="A724" t="s">
        <v>737</v>
      </c>
      <c r="B724">
        <v>3</v>
      </c>
      <c r="C724">
        <v>38</v>
      </c>
      <c r="D724" t="s">
        <v>5016</v>
      </c>
      <c r="E724" t="s">
        <v>5018</v>
      </c>
      <c r="F724" t="s">
        <v>5024</v>
      </c>
      <c r="G724">
        <v>19.22</v>
      </c>
      <c r="H724">
        <v>2</v>
      </c>
      <c r="I724">
        <v>9.5</v>
      </c>
      <c r="J724">
        <v>6.62</v>
      </c>
      <c r="K724">
        <v>19.899999999999999</v>
      </c>
      <c r="L724" t="s">
        <v>5025</v>
      </c>
      <c r="M724">
        <v>5</v>
      </c>
      <c r="N724">
        <v>2</v>
      </c>
      <c r="O724">
        <v>1</v>
      </c>
    </row>
    <row r="725" spans="1:15" x14ac:dyDescent="0.3">
      <c r="A725" t="s">
        <v>738</v>
      </c>
      <c r="B725">
        <v>7</v>
      </c>
      <c r="C725">
        <v>50</v>
      </c>
      <c r="D725" t="s">
        <v>5016</v>
      </c>
      <c r="E725" t="s">
        <v>5019</v>
      </c>
      <c r="F725" t="s">
        <v>5023</v>
      </c>
      <c r="G725">
        <v>19.64</v>
      </c>
      <c r="H725">
        <v>4</v>
      </c>
      <c r="I725">
        <v>4.4000000000000004</v>
      </c>
      <c r="J725">
        <v>19.760000000000002</v>
      </c>
      <c r="K725">
        <v>61.8</v>
      </c>
      <c r="L725" t="s">
        <v>5025</v>
      </c>
      <c r="M725">
        <v>1</v>
      </c>
      <c r="N725">
        <v>3</v>
      </c>
      <c r="O725">
        <v>0</v>
      </c>
    </row>
    <row r="726" spans="1:15" x14ac:dyDescent="0.3">
      <c r="A726" t="s">
        <v>739</v>
      </c>
      <c r="B726">
        <v>9</v>
      </c>
      <c r="C726">
        <v>69</v>
      </c>
      <c r="D726" t="s">
        <v>5016</v>
      </c>
      <c r="E726" t="s">
        <v>5019</v>
      </c>
      <c r="F726" t="s">
        <v>5024</v>
      </c>
      <c r="G726">
        <v>8.5399999999999991</v>
      </c>
      <c r="H726">
        <v>3</v>
      </c>
      <c r="I726">
        <v>6.9</v>
      </c>
      <c r="J726">
        <v>22.05</v>
      </c>
      <c r="K726">
        <v>34.700000000000003</v>
      </c>
      <c r="L726" t="s">
        <v>5026</v>
      </c>
      <c r="M726">
        <v>9</v>
      </c>
      <c r="N726">
        <v>4</v>
      </c>
      <c r="O726">
        <v>0</v>
      </c>
    </row>
    <row r="727" spans="1:15" x14ac:dyDescent="0.3">
      <c r="A727" t="s">
        <v>740</v>
      </c>
      <c r="B727">
        <v>11</v>
      </c>
      <c r="C727">
        <v>55</v>
      </c>
      <c r="D727" t="s">
        <v>5015</v>
      </c>
      <c r="E727" t="s">
        <v>5017</v>
      </c>
      <c r="F727" t="s">
        <v>5021</v>
      </c>
      <c r="G727">
        <v>13.67</v>
      </c>
      <c r="H727">
        <v>4</v>
      </c>
      <c r="I727">
        <v>3</v>
      </c>
      <c r="J727">
        <v>9.2799999999999994</v>
      </c>
      <c r="K727">
        <v>36.5</v>
      </c>
      <c r="L727" t="s">
        <v>5028</v>
      </c>
      <c r="M727">
        <v>10</v>
      </c>
      <c r="N727">
        <v>3</v>
      </c>
      <c r="O727">
        <v>1</v>
      </c>
    </row>
    <row r="728" spans="1:15" x14ac:dyDescent="0.3">
      <c r="A728" t="s">
        <v>741</v>
      </c>
      <c r="B728">
        <v>12</v>
      </c>
      <c r="C728">
        <v>32</v>
      </c>
      <c r="D728" t="s">
        <v>5016</v>
      </c>
      <c r="E728" t="s">
        <v>5018</v>
      </c>
      <c r="F728" t="s">
        <v>5020</v>
      </c>
      <c r="G728">
        <v>17.41</v>
      </c>
      <c r="H728">
        <v>5</v>
      </c>
      <c r="I728">
        <v>3</v>
      </c>
      <c r="J728">
        <v>22.31</v>
      </c>
      <c r="K728">
        <v>18.5</v>
      </c>
      <c r="L728" t="s">
        <v>5025</v>
      </c>
      <c r="M728">
        <v>10</v>
      </c>
      <c r="N728">
        <v>0</v>
      </c>
      <c r="O728">
        <v>1</v>
      </c>
    </row>
    <row r="729" spans="1:15" x14ac:dyDescent="0.3">
      <c r="A729" t="s">
        <v>742</v>
      </c>
      <c r="B729">
        <v>10</v>
      </c>
      <c r="C729">
        <v>63</v>
      </c>
      <c r="D729" t="s">
        <v>5015</v>
      </c>
      <c r="E729" t="s">
        <v>5017</v>
      </c>
      <c r="F729" t="s">
        <v>5020</v>
      </c>
      <c r="G729">
        <v>5.52</v>
      </c>
      <c r="H729">
        <v>1</v>
      </c>
      <c r="I729">
        <v>2.6</v>
      </c>
      <c r="J729">
        <v>4.78</v>
      </c>
      <c r="K729">
        <v>67.2</v>
      </c>
      <c r="L729" t="s">
        <v>5028</v>
      </c>
      <c r="M729">
        <v>11</v>
      </c>
      <c r="N729">
        <v>0</v>
      </c>
      <c r="O729">
        <v>1</v>
      </c>
    </row>
    <row r="730" spans="1:15" x14ac:dyDescent="0.3">
      <c r="A730" t="s">
        <v>743</v>
      </c>
      <c r="B730">
        <v>8</v>
      </c>
      <c r="C730">
        <v>69</v>
      </c>
      <c r="D730" t="s">
        <v>5016</v>
      </c>
      <c r="E730" t="s">
        <v>5018</v>
      </c>
      <c r="F730" t="s">
        <v>5023</v>
      </c>
      <c r="G730">
        <v>13.09</v>
      </c>
      <c r="H730">
        <v>5</v>
      </c>
      <c r="I730">
        <v>4.9000000000000004</v>
      </c>
      <c r="J730">
        <v>20.61</v>
      </c>
      <c r="K730">
        <v>62.5</v>
      </c>
      <c r="L730" t="s">
        <v>5026</v>
      </c>
      <c r="M730">
        <v>7</v>
      </c>
      <c r="N730">
        <v>4</v>
      </c>
      <c r="O730">
        <v>1</v>
      </c>
    </row>
    <row r="731" spans="1:15" x14ac:dyDescent="0.3">
      <c r="A731" t="s">
        <v>744</v>
      </c>
      <c r="B731">
        <v>6</v>
      </c>
      <c r="C731">
        <v>32</v>
      </c>
      <c r="D731" t="s">
        <v>5016</v>
      </c>
      <c r="E731" t="s">
        <v>5019</v>
      </c>
      <c r="F731" t="s">
        <v>5022</v>
      </c>
      <c r="G731">
        <v>8.1</v>
      </c>
      <c r="H731">
        <v>2</v>
      </c>
      <c r="I731">
        <v>5.8</v>
      </c>
      <c r="J731">
        <v>17.079999999999998</v>
      </c>
      <c r="K731">
        <v>29.8</v>
      </c>
      <c r="L731" t="s">
        <v>5027</v>
      </c>
      <c r="M731">
        <v>1</v>
      </c>
      <c r="N731">
        <v>0</v>
      </c>
      <c r="O731">
        <v>1</v>
      </c>
    </row>
    <row r="732" spans="1:15" x14ac:dyDescent="0.3">
      <c r="A732" t="s">
        <v>745</v>
      </c>
      <c r="B732">
        <v>12</v>
      </c>
      <c r="C732">
        <v>63</v>
      </c>
      <c r="D732" t="s">
        <v>5015</v>
      </c>
      <c r="E732" t="s">
        <v>5018</v>
      </c>
      <c r="F732" t="s">
        <v>5024</v>
      </c>
      <c r="G732">
        <v>15.84</v>
      </c>
      <c r="H732">
        <v>5</v>
      </c>
      <c r="I732">
        <v>1.1000000000000001</v>
      </c>
      <c r="J732">
        <v>15.83</v>
      </c>
      <c r="K732">
        <v>33.700000000000003</v>
      </c>
      <c r="L732" t="s">
        <v>5028</v>
      </c>
      <c r="M732">
        <v>11</v>
      </c>
      <c r="N732">
        <v>4</v>
      </c>
      <c r="O732">
        <v>0</v>
      </c>
    </row>
    <row r="733" spans="1:15" x14ac:dyDescent="0.3">
      <c r="A733" t="s">
        <v>746</v>
      </c>
      <c r="B733">
        <v>8</v>
      </c>
      <c r="C733">
        <v>42</v>
      </c>
      <c r="D733" t="s">
        <v>5016</v>
      </c>
      <c r="E733" t="s">
        <v>5018</v>
      </c>
      <c r="F733" t="s">
        <v>5022</v>
      </c>
      <c r="G733">
        <v>21.86</v>
      </c>
      <c r="H733">
        <v>1</v>
      </c>
      <c r="I733">
        <v>8.5</v>
      </c>
      <c r="J733">
        <v>8.06</v>
      </c>
      <c r="K733">
        <v>79.599999999999994</v>
      </c>
      <c r="L733" t="s">
        <v>5027</v>
      </c>
      <c r="M733">
        <v>11</v>
      </c>
      <c r="N733">
        <v>0</v>
      </c>
      <c r="O733">
        <v>0</v>
      </c>
    </row>
    <row r="734" spans="1:15" x14ac:dyDescent="0.3">
      <c r="A734" t="s">
        <v>747</v>
      </c>
      <c r="B734">
        <v>12</v>
      </c>
      <c r="C734">
        <v>38</v>
      </c>
      <c r="D734" t="s">
        <v>5016</v>
      </c>
      <c r="E734" t="s">
        <v>5018</v>
      </c>
      <c r="F734" t="s">
        <v>5021</v>
      </c>
      <c r="G734">
        <v>15.5</v>
      </c>
      <c r="H734">
        <v>4</v>
      </c>
      <c r="I734">
        <v>5.6</v>
      </c>
      <c r="J734">
        <v>10.96</v>
      </c>
      <c r="K734">
        <v>81.400000000000006</v>
      </c>
      <c r="L734" t="s">
        <v>5028</v>
      </c>
      <c r="M734">
        <v>4</v>
      </c>
      <c r="N734">
        <v>1</v>
      </c>
      <c r="O734">
        <v>0</v>
      </c>
    </row>
    <row r="735" spans="1:15" x14ac:dyDescent="0.3">
      <c r="A735" t="s">
        <v>748</v>
      </c>
      <c r="B735">
        <v>5</v>
      </c>
      <c r="C735">
        <v>41</v>
      </c>
      <c r="D735" t="s">
        <v>5016</v>
      </c>
      <c r="E735" t="s">
        <v>5019</v>
      </c>
      <c r="F735" t="s">
        <v>5024</v>
      </c>
      <c r="G735">
        <v>5.72</v>
      </c>
      <c r="H735">
        <v>3</v>
      </c>
      <c r="I735">
        <v>2.4</v>
      </c>
      <c r="J735">
        <v>23.03</v>
      </c>
      <c r="K735">
        <v>54.4</v>
      </c>
      <c r="L735" t="s">
        <v>5029</v>
      </c>
      <c r="M735">
        <v>2</v>
      </c>
      <c r="N735">
        <v>2</v>
      </c>
      <c r="O735">
        <v>0</v>
      </c>
    </row>
    <row r="736" spans="1:15" x14ac:dyDescent="0.3">
      <c r="A736" t="s">
        <v>749</v>
      </c>
      <c r="B736">
        <v>8</v>
      </c>
      <c r="C736">
        <v>22</v>
      </c>
      <c r="D736" t="s">
        <v>5016</v>
      </c>
      <c r="E736" t="s">
        <v>5017</v>
      </c>
      <c r="F736" t="s">
        <v>5021</v>
      </c>
      <c r="G736">
        <v>5.59</v>
      </c>
      <c r="H736">
        <v>2</v>
      </c>
      <c r="I736">
        <v>1.6</v>
      </c>
      <c r="J736">
        <v>13.25</v>
      </c>
      <c r="K736">
        <v>23.4</v>
      </c>
      <c r="L736" t="s">
        <v>5027</v>
      </c>
      <c r="M736">
        <v>3</v>
      </c>
      <c r="N736">
        <v>3</v>
      </c>
      <c r="O736">
        <v>0</v>
      </c>
    </row>
    <row r="737" spans="1:15" x14ac:dyDescent="0.3">
      <c r="A737" t="s">
        <v>750</v>
      </c>
      <c r="B737">
        <v>10</v>
      </c>
      <c r="C737">
        <v>23</v>
      </c>
      <c r="D737" t="s">
        <v>5015</v>
      </c>
      <c r="E737" t="s">
        <v>5018</v>
      </c>
      <c r="F737" t="s">
        <v>5021</v>
      </c>
      <c r="G737">
        <v>17.11</v>
      </c>
      <c r="H737">
        <v>4</v>
      </c>
      <c r="I737">
        <v>1.6</v>
      </c>
      <c r="J737">
        <v>16.079999999999998</v>
      </c>
      <c r="K737">
        <v>15</v>
      </c>
      <c r="L737" t="s">
        <v>5029</v>
      </c>
      <c r="M737">
        <v>4</v>
      </c>
      <c r="N737">
        <v>4</v>
      </c>
      <c r="O737">
        <v>0</v>
      </c>
    </row>
    <row r="738" spans="1:15" x14ac:dyDescent="0.3">
      <c r="A738" t="s">
        <v>751</v>
      </c>
      <c r="B738">
        <v>12</v>
      </c>
      <c r="C738">
        <v>66</v>
      </c>
      <c r="D738" t="s">
        <v>5015</v>
      </c>
      <c r="E738" t="s">
        <v>5017</v>
      </c>
      <c r="F738" t="s">
        <v>5021</v>
      </c>
      <c r="G738">
        <v>11.56</v>
      </c>
      <c r="H738">
        <v>3</v>
      </c>
      <c r="I738">
        <v>3.3</v>
      </c>
      <c r="J738">
        <v>23.59</v>
      </c>
      <c r="K738">
        <v>34.4</v>
      </c>
      <c r="L738" t="s">
        <v>5029</v>
      </c>
      <c r="M738">
        <v>2</v>
      </c>
      <c r="N738">
        <v>0</v>
      </c>
      <c r="O738">
        <v>0</v>
      </c>
    </row>
    <row r="739" spans="1:15" x14ac:dyDescent="0.3">
      <c r="A739" t="s">
        <v>752</v>
      </c>
      <c r="B739">
        <v>4</v>
      </c>
      <c r="C739">
        <v>60</v>
      </c>
      <c r="D739" t="s">
        <v>5016</v>
      </c>
      <c r="E739" t="s">
        <v>5018</v>
      </c>
      <c r="F739" t="s">
        <v>5024</v>
      </c>
      <c r="G739">
        <v>16.45</v>
      </c>
      <c r="H739">
        <v>1</v>
      </c>
      <c r="I739">
        <v>5.5</v>
      </c>
      <c r="J739">
        <v>13.26</v>
      </c>
      <c r="K739">
        <v>75.8</v>
      </c>
      <c r="L739" t="s">
        <v>5026</v>
      </c>
      <c r="M739">
        <v>10</v>
      </c>
      <c r="N739">
        <v>1</v>
      </c>
      <c r="O739">
        <v>0</v>
      </c>
    </row>
    <row r="740" spans="1:15" x14ac:dyDescent="0.3">
      <c r="A740" t="s">
        <v>753</v>
      </c>
      <c r="B740">
        <v>10</v>
      </c>
      <c r="C740">
        <v>65</v>
      </c>
      <c r="D740" t="s">
        <v>5016</v>
      </c>
      <c r="E740" t="s">
        <v>5017</v>
      </c>
      <c r="F740" t="s">
        <v>5024</v>
      </c>
      <c r="G740">
        <v>8.27</v>
      </c>
      <c r="H740">
        <v>5</v>
      </c>
      <c r="I740">
        <v>8.6999999999999993</v>
      </c>
      <c r="J740">
        <v>11.54</v>
      </c>
      <c r="K740">
        <v>64.099999999999994</v>
      </c>
      <c r="L740" t="s">
        <v>5026</v>
      </c>
      <c r="M740">
        <v>1</v>
      </c>
      <c r="N740">
        <v>0</v>
      </c>
      <c r="O740">
        <v>1</v>
      </c>
    </row>
    <row r="741" spans="1:15" x14ac:dyDescent="0.3">
      <c r="A741" t="s">
        <v>754</v>
      </c>
      <c r="B741">
        <v>8</v>
      </c>
      <c r="C741">
        <v>61</v>
      </c>
      <c r="D741" t="s">
        <v>5015</v>
      </c>
      <c r="E741" t="s">
        <v>5018</v>
      </c>
      <c r="F741" t="s">
        <v>5023</v>
      </c>
      <c r="G741">
        <v>20.54</v>
      </c>
      <c r="H741">
        <v>4</v>
      </c>
      <c r="I741">
        <v>9.1</v>
      </c>
      <c r="J741">
        <v>22.65</v>
      </c>
      <c r="K741">
        <v>74.599999999999994</v>
      </c>
      <c r="L741" t="s">
        <v>5025</v>
      </c>
      <c r="M741">
        <v>11</v>
      </c>
      <c r="N741">
        <v>1</v>
      </c>
      <c r="O741">
        <v>0</v>
      </c>
    </row>
    <row r="742" spans="1:15" x14ac:dyDescent="0.3">
      <c r="A742" t="s">
        <v>755</v>
      </c>
      <c r="B742">
        <v>10</v>
      </c>
      <c r="C742">
        <v>64</v>
      </c>
      <c r="D742" t="s">
        <v>5016</v>
      </c>
      <c r="E742" t="s">
        <v>5017</v>
      </c>
      <c r="F742" t="s">
        <v>5020</v>
      </c>
      <c r="G742">
        <v>22.21</v>
      </c>
      <c r="H742">
        <v>3</v>
      </c>
      <c r="I742">
        <v>8.5</v>
      </c>
      <c r="J742">
        <v>23.04</v>
      </c>
      <c r="K742">
        <v>52.5</v>
      </c>
      <c r="L742" t="s">
        <v>5027</v>
      </c>
      <c r="M742">
        <v>4</v>
      </c>
      <c r="N742">
        <v>3</v>
      </c>
      <c r="O742">
        <v>1</v>
      </c>
    </row>
    <row r="743" spans="1:15" x14ac:dyDescent="0.3">
      <c r="A743" t="s">
        <v>756</v>
      </c>
      <c r="B743">
        <v>12</v>
      </c>
      <c r="C743">
        <v>40</v>
      </c>
      <c r="D743" t="s">
        <v>5015</v>
      </c>
      <c r="E743" t="s">
        <v>5017</v>
      </c>
      <c r="F743" t="s">
        <v>5022</v>
      </c>
      <c r="G743">
        <v>22.78</v>
      </c>
      <c r="H743">
        <v>3</v>
      </c>
      <c r="I743">
        <v>4</v>
      </c>
      <c r="J743">
        <v>10.8</v>
      </c>
      <c r="K743">
        <v>77.900000000000006</v>
      </c>
      <c r="L743" t="s">
        <v>5025</v>
      </c>
      <c r="M743">
        <v>9</v>
      </c>
      <c r="N743">
        <v>2</v>
      </c>
      <c r="O743">
        <v>1</v>
      </c>
    </row>
    <row r="744" spans="1:15" x14ac:dyDescent="0.3">
      <c r="A744" t="s">
        <v>757</v>
      </c>
      <c r="B744">
        <v>2</v>
      </c>
      <c r="C744">
        <v>21</v>
      </c>
      <c r="D744" t="s">
        <v>5016</v>
      </c>
      <c r="E744" t="s">
        <v>5019</v>
      </c>
      <c r="F744" t="s">
        <v>5022</v>
      </c>
      <c r="G744">
        <v>11.08</v>
      </c>
      <c r="H744">
        <v>5</v>
      </c>
      <c r="I744">
        <v>3.8</v>
      </c>
      <c r="J744">
        <v>16.02</v>
      </c>
      <c r="K744">
        <v>53.3</v>
      </c>
      <c r="L744" t="s">
        <v>5027</v>
      </c>
      <c r="M744">
        <v>11</v>
      </c>
      <c r="N744">
        <v>2</v>
      </c>
      <c r="O744">
        <v>0</v>
      </c>
    </row>
    <row r="745" spans="1:15" x14ac:dyDescent="0.3">
      <c r="A745" t="s">
        <v>758</v>
      </c>
      <c r="B745">
        <v>12</v>
      </c>
      <c r="C745">
        <v>44</v>
      </c>
      <c r="D745" t="s">
        <v>5015</v>
      </c>
      <c r="E745" t="s">
        <v>5017</v>
      </c>
      <c r="F745" t="s">
        <v>5021</v>
      </c>
      <c r="G745">
        <v>18.21</v>
      </c>
      <c r="H745">
        <v>4</v>
      </c>
      <c r="I745">
        <v>9.9</v>
      </c>
      <c r="J745">
        <v>24.2</v>
      </c>
      <c r="K745">
        <v>17.600000000000001</v>
      </c>
      <c r="L745" t="s">
        <v>5026</v>
      </c>
      <c r="M745">
        <v>11</v>
      </c>
      <c r="N745">
        <v>1</v>
      </c>
      <c r="O745">
        <v>0</v>
      </c>
    </row>
    <row r="746" spans="1:15" x14ac:dyDescent="0.3">
      <c r="A746" t="s">
        <v>759</v>
      </c>
      <c r="B746">
        <v>12</v>
      </c>
      <c r="C746">
        <v>35</v>
      </c>
      <c r="D746" t="s">
        <v>5015</v>
      </c>
      <c r="E746" t="s">
        <v>5018</v>
      </c>
      <c r="F746" t="s">
        <v>5024</v>
      </c>
      <c r="G746">
        <v>10.58</v>
      </c>
      <c r="H746">
        <v>4</v>
      </c>
      <c r="I746">
        <v>7.1</v>
      </c>
      <c r="J746">
        <v>4.22</v>
      </c>
      <c r="K746">
        <v>17.2</v>
      </c>
      <c r="L746" t="s">
        <v>5026</v>
      </c>
      <c r="M746">
        <v>9</v>
      </c>
      <c r="N746">
        <v>0</v>
      </c>
      <c r="O746">
        <v>0</v>
      </c>
    </row>
    <row r="747" spans="1:15" x14ac:dyDescent="0.3">
      <c r="A747" t="s">
        <v>760</v>
      </c>
      <c r="B747">
        <v>5</v>
      </c>
      <c r="C747">
        <v>38</v>
      </c>
      <c r="D747" t="s">
        <v>5015</v>
      </c>
      <c r="E747" t="s">
        <v>5017</v>
      </c>
      <c r="F747" t="s">
        <v>5024</v>
      </c>
      <c r="G747">
        <v>20.260000000000002</v>
      </c>
      <c r="H747">
        <v>1</v>
      </c>
      <c r="I747">
        <v>3.7</v>
      </c>
      <c r="J747">
        <v>3.88</v>
      </c>
      <c r="K747">
        <v>84.8</v>
      </c>
      <c r="L747" t="s">
        <v>5026</v>
      </c>
      <c r="M747">
        <v>9</v>
      </c>
      <c r="N747">
        <v>2</v>
      </c>
      <c r="O747">
        <v>0</v>
      </c>
    </row>
    <row r="748" spans="1:15" x14ac:dyDescent="0.3">
      <c r="A748" t="s">
        <v>761</v>
      </c>
      <c r="B748">
        <v>9</v>
      </c>
      <c r="C748">
        <v>45</v>
      </c>
      <c r="D748" t="s">
        <v>5015</v>
      </c>
      <c r="E748" t="s">
        <v>5018</v>
      </c>
      <c r="F748" t="s">
        <v>5021</v>
      </c>
      <c r="G748">
        <v>7.41</v>
      </c>
      <c r="H748">
        <v>4</v>
      </c>
      <c r="I748">
        <v>4</v>
      </c>
      <c r="J748">
        <v>14.36</v>
      </c>
      <c r="K748">
        <v>66.7</v>
      </c>
      <c r="L748" t="s">
        <v>5027</v>
      </c>
      <c r="M748">
        <v>3</v>
      </c>
      <c r="N748">
        <v>0</v>
      </c>
      <c r="O748">
        <v>0</v>
      </c>
    </row>
    <row r="749" spans="1:15" x14ac:dyDescent="0.3">
      <c r="A749" t="s">
        <v>762</v>
      </c>
      <c r="B749">
        <v>4</v>
      </c>
      <c r="C749">
        <v>52</v>
      </c>
      <c r="D749" t="s">
        <v>5016</v>
      </c>
      <c r="E749" t="s">
        <v>5018</v>
      </c>
      <c r="F749" t="s">
        <v>5020</v>
      </c>
      <c r="G749">
        <v>20.260000000000002</v>
      </c>
      <c r="H749">
        <v>5</v>
      </c>
      <c r="I749">
        <v>4.9000000000000004</v>
      </c>
      <c r="J749">
        <v>9.41</v>
      </c>
      <c r="K749">
        <v>35.1</v>
      </c>
      <c r="L749" t="s">
        <v>5026</v>
      </c>
      <c r="M749">
        <v>1</v>
      </c>
      <c r="N749">
        <v>4</v>
      </c>
      <c r="O749">
        <v>0</v>
      </c>
    </row>
    <row r="750" spans="1:15" x14ac:dyDescent="0.3">
      <c r="A750" t="s">
        <v>763</v>
      </c>
      <c r="B750">
        <v>11</v>
      </c>
      <c r="C750">
        <v>39</v>
      </c>
      <c r="D750" t="s">
        <v>5016</v>
      </c>
      <c r="E750" t="s">
        <v>5018</v>
      </c>
      <c r="F750" t="s">
        <v>5022</v>
      </c>
      <c r="G750">
        <v>13.79</v>
      </c>
      <c r="H750">
        <v>4</v>
      </c>
      <c r="I750">
        <v>6.6</v>
      </c>
      <c r="J750">
        <v>15.8</v>
      </c>
      <c r="K750">
        <v>78.099999999999994</v>
      </c>
      <c r="L750" t="s">
        <v>5025</v>
      </c>
      <c r="M750">
        <v>1</v>
      </c>
      <c r="N750">
        <v>0</v>
      </c>
      <c r="O750">
        <v>1</v>
      </c>
    </row>
    <row r="751" spans="1:15" x14ac:dyDescent="0.3">
      <c r="A751" t="s">
        <v>764</v>
      </c>
      <c r="B751">
        <v>6</v>
      </c>
      <c r="C751">
        <v>57</v>
      </c>
      <c r="D751" t="s">
        <v>5015</v>
      </c>
      <c r="E751" t="s">
        <v>5017</v>
      </c>
      <c r="F751" t="s">
        <v>5023</v>
      </c>
      <c r="G751">
        <v>22.11</v>
      </c>
      <c r="H751">
        <v>1</v>
      </c>
      <c r="I751">
        <v>9.1</v>
      </c>
      <c r="J751">
        <v>18.93</v>
      </c>
      <c r="K751">
        <v>22.2</v>
      </c>
      <c r="L751" t="s">
        <v>5029</v>
      </c>
      <c r="M751">
        <v>3</v>
      </c>
      <c r="N751">
        <v>4</v>
      </c>
      <c r="O751">
        <v>0</v>
      </c>
    </row>
    <row r="752" spans="1:15" x14ac:dyDescent="0.3">
      <c r="A752" t="s">
        <v>765</v>
      </c>
      <c r="B752">
        <v>1</v>
      </c>
      <c r="C752">
        <v>40</v>
      </c>
      <c r="D752" t="s">
        <v>5015</v>
      </c>
      <c r="E752" t="s">
        <v>5018</v>
      </c>
      <c r="F752" t="s">
        <v>5020</v>
      </c>
      <c r="G752">
        <v>19.78</v>
      </c>
      <c r="H752">
        <v>3</v>
      </c>
      <c r="I752">
        <v>2.8</v>
      </c>
      <c r="J752">
        <v>4.5199999999999996</v>
      </c>
      <c r="K752">
        <v>68.099999999999994</v>
      </c>
      <c r="L752" t="s">
        <v>5027</v>
      </c>
      <c r="M752">
        <v>10</v>
      </c>
      <c r="N752">
        <v>4</v>
      </c>
      <c r="O752">
        <v>0</v>
      </c>
    </row>
    <row r="753" spans="1:15" x14ac:dyDescent="0.3">
      <c r="A753" t="s">
        <v>766</v>
      </c>
      <c r="B753">
        <v>9</v>
      </c>
      <c r="C753">
        <v>20</v>
      </c>
      <c r="D753" t="s">
        <v>5015</v>
      </c>
      <c r="E753" t="s">
        <v>5018</v>
      </c>
      <c r="F753" t="s">
        <v>5024</v>
      </c>
      <c r="G753">
        <v>12.53</v>
      </c>
      <c r="H753">
        <v>4</v>
      </c>
      <c r="I753">
        <v>1.8</v>
      </c>
      <c r="J753">
        <v>22.41</v>
      </c>
      <c r="K753">
        <v>99.1</v>
      </c>
      <c r="L753" t="s">
        <v>5029</v>
      </c>
      <c r="M753">
        <v>8</v>
      </c>
      <c r="N753">
        <v>2</v>
      </c>
      <c r="O753">
        <v>1</v>
      </c>
    </row>
    <row r="754" spans="1:15" x14ac:dyDescent="0.3">
      <c r="A754" t="s">
        <v>767</v>
      </c>
      <c r="B754">
        <v>1</v>
      </c>
      <c r="C754">
        <v>57</v>
      </c>
      <c r="D754" t="s">
        <v>5015</v>
      </c>
      <c r="E754" t="s">
        <v>5019</v>
      </c>
      <c r="F754" t="s">
        <v>5021</v>
      </c>
      <c r="G754">
        <v>23.07</v>
      </c>
      <c r="H754">
        <v>5</v>
      </c>
      <c r="I754">
        <v>4.7</v>
      </c>
      <c r="J754">
        <v>9.09</v>
      </c>
      <c r="K754">
        <v>23.5</v>
      </c>
      <c r="L754" t="s">
        <v>5025</v>
      </c>
      <c r="M754">
        <v>4</v>
      </c>
      <c r="N754">
        <v>4</v>
      </c>
      <c r="O754">
        <v>0</v>
      </c>
    </row>
    <row r="755" spans="1:15" x14ac:dyDescent="0.3">
      <c r="A755" t="s">
        <v>768</v>
      </c>
      <c r="B755">
        <v>5</v>
      </c>
      <c r="C755">
        <v>67</v>
      </c>
      <c r="D755" t="s">
        <v>5016</v>
      </c>
      <c r="E755" t="s">
        <v>5018</v>
      </c>
      <c r="F755" t="s">
        <v>5022</v>
      </c>
      <c r="G755">
        <v>10.67</v>
      </c>
      <c r="H755">
        <v>4</v>
      </c>
      <c r="I755">
        <v>3.2</v>
      </c>
      <c r="J755">
        <v>11.39</v>
      </c>
      <c r="K755">
        <v>22.8</v>
      </c>
      <c r="L755" t="s">
        <v>5028</v>
      </c>
      <c r="M755">
        <v>11</v>
      </c>
      <c r="N755">
        <v>0</v>
      </c>
      <c r="O755">
        <v>0</v>
      </c>
    </row>
    <row r="756" spans="1:15" x14ac:dyDescent="0.3">
      <c r="A756" t="s">
        <v>769</v>
      </c>
      <c r="B756">
        <v>4</v>
      </c>
      <c r="C756">
        <v>27</v>
      </c>
      <c r="D756" t="s">
        <v>5015</v>
      </c>
      <c r="E756" t="s">
        <v>5018</v>
      </c>
      <c r="F756" t="s">
        <v>5021</v>
      </c>
      <c r="G756">
        <v>24.34</v>
      </c>
      <c r="H756">
        <v>2</v>
      </c>
      <c r="I756">
        <v>6.2</v>
      </c>
      <c r="J756">
        <v>10.41</v>
      </c>
      <c r="K756">
        <v>52.1</v>
      </c>
      <c r="L756" t="s">
        <v>5026</v>
      </c>
      <c r="M756">
        <v>8</v>
      </c>
      <c r="N756">
        <v>3</v>
      </c>
      <c r="O756">
        <v>0</v>
      </c>
    </row>
    <row r="757" spans="1:15" x14ac:dyDescent="0.3">
      <c r="A757" t="s">
        <v>770</v>
      </c>
      <c r="B757">
        <v>12</v>
      </c>
      <c r="C757">
        <v>42</v>
      </c>
      <c r="D757" t="s">
        <v>5015</v>
      </c>
      <c r="E757" t="s">
        <v>5017</v>
      </c>
      <c r="F757" t="s">
        <v>5024</v>
      </c>
      <c r="G757">
        <v>20.34</v>
      </c>
      <c r="H757">
        <v>1</v>
      </c>
      <c r="I757">
        <v>7.3</v>
      </c>
      <c r="J757">
        <v>21.48</v>
      </c>
      <c r="K757">
        <v>67.8</v>
      </c>
      <c r="L757" t="s">
        <v>5025</v>
      </c>
      <c r="M757">
        <v>7</v>
      </c>
      <c r="N757">
        <v>0</v>
      </c>
      <c r="O757">
        <v>0</v>
      </c>
    </row>
    <row r="758" spans="1:15" x14ac:dyDescent="0.3">
      <c r="A758" t="s">
        <v>771</v>
      </c>
      <c r="B758">
        <v>3</v>
      </c>
      <c r="C758">
        <v>69</v>
      </c>
      <c r="D758" t="s">
        <v>5015</v>
      </c>
      <c r="E758" t="s">
        <v>5017</v>
      </c>
      <c r="F758" t="s">
        <v>5021</v>
      </c>
      <c r="G758">
        <v>24.81</v>
      </c>
      <c r="H758">
        <v>3</v>
      </c>
      <c r="I758">
        <v>3.8</v>
      </c>
      <c r="J758">
        <v>6.75</v>
      </c>
      <c r="K758">
        <v>12.4</v>
      </c>
      <c r="L758" t="s">
        <v>5028</v>
      </c>
      <c r="M758">
        <v>8</v>
      </c>
      <c r="N758">
        <v>1</v>
      </c>
      <c r="O758">
        <v>1</v>
      </c>
    </row>
    <row r="759" spans="1:15" x14ac:dyDescent="0.3">
      <c r="A759" t="s">
        <v>772</v>
      </c>
      <c r="B759">
        <v>6</v>
      </c>
      <c r="C759">
        <v>66</v>
      </c>
      <c r="D759" t="s">
        <v>5015</v>
      </c>
      <c r="E759" t="s">
        <v>5017</v>
      </c>
      <c r="F759" t="s">
        <v>5022</v>
      </c>
      <c r="G759">
        <v>6.08</v>
      </c>
      <c r="H759">
        <v>2</v>
      </c>
      <c r="I759">
        <v>7.2</v>
      </c>
      <c r="J759">
        <v>3.63</v>
      </c>
      <c r="K759">
        <v>55</v>
      </c>
      <c r="L759" t="s">
        <v>5027</v>
      </c>
      <c r="M759">
        <v>2</v>
      </c>
      <c r="N759">
        <v>1</v>
      </c>
      <c r="O759">
        <v>0</v>
      </c>
    </row>
    <row r="760" spans="1:15" x14ac:dyDescent="0.3">
      <c r="A760" t="s">
        <v>773</v>
      </c>
      <c r="B760">
        <v>2</v>
      </c>
      <c r="C760">
        <v>25</v>
      </c>
      <c r="D760" t="s">
        <v>5015</v>
      </c>
      <c r="E760" t="s">
        <v>5017</v>
      </c>
      <c r="F760" t="s">
        <v>5021</v>
      </c>
      <c r="G760">
        <v>10.48</v>
      </c>
      <c r="H760">
        <v>5</v>
      </c>
      <c r="I760">
        <v>4.0999999999999996</v>
      </c>
      <c r="J760">
        <v>24.38</v>
      </c>
      <c r="K760">
        <v>17.5</v>
      </c>
      <c r="L760" t="s">
        <v>5025</v>
      </c>
      <c r="M760">
        <v>8</v>
      </c>
      <c r="N760">
        <v>0</v>
      </c>
      <c r="O760">
        <v>0</v>
      </c>
    </row>
    <row r="761" spans="1:15" x14ac:dyDescent="0.3">
      <c r="A761" t="s">
        <v>774</v>
      </c>
      <c r="B761">
        <v>3</v>
      </c>
      <c r="C761">
        <v>28</v>
      </c>
      <c r="D761" t="s">
        <v>5015</v>
      </c>
      <c r="E761" t="s">
        <v>5017</v>
      </c>
      <c r="F761" t="s">
        <v>5022</v>
      </c>
      <c r="G761">
        <v>19.829999999999998</v>
      </c>
      <c r="H761">
        <v>4</v>
      </c>
      <c r="I761">
        <v>6.7</v>
      </c>
      <c r="J761">
        <v>24.57</v>
      </c>
      <c r="K761">
        <v>31.7</v>
      </c>
      <c r="L761" t="s">
        <v>5027</v>
      </c>
      <c r="M761">
        <v>9</v>
      </c>
      <c r="N761">
        <v>1</v>
      </c>
      <c r="O761">
        <v>0</v>
      </c>
    </row>
    <row r="762" spans="1:15" x14ac:dyDescent="0.3">
      <c r="A762" t="s">
        <v>775</v>
      </c>
      <c r="B762">
        <v>5</v>
      </c>
      <c r="C762">
        <v>22</v>
      </c>
      <c r="D762" t="s">
        <v>5015</v>
      </c>
      <c r="E762" t="s">
        <v>5018</v>
      </c>
      <c r="F762" t="s">
        <v>5021</v>
      </c>
      <c r="G762">
        <v>23.44</v>
      </c>
      <c r="H762">
        <v>1</v>
      </c>
      <c r="I762">
        <v>6.7</v>
      </c>
      <c r="J762">
        <v>8.67</v>
      </c>
      <c r="K762">
        <v>74.099999999999994</v>
      </c>
      <c r="L762" t="s">
        <v>5029</v>
      </c>
      <c r="M762">
        <v>10</v>
      </c>
      <c r="N762">
        <v>3</v>
      </c>
      <c r="O762">
        <v>0</v>
      </c>
    </row>
    <row r="763" spans="1:15" x14ac:dyDescent="0.3">
      <c r="A763" t="s">
        <v>776</v>
      </c>
      <c r="B763">
        <v>9</v>
      </c>
      <c r="C763">
        <v>62</v>
      </c>
      <c r="D763" t="s">
        <v>5016</v>
      </c>
      <c r="E763" t="s">
        <v>5018</v>
      </c>
      <c r="F763" t="s">
        <v>5021</v>
      </c>
      <c r="G763">
        <v>5.58</v>
      </c>
      <c r="H763">
        <v>4</v>
      </c>
      <c r="I763">
        <v>3.5</v>
      </c>
      <c r="J763">
        <v>3.21</v>
      </c>
      <c r="K763">
        <v>76.5</v>
      </c>
      <c r="L763" t="s">
        <v>5029</v>
      </c>
      <c r="M763">
        <v>11</v>
      </c>
      <c r="N763">
        <v>1</v>
      </c>
      <c r="O763">
        <v>0</v>
      </c>
    </row>
    <row r="764" spans="1:15" x14ac:dyDescent="0.3">
      <c r="A764" t="s">
        <v>777</v>
      </c>
      <c r="B764">
        <v>2</v>
      </c>
      <c r="C764">
        <v>54</v>
      </c>
      <c r="D764" t="s">
        <v>5015</v>
      </c>
      <c r="E764" t="s">
        <v>5019</v>
      </c>
      <c r="F764" t="s">
        <v>5022</v>
      </c>
      <c r="G764">
        <v>5</v>
      </c>
      <c r="H764">
        <v>4</v>
      </c>
      <c r="I764">
        <v>6.7</v>
      </c>
      <c r="J764">
        <v>17.21</v>
      </c>
      <c r="K764">
        <v>75.7</v>
      </c>
      <c r="L764" t="s">
        <v>5027</v>
      </c>
      <c r="M764">
        <v>6</v>
      </c>
      <c r="N764">
        <v>2</v>
      </c>
      <c r="O764">
        <v>1</v>
      </c>
    </row>
    <row r="765" spans="1:15" x14ac:dyDescent="0.3">
      <c r="A765" t="s">
        <v>778</v>
      </c>
      <c r="B765">
        <v>10</v>
      </c>
      <c r="C765">
        <v>62</v>
      </c>
      <c r="D765" t="s">
        <v>5015</v>
      </c>
      <c r="E765" t="s">
        <v>5017</v>
      </c>
      <c r="F765" t="s">
        <v>5021</v>
      </c>
      <c r="G765">
        <v>10.119999999999999</v>
      </c>
      <c r="H765">
        <v>4</v>
      </c>
      <c r="I765">
        <v>4.4000000000000004</v>
      </c>
      <c r="J765">
        <v>17.27</v>
      </c>
      <c r="K765">
        <v>15.9</v>
      </c>
      <c r="L765" t="s">
        <v>5029</v>
      </c>
      <c r="M765">
        <v>3</v>
      </c>
      <c r="N765">
        <v>3</v>
      </c>
      <c r="O765">
        <v>0</v>
      </c>
    </row>
    <row r="766" spans="1:15" x14ac:dyDescent="0.3">
      <c r="A766" t="s">
        <v>779</v>
      </c>
      <c r="B766">
        <v>8</v>
      </c>
      <c r="C766">
        <v>55</v>
      </c>
      <c r="D766" t="s">
        <v>5015</v>
      </c>
      <c r="E766" t="s">
        <v>5018</v>
      </c>
      <c r="F766" t="s">
        <v>5020</v>
      </c>
      <c r="G766">
        <v>22.06</v>
      </c>
      <c r="H766">
        <v>4</v>
      </c>
      <c r="I766">
        <v>4</v>
      </c>
      <c r="J766">
        <v>23.69</v>
      </c>
      <c r="K766">
        <v>80.8</v>
      </c>
      <c r="L766" t="s">
        <v>5029</v>
      </c>
      <c r="M766">
        <v>7</v>
      </c>
      <c r="N766">
        <v>2</v>
      </c>
      <c r="O766">
        <v>1</v>
      </c>
    </row>
    <row r="767" spans="1:15" x14ac:dyDescent="0.3">
      <c r="A767" t="s">
        <v>780</v>
      </c>
      <c r="B767">
        <v>2</v>
      </c>
      <c r="C767">
        <v>46</v>
      </c>
      <c r="D767" t="s">
        <v>5016</v>
      </c>
      <c r="E767" t="s">
        <v>5019</v>
      </c>
      <c r="F767" t="s">
        <v>5023</v>
      </c>
      <c r="G767">
        <v>20.34</v>
      </c>
      <c r="H767">
        <v>1</v>
      </c>
      <c r="I767">
        <v>3.6</v>
      </c>
      <c r="J767">
        <v>9.57</v>
      </c>
      <c r="K767">
        <v>48.9</v>
      </c>
      <c r="L767" t="s">
        <v>5026</v>
      </c>
      <c r="M767">
        <v>9</v>
      </c>
      <c r="N767">
        <v>2</v>
      </c>
      <c r="O767">
        <v>1</v>
      </c>
    </row>
    <row r="768" spans="1:15" x14ac:dyDescent="0.3">
      <c r="A768" t="s">
        <v>781</v>
      </c>
      <c r="B768">
        <v>11</v>
      </c>
      <c r="C768">
        <v>22</v>
      </c>
      <c r="D768" t="s">
        <v>5016</v>
      </c>
      <c r="E768" t="s">
        <v>5018</v>
      </c>
      <c r="F768" t="s">
        <v>5020</v>
      </c>
      <c r="G768">
        <v>11.81</v>
      </c>
      <c r="H768">
        <v>2</v>
      </c>
      <c r="I768">
        <v>4.0999999999999996</v>
      </c>
      <c r="J768">
        <v>7.17</v>
      </c>
      <c r="K768">
        <v>52.8</v>
      </c>
      <c r="L768" t="s">
        <v>5027</v>
      </c>
      <c r="M768">
        <v>8</v>
      </c>
      <c r="N768">
        <v>3</v>
      </c>
      <c r="O768">
        <v>0</v>
      </c>
    </row>
    <row r="769" spans="1:15" x14ac:dyDescent="0.3">
      <c r="A769" t="s">
        <v>782</v>
      </c>
      <c r="B769">
        <v>5</v>
      </c>
      <c r="C769">
        <v>26</v>
      </c>
      <c r="D769" t="s">
        <v>5016</v>
      </c>
      <c r="E769" t="s">
        <v>5017</v>
      </c>
      <c r="F769" t="s">
        <v>5023</v>
      </c>
      <c r="G769">
        <v>5.04</v>
      </c>
      <c r="H769">
        <v>5</v>
      </c>
      <c r="I769">
        <v>8.1</v>
      </c>
      <c r="J769">
        <v>16.559999999999999</v>
      </c>
      <c r="K769">
        <v>47.8</v>
      </c>
      <c r="L769" t="s">
        <v>5027</v>
      </c>
      <c r="M769">
        <v>8</v>
      </c>
      <c r="N769">
        <v>2</v>
      </c>
      <c r="O769">
        <v>0</v>
      </c>
    </row>
    <row r="770" spans="1:15" x14ac:dyDescent="0.3">
      <c r="A770" t="s">
        <v>783</v>
      </c>
      <c r="B770">
        <v>7</v>
      </c>
      <c r="C770">
        <v>65</v>
      </c>
      <c r="D770" t="s">
        <v>5015</v>
      </c>
      <c r="E770" t="s">
        <v>5017</v>
      </c>
      <c r="F770" t="s">
        <v>5020</v>
      </c>
      <c r="G770">
        <v>16.09</v>
      </c>
      <c r="H770">
        <v>2</v>
      </c>
      <c r="I770">
        <v>3.2</v>
      </c>
      <c r="J770">
        <v>15.4</v>
      </c>
      <c r="K770">
        <v>87.1</v>
      </c>
      <c r="L770" t="s">
        <v>5028</v>
      </c>
      <c r="M770">
        <v>11</v>
      </c>
      <c r="N770">
        <v>1</v>
      </c>
      <c r="O770">
        <v>1</v>
      </c>
    </row>
    <row r="771" spans="1:15" x14ac:dyDescent="0.3">
      <c r="A771" t="s">
        <v>784</v>
      </c>
      <c r="B771">
        <v>8</v>
      </c>
      <c r="C771">
        <v>19</v>
      </c>
      <c r="D771" t="s">
        <v>5015</v>
      </c>
      <c r="E771" t="s">
        <v>5017</v>
      </c>
      <c r="F771" t="s">
        <v>5023</v>
      </c>
      <c r="G771">
        <v>9.76</v>
      </c>
      <c r="H771">
        <v>1</v>
      </c>
      <c r="I771">
        <v>7.1</v>
      </c>
      <c r="J771">
        <v>18.79</v>
      </c>
      <c r="K771">
        <v>71.2</v>
      </c>
      <c r="L771" t="s">
        <v>5026</v>
      </c>
      <c r="M771">
        <v>7</v>
      </c>
      <c r="N771">
        <v>0</v>
      </c>
      <c r="O771">
        <v>1</v>
      </c>
    </row>
    <row r="772" spans="1:15" x14ac:dyDescent="0.3">
      <c r="A772" t="s">
        <v>785</v>
      </c>
      <c r="B772">
        <v>1</v>
      </c>
      <c r="C772">
        <v>18</v>
      </c>
      <c r="D772" t="s">
        <v>5015</v>
      </c>
      <c r="E772" t="s">
        <v>5018</v>
      </c>
      <c r="F772" t="s">
        <v>5021</v>
      </c>
      <c r="G772">
        <v>19.91</v>
      </c>
      <c r="H772">
        <v>5</v>
      </c>
      <c r="I772">
        <v>9.1</v>
      </c>
      <c r="J772">
        <v>22.47</v>
      </c>
      <c r="K772">
        <v>55</v>
      </c>
      <c r="L772" t="s">
        <v>5025</v>
      </c>
      <c r="M772">
        <v>5</v>
      </c>
      <c r="N772">
        <v>3</v>
      </c>
      <c r="O772">
        <v>0</v>
      </c>
    </row>
    <row r="773" spans="1:15" x14ac:dyDescent="0.3">
      <c r="A773" t="s">
        <v>786</v>
      </c>
      <c r="B773">
        <v>6</v>
      </c>
      <c r="C773">
        <v>57</v>
      </c>
      <c r="D773" t="s">
        <v>5016</v>
      </c>
      <c r="E773" t="s">
        <v>5019</v>
      </c>
      <c r="F773" t="s">
        <v>5022</v>
      </c>
      <c r="G773">
        <v>13.93</v>
      </c>
      <c r="H773">
        <v>3</v>
      </c>
      <c r="I773">
        <v>4.2</v>
      </c>
      <c r="J773">
        <v>15.31</v>
      </c>
      <c r="K773">
        <v>85.1</v>
      </c>
      <c r="L773" t="s">
        <v>5026</v>
      </c>
      <c r="M773">
        <v>2</v>
      </c>
      <c r="N773">
        <v>0</v>
      </c>
      <c r="O773">
        <v>0</v>
      </c>
    </row>
    <row r="774" spans="1:15" x14ac:dyDescent="0.3">
      <c r="A774" t="s">
        <v>787</v>
      </c>
      <c r="B774">
        <v>1</v>
      </c>
      <c r="C774">
        <v>68</v>
      </c>
      <c r="D774" t="s">
        <v>5015</v>
      </c>
      <c r="E774" t="s">
        <v>5017</v>
      </c>
      <c r="F774" t="s">
        <v>5022</v>
      </c>
      <c r="G774">
        <v>18.57</v>
      </c>
      <c r="H774">
        <v>2</v>
      </c>
      <c r="I774">
        <v>1.3</v>
      </c>
      <c r="J774">
        <v>6.3</v>
      </c>
      <c r="K774">
        <v>82.5</v>
      </c>
      <c r="L774" t="s">
        <v>5025</v>
      </c>
      <c r="M774">
        <v>5</v>
      </c>
      <c r="N774">
        <v>3</v>
      </c>
      <c r="O774">
        <v>0</v>
      </c>
    </row>
    <row r="775" spans="1:15" x14ac:dyDescent="0.3">
      <c r="A775" t="s">
        <v>788</v>
      </c>
      <c r="B775">
        <v>2</v>
      </c>
      <c r="C775">
        <v>47</v>
      </c>
      <c r="D775" t="s">
        <v>5016</v>
      </c>
      <c r="E775" t="s">
        <v>5017</v>
      </c>
      <c r="F775" t="s">
        <v>5024</v>
      </c>
      <c r="G775">
        <v>22.05</v>
      </c>
      <c r="H775">
        <v>1</v>
      </c>
      <c r="I775">
        <v>1.2</v>
      </c>
      <c r="J775">
        <v>16.16</v>
      </c>
      <c r="K775">
        <v>10.5</v>
      </c>
      <c r="L775" t="s">
        <v>5027</v>
      </c>
      <c r="M775">
        <v>5</v>
      </c>
      <c r="N775">
        <v>3</v>
      </c>
      <c r="O775">
        <v>0</v>
      </c>
    </row>
    <row r="776" spans="1:15" x14ac:dyDescent="0.3">
      <c r="A776" t="s">
        <v>789</v>
      </c>
      <c r="B776">
        <v>1</v>
      </c>
      <c r="C776">
        <v>28</v>
      </c>
      <c r="D776" t="s">
        <v>5016</v>
      </c>
      <c r="E776" t="s">
        <v>5019</v>
      </c>
      <c r="F776" t="s">
        <v>5023</v>
      </c>
      <c r="G776">
        <v>15.72</v>
      </c>
      <c r="H776">
        <v>1</v>
      </c>
      <c r="I776">
        <v>2.2999999999999998</v>
      </c>
      <c r="J776">
        <v>11.23</v>
      </c>
      <c r="K776">
        <v>53.1</v>
      </c>
      <c r="L776" t="s">
        <v>5026</v>
      </c>
      <c r="M776">
        <v>2</v>
      </c>
      <c r="N776">
        <v>2</v>
      </c>
      <c r="O776">
        <v>0</v>
      </c>
    </row>
    <row r="777" spans="1:15" x14ac:dyDescent="0.3">
      <c r="A777" t="s">
        <v>790</v>
      </c>
      <c r="B777">
        <v>11</v>
      </c>
      <c r="C777">
        <v>45</v>
      </c>
      <c r="D777" t="s">
        <v>5016</v>
      </c>
      <c r="E777" t="s">
        <v>5019</v>
      </c>
      <c r="F777" t="s">
        <v>5024</v>
      </c>
      <c r="G777">
        <v>11.72</v>
      </c>
      <c r="H777">
        <v>1</v>
      </c>
      <c r="I777">
        <v>2</v>
      </c>
      <c r="J777">
        <v>12.96</v>
      </c>
      <c r="K777">
        <v>13.8</v>
      </c>
      <c r="L777" t="s">
        <v>5028</v>
      </c>
      <c r="M777">
        <v>11</v>
      </c>
      <c r="N777">
        <v>0</v>
      </c>
      <c r="O777">
        <v>0</v>
      </c>
    </row>
    <row r="778" spans="1:15" x14ac:dyDescent="0.3">
      <c r="A778" t="s">
        <v>791</v>
      </c>
      <c r="B778">
        <v>5</v>
      </c>
      <c r="C778">
        <v>61</v>
      </c>
      <c r="D778" t="s">
        <v>5016</v>
      </c>
      <c r="E778" t="s">
        <v>5018</v>
      </c>
      <c r="F778" t="s">
        <v>5024</v>
      </c>
      <c r="G778">
        <v>20.39</v>
      </c>
      <c r="H778">
        <v>5</v>
      </c>
      <c r="I778">
        <v>7.7</v>
      </c>
      <c r="J778">
        <v>24.11</v>
      </c>
      <c r="K778">
        <v>37.6</v>
      </c>
      <c r="L778" t="s">
        <v>5029</v>
      </c>
      <c r="M778">
        <v>10</v>
      </c>
      <c r="N778">
        <v>1</v>
      </c>
      <c r="O778">
        <v>0</v>
      </c>
    </row>
    <row r="779" spans="1:15" x14ac:dyDescent="0.3">
      <c r="A779" t="s">
        <v>792</v>
      </c>
      <c r="B779">
        <v>10</v>
      </c>
      <c r="C779">
        <v>29</v>
      </c>
      <c r="D779" t="s">
        <v>5016</v>
      </c>
      <c r="E779" t="s">
        <v>5018</v>
      </c>
      <c r="F779" t="s">
        <v>5023</v>
      </c>
      <c r="G779">
        <v>10.3</v>
      </c>
      <c r="H779">
        <v>4</v>
      </c>
      <c r="I779">
        <v>3.7</v>
      </c>
      <c r="J779">
        <v>15.21</v>
      </c>
      <c r="K779">
        <v>82.3</v>
      </c>
      <c r="L779" t="s">
        <v>5025</v>
      </c>
      <c r="M779">
        <v>1</v>
      </c>
      <c r="N779">
        <v>0</v>
      </c>
      <c r="O779">
        <v>0</v>
      </c>
    </row>
    <row r="780" spans="1:15" x14ac:dyDescent="0.3">
      <c r="A780" t="s">
        <v>793</v>
      </c>
      <c r="B780">
        <v>9</v>
      </c>
      <c r="C780">
        <v>56</v>
      </c>
      <c r="D780" t="s">
        <v>5015</v>
      </c>
      <c r="E780" t="s">
        <v>5018</v>
      </c>
      <c r="F780" t="s">
        <v>5022</v>
      </c>
      <c r="G780">
        <v>22.83</v>
      </c>
      <c r="H780">
        <v>3</v>
      </c>
      <c r="I780">
        <v>6.9</v>
      </c>
      <c r="J780">
        <v>6.29</v>
      </c>
      <c r="K780">
        <v>95</v>
      </c>
      <c r="L780" t="s">
        <v>5029</v>
      </c>
      <c r="M780">
        <v>5</v>
      </c>
      <c r="N780">
        <v>3</v>
      </c>
      <c r="O780">
        <v>1</v>
      </c>
    </row>
    <row r="781" spans="1:15" x14ac:dyDescent="0.3">
      <c r="A781" t="s">
        <v>794</v>
      </c>
      <c r="B781">
        <v>6</v>
      </c>
      <c r="C781">
        <v>43</v>
      </c>
      <c r="D781" t="s">
        <v>5015</v>
      </c>
      <c r="E781" t="s">
        <v>5017</v>
      </c>
      <c r="F781" t="s">
        <v>5023</v>
      </c>
      <c r="G781">
        <v>6.43</v>
      </c>
      <c r="H781">
        <v>5</v>
      </c>
      <c r="I781">
        <v>1.4</v>
      </c>
      <c r="J781">
        <v>12.75</v>
      </c>
      <c r="K781">
        <v>31.8</v>
      </c>
      <c r="L781" t="s">
        <v>5027</v>
      </c>
      <c r="M781">
        <v>6</v>
      </c>
      <c r="N781">
        <v>1</v>
      </c>
      <c r="O781">
        <v>0</v>
      </c>
    </row>
    <row r="782" spans="1:15" x14ac:dyDescent="0.3">
      <c r="A782" t="s">
        <v>795</v>
      </c>
      <c r="B782">
        <v>11</v>
      </c>
      <c r="C782">
        <v>30</v>
      </c>
      <c r="D782" t="s">
        <v>5016</v>
      </c>
      <c r="E782" t="s">
        <v>5018</v>
      </c>
      <c r="F782" t="s">
        <v>5021</v>
      </c>
      <c r="G782">
        <v>21.71</v>
      </c>
      <c r="H782">
        <v>5</v>
      </c>
      <c r="I782">
        <v>3.7</v>
      </c>
      <c r="J782">
        <v>8.0299999999999994</v>
      </c>
      <c r="K782">
        <v>11.9</v>
      </c>
      <c r="L782" t="s">
        <v>5027</v>
      </c>
      <c r="M782">
        <v>7</v>
      </c>
      <c r="N782">
        <v>2</v>
      </c>
      <c r="O782">
        <v>0</v>
      </c>
    </row>
    <row r="783" spans="1:15" x14ac:dyDescent="0.3">
      <c r="A783" t="s">
        <v>796</v>
      </c>
      <c r="B783">
        <v>11</v>
      </c>
      <c r="C783">
        <v>25</v>
      </c>
      <c r="D783" t="s">
        <v>5015</v>
      </c>
      <c r="E783" t="s">
        <v>5018</v>
      </c>
      <c r="F783" t="s">
        <v>5024</v>
      </c>
      <c r="G783">
        <v>6.83</v>
      </c>
      <c r="H783">
        <v>2</v>
      </c>
      <c r="I783">
        <v>3.1</v>
      </c>
      <c r="J783">
        <v>5.98</v>
      </c>
      <c r="K783">
        <v>46.2</v>
      </c>
      <c r="L783" t="s">
        <v>5027</v>
      </c>
      <c r="M783">
        <v>11</v>
      </c>
      <c r="N783">
        <v>1</v>
      </c>
      <c r="O783">
        <v>0</v>
      </c>
    </row>
    <row r="784" spans="1:15" x14ac:dyDescent="0.3">
      <c r="A784" t="s">
        <v>797</v>
      </c>
      <c r="B784">
        <v>1</v>
      </c>
      <c r="C784">
        <v>45</v>
      </c>
      <c r="D784" t="s">
        <v>5015</v>
      </c>
      <c r="E784" t="s">
        <v>5019</v>
      </c>
      <c r="F784" t="s">
        <v>5024</v>
      </c>
      <c r="G784">
        <v>6.12</v>
      </c>
      <c r="H784">
        <v>3</v>
      </c>
      <c r="I784">
        <v>3.5</v>
      </c>
      <c r="J784">
        <v>18.670000000000002</v>
      </c>
      <c r="K784">
        <v>40.200000000000003</v>
      </c>
      <c r="L784" t="s">
        <v>5029</v>
      </c>
      <c r="M784">
        <v>2</v>
      </c>
      <c r="N784">
        <v>1</v>
      </c>
      <c r="O784">
        <v>1</v>
      </c>
    </row>
    <row r="785" spans="1:15" x14ac:dyDescent="0.3">
      <c r="A785" t="s">
        <v>798</v>
      </c>
      <c r="B785">
        <v>1</v>
      </c>
      <c r="C785">
        <v>47</v>
      </c>
      <c r="D785" t="s">
        <v>5016</v>
      </c>
      <c r="E785" t="s">
        <v>5017</v>
      </c>
      <c r="F785" t="s">
        <v>5023</v>
      </c>
      <c r="G785">
        <v>12.27</v>
      </c>
      <c r="H785">
        <v>1</v>
      </c>
      <c r="I785">
        <v>2.7</v>
      </c>
      <c r="J785">
        <v>16.829999999999998</v>
      </c>
      <c r="K785">
        <v>70.900000000000006</v>
      </c>
      <c r="L785" t="s">
        <v>5027</v>
      </c>
      <c r="M785">
        <v>6</v>
      </c>
      <c r="N785">
        <v>0</v>
      </c>
      <c r="O785">
        <v>0</v>
      </c>
    </row>
    <row r="786" spans="1:15" x14ac:dyDescent="0.3">
      <c r="A786" t="s">
        <v>799</v>
      </c>
      <c r="B786">
        <v>2</v>
      </c>
      <c r="C786">
        <v>26</v>
      </c>
      <c r="D786" t="s">
        <v>5016</v>
      </c>
      <c r="E786" t="s">
        <v>5018</v>
      </c>
      <c r="F786" t="s">
        <v>5024</v>
      </c>
      <c r="G786">
        <v>24.13</v>
      </c>
      <c r="H786">
        <v>5</v>
      </c>
      <c r="I786">
        <v>6.6</v>
      </c>
      <c r="J786">
        <v>13.95</v>
      </c>
      <c r="K786">
        <v>54.6</v>
      </c>
      <c r="L786" t="s">
        <v>5027</v>
      </c>
      <c r="M786">
        <v>8</v>
      </c>
      <c r="N786">
        <v>3</v>
      </c>
      <c r="O786">
        <v>0</v>
      </c>
    </row>
    <row r="787" spans="1:15" x14ac:dyDescent="0.3">
      <c r="A787" t="s">
        <v>800</v>
      </c>
      <c r="B787">
        <v>9</v>
      </c>
      <c r="C787">
        <v>56</v>
      </c>
      <c r="D787" t="s">
        <v>5015</v>
      </c>
      <c r="E787" t="s">
        <v>5018</v>
      </c>
      <c r="F787" t="s">
        <v>5022</v>
      </c>
      <c r="G787">
        <v>24.67</v>
      </c>
      <c r="H787">
        <v>3</v>
      </c>
      <c r="I787">
        <v>7</v>
      </c>
      <c r="J787">
        <v>12.31</v>
      </c>
      <c r="K787">
        <v>45.9</v>
      </c>
      <c r="L787" t="s">
        <v>5029</v>
      </c>
      <c r="M787">
        <v>6</v>
      </c>
      <c r="N787">
        <v>3</v>
      </c>
      <c r="O787">
        <v>1</v>
      </c>
    </row>
    <row r="788" spans="1:15" x14ac:dyDescent="0.3">
      <c r="A788" t="s">
        <v>801</v>
      </c>
      <c r="B788">
        <v>3</v>
      </c>
      <c r="C788">
        <v>48</v>
      </c>
      <c r="D788" t="s">
        <v>5015</v>
      </c>
      <c r="E788" t="s">
        <v>5018</v>
      </c>
      <c r="F788" t="s">
        <v>5024</v>
      </c>
      <c r="G788">
        <v>9.0399999999999991</v>
      </c>
      <c r="H788">
        <v>2</v>
      </c>
      <c r="I788">
        <v>2.2999999999999998</v>
      </c>
      <c r="J788">
        <v>10.09</v>
      </c>
      <c r="K788">
        <v>30.7</v>
      </c>
      <c r="L788" t="s">
        <v>5027</v>
      </c>
      <c r="M788">
        <v>3</v>
      </c>
      <c r="N788">
        <v>3</v>
      </c>
      <c r="O788">
        <v>1</v>
      </c>
    </row>
    <row r="789" spans="1:15" x14ac:dyDescent="0.3">
      <c r="A789" t="s">
        <v>802</v>
      </c>
      <c r="B789">
        <v>1</v>
      </c>
      <c r="C789">
        <v>38</v>
      </c>
      <c r="D789" t="s">
        <v>5015</v>
      </c>
      <c r="E789" t="s">
        <v>5017</v>
      </c>
      <c r="F789" t="s">
        <v>5023</v>
      </c>
      <c r="G789">
        <v>7.97</v>
      </c>
      <c r="H789">
        <v>4</v>
      </c>
      <c r="I789">
        <v>7.7</v>
      </c>
      <c r="J789">
        <v>4.9400000000000004</v>
      </c>
      <c r="K789">
        <v>84.6</v>
      </c>
      <c r="L789" t="s">
        <v>5025</v>
      </c>
      <c r="M789">
        <v>3</v>
      </c>
      <c r="N789">
        <v>4</v>
      </c>
      <c r="O789">
        <v>0</v>
      </c>
    </row>
    <row r="790" spans="1:15" x14ac:dyDescent="0.3">
      <c r="A790" t="s">
        <v>803</v>
      </c>
      <c r="B790">
        <v>5</v>
      </c>
      <c r="C790">
        <v>64</v>
      </c>
      <c r="D790" t="s">
        <v>5015</v>
      </c>
      <c r="E790" t="s">
        <v>5018</v>
      </c>
      <c r="F790" t="s">
        <v>5022</v>
      </c>
      <c r="G790">
        <v>12.06</v>
      </c>
      <c r="H790">
        <v>3</v>
      </c>
      <c r="I790">
        <v>3.3</v>
      </c>
      <c r="J790">
        <v>9.58</v>
      </c>
      <c r="K790">
        <v>32.4</v>
      </c>
      <c r="L790" t="s">
        <v>5026</v>
      </c>
      <c r="M790">
        <v>11</v>
      </c>
      <c r="N790">
        <v>2</v>
      </c>
      <c r="O790">
        <v>0</v>
      </c>
    </row>
    <row r="791" spans="1:15" x14ac:dyDescent="0.3">
      <c r="A791" t="s">
        <v>804</v>
      </c>
      <c r="B791">
        <v>7</v>
      </c>
      <c r="C791">
        <v>51</v>
      </c>
      <c r="D791" t="s">
        <v>5016</v>
      </c>
      <c r="E791" t="s">
        <v>5019</v>
      </c>
      <c r="F791" t="s">
        <v>5022</v>
      </c>
      <c r="G791">
        <v>11.74</v>
      </c>
      <c r="H791">
        <v>1</v>
      </c>
      <c r="I791">
        <v>3.5</v>
      </c>
      <c r="J791">
        <v>21.44</v>
      </c>
      <c r="K791">
        <v>14.9</v>
      </c>
      <c r="L791" t="s">
        <v>5025</v>
      </c>
      <c r="M791">
        <v>7</v>
      </c>
      <c r="N791">
        <v>0</v>
      </c>
      <c r="O791">
        <v>0</v>
      </c>
    </row>
    <row r="792" spans="1:15" x14ac:dyDescent="0.3">
      <c r="A792" t="s">
        <v>805</v>
      </c>
      <c r="B792">
        <v>6</v>
      </c>
      <c r="C792">
        <v>48</v>
      </c>
      <c r="D792" t="s">
        <v>5015</v>
      </c>
      <c r="E792" t="s">
        <v>5018</v>
      </c>
      <c r="F792" t="s">
        <v>5024</v>
      </c>
      <c r="G792">
        <v>20.190000000000001</v>
      </c>
      <c r="H792">
        <v>5</v>
      </c>
      <c r="I792">
        <v>8.5</v>
      </c>
      <c r="J792">
        <v>20.239999999999998</v>
      </c>
      <c r="K792">
        <v>60.8</v>
      </c>
      <c r="L792" t="s">
        <v>5027</v>
      </c>
      <c r="M792">
        <v>2</v>
      </c>
      <c r="N792">
        <v>3</v>
      </c>
      <c r="O792">
        <v>0</v>
      </c>
    </row>
    <row r="793" spans="1:15" x14ac:dyDescent="0.3">
      <c r="A793" t="s">
        <v>806</v>
      </c>
      <c r="B793">
        <v>12</v>
      </c>
      <c r="C793">
        <v>69</v>
      </c>
      <c r="D793" t="s">
        <v>5016</v>
      </c>
      <c r="E793" t="s">
        <v>5018</v>
      </c>
      <c r="F793" t="s">
        <v>5023</v>
      </c>
      <c r="G793">
        <v>13.88</v>
      </c>
      <c r="H793">
        <v>4</v>
      </c>
      <c r="I793">
        <v>9.1</v>
      </c>
      <c r="J793">
        <v>24.39</v>
      </c>
      <c r="K793">
        <v>38.6</v>
      </c>
      <c r="L793" t="s">
        <v>5027</v>
      </c>
      <c r="M793">
        <v>3</v>
      </c>
      <c r="N793">
        <v>1</v>
      </c>
      <c r="O793">
        <v>0</v>
      </c>
    </row>
    <row r="794" spans="1:15" x14ac:dyDescent="0.3">
      <c r="A794" t="s">
        <v>807</v>
      </c>
      <c r="B794">
        <v>1</v>
      </c>
      <c r="C794">
        <v>42</v>
      </c>
      <c r="D794" t="s">
        <v>5016</v>
      </c>
      <c r="E794" t="s">
        <v>5017</v>
      </c>
      <c r="F794" t="s">
        <v>5024</v>
      </c>
      <c r="G794">
        <v>20.6</v>
      </c>
      <c r="H794">
        <v>2</v>
      </c>
      <c r="I794">
        <v>8.4</v>
      </c>
      <c r="J794">
        <v>17.43</v>
      </c>
      <c r="K794">
        <v>74.099999999999994</v>
      </c>
      <c r="L794" t="s">
        <v>5027</v>
      </c>
      <c r="M794">
        <v>7</v>
      </c>
      <c r="N794">
        <v>4</v>
      </c>
      <c r="O794">
        <v>0</v>
      </c>
    </row>
    <row r="795" spans="1:15" x14ac:dyDescent="0.3">
      <c r="A795" t="s">
        <v>808</v>
      </c>
      <c r="B795">
        <v>5</v>
      </c>
      <c r="C795">
        <v>29</v>
      </c>
      <c r="D795" t="s">
        <v>5015</v>
      </c>
      <c r="E795" t="s">
        <v>5017</v>
      </c>
      <c r="F795" t="s">
        <v>5021</v>
      </c>
      <c r="G795">
        <v>19.97</v>
      </c>
      <c r="H795">
        <v>1</v>
      </c>
      <c r="I795">
        <v>2.2999999999999998</v>
      </c>
      <c r="J795">
        <v>15.18</v>
      </c>
      <c r="K795">
        <v>17.3</v>
      </c>
      <c r="L795" t="s">
        <v>5027</v>
      </c>
      <c r="M795">
        <v>9</v>
      </c>
      <c r="N795">
        <v>2</v>
      </c>
      <c r="O795">
        <v>0</v>
      </c>
    </row>
    <row r="796" spans="1:15" x14ac:dyDescent="0.3">
      <c r="A796" t="s">
        <v>809</v>
      </c>
      <c r="B796">
        <v>5</v>
      </c>
      <c r="C796">
        <v>18</v>
      </c>
      <c r="D796" t="s">
        <v>5015</v>
      </c>
      <c r="E796" t="s">
        <v>5018</v>
      </c>
      <c r="F796" t="s">
        <v>5021</v>
      </c>
      <c r="G796">
        <v>16.57</v>
      </c>
      <c r="H796">
        <v>4</v>
      </c>
      <c r="I796">
        <v>10</v>
      </c>
      <c r="J796">
        <v>9.51</v>
      </c>
      <c r="K796">
        <v>97</v>
      </c>
      <c r="L796" t="s">
        <v>5029</v>
      </c>
      <c r="M796">
        <v>1</v>
      </c>
      <c r="N796">
        <v>3</v>
      </c>
      <c r="O796">
        <v>0</v>
      </c>
    </row>
    <row r="797" spans="1:15" x14ac:dyDescent="0.3">
      <c r="A797" t="s">
        <v>810</v>
      </c>
      <c r="B797">
        <v>6</v>
      </c>
      <c r="C797">
        <v>39</v>
      </c>
      <c r="D797" t="s">
        <v>5015</v>
      </c>
      <c r="E797" t="s">
        <v>5019</v>
      </c>
      <c r="F797" t="s">
        <v>5022</v>
      </c>
      <c r="G797">
        <v>21.67</v>
      </c>
      <c r="H797">
        <v>2</v>
      </c>
      <c r="I797">
        <v>7</v>
      </c>
      <c r="J797">
        <v>4.6900000000000004</v>
      </c>
      <c r="K797">
        <v>26.8</v>
      </c>
      <c r="L797" t="s">
        <v>5026</v>
      </c>
      <c r="M797">
        <v>5</v>
      </c>
      <c r="N797">
        <v>4</v>
      </c>
      <c r="O797">
        <v>1</v>
      </c>
    </row>
    <row r="798" spans="1:15" x14ac:dyDescent="0.3">
      <c r="A798" t="s">
        <v>811</v>
      </c>
      <c r="B798">
        <v>3</v>
      </c>
      <c r="C798">
        <v>57</v>
      </c>
      <c r="D798" t="s">
        <v>5016</v>
      </c>
      <c r="E798" t="s">
        <v>5019</v>
      </c>
      <c r="F798" t="s">
        <v>5024</v>
      </c>
      <c r="G798">
        <v>8.91</v>
      </c>
      <c r="H798">
        <v>1</v>
      </c>
      <c r="I798">
        <v>5.6</v>
      </c>
      <c r="J798">
        <v>16.600000000000001</v>
      </c>
      <c r="K798">
        <v>42.1</v>
      </c>
      <c r="L798" t="s">
        <v>5029</v>
      </c>
      <c r="M798">
        <v>2</v>
      </c>
      <c r="N798">
        <v>2</v>
      </c>
      <c r="O798">
        <v>0</v>
      </c>
    </row>
    <row r="799" spans="1:15" x14ac:dyDescent="0.3">
      <c r="A799" t="s">
        <v>812</v>
      </c>
      <c r="B799">
        <v>5</v>
      </c>
      <c r="C799">
        <v>54</v>
      </c>
      <c r="D799" t="s">
        <v>5016</v>
      </c>
      <c r="E799" t="s">
        <v>5018</v>
      </c>
      <c r="F799" t="s">
        <v>5021</v>
      </c>
      <c r="G799">
        <v>8.24</v>
      </c>
      <c r="H799">
        <v>5</v>
      </c>
      <c r="I799">
        <v>9.6</v>
      </c>
      <c r="J799">
        <v>13.74</v>
      </c>
      <c r="K799">
        <v>53.3</v>
      </c>
      <c r="L799" t="s">
        <v>5029</v>
      </c>
      <c r="M799">
        <v>5</v>
      </c>
      <c r="N799">
        <v>1</v>
      </c>
      <c r="O799">
        <v>0</v>
      </c>
    </row>
    <row r="800" spans="1:15" x14ac:dyDescent="0.3">
      <c r="A800" t="s">
        <v>813</v>
      </c>
      <c r="B800">
        <v>7</v>
      </c>
      <c r="C800">
        <v>64</v>
      </c>
      <c r="D800" t="s">
        <v>5016</v>
      </c>
      <c r="E800" t="s">
        <v>5018</v>
      </c>
      <c r="F800" t="s">
        <v>5020</v>
      </c>
      <c r="G800">
        <v>20.010000000000002</v>
      </c>
      <c r="H800">
        <v>2</v>
      </c>
      <c r="I800">
        <v>8.4</v>
      </c>
      <c r="J800">
        <v>19.7</v>
      </c>
      <c r="K800">
        <v>90.1</v>
      </c>
      <c r="L800" t="s">
        <v>5027</v>
      </c>
      <c r="M800">
        <v>6</v>
      </c>
      <c r="N800">
        <v>4</v>
      </c>
      <c r="O800">
        <v>1</v>
      </c>
    </row>
    <row r="801" spans="1:15" x14ac:dyDescent="0.3">
      <c r="A801" t="s">
        <v>814</v>
      </c>
      <c r="B801">
        <v>5</v>
      </c>
      <c r="C801">
        <v>18</v>
      </c>
      <c r="D801" t="s">
        <v>5016</v>
      </c>
      <c r="E801" t="s">
        <v>5019</v>
      </c>
      <c r="F801" t="s">
        <v>5021</v>
      </c>
      <c r="G801">
        <v>9.9</v>
      </c>
      <c r="H801">
        <v>4</v>
      </c>
      <c r="I801">
        <v>7.2</v>
      </c>
      <c r="J801">
        <v>12.06</v>
      </c>
      <c r="K801">
        <v>75</v>
      </c>
      <c r="L801" t="s">
        <v>5025</v>
      </c>
      <c r="M801">
        <v>8</v>
      </c>
      <c r="N801">
        <v>0</v>
      </c>
      <c r="O801">
        <v>1</v>
      </c>
    </row>
    <row r="802" spans="1:15" x14ac:dyDescent="0.3">
      <c r="A802" t="s">
        <v>815</v>
      </c>
      <c r="B802">
        <v>5</v>
      </c>
      <c r="C802">
        <v>18</v>
      </c>
      <c r="D802" t="s">
        <v>5015</v>
      </c>
      <c r="E802" t="s">
        <v>5018</v>
      </c>
      <c r="F802" t="s">
        <v>5024</v>
      </c>
      <c r="G802">
        <v>5.0599999999999996</v>
      </c>
      <c r="H802">
        <v>1</v>
      </c>
      <c r="I802">
        <v>8.5</v>
      </c>
      <c r="J802">
        <v>24.68</v>
      </c>
      <c r="K802">
        <v>23</v>
      </c>
      <c r="L802" t="s">
        <v>5025</v>
      </c>
      <c r="M802">
        <v>7</v>
      </c>
      <c r="N802">
        <v>2</v>
      </c>
      <c r="O802">
        <v>0</v>
      </c>
    </row>
    <row r="803" spans="1:15" x14ac:dyDescent="0.3">
      <c r="A803" t="s">
        <v>816</v>
      </c>
      <c r="B803">
        <v>5</v>
      </c>
      <c r="C803">
        <v>59</v>
      </c>
      <c r="D803" t="s">
        <v>5016</v>
      </c>
      <c r="E803" t="s">
        <v>5018</v>
      </c>
      <c r="F803" t="s">
        <v>5024</v>
      </c>
      <c r="G803">
        <v>23.24</v>
      </c>
      <c r="H803">
        <v>3</v>
      </c>
      <c r="I803">
        <v>4.5</v>
      </c>
      <c r="J803">
        <v>11.75</v>
      </c>
      <c r="K803">
        <v>49.5</v>
      </c>
      <c r="L803" t="s">
        <v>5028</v>
      </c>
      <c r="M803">
        <v>5</v>
      </c>
      <c r="N803">
        <v>4</v>
      </c>
      <c r="O803">
        <v>0</v>
      </c>
    </row>
    <row r="804" spans="1:15" x14ac:dyDescent="0.3">
      <c r="A804" t="s">
        <v>817</v>
      </c>
      <c r="B804">
        <v>10</v>
      </c>
      <c r="C804">
        <v>59</v>
      </c>
      <c r="D804" t="s">
        <v>5016</v>
      </c>
      <c r="E804" t="s">
        <v>5017</v>
      </c>
      <c r="F804" t="s">
        <v>5021</v>
      </c>
      <c r="G804">
        <v>17.46</v>
      </c>
      <c r="H804">
        <v>1</v>
      </c>
      <c r="I804">
        <v>7.2</v>
      </c>
      <c r="J804">
        <v>10.33</v>
      </c>
      <c r="K804">
        <v>58.9</v>
      </c>
      <c r="L804" t="s">
        <v>5026</v>
      </c>
      <c r="M804">
        <v>11</v>
      </c>
      <c r="N804">
        <v>4</v>
      </c>
      <c r="O804">
        <v>0</v>
      </c>
    </row>
    <row r="805" spans="1:15" x14ac:dyDescent="0.3">
      <c r="A805" t="s">
        <v>818</v>
      </c>
      <c r="B805">
        <v>10</v>
      </c>
      <c r="C805">
        <v>38</v>
      </c>
      <c r="D805" t="s">
        <v>5015</v>
      </c>
      <c r="E805" t="s">
        <v>5019</v>
      </c>
      <c r="F805" t="s">
        <v>5024</v>
      </c>
      <c r="G805">
        <v>13.9</v>
      </c>
      <c r="H805">
        <v>4</v>
      </c>
      <c r="I805">
        <v>2.7</v>
      </c>
      <c r="J805">
        <v>22.16</v>
      </c>
      <c r="K805">
        <v>73.2</v>
      </c>
      <c r="L805" t="s">
        <v>5028</v>
      </c>
      <c r="M805">
        <v>5</v>
      </c>
      <c r="N805">
        <v>2</v>
      </c>
      <c r="O805">
        <v>0</v>
      </c>
    </row>
    <row r="806" spans="1:15" x14ac:dyDescent="0.3">
      <c r="A806" t="s">
        <v>819</v>
      </c>
      <c r="B806">
        <v>3</v>
      </c>
      <c r="C806">
        <v>32</v>
      </c>
      <c r="D806" t="s">
        <v>5016</v>
      </c>
      <c r="E806" t="s">
        <v>5018</v>
      </c>
      <c r="F806" t="s">
        <v>5024</v>
      </c>
      <c r="G806">
        <v>19.510000000000002</v>
      </c>
      <c r="H806">
        <v>4</v>
      </c>
      <c r="I806">
        <v>9.9</v>
      </c>
      <c r="J806">
        <v>11.7</v>
      </c>
      <c r="K806">
        <v>61.5</v>
      </c>
      <c r="L806" t="s">
        <v>5029</v>
      </c>
      <c r="M806">
        <v>2</v>
      </c>
      <c r="N806">
        <v>4</v>
      </c>
      <c r="O806">
        <v>0</v>
      </c>
    </row>
    <row r="807" spans="1:15" x14ac:dyDescent="0.3">
      <c r="A807" t="s">
        <v>820</v>
      </c>
      <c r="B807">
        <v>1</v>
      </c>
      <c r="C807">
        <v>34</v>
      </c>
      <c r="D807" t="s">
        <v>5016</v>
      </c>
      <c r="E807" t="s">
        <v>5019</v>
      </c>
      <c r="F807" t="s">
        <v>5020</v>
      </c>
      <c r="G807">
        <v>11.67</v>
      </c>
      <c r="H807">
        <v>3</v>
      </c>
      <c r="I807">
        <v>6.3</v>
      </c>
      <c r="J807">
        <v>22.16</v>
      </c>
      <c r="K807">
        <v>51.2</v>
      </c>
      <c r="L807" t="s">
        <v>5028</v>
      </c>
      <c r="M807">
        <v>6</v>
      </c>
      <c r="N807">
        <v>4</v>
      </c>
      <c r="O807">
        <v>0</v>
      </c>
    </row>
    <row r="808" spans="1:15" x14ac:dyDescent="0.3">
      <c r="A808" t="s">
        <v>821</v>
      </c>
      <c r="B808">
        <v>5</v>
      </c>
      <c r="C808">
        <v>39</v>
      </c>
      <c r="D808" t="s">
        <v>5015</v>
      </c>
      <c r="E808" t="s">
        <v>5019</v>
      </c>
      <c r="F808" t="s">
        <v>5022</v>
      </c>
      <c r="G808">
        <v>24.07</v>
      </c>
      <c r="H808">
        <v>4</v>
      </c>
      <c r="I808">
        <v>8.3000000000000007</v>
      </c>
      <c r="J808">
        <v>3.6</v>
      </c>
      <c r="K808">
        <v>78.900000000000006</v>
      </c>
      <c r="L808" t="s">
        <v>5028</v>
      </c>
      <c r="M808">
        <v>3</v>
      </c>
      <c r="N808">
        <v>2</v>
      </c>
      <c r="O808">
        <v>0</v>
      </c>
    </row>
    <row r="809" spans="1:15" x14ac:dyDescent="0.3">
      <c r="A809" t="s">
        <v>822</v>
      </c>
      <c r="B809">
        <v>9</v>
      </c>
      <c r="C809">
        <v>55</v>
      </c>
      <c r="D809" t="s">
        <v>5016</v>
      </c>
      <c r="E809" t="s">
        <v>5017</v>
      </c>
      <c r="F809" t="s">
        <v>5024</v>
      </c>
      <c r="G809">
        <v>6.37</v>
      </c>
      <c r="H809">
        <v>1</v>
      </c>
      <c r="I809">
        <v>4.7</v>
      </c>
      <c r="J809">
        <v>18.239999999999998</v>
      </c>
      <c r="K809">
        <v>44</v>
      </c>
      <c r="L809" t="s">
        <v>5028</v>
      </c>
      <c r="M809">
        <v>6</v>
      </c>
      <c r="N809">
        <v>1</v>
      </c>
      <c r="O809">
        <v>0</v>
      </c>
    </row>
    <row r="810" spans="1:15" x14ac:dyDescent="0.3">
      <c r="A810" t="s">
        <v>823</v>
      </c>
      <c r="B810">
        <v>1</v>
      </c>
      <c r="C810">
        <v>52</v>
      </c>
      <c r="D810" t="s">
        <v>5016</v>
      </c>
      <c r="E810" t="s">
        <v>5019</v>
      </c>
      <c r="F810" t="s">
        <v>5023</v>
      </c>
      <c r="G810">
        <v>17.82</v>
      </c>
      <c r="H810">
        <v>2</v>
      </c>
      <c r="I810">
        <v>7.8</v>
      </c>
      <c r="J810">
        <v>4.58</v>
      </c>
      <c r="K810">
        <v>98.8</v>
      </c>
      <c r="L810" t="s">
        <v>5026</v>
      </c>
      <c r="M810">
        <v>3</v>
      </c>
      <c r="N810">
        <v>0</v>
      </c>
      <c r="O810">
        <v>0</v>
      </c>
    </row>
    <row r="811" spans="1:15" x14ac:dyDescent="0.3">
      <c r="A811" t="s">
        <v>824</v>
      </c>
      <c r="B811">
        <v>3</v>
      </c>
      <c r="C811">
        <v>62</v>
      </c>
      <c r="D811" t="s">
        <v>5016</v>
      </c>
      <c r="E811" t="s">
        <v>5019</v>
      </c>
      <c r="F811" t="s">
        <v>5022</v>
      </c>
      <c r="G811">
        <v>20.55</v>
      </c>
      <c r="H811">
        <v>1</v>
      </c>
      <c r="I811">
        <v>4.5</v>
      </c>
      <c r="J811">
        <v>6.26</v>
      </c>
      <c r="K811">
        <v>95.3</v>
      </c>
      <c r="L811" t="s">
        <v>5025</v>
      </c>
      <c r="M811">
        <v>2</v>
      </c>
      <c r="N811">
        <v>2</v>
      </c>
      <c r="O811">
        <v>0</v>
      </c>
    </row>
    <row r="812" spans="1:15" x14ac:dyDescent="0.3">
      <c r="A812" t="s">
        <v>825</v>
      </c>
      <c r="B812">
        <v>4</v>
      </c>
      <c r="C812">
        <v>33</v>
      </c>
      <c r="D812" t="s">
        <v>5016</v>
      </c>
      <c r="E812" t="s">
        <v>5018</v>
      </c>
      <c r="F812" t="s">
        <v>5022</v>
      </c>
      <c r="G812">
        <v>14.38</v>
      </c>
      <c r="H812">
        <v>4</v>
      </c>
      <c r="I812">
        <v>6.3</v>
      </c>
      <c r="J812">
        <v>18.399999999999999</v>
      </c>
      <c r="K812">
        <v>73.7</v>
      </c>
      <c r="L812" t="s">
        <v>5025</v>
      </c>
      <c r="M812">
        <v>8</v>
      </c>
      <c r="N812">
        <v>3</v>
      </c>
      <c r="O812">
        <v>0</v>
      </c>
    </row>
    <row r="813" spans="1:15" x14ac:dyDescent="0.3">
      <c r="A813" t="s">
        <v>826</v>
      </c>
      <c r="B813">
        <v>1</v>
      </c>
      <c r="C813">
        <v>25</v>
      </c>
      <c r="D813" t="s">
        <v>5015</v>
      </c>
      <c r="E813" t="s">
        <v>5017</v>
      </c>
      <c r="F813" t="s">
        <v>5023</v>
      </c>
      <c r="G813">
        <v>20.100000000000001</v>
      </c>
      <c r="H813">
        <v>3</v>
      </c>
      <c r="I813">
        <v>8</v>
      </c>
      <c r="J813">
        <v>9.3699999999999992</v>
      </c>
      <c r="K813">
        <v>89.4</v>
      </c>
      <c r="L813" t="s">
        <v>5028</v>
      </c>
      <c r="M813">
        <v>4</v>
      </c>
      <c r="N813">
        <v>4</v>
      </c>
      <c r="O813">
        <v>0</v>
      </c>
    </row>
    <row r="814" spans="1:15" x14ac:dyDescent="0.3">
      <c r="A814" t="s">
        <v>827</v>
      </c>
      <c r="B814">
        <v>1</v>
      </c>
      <c r="C814">
        <v>64</v>
      </c>
      <c r="D814" t="s">
        <v>5016</v>
      </c>
      <c r="E814" t="s">
        <v>5017</v>
      </c>
      <c r="F814" t="s">
        <v>5021</v>
      </c>
      <c r="G814">
        <v>23.54</v>
      </c>
      <c r="H814">
        <v>3</v>
      </c>
      <c r="I814">
        <v>2</v>
      </c>
      <c r="J814">
        <v>7.63</v>
      </c>
      <c r="K814">
        <v>45.4</v>
      </c>
      <c r="L814" t="s">
        <v>5026</v>
      </c>
      <c r="M814">
        <v>5</v>
      </c>
      <c r="N814">
        <v>0</v>
      </c>
      <c r="O814">
        <v>0</v>
      </c>
    </row>
    <row r="815" spans="1:15" x14ac:dyDescent="0.3">
      <c r="A815" t="s">
        <v>828</v>
      </c>
      <c r="B815">
        <v>8</v>
      </c>
      <c r="C815">
        <v>34</v>
      </c>
      <c r="D815" t="s">
        <v>5015</v>
      </c>
      <c r="E815" t="s">
        <v>5018</v>
      </c>
      <c r="F815" t="s">
        <v>5020</v>
      </c>
      <c r="G815">
        <v>19.88</v>
      </c>
      <c r="H815">
        <v>5</v>
      </c>
      <c r="I815">
        <v>4.2</v>
      </c>
      <c r="J815">
        <v>20.63</v>
      </c>
      <c r="K815">
        <v>62.3</v>
      </c>
      <c r="L815" t="s">
        <v>5025</v>
      </c>
      <c r="M815">
        <v>9</v>
      </c>
      <c r="N815">
        <v>0</v>
      </c>
      <c r="O815">
        <v>0</v>
      </c>
    </row>
    <row r="816" spans="1:15" x14ac:dyDescent="0.3">
      <c r="A816" t="s">
        <v>829</v>
      </c>
      <c r="B816">
        <v>2</v>
      </c>
      <c r="C816">
        <v>34</v>
      </c>
      <c r="D816" t="s">
        <v>5016</v>
      </c>
      <c r="E816" t="s">
        <v>5018</v>
      </c>
      <c r="F816" t="s">
        <v>5024</v>
      </c>
      <c r="G816">
        <v>11.19</v>
      </c>
      <c r="H816">
        <v>3</v>
      </c>
      <c r="I816">
        <v>5.9</v>
      </c>
      <c r="J816">
        <v>23.82</v>
      </c>
      <c r="K816">
        <v>34.5</v>
      </c>
      <c r="L816" t="s">
        <v>5027</v>
      </c>
      <c r="M816">
        <v>4</v>
      </c>
      <c r="N816">
        <v>2</v>
      </c>
      <c r="O816">
        <v>0</v>
      </c>
    </row>
    <row r="817" spans="1:15" x14ac:dyDescent="0.3">
      <c r="A817" t="s">
        <v>830</v>
      </c>
      <c r="B817">
        <v>12</v>
      </c>
      <c r="C817">
        <v>43</v>
      </c>
      <c r="D817" t="s">
        <v>5015</v>
      </c>
      <c r="E817" t="s">
        <v>5018</v>
      </c>
      <c r="F817" t="s">
        <v>5021</v>
      </c>
      <c r="G817">
        <v>16.239999999999998</v>
      </c>
      <c r="H817">
        <v>3</v>
      </c>
      <c r="I817">
        <v>4</v>
      </c>
      <c r="J817">
        <v>8.11</v>
      </c>
      <c r="K817">
        <v>89.7</v>
      </c>
      <c r="L817" t="s">
        <v>5025</v>
      </c>
      <c r="M817">
        <v>1</v>
      </c>
      <c r="N817">
        <v>3</v>
      </c>
      <c r="O817">
        <v>0</v>
      </c>
    </row>
    <row r="818" spans="1:15" x14ac:dyDescent="0.3">
      <c r="A818" t="s">
        <v>831</v>
      </c>
      <c r="B818">
        <v>8</v>
      </c>
      <c r="C818">
        <v>30</v>
      </c>
      <c r="D818" t="s">
        <v>5015</v>
      </c>
      <c r="E818" t="s">
        <v>5017</v>
      </c>
      <c r="F818" t="s">
        <v>5023</v>
      </c>
      <c r="G818">
        <v>23.23</v>
      </c>
      <c r="H818">
        <v>4</v>
      </c>
      <c r="I818">
        <v>3.8</v>
      </c>
      <c r="J818">
        <v>9.98</v>
      </c>
      <c r="K818">
        <v>52.4</v>
      </c>
      <c r="L818" t="s">
        <v>5025</v>
      </c>
      <c r="M818">
        <v>11</v>
      </c>
      <c r="N818">
        <v>3</v>
      </c>
      <c r="O818">
        <v>0</v>
      </c>
    </row>
    <row r="819" spans="1:15" x14ac:dyDescent="0.3">
      <c r="A819" t="s">
        <v>832</v>
      </c>
      <c r="B819">
        <v>7</v>
      </c>
      <c r="C819">
        <v>34</v>
      </c>
      <c r="D819" t="s">
        <v>5015</v>
      </c>
      <c r="E819" t="s">
        <v>5019</v>
      </c>
      <c r="F819" t="s">
        <v>5020</v>
      </c>
      <c r="G819">
        <v>13.98</v>
      </c>
      <c r="H819">
        <v>2</v>
      </c>
      <c r="I819">
        <v>3.5</v>
      </c>
      <c r="J819">
        <v>18.71</v>
      </c>
      <c r="K819">
        <v>58.3</v>
      </c>
      <c r="L819" t="s">
        <v>5026</v>
      </c>
      <c r="M819">
        <v>6</v>
      </c>
      <c r="N819">
        <v>1</v>
      </c>
      <c r="O819">
        <v>0</v>
      </c>
    </row>
    <row r="820" spans="1:15" x14ac:dyDescent="0.3">
      <c r="A820" t="s">
        <v>833</v>
      </c>
      <c r="B820">
        <v>10</v>
      </c>
      <c r="C820">
        <v>55</v>
      </c>
      <c r="D820" t="s">
        <v>5016</v>
      </c>
      <c r="E820" t="s">
        <v>5017</v>
      </c>
      <c r="F820" t="s">
        <v>5020</v>
      </c>
      <c r="G820">
        <v>18.63</v>
      </c>
      <c r="H820">
        <v>2</v>
      </c>
      <c r="I820">
        <v>3.1</v>
      </c>
      <c r="J820">
        <v>20.94</v>
      </c>
      <c r="K820">
        <v>87.8</v>
      </c>
      <c r="L820" t="s">
        <v>5026</v>
      </c>
      <c r="M820">
        <v>11</v>
      </c>
      <c r="N820">
        <v>3</v>
      </c>
      <c r="O820">
        <v>0</v>
      </c>
    </row>
    <row r="821" spans="1:15" x14ac:dyDescent="0.3">
      <c r="A821" t="s">
        <v>834</v>
      </c>
      <c r="B821">
        <v>10</v>
      </c>
      <c r="C821">
        <v>34</v>
      </c>
      <c r="D821" t="s">
        <v>5016</v>
      </c>
      <c r="E821" t="s">
        <v>5017</v>
      </c>
      <c r="F821" t="s">
        <v>5020</v>
      </c>
      <c r="G821">
        <v>14.31</v>
      </c>
      <c r="H821">
        <v>4</v>
      </c>
      <c r="I821">
        <v>8.6</v>
      </c>
      <c r="J821">
        <v>24.98</v>
      </c>
      <c r="K821">
        <v>81.8</v>
      </c>
      <c r="L821" t="s">
        <v>5025</v>
      </c>
      <c r="M821">
        <v>11</v>
      </c>
      <c r="N821">
        <v>2</v>
      </c>
      <c r="O821">
        <v>0</v>
      </c>
    </row>
    <row r="822" spans="1:15" x14ac:dyDescent="0.3">
      <c r="A822" t="s">
        <v>835</v>
      </c>
      <c r="B822">
        <v>2</v>
      </c>
      <c r="C822">
        <v>65</v>
      </c>
      <c r="D822" t="s">
        <v>5016</v>
      </c>
      <c r="E822" t="s">
        <v>5018</v>
      </c>
      <c r="F822" t="s">
        <v>5023</v>
      </c>
      <c r="G822">
        <v>7.43</v>
      </c>
      <c r="H822">
        <v>3</v>
      </c>
      <c r="I822">
        <v>9.3000000000000007</v>
      </c>
      <c r="J822">
        <v>9.01</v>
      </c>
      <c r="K822">
        <v>39</v>
      </c>
      <c r="L822" t="s">
        <v>5027</v>
      </c>
      <c r="M822">
        <v>5</v>
      </c>
      <c r="N822">
        <v>0</v>
      </c>
      <c r="O822">
        <v>0</v>
      </c>
    </row>
    <row r="823" spans="1:15" x14ac:dyDescent="0.3">
      <c r="A823" t="s">
        <v>836</v>
      </c>
      <c r="B823">
        <v>6</v>
      </c>
      <c r="C823">
        <v>31</v>
      </c>
      <c r="D823" t="s">
        <v>5015</v>
      </c>
      <c r="E823" t="s">
        <v>5018</v>
      </c>
      <c r="F823" t="s">
        <v>5021</v>
      </c>
      <c r="G823">
        <v>6.17</v>
      </c>
      <c r="H823">
        <v>1</v>
      </c>
      <c r="I823">
        <v>7.3</v>
      </c>
      <c r="J823">
        <v>15.25</v>
      </c>
      <c r="K823">
        <v>17.899999999999999</v>
      </c>
      <c r="L823" t="s">
        <v>5027</v>
      </c>
      <c r="M823">
        <v>10</v>
      </c>
      <c r="N823">
        <v>0</v>
      </c>
      <c r="O823">
        <v>0</v>
      </c>
    </row>
    <row r="824" spans="1:15" x14ac:dyDescent="0.3">
      <c r="A824" t="s">
        <v>837</v>
      </c>
      <c r="B824">
        <v>6</v>
      </c>
      <c r="C824">
        <v>62</v>
      </c>
      <c r="D824" t="s">
        <v>5016</v>
      </c>
      <c r="E824" t="s">
        <v>5017</v>
      </c>
      <c r="F824" t="s">
        <v>5024</v>
      </c>
      <c r="G824">
        <v>24.05</v>
      </c>
      <c r="H824">
        <v>2</v>
      </c>
      <c r="I824">
        <v>1.3</v>
      </c>
      <c r="J824">
        <v>5.95</v>
      </c>
      <c r="K824">
        <v>24.6</v>
      </c>
      <c r="L824" t="s">
        <v>5028</v>
      </c>
      <c r="M824">
        <v>3</v>
      </c>
      <c r="N824">
        <v>3</v>
      </c>
      <c r="O824">
        <v>0</v>
      </c>
    </row>
    <row r="825" spans="1:15" x14ac:dyDescent="0.3">
      <c r="A825" t="s">
        <v>838</v>
      </c>
      <c r="B825">
        <v>3</v>
      </c>
      <c r="C825">
        <v>23</v>
      </c>
      <c r="D825" t="s">
        <v>5016</v>
      </c>
      <c r="E825" t="s">
        <v>5017</v>
      </c>
      <c r="F825" t="s">
        <v>5020</v>
      </c>
      <c r="G825">
        <v>17.25</v>
      </c>
      <c r="H825">
        <v>4</v>
      </c>
      <c r="I825">
        <v>8.1</v>
      </c>
      <c r="J825">
        <v>10.28</v>
      </c>
      <c r="K825">
        <v>40.5</v>
      </c>
      <c r="L825" t="s">
        <v>5028</v>
      </c>
      <c r="M825">
        <v>11</v>
      </c>
      <c r="N825">
        <v>4</v>
      </c>
      <c r="O825">
        <v>1</v>
      </c>
    </row>
    <row r="826" spans="1:15" x14ac:dyDescent="0.3">
      <c r="A826" t="s">
        <v>839</v>
      </c>
      <c r="B826">
        <v>11</v>
      </c>
      <c r="C826">
        <v>52</v>
      </c>
      <c r="D826" t="s">
        <v>5016</v>
      </c>
      <c r="E826" t="s">
        <v>5017</v>
      </c>
      <c r="F826" t="s">
        <v>5020</v>
      </c>
      <c r="G826">
        <v>7.08</v>
      </c>
      <c r="H826">
        <v>1</v>
      </c>
      <c r="I826">
        <v>5.8</v>
      </c>
      <c r="J826">
        <v>3.99</v>
      </c>
      <c r="K826">
        <v>37.5</v>
      </c>
      <c r="L826" t="s">
        <v>5025</v>
      </c>
      <c r="M826">
        <v>11</v>
      </c>
      <c r="N826">
        <v>1</v>
      </c>
      <c r="O826">
        <v>1</v>
      </c>
    </row>
    <row r="827" spans="1:15" x14ac:dyDescent="0.3">
      <c r="A827" t="s">
        <v>840</v>
      </c>
      <c r="B827">
        <v>2</v>
      </c>
      <c r="C827">
        <v>63</v>
      </c>
      <c r="D827" t="s">
        <v>5016</v>
      </c>
      <c r="E827" t="s">
        <v>5019</v>
      </c>
      <c r="F827" t="s">
        <v>5021</v>
      </c>
      <c r="G827">
        <v>22.15</v>
      </c>
      <c r="H827">
        <v>3</v>
      </c>
      <c r="I827">
        <v>7.8</v>
      </c>
      <c r="J827">
        <v>7.64</v>
      </c>
      <c r="K827">
        <v>13.4</v>
      </c>
      <c r="L827" t="s">
        <v>5025</v>
      </c>
      <c r="M827">
        <v>5</v>
      </c>
      <c r="N827">
        <v>3</v>
      </c>
      <c r="O827">
        <v>0</v>
      </c>
    </row>
    <row r="828" spans="1:15" x14ac:dyDescent="0.3">
      <c r="A828" t="s">
        <v>841</v>
      </c>
      <c r="B828">
        <v>12</v>
      </c>
      <c r="C828">
        <v>31</v>
      </c>
      <c r="D828" t="s">
        <v>5015</v>
      </c>
      <c r="E828" t="s">
        <v>5019</v>
      </c>
      <c r="F828" t="s">
        <v>5020</v>
      </c>
      <c r="G828">
        <v>15.45</v>
      </c>
      <c r="H828">
        <v>4</v>
      </c>
      <c r="I828">
        <v>4.9000000000000004</v>
      </c>
      <c r="J828">
        <v>14.14</v>
      </c>
      <c r="K828">
        <v>48.9</v>
      </c>
      <c r="L828" t="s">
        <v>5025</v>
      </c>
      <c r="M828">
        <v>8</v>
      </c>
      <c r="N828">
        <v>2</v>
      </c>
      <c r="O828">
        <v>0</v>
      </c>
    </row>
    <row r="829" spans="1:15" x14ac:dyDescent="0.3">
      <c r="A829" t="s">
        <v>842</v>
      </c>
      <c r="B829">
        <v>1</v>
      </c>
      <c r="C829">
        <v>64</v>
      </c>
      <c r="D829" t="s">
        <v>5015</v>
      </c>
      <c r="E829" t="s">
        <v>5018</v>
      </c>
      <c r="F829" t="s">
        <v>5020</v>
      </c>
      <c r="G829">
        <v>20.440000000000001</v>
      </c>
      <c r="H829">
        <v>2</v>
      </c>
      <c r="I829">
        <v>1.4</v>
      </c>
      <c r="J829">
        <v>6.6</v>
      </c>
      <c r="K829">
        <v>19.5</v>
      </c>
      <c r="L829" t="s">
        <v>5027</v>
      </c>
      <c r="M829">
        <v>1</v>
      </c>
      <c r="N829">
        <v>1</v>
      </c>
      <c r="O829">
        <v>1</v>
      </c>
    </row>
    <row r="830" spans="1:15" x14ac:dyDescent="0.3">
      <c r="A830" t="s">
        <v>843</v>
      </c>
      <c r="B830">
        <v>6</v>
      </c>
      <c r="C830">
        <v>25</v>
      </c>
      <c r="D830" t="s">
        <v>5016</v>
      </c>
      <c r="E830" t="s">
        <v>5019</v>
      </c>
      <c r="F830" t="s">
        <v>5023</v>
      </c>
      <c r="G830">
        <v>7.54</v>
      </c>
      <c r="H830">
        <v>1</v>
      </c>
      <c r="I830">
        <v>7.1</v>
      </c>
      <c r="J830">
        <v>22.57</v>
      </c>
      <c r="K830">
        <v>29.9</v>
      </c>
      <c r="L830" t="s">
        <v>5029</v>
      </c>
      <c r="M830">
        <v>4</v>
      </c>
      <c r="N830">
        <v>3</v>
      </c>
      <c r="O830">
        <v>0</v>
      </c>
    </row>
    <row r="831" spans="1:15" x14ac:dyDescent="0.3">
      <c r="A831" t="s">
        <v>844</v>
      </c>
      <c r="B831">
        <v>12</v>
      </c>
      <c r="C831">
        <v>32</v>
      </c>
      <c r="D831" t="s">
        <v>5016</v>
      </c>
      <c r="E831" t="s">
        <v>5019</v>
      </c>
      <c r="F831" t="s">
        <v>5022</v>
      </c>
      <c r="G831">
        <v>23.14</v>
      </c>
      <c r="H831">
        <v>1</v>
      </c>
      <c r="I831">
        <v>5</v>
      </c>
      <c r="J831">
        <v>18.63</v>
      </c>
      <c r="K831">
        <v>80.900000000000006</v>
      </c>
      <c r="L831" t="s">
        <v>5028</v>
      </c>
      <c r="M831">
        <v>3</v>
      </c>
      <c r="N831">
        <v>1</v>
      </c>
      <c r="O831">
        <v>1</v>
      </c>
    </row>
    <row r="832" spans="1:15" x14ac:dyDescent="0.3">
      <c r="A832" t="s">
        <v>845</v>
      </c>
      <c r="B832">
        <v>5</v>
      </c>
      <c r="C832">
        <v>44</v>
      </c>
      <c r="D832" t="s">
        <v>5016</v>
      </c>
      <c r="E832" t="s">
        <v>5017</v>
      </c>
      <c r="F832" t="s">
        <v>5021</v>
      </c>
      <c r="G832">
        <v>16.809999999999999</v>
      </c>
      <c r="H832">
        <v>2</v>
      </c>
      <c r="I832">
        <v>8.9</v>
      </c>
      <c r="J832">
        <v>3.61</v>
      </c>
      <c r="K832">
        <v>54.5</v>
      </c>
      <c r="L832" t="s">
        <v>5028</v>
      </c>
      <c r="M832">
        <v>4</v>
      </c>
      <c r="N832">
        <v>4</v>
      </c>
      <c r="O832">
        <v>1</v>
      </c>
    </row>
    <row r="833" spans="1:15" x14ac:dyDescent="0.3">
      <c r="A833" t="s">
        <v>846</v>
      </c>
      <c r="B833">
        <v>11</v>
      </c>
      <c r="C833">
        <v>30</v>
      </c>
      <c r="D833" t="s">
        <v>5015</v>
      </c>
      <c r="E833" t="s">
        <v>5019</v>
      </c>
      <c r="F833" t="s">
        <v>5021</v>
      </c>
      <c r="G833">
        <v>19.77</v>
      </c>
      <c r="H833">
        <v>1</v>
      </c>
      <c r="I833">
        <v>7.6</v>
      </c>
      <c r="J833">
        <v>22.29</v>
      </c>
      <c r="K833">
        <v>43.6</v>
      </c>
      <c r="L833" t="s">
        <v>5029</v>
      </c>
      <c r="M833">
        <v>2</v>
      </c>
      <c r="N833">
        <v>2</v>
      </c>
      <c r="O833">
        <v>1</v>
      </c>
    </row>
    <row r="834" spans="1:15" x14ac:dyDescent="0.3">
      <c r="A834" t="s">
        <v>847</v>
      </c>
      <c r="B834">
        <v>9</v>
      </c>
      <c r="C834">
        <v>66</v>
      </c>
      <c r="D834" t="s">
        <v>5016</v>
      </c>
      <c r="E834" t="s">
        <v>5019</v>
      </c>
      <c r="F834" t="s">
        <v>5021</v>
      </c>
      <c r="G834">
        <v>5.63</v>
      </c>
      <c r="H834">
        <v>2</v>
      </c>
      <c r="I834">
        <v>4.2</v>
      </c>
      <c r="J834">
        <v>24.5</v>
      </c>
      <c r="K834">
        <v>26.7</v>
      </c>
      <c r="L834" t="s">
        <v>5025</v>
      </c>
      <c r="M834">
        <v>2</v>
      </c>
      <c r="N834">
        <v>3</v>
      </c>
      <c r="O834">
        <v>0</v>
      </c>
    </row>
    <row r="835" spans="1:15" x14ac:dyDescent="0.3">
      <c r="A835" t="s">
        <v>848</v>
      </c>
      <c r="B835">
        <v>1</v>
      </c>
      <c r="C835">
        <v>48</v>
      </c>
      <c r="D835" t="s">
        <v>5015</v>
      </c>
      <c r="E835" t="s">
        <v>5017</v>
      </c>
      <c r="F835" t="s">
        <v>5023</v>
      </c>
      <c r="G835">
        <v>11.31</v>
      </c>
      <c r="H835">
        <v>4</v>
      </c>
      <c r="I835">
        <v>7.5</v>
      </c>
      <c r="J835">
        <v>14.04</v>
      </c>
      <c r="K835">
        <v>88</v>
      </c>
      <c r="L835" t="s">
        <v>5028</v>
      </c>
      <c r="M835">
        <v>2</v>
      </c>
      <c r="N835">
        <v>0</v>
      </c>
      <c r="O835">
        <v>0</v>
      </c>
    </row>
    <row r="836" spans="1:15" x14ac:dyDescent="0.3">
      <c r="A836" t="s">
        <v>849</v>
      </c>
      <c r="B836">
        <v>7</v>
      </c>
      <c r="C836">
        <v>52</v>
      </c>
      <c r="D836" t="s">
        <v>5015</v>
      </c>
      <c r="E836" t="s">
        <v>5017</v>
      </c>
      <c r="F836" t="s">
        <v>5023</v>
      </c>
      <c r="G836">
        <v>10.35</v>
      </c>
      <c r="H836">
        <v>5</v>
      </c>
      <c r="I836">
        <v>5.5</v>
      </c>
      <c r="J836">
        <v>9.92</v>
      </c>
      <c r="K836">
        <v>91.3</v>
      </c>
      <c r="L836" t="s">
        <v>5027</v>
      </c>
      <c r="M836">
        <v>3</v>
      </c>
      <c r="N836">
        <v>2</v>
      </c>
      <c r="O836">
        <v>0</v>
      </c>
    </row>
    <row r="837" spans="1:15" x14ac:dyDescent="0.3">
      <c r="A837" t="s">
        <v>850</v>
      </c>
      <c r="B837">
        <v>5</v>
      </c>
      <c r="C837">
        <v>23</v>
      </c>
      <c r="D837" t="s">
        <v>5016</v>
      </c>
      <c r="E837" t="s">
        <v>5017</v>
      </c>
      <c r="F837" t="s">
        <v>5024</v>
      </c>
      <c r="G837">
        <v>23.99</v>
      </c>
      <c r="H837">
        <v>3</v>
      </c>
      <c r="I837">
        <v>2.8</v>
      </c>
      <c r="J837">
        <v>8.8000000000000007</v>
      </c>
      <c r="K837">
        <v>56.7</v>
      </c>
      <c r="L837" t="s">
        <v>5029</v>
      </c>
      <c r="M837">
        <v>9</v>
      </c>
      <c r="N837">
        <v>4</v>
      </c>
      <c r="O837">
        <v>0</v>
      </c>
    </row>
    <row r="838" spans="1:15" x14ac:dyDescent="0.3">
      <c r="A838" t="s">
        <v>851</v>
      </c>
      <c r="B838">
        <v>5</v>
      </c>
      <c r="C838">
        <v>22</v>
      </c>
      <c r="D838" t="s">
        <v>5016</v>
      </c>
      <c r="E838" t="s">
        <v>5017</v>
      </c>
      <c r="F838" t="s">
        <v>5023</v>
      </c>
      <c r="G838">
        <v>8.7100000000000009</v>
      </c>
      <c r="H838">
        <v>4</v>
      </c>
      <c r="I838">
        <v>4.8</v>
      </c>
      <c r="J838">
        <v>4.92</v>
      </c>
      <c r="K838">
        <v>92.9</v>
      </c>
      <c r="L838" t="s">
        <v>5027</v>
      </c>
      <c r="M838">
        <v>5</v>
      </c>
      <c r="N838">
        <v>4</v>
      </c>
      <c r="O838">
        <v>0</v>
      </c>
    </row>
    <row r="839" spans="1:15" x14ac:dyDescent="0.3">
      <c r="A839" t="s">
        <v>852</v>
      </c>
      <c r="B839">
        <v>2</v>
      </c>
      <c r="C839">
        <v>39</v>
      </c>
      <c r="D839" t="s">
        <v>5016</v>
      </c>
      <c r="E839" t="s">
        <v>5019</v>
      </c>
      <c r="F839" t="s">
        <v>5021</v>
      </c>
      <c r="G839">
        <v>19.14</v>
      </c>
      <c r="H839">
        <v>3</v>
      </c>
      <c r="I839">
        <v>3</v>
      </c>
      <c r="J839">
        <v>13.82</v>
      </c>
      <c r="K839">
        <v>51.8</v>
      </c>
      <c r="L839" t="s">
        <v>5025</v>
      </c>
      <c r="M839">
        <v>4</v>
      </c>
      <c r="N839">
        <v>0</v>
      </c>
      <c r="O839">
        <v>0</v>
      </c>
    </row>
    <row r="840" spans="1:15" x14ac:dyDescent="0.3">
      <c r="A840" t="s">
        <v>853</v>
      </c>
      <c r="B840">
        <v>11</v>
      </c>
      <c r="C840">
        <v>66</v>
      </c>
      <c r="D840" t="s">
        <v>5015</v>
      </c>
      <c r="E840" t="s">
        <v>5018</v>
      </c>
      <c r="F840" t="s">
        <v>5024</v>
      </c>
      <c r="G840">
        <v>5.86</v>
      </c>
      <c r="H840">
        <v>3</v>
      </c>
      <c r="I840">
        <v>1</v>
      </c>
      <c r="J840">
        <v>4.0999999999999996</v>
      </c>
      <c r="K840">
        <v>19.7</v>
      </c>
      <c r="L840" t="s">
        <v>5028</v>
      </c>
      <c r="M840">
        <v>4</v>
      </c>
      <c r="N840">
        <v>2</v>
      </c>
      <c r="O840">
        <v>0</v>
      </c>
    </row>
    <row r="841" spans="1:15" x14ac:dyDescent="0.3">
      <c r="A841" t="s">
        <v>854</v>
      </c>
      <c r="B841">
        <v>3</v>
      </c>
      <c r="C841">
        <v>40</v>
      </c>
      <c r="D841" t="s">
        <v>5015</v>
      </c>
      <c r="E841" t="s">
        <v>5019</v>
      </c>
      <c r="F841" t="s">
        <v>5022</v>
      </c>
      <c r="G841">
        <v>8.9499999999999993</v>
      </c>
      <c r="H841">
        <v>2</v>
      </c>
      <c r="I841">
        <v>3.2</v>
      </c>
      <c r="J841">
        <v>14.08</v>
      </c>
      <c r="K841">
        <v>11.5</v>
      </c>
      <c r="L841" t="s">
        <v>5027</v>
      </c>
      <c r="M841">
        <v>3</v>
      </c>
      <c r="N841">
        <v>3</v>
      </c>
      <c r="O841">
        <v>0</v>
      </c>
    </row>
    <row r="842" spans="1:15" x14ac:dyDescent="0.3">
      <c r="A842" t="s">
        <v>855</v>
      </c>
      <c r="B842">
        <v>7</v>
      </c>
      <c r="C842">
        <v>42</v>
      </c>
      <c r="D842" t="s">
        <v>5016</v>
      </c>
      <c r="E842" t="s">
        <v>5019</v>
      </c>
      <c r="F842" t="s">
        <v>5020</v>
      </c>
      <c r="G842">
        <v>11.77</v>
      </c>
      <c r="H842">
        <v>5</v>
      </c>
      <c r="I842">
        <v>2.9</v>
      </c>
      <c r="J842">
        <v>8.56</v>
      </c>
      <c r="K842">
        <v>21.6</v>
      </c>
      <c r="L842" t="s">
        <v>5029</v>
      </c>
      <c r="M842">
        <v>9</v>
      </c>
      <c r="N842">
        <v>0</v>
      </c>
      <c r="O842">
        <v>0</v>
      </c>
    </row>
    <row r="843" spans="1:15" x14ac:dyDescent="0.3">
      <c r="A843" t="s">
        <v>856</v>
      </c>
      <c r="B843">
        <v>6</v>
      </c>
      <c r="C843">
        <v>51</v>
      </c>
      <c r="D843" t="s">
        <v>5015</v>
      </c>
      <c r="E843" t="s">
        <v>5018</v>
      </c>
      <c r="F843" t="s">
        <v>5020</v>
      </c>
      <c r="G843">
        <v>20.89</v>
      </c>
      <c r="H843">
        <v>3</v>
      </c>
      <c r="I843">
        <v>1</v>
      </c>
      <c r="J843">
        <v>13.48</v>
      </c>
      <c r="K843">
        <v>66</v>
      </c>
      <c r="L843" t="s">
        <v>5025</v>
      </c>
      <c r="M843">
        <v>11</v>
      </c>
      <c r="N843">
        <v>3</v>
      </c>
      <c r="O843">
        <v>0</v>
      </c>
    </row>
    <row r="844" spans="1:15" x14ac:dyDescent="0.3">
      <c r="A844" t="s">
        <v>857</v>
      </c>
      <c r="B844">
        <v>12</v>
      </c>
      <c r="C844">
        <v>43</v>
      </c>
      <c r="D844" t="s">
        <v>5016</v>
      </c>
      <c r="E844" t="s">
        <v>5018</v>
      </c>
      <c r="F844" t="s">
        <v>5024</v>
      </c>
      <c r="G844">
        <v>20.8</v>
      </c>
      <c r="H844">
        <v>3</v>
      </c>
      <c r="I844">
        <v>8.1</v>
      </c>
      <c r="J844">
        <v>12.2</v>
      </c>
      <c r="K844">
        <v>38.9</v>
      </c>
      <c r="L844" t="s">
        <v>5028</v>
      </c>
      <c r="M844">
        <v>10</v>
      </c>
      <c r="N844">
        <v>1</v>
      </c>
      <c r="O844">
        <v>0</v>
      </c>
    </row>
    <row r="845" spans="1:15" x14ac:dyDescent="0.3">
      <c r="A845" t="s">
        <v>858</v>
      </c>
      <c r="B845">
        <v>2</v>
      </c>
      <c r="C845">
        <v>64</v>
      </c>
      <c r="D845" t="s">
        <v>5016</v>
      </c>
      <c r="E845" t="s">
        <v>5017</v>
      </c>
      <c r="F845" t="s">
        <v>5022</v>
      </c>
      <c r="G845">
        <v>24.05</v>
      </c>
      <c r="H845">
        <v>4</v>
      </c>
      <c r="I845">
        <v>1.7</v>
      </c>
      <c r="J845">
        <v>9.7100000000000009</v>
      </c>
      <c r="K845">
        <v>68.3</v>
      </c>
      <c r="L845" t="s">
        <v>5028</v>
      </c>
      <c r="M845">
        <v>1</v>
      </c>
      <c r="N845">
        <v>3</v>
      </c>
      <c r="O845">
        <v>0</v>
      </c>
    </row>
    <row r="846" spans="1:15" x14ac:dyDescent="0.3">
      <c r="A846" t="s">
        <v>859</v>
      </c>
      <c r="B846">
        <v>6</v>
      </c>
      <c r="C846">
        <v>22</v>
      </c>
      <c r="D846" t="s">
        <v>5015</v>
      </c>
      <c r="E846" t="s">
        <v>5018</v>
      </c>
      <c r="F846" t="s">
        <v>5020</v>
      </c>
      <c r="G846">
        <v>23.34</v>
      </c>
      <c r="H846">
        <v>5</v>
      </c>
      <c r="I846">
        <v>5</v>
      </c>
      <c r="J846">
        <v>12.87</v>
      </c>
      <c r="K846">
        <v>55.7</v>
      </c>
      <c r="L846" t="s">
        <v>5025</v>
      </c>
      <c r="M846">
        <v>6</v>
      </c>
      <c r="N846">
        <v>1</v>
      </c>
      <c r="O846">
        <v>0</v>
      </c>
    </row>
    <row r="847" spans="1:15" x14ac:dyDescent="0.3">
      <c r="A847" t="s">
        <v>860</v>
      </c>
      <c r="B847">
        <v>2</v>
      </c>
      <c r="C847">
        <v>43</v>
      </c>
      <c r="D847" t="s">
        <v>5015</v>
      </c>
      <c r="E847" t="s">
        <v>5018</v>
      </c>
      <c r="F847" t="s">
        <v>5024</v>
      </c>
      <c r="G847">
        <v>6.63</v>
      </c>
      <c r="H847">
        <v>5</v>
      </c>
      <c r="I847">
        <v>4.8</v>
      </c>
      <c r="J847">
        <v>13.43</v>
      </c>
      <c r="K847">
        <v>40</v>
      </c>
      <c r="L847" t="s">
        <v>5025</v>
      </c>
      <c r="M847">
        <v>4</v>
      </c>
      <c r="N847">
        <v>3</v>
      </c>
      <c r="O847">
        <v>1</v>
      </c>
    </row>
    <row r="848" spans="1:15" x14ac:dyDescent="0.3">
      <c r="A848" t="s">
        <v>861</v>
      </c>
      <c r="B848">
        <v>2</v>
      </c>
      <c r="C848">
        <v>37</v>
      </c>
      <c r="D848" t="s">
        <v>5015</v>
      </c>
      <c r="E848" t="s">
        <v>5017</v>
      </c>
      <c r="F848" t="s">
        <v>5023</v>
      </c>
      <c r="G848">
        <v>21.6</v>
      </c>
      <c r="H848">
        <v>3</v>
      </c>
      <c r="I848">
        <v>2.6</v>
      </c>
      <c r="J848">
        <v>21.34</v>
      </c>
      <c r="K848">
        <v>29.7</v>
      </c>
      <c r="L848" t="s">
        <v>5025</v>
      </c>
      <c r="M848">
        <v>8</v>
      </c>
      <c r="N848">
        <v>1</v>
      </c>
      <c r="O848">
        <v>0</v>
      </c>
    </row>
    <row r="849" spans="1:15" x14ac:dyDescent="0.3">
      <c r="A849" t="s">
        <v>862</v>
      </c>
      <c r="B849">
        <v>2</v>
      </c>
      <c r="C849">
        <v>23</v>
      </c>
      <c r="D849" t="s">
        <v>5015</v>
      </c>
      <c r="E849" t="s">
        <v>5017</v>
      </c>
      <c r="F849" t="s">
        <v>5021</v>
      </c>
      <c r="G849">
        <v>14.02</v>
      </c>
      <c r="H849">
        <v>5</v>
      </c>
      <c r="I849">
        <v>9.6999999999999993</v>
      </c>
      <c r="J849">
        <v>17.649999999999999</v>
      </c>
      <c r="K849">
        <v>17.3</v>
      </c>
      <c r="L849" t="s">
        <v>5027</v>
      </c>
      <c r="M849">
        <v>7</v>
      </c>
      <c r="N849">
        <v>2</v>
      </c>
      <c r="O849">
        <v>1</v>
      </c>
    </row>
    <row r="850" spans="1:15" x14ac:dyDescent="0.3">
      <c r="A850" t="s">
        <v>863</v>
      </c>
      <c r="B850">
        <v>11</v>
      </c>
      <c r="C850">
        <v>23</v>
      </c>
      <c r="D850" t="s">
        <v>5016</v>
      </c>
      <c r="E850" t="s">
        <v>5019</v>
      </c>
      <c r="F850" t="s">
        <v>5022</v>
      </c>
      <c r="G850">
        <v>22.32</v>
      </c>
      <c r="H850">
        <v>4</v>
      </c>
      <c r="I850">
        <v>6.4</v>
      </c>
      <c r="J850">
        <v>12.53</v>
      </c>
      <c r="K850">
        <v>80.400000000000006</v>
      </c>
      <c r="L850" t="s">
        <v>5026</v>
      </c>
      <c r="M850">
        <v>3</v>
      </c>
      <c r="N850">
        <v>4</v>
      </c>
      <c r="O850">
        <v>1</v>
      </c>
    </row>
    <row r="851" spans="1:15" x14ac:dyDescent="0.3">
      <c r="A851" t="s">
        <v>864</v>
      </c>
      <c r="B851">
        <v>3</v>
      </c>
      <c r="C851">
        <v>67</v>
      </c>
      <c r="D851" t="s">
        <v>5016</v>
      </c>
      <c r="E851" t="s">
        <v>5018</v>
      </c>
      <c r="F851" t="s">
        <v>5020</v>
      </c>
      <c r="G851">
        <v>6.79</v>
      </c>
      <c r="H851">
        <v>2</v>
      </c>
      <c r="I851">
        <v>8.3000000000000007</v>
      </c>
      <c r="J851">
        <v>22.92</v>
      </c>
      <c r="K851">
        <v>83.7</v>
      </c>
      <c r="L851" t="s">
        <v>5028</v>
      </c>
      <c r="M851">
        <v>5</v>
      </c>
      <c r="N851">
        <v>2</v>
      </c>
      <c r="O851">
        <v>0</v>
      </c>
    </row>
    <row r="852" spans="1:15" x14ac:dyDescent="0.3">
      <c r="A852" t="s">
        <v>865</v>
      </c>
      <c r="B852">
        <v>2</v>
      </c>
      <c r="C852">
        <v>35</v>
      </c>
      <c r="D852" t="s">
        <v>5016</v>
      </c>
      <c r="E852" t="s">
        <v>5017</v>
      </c>
      <c r="F852" t="s">
        <v>5021</v>
      </c>
      <c r="G852">
        <v>21.46</v>
      </c>
      <c r="H852">
        <v>3</v>
      </c>
      <c r="I852">
        <v>5.5</v>
      </c>
      <c r="J852">
        <v>19.63</v>
      </c>
      <c r="K852">
        <v>58.7</v>
      </c>
      <c r="L852" t="s">
        <v>5027</v>
      </c>
      <c r="M852">
        <v>11</v>
      </c>
      <c r="N852">
        <v>0</v>
      </c>
      <c r="O852">
        <v>0</v>
      </c>
    </row>
    <row r="853" spans="1:15" x14ac:dyDescent="0.3">
      <c r="A853" t="s">
        <v>866</v>
      </c>
      <c r="B853">
        <v>4</v>
      </c>
      <c r="C853">
        <v>21</v>
      </c>
      <c r="D853" t="s">
        <v>5015</v>
      </c>
      <c r="E853" t="s">
        <v>5018</v>
      </c>
      <c r="F853" t="s">
        <v>5024</v>
      </c>
      <c r="G853">
        <v>8.19</v>
      </c>
      <c r="H853">
        <v>1</v>
      </c>
      <c r="I853">
        <v>7.5</v>
      </c>
      <c r="J853">
        <v>4.67</v>
      </c>
      <c r="K853">
        <v>24.1</v>
      </c>
      <c r="L853" t="s">
        <v>5029</v>
      </c>
      <c r="M853">
        <v>11</v>
      </c>
      <c r="N853">
        <v>2</v>
      </c>
      <c r="O853">
        <v>0</v>
      </c>
    </row>
    <row r="854" spans="1:15" x14ac:dyDescent="0.3">
      <c r="A854" t="s">
        <v>867</v>
      </c>
      <c r="B854">
        <v>9</v>
      </c>
      <c r="C854">
        <v>34</v>
      </c>
      <c r="D854" t="s">
        <v>5016</v>
      </c>
      <c r="E854" t="s">
        <v>5019</v>
      </c>
      <c r="F854" t="s">
        <v>5020</v>
      </c>
      <c r="G854">
        <v>11.68</v>
      </c>
      <c r="H854">
        <v>3</v>
      </c>
      <c r="I854">
        <v>9.6999999999999993</v>
      </c>
      <c r="J854">
        <v>6.38</v>
      </c>
      <c r="K854">
        <v>33.700000000000003</v>
      </c>
      <c r="L854" t="s">
        <v>5028</v>
      </c>
      <c r="M854">
        <v>4</v>
      </c>
      <c r="N854">
        <v>2</v>
      </c>
      <c r="O854">
        <v>1</v>
      </c>
    </row>
    <row r="855" spans="1:15" x14ac:dyDescent="0.3">
      <c r="A855" t="s">
        <v>868</v>
      </c>
      <c r="B855">
        <v>6</v>
      </c>
      <c r="C855">
        <v>31</v>
      </c>
      <c r="D855" t="s">
        <v>5015</v>
      </c>
      <c r="E855" t="s">
        <v>5018</v>
      </c>
      <c r="F855" t="s">
        <v>5021</v>
      </c>
      <c r="G855">
        <v>5.58</v>
      </c>
      <c r="H855">
        <v>3</v>
      </c>
      <c r="I855">
        <v>4.0999999999999996</v>
      </c>
      <c r="J855">
        <v>4.8</v>
      </c>
      <c r="K855">
        <v>96</v>
      </c>
      <c r="L855" t="s">
        <v>5026</v>
      </c>
      <c r="M855">
        <v>4</v>
      </c>
      <c r="N855">
        <v>4</v>
      </c>
      <c r="O855">
        <v>0</v>
      </c>
    </row>
    <row r="856" spans="1:15" x14ac:dyDescent="0.3">
      <c r="A856" t="s">
        <v>869</v>
      </c>
      <c r="B856">
        <v>1</v>
      </c>
      <c r="C856">
        <v>31</v>
      </c>
      <c r="D856" t="s">
        <v>5015</v>
      </c>
      <c r="E856" t="s">
        <v>5017</v>
      </c>
      <c r="F856" t="s">
        <v>5023</v>
      </c>
      <c r="G856">
        <v>7.47</v>
      </c>
      <c r="H856">
        <v>2</v>
      </c>
      <c r="I856">
        <v>5.5</v>
      </c>
      <c r="J856">
        <v>10.01</v>
      </c>
      <c r="K856">
        <v>30.3</v>
      </c>
      <c r="L856" t="s">
        <v>5029</v>
      </c>
      <c r="M856">
        <v>10</v>
      </c>
      <c r="N856">
        <v>2</v>
      </c>
      <c r="O856">
        <v>0</v>
      </c>
    </row>
    <row r="857" spans="1:15" x14ac:dyDescent="0.3">
      <c r="A857" t="s">
        <v>870</v>
      </c>
      <c r="B857">
        <v>8</v>
      </c>
      <c r="C857">
        <v>30</v>
      </c>
      <c r="D857" t="s">
        <v>5015</v>
      </c>
      <c r="E857" t="s">
        <v>5019</v>
      </c>
      <c r="F857" t="s">
        <v>5022</v>
      </c>
      <c r="G857">
        <v>13.91</v>
      </c>
      <c r="H857">
        <v>1</v>
      </c>
      <c r="I857">
        <v>5.6</v>
      </c>
      <c r="J857">
        <v>12.58</v>
      </c>
      <c r="K857">
        <v>15.1</v>
      </c>
      <c r="L857" t="s">
        <v>5028</v>
      </c>
      <c r="M857">
        <v>8</v>
      </c>
      <c r="N857">
        <v>0</v>
      </c>
      <c r="O857">
        <v>0</v>
      </c>
    </row>
    <row r="858" spans="1:15" x14ac:dyDescent="0.3">
      <c r="A858" t="s">
        <v>871</v>
      </c>
      <c r="B858">
        <v>12</v>
      </c>
      <c r="C858">
        <v>24</v>
      </c>
      <c r="D858" t="s">
        <v>5016</v>
      </c>
      <c r="E858" t="s">
        <v>5018</v>
      </c>
      <c r="F858" t="s">
        <v>5024</v>
      </c>
      <c r="G858">
        <v>21.37</v>
      </c>
      <c r="H858">
        <v>1</v>
      </c>
      <c r="I858">
        <v>9.9</v>
      </c>
      <c r="J858">
        <v>14.09</v>
      </c>
      <c r="K858">
        <v>59.5</v>
      </c>
      <c r="L858" t="s">
        <v>5026</v>
      </c>
      <c r="M858">
        <v>9</v>
      </c>
      <c r="N858">
        <v>2</v>
      </c>
      <c r="O858">
        <v>1</v>
      </c>
    </row>
    <row r="859" spans="1:15" x14ac:dyDescent="0.3">
      <c r="A859" t="s">
        <v>872</v>
      </c>
      <c r="B859">
        <v>7</v>
      </c>
      <c r="C859">
        <v>61</v>
      </c>
      <c r="D859" t="s">
        <v>5015</v>
      </c>
      <c r="E859" t="s">
        <v>5017</v>
      </c>
      <c r="F859" t="s">
        <v>5020</v>
      </c>
      <c r="G859">
        <v>20.47</v>
      </c>
      <c r="H859">
        <v>1</v>
      </c>
      <c r="I859">
        <v>3.1</v>
      </c>
      <c r="J859">
        <v>21.73</v>
      </c>
      <c r="K859">
        <v>33.6</v>
      </c>
      <c r="L859" t="s">
        <v>5025</v>
      </c>
      <c r="M859">
        <v>11</v>
      </c>
      <c r="N859">
        <v>2</v>
      </c>
      <c r="O859">
        <v>1</v>
      </c>
    </row>
    <row r="860" spans="1:15" x14ac:dyDescent="0.3">
      <c r="A860" t="s">
        <v>873</v>
      </c>
      <c r="B860">
        <v>10</v>
      </c>
      <c r="C860">
        <v>32</v>
      </c>
      <c r="D860" t="s">
        <v>5015</v>
      </c>
      <c r="E860" t="s">
        <v>5018</v>
      </c>
      <c r="F860" t="s">
        <v>5023</v>
      </c>
      <c r="G860">
        <v>9.7100000000000009</v>
      </c>
      <c r="H860">
        <v>2</v>
      </c>
      <c r="I860">
        <v>7.1</v>
      </c>
      <c r="J860">
        <v>3.4</v>
      </c>
      <c r="K860">
        <v>96.2</v>
      </c>
      <c r="L860" t="s">
        <v>5026</v>
      </c>
      <c r="M860">
        <v>4</v>
      </c>
      <c r="N860">
        <v>2</v>
      </c>
      <c r="O860">
        <v>0</v>
      </c>
    </row>
    <row r="861" spans="1:15" x14ac:dyDescent="0.3">
      <c r="A861" t="s">
        <v>874</v>
      </c>
      <c r="B861">
        <v>3</v>
      </c>
      <c r="C861">
        <v>36</v>
      </c>
      <c r="D861" t="s">
        <v>5015</v>
      </c>
      <c r="E861" t="s">
        <v>5019</v>
      </c>
      <c r="F861" t="s">
        <v>5022</v>
      </c>
      <c r="G861">
        <v>8.0299999999999994</v>
      </c>
      <c r="H861">
        <v>5</v>
      </c>
      <c r="I861">
        <v>2.2000000000000002</v>
      </c>
      <c r="J861">
        <v>12.42</v>
      </c>
      <c r="K861">
        <v>61.7</v>
      </c>
      <c r="L861" t="s">
        <v>5028</v>
      </c>
      <c r="M861">
        <v>2</v>
      </c>
      <c r="N861">
        <v>2</v>
      </c>
      <c r="O861">
        <v>0</v>
      </c>
    </row>
    <row r="862" spans="1:15" x14ac:dyDescent="0.3">
      <c r="A862" t="s">
        <v>875</v>
      </c>
      <c r="B862">
        <v>1</v>
      </c>
      <c r="C862">
        <v>60</v>
      </c>
      <c r="D862" t="s">
        <v>5015</v>
      </c>
      <c r="E862" t="s">
        <v>5017</v>
      </c>
      <c r="F862" t="s">
        <v>5022</v>
      </c>
      <c r="G862">
        <v>12.79</v>
      </c>
      <c r="H862">
        <v>1</v>
      </c>
      <c r="I862">
        <v>9.3000000000000007</v>
      </c>
      <c r="J862">
        <v>12.04</v>
      </c>
      <c r="K862">
        <v>96.9</v>
      </c>
      <c r="L862" t="s">
        <v>5026</v>
      </c>
      <c r="M862">
        <v>1</v>
      </c>
      <c r="N862">
        <v>4</v>
      </c>
      <c r="O862">
        <v>0</v>
      </c>
    </row>
    <row r="863" spans="1:15" x14ac:dyDescent="0.3">
      <c r="A863" t="s">
        <v>876</v>
      </c>
      <c r="B863">
        <v>5</v>
      </c>
      <c r="C863">
        <v>64</v>
      </c>
      <c r="D863" t="s">
        <v>5015</v>
      </c>
      <c r="E863" t="s">
        <v>5017</v>
      </c>
      <c r="F863" t="s">
        <v>5023</v>
      </c>
      <c r="G863">
        <v>22.67</v>
      </c>
      <c r="H863">
        <v>5</v>
      </c>
      <c r="I863">
        <v>6.3</v>
      </c>
      <c r="J863">
        <v>23.84</v>
      </c>
      <c r="K863">
        <v>80.7</v>
      </c>
      <c r="L863" t="s">
        <v>5028</v>
      </c>
      <c r="M863">
        <v>10</v>
      </c>
      <c r="N863">
        <v>4</v>
      </c>
      <c r="O863">
        <v>0</v>
      </c>
    </row>
    <row r="864" spans="1:15" x14ac:dyDescent="0.3">
      <c r="A864" t="s">
        <v>877</v>
      </c>
      <c r="B864">
        <v>4</v>
      </c>
      <c r="C864">
        <v>61</v>
      </c>
      <c r="D864" t="s">
        <v>5015</v>
      </c>
      <c r="E864" t="s">
        <v>5017</v>
      </c>
      <c r="F864" t="s">
        <v>5020</v>
      </c>
      <c r="G864">
        <v>6.83</v>
      </c>
      <c r="H864">
        <v>4</v>
      </c>
      <c r="I864">
        <v>8.6999999999999993</v>
      </c>
      <c r="J864">
        <v>8.3000000000000007</v>
      </c>
      <c r="K864">
        <v>75.099999999999994</v>
      </c>
      <c r="L864" t="s">
        <v>5028</v>
      </c>
      <c r="M864">
        <v>4</v>
      </c>
      <c r="N864">
        <v>0</v>
      </c>
      <c r="O864">
        <v>1</v>
      </c>
    </row>
    <row r="865" spans="1:15" x14ac:dyDescent="0.3">
      <c r="A865" t="s">
        <v>878</v>
      </c>
      <c r="B865">
        <v>10</v>
      </c>
      <c r="C865">
        <v>52</v>
      </c>
      <c r="D865" t="s">
        <v>5015</v>
      </c>
      <c r="E865" t="s">
        <v>5019</v>
      </c>
      <c r="F865" t="s">
        <v>5022</v>
      </c>
      <c r="G865">
        <v>15.86</v>
      </c>
      <c r="H865">
        <v>2</v>
      </c>
      <c r="I865">
        <v>9.1</v>
      </c>
      <c r="J865">
        <v>5.69</v>
      </c>
      <c r="K865">
        <v>84.7</v>
      </c>
      <c r="L865" t="s">
        <v>5026</v>
      </c>
      <c r="M865">
        <v>8</v>
      </c>
      <c r="N865">
        <v>0</v>
      </c>
      <c r="O865">
        <v>0</v>
      </c>
    </row>
    <row r="866" spans="1:15" x14ac:dyDescent="0.3">
      <c r="A866" t="s">
        <v>879</v>
      </c>
      <c r="B866">
        <v>8</v>
      </c>
      <c r="C866">
        <v>34</v>
      </c>
      <c r="D866" t="s">
        <v>5015</v>
      </c>
      <c r="E866" t="s">
        <v>5017</v>
      </c>
      <c r="F866" t="s">
        <v>5024</v>
      </c>
      <c r="G866">
        <v>6.78</v>
      </c>
      <c r="H866">
        <v>5</v>
      </c>
      <c r="I866">
        <v>6</v>
      </c>
      <c r="J866">
        <v>6.13</v>
      </c>
      <c r="K866">
        <v>64.400000000000006</v>
      </c>
      <c r="L866" t="s">
        <v>5026</v>
      </c>
      <c r="M866">
        <v>5</v>
      </c>
      <c r="N866">
        <v>0</v>
      </c>
      <c r="O866">
        <v>0</v>
      </c>
    </row>
    <row r="867" spans="1:15" x14ac:dyDescent="0.3">
      <c r="A867" t="s">
        <v>880</v>
      </c>
      <c r="B867">
        <v>1</v>
      </c>
      <c r="C867">
        <v>52</v>
      </c>
      <c r="D867" t="s">
        <v>5015</v>
      </c>
      <c r="E867" t="s">
        <v>5018</v>
      </c>
      <c r="F867" t="s">
        <v>5021</v>
      </c>
      <c r="G867">
        <v>14.4</v>
      </c>
      <c r="H867">
        <v>1</v>
      </c>
      <c r="I867">
        <v>7.1</v>
      </c>
      <c r="J867">
        <v>14.44</v>
      </c>
      <c r="K867">
        <v>11</v>
      </c>
      <c r="L867" t="s">
        <v>5029</v>
      </c>
      <c r="M867">
        <v>2</v>
      </c>
      <c r="N867">
        <v>2</v>
      </c>
      <c r="O867">
        <v>1</v>
      </c>
    </row>
    <row r="868" spans="1:15" x14ac:dyDescent="0.3">
      <c r="A868" t="s">
        <v>881</v>
      </c>
      <c r="B868">
        <v>10</v>
      </c>
      <c r="C868">
        <v>36</v>
      </c>
      <c r="D868" t="s">
        <v>5015</v>
      </c>
      <c r="E868" t="s">
        <v>5019</v>
      </c>
      <c r="F868" t="s">
        <v>5024</v>
      </c>
      <c r="G868">
        <v>7.54</v>
      </c>
      <c r="H868">
        <v>1</v>
      </c>
      <c r="I868">
        <v>7.3</v>
      </c>
      <c r="J868">
        <v>11.6</v>
      </c>
      <c r="K868">
        <v>45.3</v>
      </c>
      <c r="L868" t="s">
        <v>5029</v>
      </c>
      <c r="M868">
        <v>11</v>
      </c>
      <c r="N868">
        <v>3</v>
      </c>
      <c r="O868">
        <v>0</v>
      </c>
    </row>
    <row r="869" spans="1:15" x14ac:dyDescent="0.3">
      <c r="A869" t="s">
        <v>882</v>
      </c>
      <c r="B869">
        <v>1</v>
      </c>
      <c r="C869">
        <v>37</v>
      </c>
      <c r="D869" t="s">
        <v>5015</v>
      </c>
      <c r="E869" t="s">
        <v>5017</v>
      </c>
      <c r="F869" t="s">
        <v>5022</v>
      </c>
      <c r="G869">
        <v>6.61</v>
      </c>
      <c r="H869">
        <v>5</v>
      </c>
      <c r="I869">
        <v>5.0999999999999996</v>
      </c>
      <c r="J869">
        <v>19.59</v>
      </c>
      <c r="K869">
        <v>29.7</v>
      </c>
      <c r="L869" t="s">
        <v>5027</v>
      </c>
      <c r="M869">
        <v>4</v>
      </c>
      <c r="N869">
        <v>2</v>
      </c>
      <c r="O869">
        <v>1</v>
      </c>
    </row>
    <row r="870" spans="1:15" x14ac:dyDescent="0.3">
      <c r="A870" t="s">
        <v>883</v>
      </c>
      <c r="B870">
        <v>12</v>
      </c>
      <c r="C870">
        <v>53</v>
      </c>
      <c r="D870" t="s">
        <v>5015</v>
      </c>
      <c r="E870" t="s">
        <v>5019</v>
      </c>
      <c r="F870" t="s">
        <v>5021</v>
      </c>
      <c r="G870">
        <v>8.82</v>
      </c>
      <c r="H870">
        <v>5</v>
      </c>
      <c r="I870">
        <v>4.9000000000000004</v>
      </c>
      <c r="J870">
        <v>10.11</v>
      </c>
      <c r="K870">
        <v>49.1</v>
      </c>
      <c r="L870" t="s">
        <v>5028</v>
      </c>
      <c r="M870">
        <v>4</v>
      </c>
      <c r="N870">
        <v>3</v>
      </c>
      <c r="O870">
        <v>0</v>
      </c>
    </row>
    <row r="871" spans="1:15" x14ac:dyDescent="0.3">
      <c r="A871" t="s">
        <v>884</v>
      </c>
      <c r="B871">
        <v>4</v>
      </c>
      <c r="C871">
        <v>52</v>
      </c>
      <c r="D871" t="s">
        <v>5016</v>
      </c>
      <c r="E871" t="s">
        <v>5019</v>
      </c>
      <c r="F871" t="s">
        <v>5023</v>
      </c>
      <c r="G871">
        <v>10.11</v>
      </c>
      <c r="H871">
        <v>4</v>
      </c>
      <c r="I871">
        <v>2.7</v>
      </c>
      <c r="J871">
        <v>5.82</v>
      </c>
      <c r="K871">
        <v>52.3</v>
      </c>
      <c r="L871" t="s">
        <v>5029</v>
      </c>
      <c r="M871">
        <v>10</v>
      </c>
      <c r="N871">
        <v>0</v>
      </c>
      <c r="O871">
        <v>0</v>
      </c>
    </row>
    <row r="872" spans="1:15" x14ac:dyDescent="0.3">
      <c r="A872" t="s">
        <v>885</v>
      </c>
      <c r="B872">
        <v>8</v>
      </c>
      <c r="C872">
        <v>49</v>
      </c>
      <c r="D872" t="s">
        <v>5016</v>
      </c>
      <c r="E872" t="s">
        <v>5019</v>
      </c>
      <c r="F872" t="s">
        <v>5021</v>
      </c>
      <c r="G872">
        <v>10.53</v>
      </c>
      <c r="H872">
        <v>2</v>
      </c>
      <c r="I872">
        <v>4.5</v>
      </c>
      <c r="J872">
        <v>11.51</v>
      </c>
      <c r="K872">
        <v>21.5</v>
      </c>
      <c r="L872" t="s">
        <v>5027</v>
      </c>
      <c r="M872">
        <v>5</v>
      </c>
      <c r="N872">
        <v>2</v>
      </c>
      <c r="O872">
        <v>0</v>
      </c>
    </row>
    <row r="873" spans="1:15" x14ac:dyDescent="0.3">
      <c r="A873" t="s">
        <v>886</v>
      </c>
      <c r="B873">
        <v>5</v>
      </c>
      <c r="C873">
        <v>65</v>
      </c>
      <c r="D873" t="s">
        <v>5015</v>
      </c>
      <c r="E873" t="s">
        <v>5017</v>
      </c>
      <c r="F873" t="s">
        <v>5021</v>
      </c>
      <c r="G873">
        <v>17.91</v>
      </c>
      <c r="H873">
        <v>3</v>
      </c>
      <c r="I873">
        <v>9.9</v>
      </c>
      <c r="J873">
        <v>22.43</v>
      </c>
      <c r="K873">
        <v>12.1</v>
      </c>
      <c r="L873" t="s">
        <v>5028</v>
      </c>
      <c r="M873">
        <v>2</v>
      </c>
      <c r="N873">
        <v>0</v>
      </c>
      <c r="O873">
        <v>1</v>
      </c>
    </row>
    <row r="874" spans="1:15" x14ac:dyDescent="0.3">
      <c r="A874" t="s">
        <v>887</v>
      </c>
      <c r="B874">
        <v>2</v>
      </c>
      <c r="C874">
        <v>61</v>
      </c>
      <c r="D874" t="s">
        <v>5015</v>
      </c>
      <c r="E874" t="s">
        <v>5018</v>
      </c>
      <c r="F874" t="s">
        <v>5021</v>
      </c>
      <c r="G874">
        <v>6.1</v>
      </c>
      <c r="H874">
        <v>4</v>
      </c>
      <c r="I874">
        <v>3.4</v>
      </c>
      <c r="J874">
        <v>11.92</v>
      </c>
      <c r="K874">
        <v>22.4</v>
      </c>
      <c r="L874" t="s">
        <v>5027</v>
      </c>
      <c r="M874">
        <v>7</v>
      </c>
      <c r="N874">
        <v>4</v>
      </c>
      <c r="O874">
        <v>0</v>
      </c>
    </row>
    <row r="875" spans="1:15" x14ac:dyDescent="0.3">
      <c r="A875" t="s">
        <v>888</v>
      </c>
      <c r="B875">
        <v>6</v>
      </c>
      <c r="C875">
        <v>57</v>
      </c>
      <c r="D875" t="s">
        <v>5015</v>
      </c>
      <c r="E875" t="s">
        <v>5019</v>
      </c>
      <c r="F875" t="s">
        <v>5022</v>
      </c>
      <c r="G875">
        <v>6.62</v>
      </c>
      <c r="H875">
        <v>4</v>
      </c>
      <c r="I875">
        <v>7.9</v>
      </c>
      <c r="J875">
        <v>21.34</v>
      </c>
      <c r="K875">
        <v>87.2</v>
      </c>
      <c r="L875" t="s">
        <v>5029</v>
      </c>
      <c r="M875">
        <v>5</v>
      </c>
      <c r="N875">
        <v>0</v>
      </c>
      <c r="O875">
        <v>0</v>
      </c>
    </row>
    <row r="876" spans="1:15" x14ac:dyDescent="0.3">
      <c r="A876" t="s">
        <v>889</v>
      </c>
      <c r="B876">
        <v>5</v>
      </c>
      <c r="C876">
        <v>41</v>
      </c>
      <c r="D876" t="s">
        <v>5016</v>
      </c>
      <c r="E876" t="s">
        <v>5019</v>
      </c>
      <c r="F876" t="s">
        <v>5020</v>
      </c>
      <c r="G876">
        <v>8.77</v>
      </c>
      <c r="H876">
        <v>4</v>
      </c>
      <c r="I876">
        <v>1.5</v>
      </c>
      <c r="J876">
        <v>11.17</v>
      </c>
      <c r="K876">
        <v>78</v>
      </c>
      <c r="L876" t="s">
        <v>5027</v>
      </c>
      <c r="M876">
        <v>4</v>
      </c>
      <c r="N876">
        <v>2</v>
      </c>
      <c r="O876">
        <v>1</v>
      </c>
    </row>
    <row r="877" spans="1:15" x14ac:dyDescent="0.3">
      <c r="A877" t="s">
        <v>890</v>
      </c>
      <c r="B877">
        <v>2</v>
      </c>
      <c r="C877">
        <v>34</v>
      </c>
      <c r="D877" t="s">
        <v>5016</v>
      </c>
      <c r="E877" t="s">
        <v>5017</v>
      </c>
      <c r="F877" t="s">
        <v>5022</v>
      </c>
      <c r="G877">
        <v>22.44</v>
      </c>
      <c r="H877">
        <v>1</v>
      </c>
      <c r="I877">
        <v>5.2</v>
      </c>
      <c r="J877">
        <v>9.19</v>
      </c>
      <c r="K877">
        <v>81.900000000000006</v>
      </c>
      <c r="L877" t="s">
        <v>5026</v>
      </c>
      <c r="M877">
        <v>8</v>
      </c>
      <c r="N877">
        <v>4</v>
      </c>
      <c r="O877">
        <v>1</v>
      </c>
    </row>
    <row r="878" spans="1:15" x14ac:dyDescent="0.3">
      <c r="A878" t="s">
        <v>891</v>
      </c>
      <c r="B878">
        <v>11</v>
      </c>
      <c r="C878">
        <v>24</v>
      </c>
      <c r="D878" t="s">
        <v>5016</v>
      </c>
      <c r="E878" t="s">
        <v>5019</v>
      </c>
      <c r="F878" t="s">
        <v>5020</v>
      </c>
      <c r="G878">
        <v>17.57</v>
      </c>
      <c r="H878">
        <v>5</v>
      </c>
      <c r="I878">
        <v>1.5</v>
      </c>
      <c r="J878">
        <v>20.05</v>
      </c>
      <c r="K878">
        <v>34.9</v>
      </c>
      <c r="L878" t="s">
        <v>5027</v>
      </c>
      <c r="M878">
        <v>2</v>
      </c>
      <c r="N878">
        <v>4</v>
      </c>
      <c r="O878">
        <v>1</v>
      </c>
    </row>
    <row r="879" spans="1:15" x14ac:dyDescent="0.3">
      <c r="A879" t="s">
        <v>892</v>
      </c>
      <c r="B879">
        <v>11</v>
      </c>
      <c r="C879">
        <v>60</v>
      </c>
      <c r="D879" t="s">
        <v>5015</v>
      </c>
      <c r="E879" t="s">
        <v>5018</v>
      </c>
      <c r="F879" t="s">
        <v>5023</v>
      </c>
      <c r="G879">
        <v>19.61</v>
      </c>
      <c r="H879">
        <v>2</v>
      </c>
      <c r="I879">
        <v>5.3</v>
      </c>
      <c r="J879">
        <v>7.6</v>
      </c>
      <c r="K879">
        <v>31.2</v>
      </c>
      <c r="L879" t="s">
        <v>5025</v>
      </c>
      <c r="M879">
        <v>1</v>
      </c>
      <c r="N879">
        <v>3</v>
      </c>
      <c r="O879">
        <v>0</v>
      </c>
    </row>
    <row r="880" spans="1:15" x14ac:dyDescent="0.3">
      <c r="A880" t="s">
        <v>893</v>
      </c>
      <c r="B880">
        <v>11</v>
      </c>
      <c r="C880">
        <v>67</v>
      </c>
      <c r="D880" t="s">
        <v>5015</v>
      </c>
      <c r="E880" t="s">
        <v>5017</v>
      </c>
      <c r="F880" t="s">
        <v>5023</v>
      </c>
      <c r="G880">
        <v>12.41</v>
      </c>
      <c r="H880">
        <v>1</v>
      </c>
      <c r="I880">
        <v>1.2</v>
      </c>
      <c r="J880">
        <v>8.1</v>
      </c>
      <c r="K880">
        <v>13.4</v>
      </c>
      <c r="L880" t="s">
        <v>5025</v>
      </c>
      <c r="M880">
        <v>6</v>
      </c>
      <c r="N880">
        <v>1</v>
      </c>
      <c r="O880">
        <v>0</v>
      </c>
    </row>
    <row r="881" spans="1:15" x14ac:dyDescent="0.3">
      <c r="A881" t="s">
        <v>894</v>
      </c>
      <c r="B881">
        <v>3</v>
      </c>
      <c r="C881">
        <v>18</v>
      </c>
      <c r="D881" t="s">
        <v>5015</v>
      </c>
      <c r="E881" t="s">
        <v>5018</v>
      </c>
      <c r="F881" t="s">
        <v>5023</v>
      </c>
      <c r="G881">
        <v>9.26</v>
      </c>
      <c r="H881">
        <v>4</v>
      </c>
      <c r="I881">
        <v>6.5</v>
      </c>
      <c r="J881">
        <v>4.0999999999999996</v>
      </c>
      <c r="K881">
        <v>52.5</v>
      </c>
      <c r="L881" t="s">
        <v>5027</v>
      </c>
      <c r="M881">
        <v>10</v>
      </c>
      <c r="N881">
        <v>4</v>
      </c>
      <c r="O881">
        <v>1</v>
      </c>
    </row>
    <row r="882" spans="1:15" x14ac:dyDescent="0.3">
      <c r="A882" t="s">
        <v>895</v>
      </c>
      <c r="B882">
        <v>9</v>
      </c>
      <c r="C882">
        <v>52</v>
      </c>
      <c r="D882" t="s">
        <v>5015</v>
      </c>
      <c r="E882" t="s">
        <v>5019</v>
      </c>
      <c r="F882" t="s">
        <v>5023</v>
      </c>
      <c r="G882">
        <v>5.76</v>
      </c>
      <c r="H882">
        <v>2</v>
      </c>
      <c r="I882">
        <v>6.3</v>
      </c>
      <c r="J882">
        <v>7.13</v>
      </c>
      <c r="K882">
        <v>44.4</v>
      </c>
      <c r="L882" t="s">
        <v>5025</v>
      </c>
      <c r="M882">
        <v>10</v>
      </c>
      <c r="N882">
        <v>1</v>
      </c>
      <c r="O882">
        <v>0</v>
      </c>
    </row>
    <row r="883" spans="1:15" x14ac:dyDescent="0.3">
      <c r="A883" t="s">
        <v>896</v>
      </c>
      <c r="B883">
        <v>7</v>
      </c>
      <c r="C883">
        <v>49</v>
      </c>
      <c r="D883" t="s">
        <v>5016</v>
      </c>
      <c r="E883" t="s">
        <v>5018</v>
      </c>
      <c r="F883" t="s">
        <v>5023</v>
      </c>
      <c r="G883">
        <v>14.77</v>
      </c>
      <c r="H883">
        <v>1</v>
      </c>
      <c r="I883">
        <v>8.1999999999999993</v>
      </c>
      <c r="J883">
        <v>11.33</v>
      </c>
      <c r="K883">
        <v>85.2</v>
      </c>
      <c r="L883" t="s">
        <v>5027</v>
      </c>
      <c r="M883">
        <v>8</v>
      </c>
      <c r="N883">
        <v>0</v>
      </c>
      <c r="O883">
        <v>0</v>
      </c>
    </row>
    <row r="884" spans="1:15" x14ac:dyDescent="0.3">
      <c r="A884" t="s">
        <v>897</v>
      </c>
      <c r="B884">
        <v>7</v>
      </c>
      <c r="C884">
        <v>53</v>
      </c>
      <c r="D884" t="s">
        <v>5015</v>
      </c>
      <c r="E884" t="s">
        <v>5018</v>
      </c>
      <c r="F884" t="s">
        <v>5024</v>
      </c>
      <c r="G884">
        <v>16.489999999999998</v>
      </c>
      <c r="H884">
        <v>3</v>
      </c>
      <c r="I884">
        <v>6.2</v>
      </c>
      <c r="J884">
        <v>11.79</v>
      </c>
      <c r="K884">
        <v>71.400000000000006</v>
      </c>
      <c r="L884" t="s">
        <v>5027</v>
      </c>
      <c r="M884">
        <v>7</v>
      </c>
      <c r="N884">
        <v>0</v>
      </c>
      <c r="O884">
        <v>0</v>
      </c>
    </row>
    <row r="885" spans="1:15" x14ac:dyDescent="0.3">
      <c r="A885" t="s">
        <v>898</v>
      </c>
      <c r="B885">
        <v>11</v>
      </c>
      <c r="C885">
        <v>30</v>
      </c>
      <c r="D885" t="s">
        <v>5016</v>
      </c>
      <c r="E885" t="s">
        <v>5019</v>
      </c>
      <c r="F885" t="s">
        <v>5022</v>
      </c>
      <c r="G885">
        <v>22.94</v>
      </c>
      <c r="H885">
        <v>4</v>
      </c>
      <c r="I885">
        <v>9.3000000000000007</v>
      </c>
      <c r="J885">
        <v>12.25</v>
      </c>
      <c r="K885">
        <v>23</v>
      </c>
      <c r="L885" t="s">
        <v>5027</v>
      </c>
      <c r="M885">
        <v>9</v>
      </c>
      <c r="N885">
        <v>4</v>
      </c>
      <c r="O885">
        <v>0</v>
      </c>
    </row>
    <row r="886" spans="1:15" x14ac:dyDescent="0.3">
      <c r="A886" t="s">
        <v>899</v>
      </c>
      <c r="B886">
        <v>6</v>
      </c>
      <c r="C886">
        <v>23</v>
      </c>
      <c r="D886" t="s">
        <v>5016</v>
      </c>
      <c r="E886" t="s">
        <v>5018</v>
      </c>
      <c r="F886" t="s">
        <v>5020</v>
      </c>
      <c r="G886">
        <v>22.64</v>
      </c>
      <c r="H886">
        <v>1</v>
      </c>
      <c r="I886">
        <v>8</v>
      </c>
      <c r="J886">
        <v>13.55</v>
      </c>
      <c r="K886">
        <v>98.8</v>
      </c>
      <c r="L886" t="s">
        <v>5025</v>
      </c>
      <c r="M886">
        <v>1</v>
      </c>
      <c r="N886">
        <v>3</v>
      </c>
      <c r="O886">
        <v>0</v>
      </c>
    </row>
    <row r="887" spans="1:15" x14ac:dyDescent="0.3">
      <c r="A887" t="s">
        <v>900</v>
      </c>
      <c r="B887">
        <v>8</v>
      </c>
      <c r="C887">
        <v>31</v>
      </c>
      <c r="D887" t="s">
        <v>5015</v>
      </c>
      <c r="E887" t="s">
        <v>5018</v>
      </c>
      <c r="F887" t="s">
        <v>5023</v>
      </c>
      <c r="G887">
        <v>13.49</v>
      </c>
      <c r="H887">
        <v>1</v>
      </c>
      <c r="I887">
        <v>2.2000000000000002</v>
      </c>
      <c r="J887">
        <v>15.58</v>
      </c>
      <c r="K887">
        <v>79.400000000000006</v>
      </c>
      <c r="L887" t="s">
        <v>5028</v>
      </c>
      <c r="M887">
        <v>3</v>
      </c>
      <c r="N887">
        <v>0</v>
      </c>
      <c r="O887">
        <v>0</v>
      </c>
    </row>
    <row r="888" spans="1:15" x14ac:dyDescent="0.3">
      <c r="A888" t="s">
        <v>901</v>
      </c>
      <c r="B888">
        <v>4</v>
      </c>
      <c r="C888">
        <v>54</v>
      </c>
      <c r="D888" t="s">
        <v>5016</v>
      </c>
      <c r="E888" t="s">
        <v>5018</v>
      </c>
      <c r="F888" t="s">
        <v>5024</v>
      </c>
      <c r="G888">
        <v>13.47</v>
      </c>
      <c r="H888">
        <v>4</v>
      </c>
      <c r="I888">
        <v>3.4</v>
      </c>
      <c r="J888">
        <v>7.17</v>
      </c>
      <c r="K888">
        <v>74.8</v>
      </c>
      <c r="L888" t="s">
        <v>5027</v>
      </c>
      <c r="M888">
        <v>9</v>
      </c>
      <c r="N888">
        <v>1</v>
      </c>
      <c r="O888">
        <v>0</v>
      </c>
    </row>
    <row r="889" spans="1:15" x14ac:dyDescent="0.3">
      <c r="A889" t="s">
        <v>902</v>
      </c>
      <c r="B889">
        <v>8</v>
      </c>
      <c r="C889">
        <v>65</v>
      </c>
      <c r="D889" t="s">
        <v>5016</v>
      </c>
      <c r="E889" t="s">
        <v>5018</v>
      </c>
      <c r="F889" t="s">
        <v>5024</v>
      </c>
      <c r="G889">
        <v>8.2200000000000006</v>
      </c>
      <c r="H889">
        <v>3</v>
      </c>
      <c r="I889">
        <v>1.2</v>
      </c>
      <c r="J889">
        <v>16.510000000000002</v>
      </c>
      <c r="K889">
        <v>29.5</v>
      </c>
      <c r="L889" t="s">
        <v>5027</v>
      </c>
      <c r="M889">
        <v>5</v>
      </c>
      <c r="N889">
        <v>4</v>
      </c>
      <c r="O889">
        <v>0</v>
      </c>
    </row>
    <row r="890" spans="1:15" x14ac:dyDescent="0.3">
      <c r="A890" t="s">
        <v>903</v>
      </c>
      <c r="B890">
        <v>4</v>
      </c>
      <c r="C890">
        <v>32</v>
      </c>
      <c r="D890" t="s">
        <v>5016</v>
      </c>
      <c r="E890" t="s">
        <v>5018</v>
      </c>
      <c r="F890" t="s">
        <v>5024</v>
      </c>
      <c r="G890">
        <v>10.15</v>
      </c>
      <c r="H890">
        <v>5</v>
      </c>
      <c r="I890">
        <v>4.5</v>
      </c>
      <c r="J890">
        <v>10.4</v>
      </c>
      <c r="K890">
        <v>91.5</v>
      </c>
      <c r="L890" t="s">
        <v>5026</v>
      </c>
      <c r="M890">
        <v>6</v>
      </c>
      <c r="N890">
        <v>4</v>
      </c>
      <c r="O890">
        <v>1</v>
      </c>
    </row>
    <row r="891" spans="1:15" x14ac:dyDescent="0.3">
      <c r="A891" t="s">
        <v>904</v>
      </c>
      <c r="B891">
        <v>8</v>
      </c>
      <c r="C891">
        <v>64</v>
      </c>
      <c r="D891" t="s">
        <v>5016</v>
      </c>
      <c r="E891" t="s">
        <v>5019</v>
      </c>
      <c r="F891" t="s">
        <v>5022</v>
      </c>
      <c r="G891">
        <v>23.51</v>
      </c>
      <c r="H891">
        <v>3</v>
      </c>
      <c r="I891">
        <v>5.6</v>
      </c>
      <c r="J891">
        <v>19.149999999999999</v>
      </c>
      <c r="K891">
        <v>52.7</v>
      </c>
      <c r="L891" t="s">
        <v>5026</v>
      </c>
      <c r="M891">
        <v>11</v>
      </c>
      <c r="N891">
        <v>3</v>
      </c>
      <c r="O891">
        <v>0</v>
      </c>
    </row>
    <row r="892" spans="1:15" x14ac:dyDescent="0.3">
      <c r="A892" t="s">
        <v>905</v>
      </c>
      <c r="B892">
        <v>9</v>
      </c>
      <c r="C892">
        <v>21</v>
      </c>
      <c r="D892" t="s">
        <v>5015</v>
      </c>
      <c r="E892" t="s">
        <v>5018</v>
      </c>
      <c r="F892" t="s">
        <v>5023</v>
      </c>
      <c r="G892">
        <v>7.82</v>
      </c>
      <c r="H892">
        <v>4</v>
      </c>
      <c r="I892">
        <v>9.5</v>
      </c>
      <c r="J892">
        <v>15.26</v>
      </c>
      <c r="K892">
        <v>36.799999999999997</v>
      </c>
      <c r="L892" t="s">
        <v>5029</v>
      </c>
      <c r="M892">
        <v>7</v>
      </c>
      <c r="N892">
        <v>4</v>
      </c>
      <c r="O892">
        <v>0</v>
      </c>
    </row>
    <row r="893" spans="1:15" x14ac:dyDescent="0.3">
      <c r="A893" t="s">
        <v>906</v>
      </c>
      <c r="B893">
        <v>3</v>
      </c>
      <c r="C893">
        <v>57</v>
      </c>
      <c r="D893" t="s">
        <v>5015</v>
      </c>
      <c r="E893" t="s">
        <v>5019</v>
      </c>
      <c r="F893" t="s">
        <v>5024</v>
      </c>
      <c r="G893">
        <v>24.37</v>
      </c>
      <c r="H893">
        <v>5</v>
      </c>
      <c r="I893">
        <v>5.7</v>
      </c>
      <c r="J893">
        <v>15.19</v>
      </c>
      <c r="K893">
        <v>68.900000000000006</v>
      </c>
      <c r="L893" t="s">
        <v>5025</v>
      </c>
      <c r="M893">
        <v>3</v>
      </c>
      <c r="N893">
        <v>2</v>
      </c>
      <c r="O893">
        <v>1</v>
      </c>
    </row>
    <row r="894" spans="1:15" x14ac:dyDescent="0.3">
      <c r="A894" t="s">
        <v>907</v>
      </c>
      <c r="B894">
        <v>3</v>
      </c>
      <c r="C894">
        <v>33</v>
      </c>
      <c r="D894" t="s">
        <v>5016</v>
      </c>
      <c r="E894" t="s">
        <v>5017</v>
      </c>
      <c r="F894" t="s">
        <v>5024</v>
      </c>
      <c r="G894">
        <v>15.09</v>
      </c>
      <c r="H894">
        <v>1</v>
      </c>
      <c r="I894">
        <v>8</v>
      </c>
      <c r="J894">
        <v>18.079999999999998</v>
      </c>
      <c r="K894">
        <v>29.1</v>
      </c>
      <c r="L894" t="s">
        <v>5028</v>
      </c>
      <c r="M894">
        <v>7</v>
      </c>
      <c r="N894">
        <v>1</v>
      </c>
      <c r="O894">
        <v>0</v>
      </c>
    </row>
    <row r="895" spans="1:15" x14ac:dyDescent="0.3">
      <c r="A895" t="s">
        <v>908</v>
      </c>
      <c r="B895">
        <v>11</v>
      </c>
      <c r="C895">
        <v>45</v>
      </c>
      <c r="D895" t="s">
        <v>5015</v>
      </c>
      <c r="E895" t="s">
        <v>5017</v>
      </c>
      <c r="F895" t="s">
        <v>5023</v>
      </c>
      <c r="G895">
        <v>14.13</v>
      </c>
      <c r="H895">
        <v>3</v>
      </c>
      <c r="I895">
        <v>3.4</v>
      </c>
      <c r="J895">
        <v>10.33</v>
      </c>
      <c r="K895">
        <v>91.7</v>
      </c>
      <c r="L895" t="s">
        <v>5027</v>
      </c>
      <c r="M895">
        <v>3</v>
      </c>
      <c r="N895">
        <v>2</v>
      </c>
      <c r="O895">
        <v>0</v>
      </c>
    </row>
    <row r="896" spans="1:15" x14ac:dyDescent="0.3">
      <c r="A896" t="s">
        <v>909</v>
      </c>
      <c r="B896">
        <v>2</v>
      </c>
      <c r="C896">
        <v>33</v>
      </c>
      <c r="D896" t="s">
        <v>5016</v>
      </c>
      <c r="E896" t="s">
        <v>5018</v>
      </c>
      <c r="F896" t="s">
        <v>5022</v>
      </c>
      <c r="G896">
        <v>8.49</v>
      </c>
      <c r="H896">
        <v>3</v>
      </c>
      <c r="I896">
        <v>2.4</v>
      </c>
      <c r="J896">
        <v>12.44</v>
      </c>
      <c r="K896">
        <v>86.9</v>
      </c>
      <c r="L896" t="s">
        <v>5027</v>
      </c>
      <c r="M896">
        <v>6</v>
      </c>
      <c r="N896">
        <v>2</v>
      </c>
      <c r="O896">
        <v>1</v>
      </c>
    </row>
    <row r="897" spans="1:15" x14ac:dyDescent="0.3">
      <c r="A897" t="s">
        <v>910</v>
      </c>
      <c r="B897">
        <v>10</v>
      </c>
      <c r="C897">
        <v>21</v>
      </c>
      <c r="D897" t="s">
        <v>5015</v>
      </c>
      <c r="E897" t="s">
        <v>5017</v>
      </c>
      <c r="F897" t="s">
        <v>5024</v>
      </c>
      <c r="G897">
        <v>18.23</v>
      </c>
      <c r="H897">
        <v>5</v>
      </c>
      <c r="I897">
        <v>8.3000000000000007</v>
      </c>
      <c r="J897">
        <v>15.82</v>
      </c>
      <c r="K897">
        <v>51.8</v>
      </c>
      <c r="L897" t="s">
        <v>5025</v>
      </c>
      <c r="M897">
        <v>8</v>
      </c>
      <c r="N897">
        <v>1</v>
      </c>
      <c r="O897">
        <v>0</v>
      </c>
    </row>
    <row r="898" spans="1:15" x14ac:dyDescent="0.3">
      <c r="A898" t="s">
        <v>911</v>
      </c>
      <c r="B898">
        <v>3</v>
      </c>
      <c r="C898">
        <v>62</v>
      </c>
      <c r="D898" t="s">
        <v>5015</v>
      </c>
      <c r="E898" t="s">
        <v>5017</v>
      </c>
      <c r="F898" t="s">
        <v>5020</v>
      </c>
      <c r="G898">
        <v>14.2</v>
      </c>
      <c r="H898">
        <v>1</v>
      </c>
      <c r="I898">
        <v>3.2</v>
      </c>
      <c r="J898">
        <v>12.27</v>
      </c>
      <c r="K898">
        <v>27.2</v>
      </c>
      <c r="L898" t="s">
        <v>5029</v>
      </c>
      <c r="M898">
        <v>7</v>
      </c>
      <c r="N898">
        <v>4</v>
      </c>
      <c r="O898">
        <v>0</v>
      </c>
    </row>
    <row r="899" spans="1:15" x14ac:dyDescent="0.3">
      <c r="A899" t="s">
        <v>912</v>
      </c>
      <c r="B899">
        <v>3</v>
      </c>
      <c r="C899">
        <v>43</v>
      </c>
      <c r="D899" t="s">
        <v>5015</v>
      </c>
      <c r="E899" t="s">
        <v>5018</v>
      </c>
      <c r="F899" t="s">
        <v>5021</v>
      </c>
      <c r="G899">
        <v>12.41</v>
      </c>
      <c r="H899">
        <v>3</v>
      </c>
      <c r="I899">
        <v>8.8000000000000007</v>
      </c>
      <c r="J899">
        <v>12.77</v>
      </c>
      <c r="K899">
        <v>54.7</v>
      </c>
      <c r="L899" t="s">
        <v>5029</v>
      </c>
      <c r="M899">
        <v>5</v>
      </c>
      <c r="N899">
        <v>4</v>
      </c>
      <c r="O899">
        <v>1</v>
      </c>
    </row>
    <row r="900" spans="1:15" x14ac:dyDescent="0.3">
      <c r="A900" t="s">
        <v>913</v>
      </c>
      <c r="B900">
        <v>5</v>
      </c>
      <c r="C900">
        <v>45</v>
      </c>
      <c r="D900" t="s">
        <v>5015</v>
      </c>
      <c r="E900" t="s">
        <v>5017</v>
      </c>
      <c r="F900" t="s">
        <v>5021</v>
      </c>
      <c r="G900">
        <v>10.29</v>
      </c>
      <c r="H900">
        <v>5</v>
      </c>
      <c r="I900">
        <v>2.5</v>
      </c>
      <c r="J900">
        <v>8.99</v>
      </c>
      <c r="K900">
        <v>23.4</v>
      </c>
      <c r="L900" t="s">
        <v>5026</v>
      </c>
      <c r="M900">
        <v>6</v>
      </c>
      <c r="N900">
        <v>2</v>
      </c>
      <c r="O900">
        <v>0</v>
      </c>
    </row>
    <row r="901" spans="1:15" x14ac:dyDescent="0.3">
      <c r="A901" t="s">
        <v>914</v>
      </c>
      <c r="B901">
        <v>5</v>
      </c>
      <c r="C901">
        <v>49</v>
      </c>
      <c r="D901" t="s">
        <v>5015</v>
      </c>
      <c r="E901" t="s">
        <v>5017</v>
      </c>
      <c r="F901" t="s">
        <v>5021</v>
      </c>
      <c r="G901">
        <v>6.33</v>
      </c>
      <c r="H901">
        <v>3</v>
      </c>
      <c r="I901">
        <v>8.6999999999999993</v>
      </c>
      <c r="J901">
        <v>9.32</v>
      </c>
      <c r="K901">
        <v>34.299999999999997</v>
      </c>
      <c r="L901" t="s">
        <v>5025</v>
      </c>
      <c r="M901">
        <v>4</v>
      </c>
      <c r="N901">
        <v>1</v>
      </c>
      <c r="O901">
        <v>0</v>
      </c>
    </row>
    <row r="902" spans="1:15" x14ac:dyDescent="0.3">
      <c r="A902" t="s">
        <v>915</v>
      </c>
      <c r="B902">
        <v>2</v>
      </c>
      <c r="C902">
        <v>62</v>
      </c>
      <c r="D902" t="s">
        <v>5016</v>
      </c>
      <c r="E902" t="s">
        <v>5018</v>
      </c>
      <c r="F902" t="s">
        <v>5022</v>
      </c>
      <c r="G902">
        <v>15.39</v>
      </c>
      <c r="H902">
        <v>1</v>
      </c>
      <c r="I902">
        <v>8</v>
      </c>
      <c r="J902">
        <v>18.38</v>
      </c>
      <c r="K902">
        <v>53.4</v>
      </c>
      <c r="L902" t="s">
        <v>5029</v>
      </c>
      <c r="M902">
        <v>2</v>
      </c>
      <c r="N902">
        <v>0</v>
      </c>
      <c r="O902">
        <v>1</v>
      </c>
    </row>
    <row r="903" spans="1:15" x14ac:dyDescent="0.3">
      <c r="A903" t="s">
        <v>916</v>
      </c>
      <c r="B903">
        <v>12</v>
      </c>
      <c r="C903">
        <v>19</v>
      </c>
      <c r="D903" t="s">
        <v>5015</v>
      </c>
      <c r="E903" t="s">
        <v>5018</v>
      </c>
      <c r="F903" t="s">
        <v>5024</v>
      </c>
      <c r="G903">
        <v>11.26</v>
      </c>
      <c r="H903">
        <v>1</v>
      </c>
      <c r="I903">
        <v>6.5</v>
      </c>
      <c r="J903">
        <v>3.09</v>
      </c>
      <c r="K903">
        <v>11.9</v>
      </c>
      <c r="L903" t="s">
        <v>5029</v>
      </c>
      <c r="M903">
        <v>7</v>
      </c>
      <c r="N903">
        <v>1</v>
      </c>
      <c r="O903">
        <v>0</v>
      </c>
    </row>
    <row r="904" spans="1:15" x14ac:dyDescent="0.3">
      <c r="A904" t="s">
        <v>917</v>
      </c>
      <c r="B904">
        <v>10</v>
      </c>
      <c r="C904">
        <v>48</v>
      </c>
      <c r="D904" t="s">
        <v>5016</v>
      </c>
      <c r="E904" t="s">
        <v>5019</v>
      </c>
      <c r="F904" t="s">
        <v>5021</v>
      </c>
      <c r="G904">
        <v>19.16</v>
      </c>
      <c r="H904">
        <v>2</v>
      </c>
      <c r="I904">
        <v>8.6999999999999993</v>
      </c>
      <c r="J904">
        <v>5.0999999999999996</v>
      </c>
      <c r="K904">
        <v>78.900000000000006</v>
      </c>
      <c r="L904" t="s">
        <v>5028</v>
      </c>
      <c r="M904">
        <v>4</v>
      </c>
      <c r="N904">
        <v>2</v>
      </c>
      <c r="O904">
        <v>1</v>
      </c>
    </row>
    <row r="905" spans="1:15" x14ac:dyDescent="0.3">
      <c r="A905" t="s">
        <v>918</v>
      </c>
      <c r="B905">
        <v>6</v>
      </c>
      <c r="C905">
        <v>20</v>
      </c>
      <c r="D905" t="s">
        <v>5016</v>
      </c>
      <c r="E905" t="s">
        <v>5018</v>
      </c>
      <c r="F905" t="s">
        <v>5021</v>
      </c>
      <c r="G905">
        <v>19.47</v>
      </c>
      <c r="H905">
        <v>5</v>
      </c>
      <c r="I905">
        <v>4</v>
      </c>
      <c r="J905">
        <v>23.87</v>
      </c>
      <c r="K905">
        <v>27.7</v>
      </c>
      <c r="L905" t="s">
        <v>5026</v>
      </c>
      <c r="M905">
        <v>6</v>
      </c>
      <c r="N905">
        <v>1</v>
      </c>
      <c r="O905">
        <v>0</v>
      </c>
    </row>
    <row r="906" spans="1:15" x14ac:dyDescent="0.3">
      <c r="A906" t="s">
        <v>919</v>
      </c>
      <c r="B906">
        <v>5</v>
      </c>
      <c r="C906">
        <v>25</v>
      </c>
      <c r="D906" t="s">
        <v>5015</v>
      </c>
      <c r="E906" t="s">
        <v>5018</v>
      </c>
      <c r="F906" t="s">
        <v>5023</v>
      </c>
      <c r="G906">
        <v>11.64</v>
      </c>
      <c r="H906">
        <v>4</v>
      </c>
      <c r="I906">
        <v>2.5</v>
      </c>
      <c r="J906">
        <v>7.11</v>
      </c>
      <c r="K906">
        <v>88</v>
      </c>
      <c r="L906" t="s">
        <v>5026</v>
      </c>
      <c r="M906">
        <v>10</v>
      </c>
      <c r="N906">
        <v>1</v>
      </c>
      <c r="O906">
        <v>0</v>
      </c>
    </row>
    <row r="907" spans="1:15" x14ac:dyDescent="0.3">
      <c r="A907" t="s">
        <v>920</v>
      </c>
      <c r="B907">
        <v>6</v>
      </c>
      <c r="C907">
        <v>41</v>
      </c>
      <c r="D907" t="s">
        <v>5016</v>
      </c>
      <c r="E907" t="s">
        <v>5019</v>
      </c>
      <c r="F907" t="s">
        <v>5024</v>
      </c>
      <c r="G907">
        <v>18.38</v>
      </c>
      <c r="H907">
        <v>3</v>
      </c>
      <c r="I907">
        <v>2.4</v>
      </c>
      <c r="J907">
        <v>12.2</v>
      </c>
      <c r="K907">
        <v>12</v>
      </c>
      <c r="L907" t="s">
        <v>5026</v>
      </c>
      <c r="M907">
        <v>2</v>
      </c>
      <c r="N907">
        <v>0</v>
      </c>
      <c r="O907">
        <v>0</v>
      </c>
    </row>
    <row r="908" spans="1:15" x14ac:dyDescent="0.3">
      <c r="A908" t="s">
        <v>921</v>
      </c>
      <c r="B908">
        <v>1</v>
      </c>
      <c r="C908">
        <v>32</v>
      </c>
      <c r="D908" t="s">
        <v>5015</v>
      </c>
      <c r="E908" t="s">
        <v>5019</v>
      </c>
      <c r="F908" t="s">
        <v>5024</v>
      </c>
      <c r="G908">
        <v>10.17</v>
      </c>
      <c r="H908">
        <v>1</v>
      </c>
      <c r="I908">
        <v>3.4</v>
      </c>
      <c r="J908">
        <v>21.69</v>
      </c>
      <c r="K908">
        <v>57.9</v>
      </c>
      <c r="L908" t="s">
        <v>5029</v>
      </c>
      <c r="M908">
        <v>2</v>
      </c>
      <c r="N908">
        <v>3</v>
      </c>
      <c r="O908">
        <v>0</v>
      </c>
    </row>
    <row r="909" spans="1:15" x14ac:dyDescent="0.3">
      <c r="A909" t="s">
        <v>922</v>
      </c>
      <c r="B909">
        <v>5</v>
      </c>
      <c r="C909">
        <v>60</v>
      </c>
      <c r="D909" t="s">
        <v>5016</v>
      </c>
      <c r="E909" t="s">
        <v>5017</v>
      </c>
      <c r="F909" t="s">
        <v>5023</v>
      </c>
      <c r="G909">
        <v>19.54</v>
      </c>
      <c r="H909">
        <v>3</v>
      </c>
      <c r="I909">
        <v>5</v>
      </c>
      <c r="J909">
        <v>3</v>
      </c>
      <c r="K909">
        <v>79.900000000000006</v>
      </c>
      <c r="L909" t="s">
        <v>5027</v>
      </c>
      <c r="M909">
        <v>6</v>
      </c>
      <c r="N909">
        <v>3</v>
      </c>
      <c r="O909">
        <v>0</v>
      </c>
    </row>
    <row r="910" spans="1:15" x14ac:dyDescent="0.3">
      <c r="A910" t="s">
        <v>923</v>
      </c>
      <c r="B910">
        <v>9</v>
      </c>
      <c r="C910">
        <v>48</v>
      </c>
      <c r="D910" t="s">
        <v>5016</v>
      </c>
      <c r="E910" t="s">
        <v>5017</v>
      </c>
      <c r="F910" t="s">
        <v>5024</v>
      </c>
      <c r="G910">
        <v>5.32</v>
      </c>
      <c r="H910">
        <v>3</v>
      </c>
      <c r="I910">
        <v>8.9</v>
      </c>
      <c r="J910">
        <v>23.35</v>
      </c>
      <c r="K910">
        <v>31.4</v>
      </c>
      <c r="L910" t="s">
        <v>5029</v>
      </c>
      <c r="M910">
        <v>8</v>
      </c>
      <c r="N910">
        <v>0</v>
      </c>
      <c r="O910">
        <v>0</v>
      </c>
    </row>
    <row r="911" spans="1:15" x14ac:dyDescent="0.3">
      <c r="A911" t="s">
        <v>924</v>
      </c>
      <c r="B911">
        <v>12</v>
      </c>
      <c r="C911">
        <v>26</v>
      </c>
      <c r="D911" t="s">
        <v>5015</v>
      </c>
      <c r="E911" t="s">
        <v>5018</v>
      </c>
      <c r="F911" t="s">
        <v>5020</v>
      </c>
      <c r="G911">
        <v>8.0299999999999994</v>
      </c>
      <c r="H911">
        <v>4</v>
      </c>
      <c r="I911">
        <v>1.8</v>
      </c>
      <c r="J911">
        <v>4.18</v>
      </c>
      <c r="K911">
        <v>73.7</v>
      </c>
      <c r="L911" t="s">
        <v>5029</v>
      </c>
      <c r="M911">
        <v>1</v>
      </c>
      <c r="N911">
        <v>1</v>
      </c>
      <c r="O911">
        <v>1</v>
      </c>
    </row>
    <row r="912" spans="1:15" x14ac:dyDescent="0.3">
      <c r="A912" t="s">
        <v>925</v>
      </c>
      <c r="B912">
        <v>10</v>
      </c>
      <c r="C912">
        <v>56</v>
      </c>
      <c r="D912" t="s">
        <v>5015</v>
      </c>
      <c r="E912" t="s">
        <v>5018</v>
      </c>
      <c r="F912" t="s">
        <v>5022</v>
      </c>
      <c r="G912">
        <v>9.9</v>
      </c>
      <c r="H912">
        <v>1</v>
      </c>
      <c r="I912">
        <v>9.1999999999999993</v>
      </c>
      <c r="J912">
        <v>6.76</v>
      </c>
      <c r="K912">
        <v>74.900000000000006</v>
      </c>
      <c r="L912" t="s">
        <v>5025</v>
      </c>
      <c r="M912">
        <v>10</v>
      </c>
      <c r="N912">
        <v>2</v>
      </c>
      <c r="O912">
        <v>1</v>
      </c>
    </row>
    <row r="913" spans="1:15" x14ac:dyDescent="0.3">
      <c r="A913" t="s">
        <v>926</v>
      </c>
      <c r="B913">
        <v>2</v>
      </c>
      <c r="C913">
        <v>62</v>
      </c>
      <c r="D913" t="s">
        <v>5015</v>
      </c>
      <c r="E913" t="s">
        <v>5019</v>
      </c>
      <c r="F913" t="s">
        <v>5023</v>
      </c>
      <c r="G913">
        <v>20.46</v>
      </c>
      <c r="H913">
        <v>2</v>
      </c>
      <c r="I913">
        <v>9.3000000000000007</v>
      </c>
      <c r="J913">
        <v>3.64</v>
      </c>
      <c r="K913">
        <v>67.400000000000006</v>
      </c>
      <c r="L913" t="s">
        <v>5026</v>
      </c>
      <c r="M913">
        <v>7</v>
      </c>
      <c r="N913">
        <v>0</v>
      </c>
      <c r="O913">
        <v>0</v>
      </c>
    </row>
    <row r="914" spans="1:15" x14ac:dyDescent="0.3">
      <c r="A914" t="s">
        <v>927</v>
      </c>
      <c r="B914">
        <v>1</v>
      </c>
      <c r="C914">
        <v>19</v>
      </c>
      <c r="D914" t="s">
        <v>5015</v>
      </c>
      <c r="E914" t="s">
        <v>5019</v>
      </c>
      <c r="F914" t="s">
        <v>5021</v>
      </c>
      <c r="G914">
        <v>6.33</v>
      </c>
      <c r="H914">
        <v>5</v>
      </c>
      <c r="I914">
        <v>7.5</v>
      </c>
      <c r="J914">
        <v>14.43</v>
      </c>
      <c r="K914">
        <v>42.8</v>
      </c>
      <c r="L914" t="s">
        <v>5026</v>
      </c>
      <c r="M914">
        <v>6</v>
      </c>
      <c r="N914">
        <v>3</v>
      </c>
      <c r="O914">
        <v>0</v>
      </c>
    </row>
    <row r="915" spans="1:15" x14ac:dyDescent="0.3">
      <c r="A915" t="s">
        <v>928</v>
      </c>
      <c r="B915">
        <v>10</v>
      </c>
      <c r="C915">
        <v>25</v>
      </c>
      <c r="D915" t="s">
        <v>5016</v>
      </c>
      <c r="E915" t="s">
        <v>5018</v>
      </c>
      <c r="F915" t="s">
        <v>5024</v>
      </c>
      <c r="G915">
        <v>8.76</v>
      </c>
      <c r="H915">
        <v>3</v>
      </c>
      <c r="I915">
        <v>9.1</v>
      </c>
      <c r="J915">
        <v>23.75</v>
      </c>
      <c r="K915">
        <v>80.7</v>
      </c>
      <c r="L915" t="s">
        <v>5028</v>
      </c>
      <c r="M915">
        <v>5</v>
      </c>
      <c r="N915">
        <v>3</v>
      </c>
      <c r="O915">
        <v>0</v>
      </c>
    </row>
    <row r="916" spans="1:15" x14ac:dyDescent="0.3">
      <c r="A916" t="s">
        <v>929</v>
      </c>
      <c r="B916">
        <v>11</v>
      </c>
      <c r="C916">
        <v>24</v>
      </c>
      <c r="D916" t="s">
        <v>5015</v>
      </c>
      <c r="E916" t="s">
        <v>5019</v>
      </c>
      <c r="F916" t="s">
        <v>5020</v>
      </c>
      <c r="G916">
        <v>12.17</v>
      </c>
      <c r="H916">
        <v>4</v>
      </c>
      <c r="I916">
        <v>7.9</v>
      </c>
      <c r="J916">
        <v>21.46</v>
      </c>
      <c r="K916">
        <v>66.599999999999994</v>
      </c>
      <c r="L916" t="s">
        <v>5026</v>
      </c>
      <c r="M916">
        <v>10</v>
      </c>
      <c r="N916">
        <v>0</v>
      </c>
      <c r="O916">
        <v>1</v>
      </c>
    </row>
    <row r="917" spans="1:15" x14ac:dyDescent="0.3">
      <c r="A917" t="s">
        <v>930</v>
      </c>
      <c r="B917">
        <v>9</v>
      </c>
      <c r="C917">
        <v>61</v>
      </c>
      <c r="D917" t="s">
        <v>5016</v>
      </c>
      <c r="E917" t="s">
        <v>5018</v>
      </c>
      <c r="F917" t="s">
        <v>5020</v>
      </c>
      <c r="G917">
        <v>5.18</v>
      </c>
      <c r="H917">
        <v>4</v>
      </c>
      <c r="I917">
        <v>5.8</v>
      </c>
      <c r="J917">
        <v>17.07</v>
      </c>
      <c r="K917">
        <v>63.1</v>
      </c>
      <c r="L917" t="s">
        <v>5029</v>
      </c>
      <c r="M917">
        <v>8</v>
      </c>
      <c r="N917">
        <v>1</v>
      </c>
      <c r="O917">
        <v>0</v>
      </c>
    </row>
    <row r="918" spans="1:15" x14ac:dyDescent="0.3">
      <c r="A918" t="s">
        <v>931</v>
      </c>
      <c r="B918">
        <v>10</v>
      </c>
      <c r="C918">
        <v>68</v>
      </c>
      <c r="D918" t="s">
        <v>5016</v>
      </c>
      <c r="E918" t="s">
        <v>5017</v>
      </c>
      <c r="F918" t="s">
        <v>5022</v>
      </c>
      <c r="G918">
        <v>20.239999999999998</v>
      </c>
      <c r="H918">
        <v>5</v>
      </c>
      <c r="I918">
        <v>6.4</v>
      </c>
      <c r="J918">
        <v>7.08</v>
      </c>
      <c r="K918">
        <v>83.7</v>
      </c>
      <c r="L918" t="s">
        <v>5025</v>
      </c>
      <c r="M918">
        <v>1</v>
      </c>
      <c r="N918">
        <v>4</v>
      </c>
      <c r="O918">
        <v>1</v>
      </c>
    </row>
    <row r="919" spans="1:15" x14ac:dyDescent="0.3">
      <c r="A919" t="s">
        <v>932</v>
      </c>
      <c r="B919">
        <v>9</v>
      </c>
      <c r="C919">
        <v>56</v>
      </c>
      <c r="D919" t="s">
        <v>5016</v>
      </c>
      <c r="E919" t="s">
        <v>5019</v>
      </c>
      <c r="F919" t="s">
        <v>5020</v>
      </c>
      <c r="G919">
        <v>16.2</v>
      </c>
      <c r="H919">
        <v>5</v>
      </c>
      <c r="I919">
        <v>6.7</v>
      </c>
      <c r="J919">
        <v>22.13</v>
      </c>
      <c r="K919">
        <v>32</v>
      </c>
      <c r="L919" t="s">
        <v>5028</v>
      </c>
      <c r="M919">
        <v>5</v>
      </c>
      <c r="N919">
        <v>2</v>
      </c>
      <c r="O919">
        <v>1</v>
      </c>
    </row>
    <row r="920" spans="1:15" x14ac:dyDescent="0.3">
      <c r="A920" t="s">
        <v>933</v>
      </c>
      <c r="B920">
        <v>9</v>
      </c>
      <c r="C920">
        <v>59</v>
      </c>
      <c r="D920" t="s">
        <v>5016</v>
      </c>
      <c r="E920" t="s">
        <v>5017</v>
      </c>
      <c r="F920" t="s">
        <v>5024</v>
      </c>
      <c r="G920">
        <v>23.01</v>
      </c>
      <c r="H920">
        <v>1</v>
      </c>
      <c r="I920">
        <v>2.1</v>
      </c>
      <c r="J920">
        <v>19.61</v>
      </c>
      <c r="K920">
        <v>30.9</v>
      </c>
      <c r="L920" t="s">
        <v>5029</v>
      </c>
      <c r="M920">
        <v>6</v>
      </c>
      <c r="N920">
        <v>4</v>
      </c>
      <c r="O920">
        <v>0</v>
      </c>
    </row>
    <row r="921" spans="1:15" x14ac:dyDescent="0.3">
      <c r="A921" t="s">
        <v>934</v>
      </c>
      <c r="B921">
        <v>6</v>
      </c>
      <c r="C921">
        <v>33</v>
      </c>
      <c r="D921" t="s">
        <v>5016</v>
      </c>
      <c r="E921" t="s">
        <v>5019</v>
      </c>
      <c r="F921" t="s">
        <v>5024</v>
      </c>
      <c r="G921">
        <v>5.62</v>
      </c>
      <c r="H921">
        <v>3</v>
      </c>
      <c r="I921">
        <v>2.7</v>
      </c>
      <c r="J921">
        <v>8.8699999999999992</v>
      </c>
      <c r="K921">
        <v>44.8</v>
      </c>
      <c r="L921" t="s">
        <v>5029</v>
      </c>
      <c r="M921">
        <v>4</v>
      </c>
      <c r="N921">
        <v>2</v>
      </c>
      <c r="O921">
        <v>0</v>
      </c>
    </row>
    <row r="922" spans="1:15" x14ac:dyDescent="0.3">
      <c r="A922" t="s">
        <v>935</v>
      </c>
      <c r="B922">
        <v>8</v>
      </c>
      <c r="C922">
        <v>52</v>
      </c>
      <c r="D922" t="s">
        <v>5016</v>
      </c>
      <c r="E922" t="s">
        <v>5019</v>
      </c>
      <c r="F922" t="s">
        <v>5020</v>
      </c>
      <c r="G922">
        <v>10.43</v>
      </c>
      <c r="H922">
        <v>3</v>
      </c>
      <c r="I922">
        <v>5.7</v>
      </c>
      <c r="J922">
        <v>20.71</v>
      </c>
      <c r="K922">
        <v>16.600000000000001</v>
      </c>
      <c r="L922" t="s">
        <v>5028</v>
      </c>
      <c r="M922">
        <v>10</v>
      </c>
      <c r="N922">
        <v>4</v>
      </c>
      <c r="O922">
        <v>0</v>
      </c>
    </row>
    <row r="923" spans="1:15" x14ac:dyDescent="0.3">
      <c r="A923" t="s">
        <v>936</v>
      </c>
      <c r="B923">
        <v>11</v>
      </c>
      <c r="C923">
        <v>47</v>
      </c>
      <c r="D923" t="s">
        <v>5015</v>
      </c>
      <c r="E923" t="s">
        <v>5018</v>
      </c>
      <c r="F923" t="s">
        <v>5024</v>
      </c>
      <c r="G923">
        <v>19.63</v>
      </c>
      <c r="H923">
        <v>5</v>
      </c>
      <c r="I923">
        <v>2</v>
      </c>
      <c r="J923">
        <v>22.3</v>
      </c>
      <c r="K923">
        <v>40.4</v>
      </c>
      <c r="L923" t="s">
        <v>5029</v>
      </c>
      <c r="M923">
        <v>11</v>
      </c>
      <c r="N923">
        <v>4</v>
      </c>
      <c r="O923">
        <v>1</v>
      </c>
    </row>
    <row r="924" spans="1:15" x14ac:dyDescent="0.3">
      <c r="A924" t="s">
        <v>937</v>
      </c>
      <c r="B924">
        <v>1</v>
      </c>
      <c r="C924">
        <v>27</v>
      </c>
      <c r="D924" t="s">
        <v>5016</v>
      </c>
      <c r="E924" t="s">
        <v>5018</v>
      </c>
      <c r="F924" t="s">
        <v>5024</v>
      </c>
      <c r="G924">
        <v>18.5</v>
      </c>
      <c r="H924">
        <v>2</v>
      </c>
      <c r="I924">
        <v>9.6999999999999993</v>
      </c>
      <c r="J924">
        <v>18.36</v>
      </c>
      <c r="K924">
        <v>46.6</v>
      </c>
      <c r="L924" t="s">
        <v>5029</v>
      </c>
      <c r="M924">
        <v>10</v>
      </c>
      <c r="N924">
        <v>2</v>
      </c>
      <c r="O924">
        <v>0</v>
      </c>
    </row>
    <row r="925" spans="1:15" x14ac:dyDescent="0.3">
      <c r="A925" t="s">
        <v>938</v>
      </c>
      <c r="B925">
        <v>10</v>
      </c>
      <c r="C925">
        <v>55</v>
      </c>
      <c r="D925" t="s">
        <v>5016</v>
      </c>
      <c r="E925" t="s">
        <v>5018</v>
      </c>
      <c r="F925" t="s">
        <v>5021</v>
      </c>
      <c r="G925">
        <v>9.86</v>
      </c>
      <c r="H925">
        <v>3</v>
      </c>
      <c r="I925">
        <v>5.6</v>
      </c>
      <c r="J925">
        <v>5.21</v>
      </c>
      <c r="K925">
        <v>54.6</v>
      </c>
      <c r="L925" t="s">
        <v>5025</v>
      </c>
      <c r="M925">
        <v>2</v>
      </c>
      <c r="N925">
        <v>2</v>
      </c>
      <c r="O925">
        <v>1</v>
      </c>
    </row>
    <row r="926" spans="1:15" x14ac:dyDescent="0.3">
      <c r="A926" t="s">
        <v>939</v>
      </c>
      <c r="B926">
        <v>4</v>
      </c>
      <c r="C926">
        <v>35</v>
      </c>
      <c r="D926" t="s">
        <v>5016</v>
      </c>
      <c r="E926" t="s">
        <v>5018</v>
      </c>
      <c r="F926" t="s">
        <v>5023</v>
      </c>
      <c r="G926">
        <v>16.91</v>
      </c>
      <c r="H926">
        <v>4</v>
      </c>
      <c r="I926">
        <v>4.4000000000000004</v>
      </c>
      <c r="J926">
        <v>24.65</v>
      </c>
      <c r="K926">
        <v>32.9</v>
      </c>
      <c r="L926" t="s">
        <v>5025</v>
      </c>
      <c r="M926">
        <v>8</v>
      </c>
      <c r="N926">
        <v>3</v>
      </c>
      <c r="O926">
        <v>1</v>
      </c>
    </row>
    <row r="927" spans="1:15" x14ac:dyDescent="0.3">
      <c r="A927" t="s">
        <v>940</v>
      </c>
      <c r="B927">
        <v>1</v>
      </c>
      <c r="C927">
        <v>67</v>
      </c>
      <c r="D927" t="s">
        <v>5015</v>
      </c>
      <c r="E927" t="s">
        <v>5018</v>
      </c>
      <c r="F927" t="s">
        <v>5024</v>
      </c>
      <c r="G927">
        <v>20.88</v>
      </c>
      <c r="H927">
        <v>5</v>
      </c>
      <c r="I927">
        <v>2.4</v>
      </c>
      <c r="J927">
        <v>4.67</v>
      </c>
      <c r="K927">
        <v>91.6</v>
      </c>
      <c r="L927" t="s">
        <v>5025</v>
      </c>
      <c r="M927">
        <v>5</v>
      </c>
      <c r="N927">
        <v>1</v>
      </c>
      <c r="O927">
        <v>0</v>
      </c>
    </row>
    <row r="928" spans="1:15" x14ac:dyDescent="0.3">
      <c r="A928" t="s">
        <v>941</v>
      </c>
      <c r="B928">
        <v>8</v>
      </c>
      <c r="C928">
        <v>22</v>
      </c>
      <c r="D928" t="s">
        <v>5015</v>
      </c>
      <c r="E928" t="s">
        <v>5018</v>
      </c>
      <c r="F928" t="s">
        <v>5024</v>
      </c>
      <c r="G928">
        <v>5.67</v>
      </c>
      <c r="H928">
        <v>3</v>
      </c>
      <c r="I928">
        <v>4.7</v>
      </c>
      <c r="J928">
        <v>17.399999999999999</v>
      </c>
      <c r="K928">
        <v>35.700000000000003</v>
      </c>
      <c r="L928" t="s">
        <v>5026</v>
      </c>
      <c r="M928">
        <v>10</v>
      </c>
      <c r="N928">
        <v>1</v>
      </c>
      <c r="O928">
        <v>0</v>
      </c>
    </row>
    <row r="929" spans="1:15" x14ac:dyDescent="0.3">
      <c r="A929" t="s">
        <v>942</v>
      </c>
      <c r="B929">
        <v>1</v>
      </c>
      <c r="C929">
        <v>46</v>
      </c>
      <c r="D929" t="s">
        <v>5016</v>
      </c>
      <c r="E929" t="s">
        <v>5019</v>
      </c>
      <c r="F929" t="s">
        <v>5022</v>
      </c>
      <c r="G929">
        <v>19.350000000000001</v>
      </c>
      <c r="H929">
        <v>1</v>
      </c>
      <c r="I929">
        <v>3.7</v>
      </c>
      <c r="J929">
        <v>5.43</v>
      </c>
      <c r="K929">
        <v>86.6</v>
      </c>
      <c r="L929" t="s">
        <v>5028</v>
      </c>
      <c r="M929">
        <v>6</v>
      </c>
      <c r="N929">
        <v>3</v>
      </c>
      <c r="O929">
        <v>0</v>
      </c>
    </row>
    <row r="930" spans="1:15" x14ac:dyDescent="0.3">
      <c r="A930" t="s">
        <v>943</v>
      </c>
      <c r="B930">
        <v>3</v>
      </c>
      <c r="C930">
        <v>56</v>
      </c>
      <c r="D930" t="s">
        <v>5015</v>
      </c>
      <c r="E930" t="s">
        <v>5018</v>
      </c>
      <c r="F930" t="s">
        <v>5023</v>
      </c>
      <c r="G930">
        <v>10.039999999999999</v>
      </c>
      <c r="H930">
        <v>5</v>
      </c>
      <c r="I930">
        <v>1.8</v>
      </c>
      <c r="J930">
        <v>22.92</v>
      </c>
      <c r="K930">
        <v>50</v>
      </c>
      <c r="L930" t="s">
        <v>5025</v>
      </c>
      <c r="M930">
        <v>9</v>
      </c>
      <c r="N930">
        <v>4</v>
      </c>
      <c r="O930">
        <v>0</v>
      </c>
    </row>
    <row r="931" spans="1:15" x14ac:dyDescent="0.3">
      <c r="A931" t="s">
        <v>944</v>
      </c>
      <c r="B931">
        <v>4</v>
      </c>
      <c r="C931">
        <v>51</v>
      </c>
      <c r="D931" t="s">
        <v>5016</v>
      </c>
      <c r="E931" t="s">
        <v>5017</v>
      </c>
      <c r="F931" t="s">
        <v>5023</v>
      </c>
      <c r="G931">
        <v>23.96</v>
      </c>
      <c r="H931">
        <v>4</v>
      </c>
      <c r="I931">
        <v>9.6999999999999993</v>
      </c>
      <c r="J931">
        <v>10.7</v>
      </c>
      <c r="K931">
        <v>74.599999999999994</v>
      </c>
      <c r="L931" t="s">
        <v>5029</v>
      </c>
      <c r="M931">
        <v>2</v>
      </c>
      <c r="N931">
        <v>2</v>
      </c>
      <c r="O931">
        <v>0</v>
      </c>
    </row>
    <row r="932" spans="1:15" x14ac:dyDescent="0.3">
      <c r="A932" t="s">
        <v>945</v>
      </c>
      <c r="B932">
        <v>8</v>
      </c>
      <c r="C932">
        <v>60</v>
      </c>
      <c r="D932" t="s">
        <v>5015</v>
      </c>
      <c r="E932" t="s">
        <v>5018</v>
      </c>
      <c r="F932" t="s">
        <v>5023</v>
      </c>
      <c r="G932">
        <v>15.76</v>
      </c>
      <c r="H932">
        <v>1</v>
      </c>
      <c r="I932">
        <v>3.4</v>
      </c>
      <c r="J932">
        <v>14.25</v>
      </c>
      <c r="K932">
        <v>20</v>
      </c>
      <c r="L932" t="s">
        <v>5026</v>
      </c>
      <c r="M932">
        <v>5</v>
      </c>
      <c r="N932">
        <v>0</v>
      </c>
      <c r="O932">
        <v>0</v>
      </c>
    </row>
    <row r="933" spans="1:15" x14ac:dyDescent="0.3">
      <c r="A933" t="s">
        <v>946</v>
      </c>
      <c r="B933">
        <v>6</v>
      </c>
      <c r="C933">
        <v>62</v>
      </c>
      <c r="D933" t="s">
        <v>5016</v>
      </c>
      <c r="E933" t="s">
        <v>5019</v>
      </c>
      <c r="F933" t="s">
        <v>5020</v>
      </c>
      <c r="G933">
        <v>5.67</v>
      </c>
      <c r="H933">
        <v>5</v>
      </c>
      <c r="I933">
        <v>7.2</v>
      </c>
      <c r="J933">
        <v>6.93</v>
      </c>
      <c r="K933">
        <v>59</v>
      </c>
      <c r="L933" t="s">
        <v>5028</v>
      </c>
      <c r="M933">
        <v>1</v>
      </c>
      <c r="N933">
        <v>4</v>
      </c>
      <c r="O933">
        <v>1</v>
      </c>
    </row>
    <row r="934" spans="1:15" x14ac:dyDescent="0.3">
      <c r="A934" t="s">
        <v>947</v>
      </c>
      <c r="B934">
        <v>10</v>
      </c>
      <c r="C934">
        <v>40</v>
      </c>
      <c r="D934" t="s">
        <v>5015</v>
      </c>
      <c r="E934" t="s">
        <v>5018</v>
      </c>
      <c r="F934" t="s">
        <v>5021</v>
      </c>
      <c r="G934">
        <v>13.07</v>
      </c>
      <c r="H934">
        <v>5</v>
      </c>
      <c r="I934">
        <v>1.8</v>
      </c>
      <c r="J934">
        <v>15.02</v>
      </c>
      <c r="K934">
        <v>96.5</v>
      </c>
      <c r="L934" t="s">
        <v>5025</v>
      </c>
      <c r="M934">
        <v>3</v>
      </c>
      <c r="N934">
        <v>1</v>
      </c>
      <c r="O934">
        <v>1</v>
      </c>
    </row>
    <row r="935" spans="1:15" x14ac:dyDescent="0.3">
      <c r="A935" t="s">
        <v>948</v>
      </c>
      <c r="B935">
        <v>12</v>
      </c>
      <c r="C935">
        <v>22</v>
      </c>
      <c r="D935" t="s">
        <v>5015</v>
      </c>
      <c r="E935" t="s">
        <v>5018</v>
      </c>
      <c r="F935" t="s">
        <v>5021</v>
      </c>
      <c r="G935">
        <v>24.33</v>
      </c>
      <c r="H935">
        <v>3</v>
      </c>
      <c r="I935">
        <v>9.1999999999999993</v>
      </c>
      <c r="J935">
        <v>23.65</v>
      </c>
      <c r="K935">
        <v>70</v>
      </c>
      <c r="L935" t="s">
        <v>5025</v>
      </c>
      <c r="M935">
        <v>6</v>
      </c>
      <c r="N935">
        <v>2</v>
      </c>
      <c r="O935">
        <v>0</v>
      </c>
    </row>
    <row r="936" spans="1:15" x14ac:dyDescent="0.3">
      <c r="A936" t="s">
        <v>949</v>
      </c>
      <c r="B936">
        <v>7</v>
      </c>
      <c r="C936">
        <v>47</v>
      </c>
      <c r="D936" t="s">
        <v>5015</v>
      </c>
      <c r="E936" t="s">
        <v>5019</v>
      </c>
      <c r="F936" t="s">
        <v>5022</v>
      </c>
      <c r="G936">
        <v>19.61</v>
      </c>
      <c r="H936">
        <v>1</v>
      </c>
      <c r="I936">
        <v>6.3</v>
      </c>
      <c r="J936">
        <v>22.84</v>
      </c>
      <c r="K936">
        <v>83.8</v>
      </c>
      <c r="L936" t="s">
        <v>5028</v>
      </c>
      <c r="M936">
        <v>8</v>
      </c>
      <c r="N936">
        <v>3</v>
      </c>
      <c r="O936">
        <v>0</v>
      </c>
    </row>
    <row r="937" spans="1:15" x14ac:dyDescent="0.3">
      <c r="A937" t="s">
        <v>950</v>
      </c>
      <c r="B937">
        <v>8</v>
      </c>
      <c r="C937">
        <v>23</v>
      </c>
      <c r="D937" t="s">
        <v>5016</v>
      </c>
      <c r="E937" t="s">
        <v>5018</v>
      </c>
      <c r="F937" t="s">
        <v>5023</v>
      </c>
      <c r="G937">
        <v>11.01</v>
      </c>
      <c r="H937">
        <v>5</v>
      </c>
      <c r="I937">
        <v>6.9</v>
      </c>
      <c r="J937">
        <v>4.41</v>
      </c>
      <c r="K937">
        <v>33.5</v>
      </c>
      <c r="L937" t="s">
        <v>5025</v>
      </c>
      <c r="M937">
        <v>5</v>
      </c>
      <c r="N937">
        <v>4</v>
      </c>
      <c r="O937">
        <v>0</v>
      </c>
    </row>
    <row r="938" spans="1:15" x14ac:dyDescent="0.3">
      <c r="A938" t="s">
        <v>951</v>
      </c>
      <c r="B938">
        <v>2</v>
      </c>
      <c r="C938">
        <v>63</v>
      </c>
      <c r="D938" t="s">
        <v>5016</v>
      </c>
      <c r="E938" t="s">
        <v>5018</v>
      </c>
      <c r="F938" t="s">
        <v>5023</v>
      </c>
      <c r="G938">
        <v>16.510000000000002</v>
      </c>
      <c r="H938">
        <v>4</v>
      </c>
      <c r="I938">
        <v>8</v>
      </c>
      <c r="J938">
        <v>11.32</v>
      </c>
      <c r="K938">
        <v>82</v>
      </c>
      <c r="L938" t="s">
        <v>5028</v>
      </c>
      <c r="M938">
        <v>4</v>
      </c>
      <c r="N938">
        <v>0</v>
      </c>
      <c r="O938">
        <v>1</v>
      </c>
    </row>
    <row r="939" spans="1:15" x14ac:dyDescent="0.3">
      <c r="A939" t="s">
        <v>952</v>
      </c>
      <c r="B939">
        <v>10</v>
      </c>
      <c r="C939">
        <v>61</v>
      </c>
      <c r="D939" t="s">
        <v>5016</v>
      </c>
      <c r="E939" t="s">
        <v>5019</v>
      </c>
      <c r="F939" t="s">
        <v>5024</v>
      </c>
      <c r="G939">
        <v>16.98</v>
      </c>
      <c r="H939">
        <v>1</v>
      </c>
      <c r="I939">
        <v>6.5</v>
      </c>
      <c r="J939">
        <v>8.8800000000000008</v>
      </c>
      <c r="K939">
        <v>41.6</v>
      </c>
      <c r="L939" t="s">
        <v>5028</v>
      </c>
      <c r="M939">
        <v>5</v>
      </c>
      <c r="N939">
        <v>4</v>
      </c>
      <c r="O939">
        <v>0</v>
      </c>
    </row>
    <row r="940" spans="1:15" x14ac:dyDescent="0.3">
      <c r="A940" t="s">
        <v>953</v>
      </c>
      <c r="B940">
        <v>11</v>
      </c>
      <c r="C940">
        <v>21</v>
      </c>
      <c r="D940" t="s">
        <v>5015</v>
      </c>
      <c r="E940" t="s">
        <v>5017</v>
      </c>
      <c r="F940" t="s">
        <v>5020</v>
      </c>
      <c r="G940">
        <v>5.47</v>
      </c>
      <c r="H940">
        <v>3</v>
      </c>
      <c r="I940">
        <v>1.6</v>
      </c>
      <c r="J940">
        <v>13.59</v>
      </c>
      <c r="K940">
        <v>53.7</v>
      </c>
      <c r="L940" t="s">
        <v>5029</v>
      </c>
      <c r="M940">
        <v>4</v>
      </c>
      <c r="N940">
        <v>3</v>
      </c>
      <c r="O940">
        <v>0</v>
      </c>
    </row>
    <row r="941" spans="1:15" x14ac:dyDescent="0.3">
      <c r="A941" t="s">
        <v>954</v>
      </c>
      <c r="B941">
        <v>8</v>
      </c>
      <c r="C941">
        <v>46</v>
      </c>
      <c r="D941" t="s">
        <v>5015</v>
      </c>
      <c r="E941" t="s">
        <v>5019</v>
      </c>
      <c r="F941" t="s">
        <v>5020</v>
      </c>
      <c r="G941">
        <v>8.58</v>
      </c>
      <c r="H941">
        <v>2</v>
      </c>
      <c r="I941">
        <v>4.9000000000000004</v>
      </c>
      <c r="J941">
        <v>21.34</v>
      </c>
      <c r="K941">
        <v>26.9</v>
      </c>
      <c r="L941" t="s">
        <v>5028</v>
      </c>
      <c r="M941">
        <v>2</v>
      </c>
      <c r="N941">
        <v>0</v>
      </c>
      <c r="O941">
        <v>0</v>
      </c>
    </row>
    <row r="942" spans="1:15" x14ac:dyDescent="0.3">
      <c r="A942" t="s">
        <v>955</v>
      </c>
      <c r="B942">
        <v>3</v>
      </c>
      <c r="C942">
        <v>40</v>
      </c>
      <c r="D942" t="s">
        <v>5016</v>
      </c>
      <c r="E942" t="s">
        <v>5017</v>
      </c>
      <c r="F942" t="s">
        <v>5022</v>
      </c>
      <c r="G942">
        <v>16.04</v>
      </c>
      <c r="H942">
        <v>5</v>
      </c>
      <c r="I942">
        <v>3.4</v>
      </c>
      <c r="J942">
        <v>19.25</v>
      </c>
      <c r="K942">
        <v>53.7</v>
      </c>
      <c r="L942" t="s">
        <v>5027</v>
      </c>
      <c r="M942">
        <v>1</v>
      </c>
      <c r="N942">
        <v>4</v>
      </c>
      <c r="O942">
        <v>0</v>
      </c>
    </row>
    <row r="943" spans="1:15" x14ac:dyDescent="0.3">
      <c r="A943" t="s">
        <v>956</v>
      </c>
      <c r="B943">
        <v>7</v>
      </c>
      <c r="C943">
        <v>23</v>
      </c>
      <c r="D943" t="s">
        <v>5015</v>
      </c>
      <c r="E943" t="s">
        <v>5017</v>
      </c>
      <c r="F943" t="s">
        <v>5021</v>
      </c>
      <c r="G943">
        <v>13.06</v>
      </c>
      <c r="H943">
        <v>2</v>
      </c>
      <c r="I943">
        <v>5.4</v>
      </c>
      <c r="J943">
        <v>10.57</v>
      </c>
      <c r="K943">
        <v>56.4</v>
      </c>
      <c r="L943" t="s">
        <v>5025</v>
      </c>
      <c r="M943">
        <v>8</v>
      </c>
      <c r="N943">
        <v>3</v>
      </c>
      <c r="O943">
        <v>1</v>
      </c>
    </row>
    <row r="944" spans="1:15" x14ac:dyDescent="0.3">
      <c r="A944" t="s">
        <v>957</v>
      </c>
      <c r="B944">
        <v>3</v>
      </c>
      <c r="C944">
        <v>49</v>
      </c>
      <c r="D944" t="s">
        <v>5016</v>
      </c>
      <c r="E944" t="s">
        <v>5019</v>
      </c>
      <c r="F944" t="s">
        <v>5023</v>
      </c>
      <c r="G944">
        <v>8.8000000000000007</v>
      </c>
      <c r="H944">
        <v>5</v>
      </c>
      <c r="I944">
        <v>4.5999999999999996</v>
      </c>
      <c r="J944">
        <v>11.42</v>
      </c>
      <c r="K944">
        <v>66</v>
      </c>
      <c r="L944" t="s">
        <v>5029</v>
      </c>
      <c r="M944">
        <v>1</v>
      </c>
      <c r="N944">
        <v>4</v>
      </c>
      <c r="O944">
        <v>0</v>
      </c>
    </row>
    <row r="945" spans="1:15" x14ac:dyDescent="0.3">
      <c r="A945" t="s">
        <v>958</v>
      </c>
      <c r="B945">
        <v>7</v>
      </c>
      <c r="C945">
        <v>59</v>
      </c>
      <c r="D945" t="s">
        <v>5016</v>
      </c>
      <c r="E945" t="s">
        <v>5017</v>
      </c>
      <c r="F945" t="s">
        <v>5022</v>
      </c>
      <c r="G945">
        <v>20.45</v>
      </c>
      <c r="H945">
        <v>3</v>
      </c>
      <c r="I945">
        <v>8.4</v>
      </c>
      <c r="J945">
        <v>17.39</v>
      </c>
      <c r="K945">
        <v>88.2</v>
      </c>
      <c r="L945" t="s">
        <v>5026</v>
      </c>
      <c r="M945">
        <v>2</v>
      </c>
      <c r="N945">
        <v>2</v>
      </c>
      <c r="O945">
        <v>1</v>
      </c>
    </row>
    <row r="946" spans="1:15" x14ac:dyDescent="0.3">
      <c r="A946" t="s">
        <v>959</v>
      </c>
      <c r="B946">
        <v>11</v>
      </c>
      <c r="C946">
        <v>35</v>
      </c>
      <c r="D946" t="s">
        <v>5016</v>
      </c>
      <c r="E946" t="s">
        <v>5019</v>
      </c>
      <c r="F946" t="s">
        <v>5020</v>
      </c>
      <c r="G946">
        <v>14.78</v>
      </c>
      <c r="H946">
        <v>3</v>
      </c>
      <c r="I946">
        <v>3.2</v>
      </c>
      <c r="J946">
        <v>7.27</v>
      </c>
      <c r="K946">
        <v>37.4</v>
      </c>
      <c r="L946" t="s">
        <v>5027</v>
      </c>
      <c r="M946">
        <v>5</v>
      </c>
      <c r="N946">
        <v>4</v>
      </c>
      <c r="O946">
        <v>0</v>
      </c>
    </row>
    <row r="947" spans="1:15" x14ac:dyDescent="0.3">
      <c r="A947" t="s">
        <v>960</v>
      </c>
      <c r="B947">
        <v>12</v>
      </c>
      <c r="C947">
        <v>32</v>
      </c>
      <c r="D947" t="s">
        <v>5016</v>
      </c>
      <c r="E947" t="s">
        <v>5019</v>
      </c>
      <c r="F947" t="s">
        <v>5020</v>
      </c>
      <c r="G947">
        <v>11.2</v>
      </c>
      <c r="H947">
        <v>3</v>
      </c>
      <c r="I947">
        <v>2.8</v>
      </c>
      <c r="J947">
        <v>5.26</v>
      </c>
      <c r="K947">
        <v>98.6</v>
      </c>
      <c r="L947" t="s">
        <v>5028</v>
      </c>
      <c r="M947">
        <v>8</v>
      </c>
      <c r="N947">
        <v>3</v>
      </c>
      <c r="O947">
        <v>0</v>
      </c>
    </row>
    <row r="948" spans="1:15" x14ac:dyDescent="0.3">
      <c r="A948" t="s">
        <v>961</v>
      </c>
      <c r="B948">
        <v>2</v>
      </c>
      <c r="C948">
        <v>57</v>
      </c>
      <c r="D948" t="s">
        <v>5015</v>
      </c>
      <c r="E948" t="s">
        <v>5019</v>
      </c>
      <c r="F948" t="s">
        <v>5020</v>
      </c>
      <c r="G948">
        <v>8.23</v>
      </c>
      <c r="H948">
        <v>3</v>
      </c>
      <c r="I948">
        <v>9.6</v>
      </c>
      <c r="J948">
        <v>8.34</v>
      </c>
      <c r="K948">
        <v>86.3</v>
      </c>
      <c r="L948" t="s">
        <v>5026</v>
      </c>
      <c r="M948">
        <v>10</v>
      </c>
      <c r="N948">
        <v>1</v>
      </c>
      <c r="O948">
        <v>1</v>
      </c>
    </row>
    <row r="949" spans="1:15" x14ac:dyDescent="0.3">
      <c r="A949" t="s">
        <v>962</v>
      </c>
      <c r="B949">
        <v>10</v>
      </c>
      <c r="C949">
        <v>49</v>
      </c>
      <c r="D949" t="s">
        <v>5015</v>
      </c>
      <c r="E949" t="s">
        <v>5019</v>
      </c>
      <c r="F949" t="s">
        <v>5023</v>
      </c>
      <c r="G949">
        <v>17.22</v>
      </c>
      <c r="H949">
        <v>1</v>
      </c>
      <c r="I949">
        <v>9.5</v>
      </c>
      <c r="J949">
        <v>5.73</v>
      </c>
      <c r="K949">
        <v>46.3</v>
      </c>
      <c r="L949" t="s">
        <v>5026</v>
      </c>
      <c r="M949">
        <v>3</v>
      </c>
      <c r="N949">
        <v>3</v>
      </c>
      <c r="O949">
        <v>1</v>
      </c>
    </row>
    <row r="950" spans="1:15" x14ac:dyDescent="0.3">
      <c r="A950" t="s">
        <v>963</v>
      </c>
      <c r="B950">
        <v>6</v>
      </c>
      <c r="C950">
        <v>26</v>
      </c>
      <c r="D950" t="s">
        <v>5015</v>
      </c>
      <c r="E950" t="s">
        <v>5017</v>
      </c>
      <c r="F950" t="s">
        <v>5023</v>
      </c>
      <c r="G950">
        <v>18.329999999999998</v>
      </c>
      <c r="H950">
        <v>1</v>
      </c>
      <c r="I950">
        <v>9.9</v>
      </c>
      <c r="J950">
        <v>10.74</v>
      </c>
      <c r="K950">
        <v>30.4</v>
      </c>
      <c r="L950" t="s">
        <v>5026</v>
      </c>
      <c r="M950">
        <v>11</v>
      </c>
      <c r="N950">
        <v>4</v>
      </c>
      <c r="O950">
        <v>0</v>
      </c>
    </row>
    <row r="951" spans="1:15" x14ac:dyDescent="0.3">
      <c r="A951" t="s">
        <v>964</v>
      </c>
      <c r="B951">
        <v>3</v>
      </c>
      <c r="C951">
        <v>54</v>
      </c>
      <c r="D951" t="s">
        <v>5016</v>
      </c>
      <c r="E951" t="s">
        <v>5019</v>
      </c>
      <c r="F951" t="s">
        <v>5023</v>
      </c>
      <c r="G951">
        <v>18.39</v>
      </c>
      <c r="H951">
        <v>5</v>
      </c>
      <c r="I951">
        <v>6.1</v>
      </c>
      <c r="J951">
        <v>23.63</v>
      </c>
      <c r="K951">
        <v>16.399999999999999</v>
      </c>
      <c r="L951" t="s">
        <v>5026</v>
      </c>
      <c r="M951">
        <v>11</v>
      </c>
      <c r="N951">
        <v>2</v>
      </c>
      <c r="O951">
        <v>0</v>
      </c>
    </row>
    <row r="952" spans="1:15" x14ac:dyDescent="0.3">
      <c r="A952" t="s">
        <v>965</v>
      </c>
      <c r="B952">
        <v>3</v>
      </c>
      <c r="C952">
        <v>27</v>
      </c>
      <c r="D952" t="s">
        <v>5015</v>
      </c>
      <c r="E952" t="s">
        <v>5017</v>
      </c>
      <c r="F952" t="s">
        <v>5024</v>
      </c>
      <c r="G952">
        <v>9.41</v>
      </c>
      <c r="H952">
        <v>1</v>
      </c>
      <c r="I952">
        <v>2</v>
      </c>
      <c r="J952">
        <v>5.65</v>
      </c>
      <c r="K952">
        <v>31.1</v>
      </c>
      <c r="L952" t="s">
        <v>5029</v>
      </c>
      <c r="M952">
        <v>9</v>
      </c>
      <c r="N952">
        <v>1</v>
      </c>
      <c r="O952">
        <v>0</v>
      </c>
    </row>
    <row r="953" spans="1:15" x14ac:dyDescent="0.3">
      <c r="A953" t="s">
        <v>966</v>
      </c>
      <c r="B953">
        <v>9</v>
      </c>
      <c r="C953">
        <v>37</v>
      </c>
      <c r="D953" t="s">
        <v>5016</v>
      </c>
      <c r="E953" t="s">
        <v>5018</v>
      </c>
      <c r="F953" t="s">
        <v>5021</v>
      </c>
      <c r="G953">
        <v>16.91</v>
      </c>
      <c r="H953">
        <v>5</v>
      </c>
      <c r="I953">
        <v>8.9</v>
      </c>
      <c r="J953">
        <v>21</v>
      </c>
      <c r="K953">
        <v>89.6</v>
      </c>
      <c r="L953" t="s">
        <v>5029</v>
      </c>
      <c r="M953">
        <v>6</v>
      </c>
      <c r="N953">
        <v>3</v>
      </c>
      <c r="O953">
        <v>1</v>
      </c>
    </row>
    <row r="954" spans="1:15" x14ac:dyDescent="0.3">
      <c r="A954" t="s">
        <v>967</v>
      </c>
      <c r="B954">
        <v>7</v>
      </c>
      <c r="C954">
        <v>23</v>
      </c>
      <c r="D954" t="s">
        <v>5016</v>
      </c>
      <c r="E954" t="s">
        <v>5019</v>
      </c>
      <c r="F954" t="s">
        <v>5020</v>
      </c>
      <c r="G954">
        <v>23.11</v>
      </c>
      <c r="H954">
        <v>1</v>
      </c>
      <c r="I954">
        <v>2.2999999999999998</v>
      </c>
      <c r="J954">
        <v>14.76</v>
      </c>
      <c r="K954">
        <v>36.299999999999997</v>
      </c>
      <c r="L954" t="s">
        <v>5026</v>
      </c>
      <c r="M954">
        <v>11</v>
      </c>
      <c r="N954">
        <v>1</v>
      </c>
      <c r="O954">
        <v>1</v>
      </c>
    </row>
    <row r="955" spans="1:15" x14ac:dyDescent="0.3">
      <c r="A955" t="s">
        <v>968</v>
      </c>
      <c r="B955">
        <v>5</v>
      </c>
      <c r="C955">
        <v>65</v>
      </c>
      <c r="D955" t="s">
        <v>5016</v>
      </c>
      <c r="E955" t="s">
        <v>5018</v>
      </c>
      <c r="F955" t="s">
        <v>5020</v>
      </c>
      <c r="G955">
        <v>12.06</v>
      </c>
      <c r="H955">
        <v>1</v>
      </c>
      <c r="I955">
        <v>2.4</v>
      </c>
      <c r="J955">
        <v>16.920000000000002</v>
      </c>
      <c r="K955">
        <v>22.4</v>
      </c>
      <c r="L955" t="s">
        <v>5027</v>
      </c>
      <c r="M955">
        <v>3</v>
      </c>
      <c r="N955">
        <v>2</v>
      </c>
      <c r="O955">
        <v>0</v>
      </c>
    </row>
    <row r="956" spans="1:15" x14ac:dyDescent="0.3">
      <c r="A956" t="s">
        <v>969</v>
      </c>
      <c r="B956">
        <v>12</v>
      </c>
      <c r="C956">
        <v>20</v>
      </c>
      <c r="D956" t="s">
        <v>5016</v>
      </c>
      <c r="E956" t="s">
        <v>5018</v>
      </c>
      <c r="F956" t="s">
        <v>5024</v>
      </c>
      <c r="G956">
        <v>9.2200000000000006</v>
      </c>
      <c r="H956">
        <v>1</v>
      </c>
      <c r="I956">
        <v>2.7</v>
      </c>
      <c r="J956">
        <v>6.74</v>
      </c>
      <c r="K956">
        <v>12</v>
      </c>
      <c r="L956" t="s">
        <v>5025</v>
      </c>
      <c r="M956">
        <v>10</v>
      </c>
      <c r="N956">
        <v>0</v>
      </c>
      <c r="O956">
        <v>0</v>
      </c>
    </row>
    <row r="957" spans="1:15" x14ac:dyDescent="0.3">
      <c r="A957" t="s">
        <v>970</v>
      </c>
      <c r="B957">
        <v>10</v>
      </c>
      <c r="C957">
        <v>59</v>
      </c>
      <c r="D957" t="s">
        <v>5016</v>
      </c>
      <c r="E957" t="s">
        <v>5018</v>
      </c>
      <c r="F957" t="s">
        <v>5020</v>
      </c>
      <c r="G957">
        <v>20.440000000000001</v>
      </c>
      <c r="H957">
        <v>4</v>
      </c>
      <c r="I957">
        <v>6.9</v>
      </c>
      <c r="J957">
        <v>6.33</v>
      </c>
      <c r="K957">
        <v>36.799999999999997</v>
      </c>
      <c r="L957" t="s">
        <v>5025</v>
      </c>
      <c r="M957">
        <v>7</v>
      </c>
      <c r="N957">
        <v>1</v>
      </c>
      <c r="O957">
        <v>0</v>
      </c>
    </row>
    <row r="958" spans="1:15" x14ac:dyDescent="0.3">
      <c r="A958" t="s">
        <v>971</v>
      </c>
      <c r="B958">
        <v>7</v>
      </c>
      <c r="C958">
        <v>28</v>
      </c>
      <c r="D958" t="s">
        <v>5016</v>
      </c>
      <c r="E958" t="s">
        <v>5018</v>
      </c>
      <c r="F958" t="s">
        <v>5020</v>
      </c>
      <c r="G958">
        <v>8.5399999999999991</v>
      </c>
      <c r="H958">
        <v>3</v>
      </c>
      <c r="I958">
        <v>2</v>
      </c>
      <c r="J958">
        <v>6.58</v>
      </c>
      <c r="K958">
        <v>29.5</v>
      </c>
      <c r="L958" t="s">
        <v>5029</v>
      </c>
      <c r="M958">
        <v>7</v>
      </c>
      <c r="N958">
        <v>3</v>
      </c>
      <c r="O958">
        <v>0</v>
      </c>
    </row>
    <row r="959" spans="1:15" x14ac:dyDescent="0.3">
      <c r="A959" t="s">
        <v>972</v>
      </c>
      <c r="B959">
        <v>9</v>
      </c>
      <c r="C959">
        <v>60</v>
      </c>
      <c r="D959" t="s">
        <v>5015</v>
      </c>
      <c r="E959" t="s">
        <v>5019</v>
      </c>
      <c r="F959" t="s">
        <v>5023</v>
      </c>
      <c r="G959">
        <v>10.07</v>
      </c>
      <c r="H959">
        <v>4</v>
      </c>
      <c r="I959">
        <v>8</v>
      </c>
      <c r="J959">
        <v>17.68</v>
      </c>
      <c r="K959">
        <v>19.2</v>
      </c>
      <c r="L959" t="s">
        <v>5027</v>
      </c>
      <c r="M959">
        <v>7</v>
      </c>
      <c r="N959">
        <v>2</v>
      </c>
      <c r="O959">
        <v>0</v>
      </c>
    </row>
    <row r="960" spans="1:15" x14ac:dyDescent="0.3">
      <c r="A960" t="s">
        <v>973</v>
      </c>
      <c r="B960">
        <v>1</v>
      </c>
      <c r="C960">
        <v>34</v>
      </c>
      <c r="D960" t="s">
        <v>5015</v>
      </c>
      <c r="E960" t="s">
        <v>5017</v>
      </c>
      <c r="F960" t="s">
        <v>5023</v>
      </c>
      <c r="G960">
        <v>7.01</v>
      </c>
      <c r="H960">
        <v>1</v>
      </c>
      <c r="I960">
        <v>1.5</v>
      </c>
      <c r="J960">
        <v>19.45</v>
      </c>
      <c r="K960">
        <v>95.6</v>
      </c>
      <c r="L960" t="s">
        <v>5027</v>
      </c>
      <c r="M960">
        <v>4</v>
      </c>
      <c r="N960">
        <v>3</v>
      </c>
      <c r="O960">
        <v>1</v>
      </c>
    </row>
    <row r="961" spans="1:15" x14ac:dyDescent="0.3">
      <c r="A961" t="s">
        <v>974</v>
      </c>
      <c r="B961">
        <v>7</v>
      </c>
      <c r="C961">
        <v>49</v>
      </c>
      <c r="D961" t="s">
        <v>5015</v>
      </c>
      <c r="E961" t="s">
        <v>5018</v>
      </c>
      <c r="F961" t="s">
        <v>5021</v>
      </c>
      <c r="G961">
        <v>10.36</v>
      </c>
      <c r="H961">
        <v>1</v>
      </c>
      <c r="I961">
        <v>2</v>
      </c>
      <c r="J961">
        <v>23.25</v>
      </c>
      <c r="K961">
        <v>34.1</v>
      </c>
      <c r="L961" t="s">
        <v>5028</v>
      </c>
      <c r="M961">
        <v>6</v>
      </c>
      <c r="N961">
        <v>2</v>
      </c>
      <c r="O961">
        <v>1</v>
      </c>
    </row>
    <row r="962" spans="1:15" x14ac:dyDescent="0.3">
      <c r="A962" t="s">
        <v>975</v>
      </c>
      <c r="B962">
        <v>6</v>
      </c>
      <c r="C962">
        <v>21</v>
      </c>
      <c r="D962" t="s">
        <v>5015</v>
      </c>
      <c r="E962" t="s">
        <v>5019</v>
      </c>
      <c r="F962" t="s">
        <v>5020</v>
      </c>
      <c r="G962">
        <v>13.21</v>
      </c>
      <c r="H962">
        <v>4</v>
      </c>
      <c r="I962">
        <v>4.9000000000000004</v>
      </c>
      <c r="J962">
        <v>11.76</v>
      </c>
      <c r="K962">
        <v>10.6</v>
      </c>
      <c r="L962" t="s">
        <v>5029</v>
      </c>
      <c r="M962">
        <v>3</v>
      </c>
      <c r="N962">
        <v>3</v>
      </c>
      <c r="O962">
        <v>0</v>
      </c>
    </row>
    <row r="963" spans="1:15" x14ac:dyDescent="0.3">
      <c r="A963" t="s">
        <v>976</v>
      </c>
      <c r="B963">
        <v>10</v>
      </c>
      <c r="C963">
        <v>21</v>
      </c>
      <c r="D963" t="s">
        <v>5016</v>
      </c>
      <c r="E963" t="s">
        <v>5018</v>
      </c>
      <c r="F963" t="s">
        <v>5022</v>
      </c>
      <c r="G963">
        <v>6.28</v>
      </c>
      <c r="H963">
        <v>5</v>
      </c>
      <c r="I963">
        <v>4.4000000000000004</v>
      </c>
      <c r="J963">
        <v>13.16</v>
      </c>
      <c r="K963">
        <v>95</v>
      </c>
      <c r="L963" t="s">
        <v>5027</v>
      </c>
      <c r="M963">
        <v>4</v>
      </c>
      <c r="N963">
        <v>2</v>
      </c>
      <c r="O963">
        <v>0</v>
      </c>
    </row>
    <row r="964" spans="1:15" x14ac:dyDescent="0.3">
      <c r="A964" t="s">
        <v>977</v>
      </c>
      <c r="B964">
        <v>12</v>
      </c>
      <c r="C964">
        <v>34</v>
      </c>
      <c r="D964" t="s">
        <v>5016</v>
      </c>
      <c r="E964" t="s">
        <v>5017</v>
      </c>
      <c r="F964" t="s">
        <v>5020</v>
      </c>
      <c r="G964">
        <v>22.43</v>
      </c>
      <c r="H964">
        <v>3</v>
      </c>
      <c r="I964">
        <v>9.9</v>
      </c>
      <c r="J964">
        <v>13.33</v>
      </c>
      <c r="K964">
        <v>62.1</v>
      </c>
      <c r="L964" t="s">
        <v>5027</v>
      </c>
      <c r="M964">
        <v>3</v>
      </c>
      <c r="N964">
        <v>4</v>
      </c>
      <c r="O964">
        <v>0</v>
      </c>
    </row>
    <row r="965" spans="1:15" x14ac:dyDescent="0.3">
      <c r="A965" t="s">
        <v>978</v>
      </c>
      <c r="B965">
        <v>9</v>
      </c>
      <c r="C965">
        <v>58</v>
      </c>
      <c r="D965" t="s">
        <v>5015</v>
      </c>
      <c r="E965" t="s">
        <v>5018</v>
      </c>
      <c r="F965" t="s">
        <v>5020</v>
      </c>
      <c r="G965">
        <v>15.27</v>
      </c>
      <c r="H965">
        <v>5</v>
      </c>
      <c r="I965">
        <v>9.6999999999999993</v>
      </c>
      <c r="J965">
        <v>8.94</v>
      </c>
      <c r="K965">
        <v>17.5</v>
      </c>
      <c r="L965" t="s">
        <v>5025</v>
      </c>
      <c r="M965">
        <v>3</v>
      </c>
      <c r="N965">
        <v>3</v>
      </c>
      <c r="O965">
        <v>0</v>
      </c>
    </row>
    <row r="966" spans="1:15" x14ac:dyDescent="0.3">
      <c r="A966" t="s">
        <v>979</v>
      </c>
      <c r="B966">
        <v>1</v>
      </c>
      <c r="C966">
        <v>36</v>
      </c>
      <c r="D966" t="s">
        <v>5015</v>
      </c>
      <c r="E966" t="s">
        <v>5018</v>
      </c>
      <c r="F966" t="s">
        <v>5021</v>
      </c>
      <c r="G966">
        <v>16.760000000000002</v>
      </c>
      <c r="H966">
        <v>3</v>
      </c>
      <c r="I966">
        <v>2.7</v>
      </c>
      <c r="J966">
        <v>10.220000000000001</v>
      </c>
      <c r="K966">
        <v>12.8</v>
      </c>
      <c r="L966" t="s">
        <v>5027</v>
      </c>
      <c r="M966">
        <v>1</v>
      </c>
      <c r="N966">
        <v>2</v>
      </c>
      <c r="O966">
        <v>1</v>
      </c>
    </row>
    <row r="967" spans="1:15" x14ac:dyDescent="0.3">
      <c r="A967" t="s">
        <v>980</v>
      </c>
      <c r="B967">
        <v>4</v>
      </c>
      <c r="C967">
        <v>22</v>
      </c>
      <c r="D967" t="s">
        <v>5015</v>
      </c>
      <c r="E967" t="s">
        <v>5017</v>
      </c>
      <c r="F967" t="s">
        <v>5022</v>
      </c>
      <c r="G967">
        <v>12.43</v>
      </c>
      <c r="H967">
        <v>2</v>
      </c>
      <c r="I967">
        <v>9.5</v>
      </c>
      <c r="J967">
        <v>21.63</v>
      </c>
      <c r="K967">
        <v>19.7</v>
      </c>
      <c r="L967" t="s">
        <v>5027</v>
      </c>
      <c r="M967">
        <v>5</v>
      </c>
      <c r="N967">
        <v>0</v>
      </c>
      <c r="O967">
        <v>0</v>
      </c>
    </row>
    <row r="968" spans="1:15" x14ac:dyDescent="0.3">
      <c r="A968" t="s">
        <v>981</v>
      </c>
      <c r="B968">
        <v>9</v>
      </c>
      <c r="C968">
        <v>49</v>
      </c>
      <c r="D968" t="s">
        <v>5015</v>
      </c>
      <c r="E968" t="s">
        <v>5019</v>
      </c>
      <c r="F968" t="s">
        <v>5020</v>
      </c>
      <c r="G968">
        <v>18.399999999999999</v>
      </c>
      <c r="H968">
        <v>3</v>
      </c>
      <c r="I968">
        <v>7.2</v>
      </c>
      <c r="J968">
        <v>10.56</v>
      </c>
      <c r="K968">
        <v>63.2</v>
      </c>
      <c r="L968" t="s">
        <v>5026</v>
      </c>
      <c r="M968">
        <v>3</v>
      </c>
      <c r="N968">
        <v>2</v>
      </c>
      <c r="O968">
        <v>0</v>
      </c>
    </row>
    <row r="969" spans="1:15" x14ac:dyDescent="0.3">
      <c r="A969" t="s">
        <v>982</v>
      </c>
      <c r="B969">
        <v>4</v>
      </c>
      <c r="C969">
        <v>39</v>
      </c>
      <c r="D969" t="s">
        <v>5015</v>
      </c>
      <c r="E969" t="s">
        <v>5018</v>
      </c>
      <c r="F969" t="s">
        <v>5022</v>
      </c>
      <c r="G969">
        <v>13.64</v>
      </c>
      <c r="H969">
        <v>5</v>
      </c>
      <c r="I969">
        <v>4.7</v>
      </c>
      <c r="J969">
        <v>22.12</v>
      </c>
      <c r="K969">
        <v>15.6</v>
      </c>
      <c r="L969" t="s">
        <v>5025</v>
      </c>
      <c r="M969">
        <v>1</v>
      </c>
      <c r="N969">
        <v>0</v>
      </c>
      <c r="O969">
        <v>0</v>
      </c>
    </row>
    <row r="970" spans="1:15" x14ac:dyDescent="0.3">
      <c r="A970" t="s">
        <v>983</v>
      </c>
      <c r="B970">
        <v>10</v>
      </c>
      <c r="C970">
        <v>23</v>
      </c>
      <c r="D970" t="s">
        <v>5015</v>
      </c>
      <c r="E970" t="s">
        <v>5019</v>
      </c>
      <c r="F970" t="s">
        <v>5023</v>
      </c>
      <c r="G970">
        <v>20.23</v>
      </c>
      <c r="H970">
        <v>3</v>
      </c>
      <c r="I970">
        <v>7.7</v>
      </c>
      <c r="J970">
        <v>9.7200000000000006</v>
      </c>
      <c r="K970">
        <v>61.1</v>
      </c>
      <c r="L970" t="s">
        <v>5025</v>
      </c>
      <c r="M970">
        <v>9</v>
      </c>
      <c r="N970">
        <v>1</v>
      </c>
      <c r="O970">
        <v>0</v>
      </c>
    </row>
    <row r="971" spans="1:15" x14ac:dyDescent="0.3">
      <c r="A971" t="s">
        <v>984</v>
      </c>
      <c r="B971">
        <v>3</v>
      </c>
      <c r="C971">
        <v>52</v>
      </c>
      <c r="D971" t="s">
        <v>5015</v>
      </c>
      <c r="E971" t="s">
        <v>5019</v>
      </c>
      <c r="F971" t="s">
        <v>5023</v>
      </c>
      <c r="G971">
        <v>21.43</v>
      </c>
      <c r="H971">
        <v>2</v>
      </c>
      <c r="I971">
        <v>9.1</v>
      </c>
      <c r="J971">
        <v>10.48</v>
      </c>
      <c r="K971">
        <v>68.7</v>
      </c>
      <c r="L971" t="s">
        <v>5026</v>
      </c>
      <c r="M971">
        <v>11</v>
      </c>
      <c r="N971">
        <v>2</v>
      </c>
      <c r="O971">
        <v>0</v>
      </c>
    </row>
    <row r="972" spans="1:15" x14ac:dyDescent="0.3">
      <c r="A972" t="s">
        <v>985</v>
      </c>
      <c r="B972">
        <v>9</v>
      </c>
      <c r="C972">
        <v>39</v>
      </c>
      <c r="D972" t="s">
        <v>5015</v>
      </c>
      <c r="E972" t="s">
        <v>5018</v>
      </c>
      <c r="F972" t="s">
        <v>5022</v>
      </c>
      <c r="G972">
        <v>18.440000000000001</v>
      </c>
      <c r="H972">
        <v>2</v>
      </c>
      <c r="I972">
        <v>2.6</v>
      </c>
      <c r="J972">
        <v>15.33</v>
      </c>
      <c r="K972">
        <v>23.3</v>
      </c>
      <c r="L972" t="s">
        <v>5025</v>
      </c>
      <c r="M972">
        <v>4</v>
      </c>
      <c r="N972">
        <v>1</v>
      </c>
      <c r="O972">
        <v>1</v>
      </c>
    </row>
    <row r="973" spans="1:15" x14ac:dyDescent="0.3">
      <c r="A973" t="s">
        <v>986</v>
      </c>
      <c r="B973">
        <v>2</v>
      </c>
      <c r="C973">
        <v>18</v>
      </c>
      <c r="D973" t="s">
        <v>5016</v>
      </c>
      <c r="E973" t="s">
        <v>5017</v>
      </c>
      <c r="F973" t="s">
        <v>5020</v>
      </c>
      <c r="G973">
        <v>14.83</v>
      </c>
      <c r="H973">
        <v>1</v>
      </c>
      <c r="I973">
        <v>2.8</v>
      </c>
      <c r="J973">
        <v>5.27</v>
      </c>
      <c r="K973">
        <v>54</v>
      </c>
      <c r="L973" t="s">
        <v>5028</v>
      </c>
      <c r="M973">
        <v>9</v>
      </c>
      <c r="N973">
        <v>1</v>
      </c>
      <c r="O973">
        <v>1</v>
      </c>
    </row>
    <row r="974" spans="1:15" x14ac:dyDescent="0.3">
      <c r="A974" t="s">
        <v>987</v>
      </c>
      <c r="B974">
        <v>4</v>
      </c>
      <c r="C974">
        <v>37</v>
      </c>
      <c r="D974" t="s">
        <v>5016</v>
      </c>
      <c r="E974" t="s">
        <v>5018</v>
      </c>
      <c r="F974" t="s">
        <v>5022</v>
      </c>
      <c r="G974">
        <v>20.65</v>
      </c>
      <c r="H974">
        <v>2</v>
      </c>
      <c r="I974">
        <v>4.7</v>
      </c>
      <c r="J974">
        <v>23.29</v>
      </c>
      <c r="K974">
        <v>96.7</v>
      </c>
      <c r="L974" t="s">
        <v>5028</v>
      </c>
      <c r="M974">
        <v>2</v>
      </c>
      <c r="N974">
        <v>4</v>
      </c>
      <c r="O974">
        <v>0</v>
      </c>
    </row>
    <row r="975" spans="1:15" x14ac:dyDescent="0.3">
      <c r="A975" t="s">
        <v>988</v>
      </c>
      <c r="B975">
        <v>6</v>
      </c>
      <c r="C975">
        <v>39</v>
      </c>
      <c r="D975" t="s">
        <v>5016</v>
      </c>
      <c r="E975" t="s">
        <v>5017</v>
      </c>
      <c r="F975" t="s">
        <v>5022</v>
      </c>
      <c r="G975">
        <v>14.89</v>
      </c>
      <c r="H975">
        <v>4</v>
      </c>
      <c r="I975">
        <v>2.5</v>
      </c>
      <c r="J975">
        <v>21.05</v>
      </c>
      <c r="K975">
        <v>85.3</v>
      </c>
      <c r="L975" t="s">
        <v>5029</v>
      </c>
      <c r="M975">
        <v>2</v>
      </c>
      <c r="N975">
        <v>2</v>
      </c>
      <c r="O975">
        <v>0</v>
      </c>
    </row>
    <row r="976" spans="1:15" x14ac:dyDescent="0.3">
      <c r="A976" t="s">
        <v>989</v>
      </c>
      <c r="B976">
        <v>2</v>
      </c>
      <c r="C976">
        <v>65</v>
      </c>
      <c r="D976" t="s">
        <v>5016</v>
      </c>
      <c r="E976" t="s">
        <v>5019</v>
      </c>
      <c r="F976" t="s">
        <v>5023</v>
      </c>
      <c r="G976">
        <v>7.23</v>
      </c>
      <c r="H976">
        <v>5</v>
      </c>
      <c r="I976">
        <v>4.2</v>
      </c>
      <c r="J976">
        <v>17.75</v>
      </c>
      <c r="K976">
        <v>75.099999999999994</v>
      </c>
      <c r="L976" t="s">
        <v>5025</v>
      </c>
      <c r="M976">
        <v>4</v>
      </c>
      <c r="N976">
        <v>4</v>
      </c>
      <c r="O976">
        <v>0</v>
      </c>
    </row>
    <row r="977" spans="1:15" x14ac:dyDescent="0.3">
      <c r="A977" t="s">
        <v>990</v>
      </c>
      <c r="B977">
        <v>8</v>
      </c>
      <c r="C977">
        <v>28</v>
      </c>
      <c r="D977" t="s">
        <v>5015</v>
      </c>
      <c r="E977" t="s">
        <v>5017</v>
      </c>
      <c r="F977" t="s">
        <v>5022</v>
      </c>
      <c r="G977">
        <v>7.33</v>
      </c>
      <c r="H977">
        <v>4</v>
      </c>
      <c r="I977">
        <v>6.8</v>
      </c>
      <c r="J977">
        <v>24.74</v>
      </c>
      <c r="K977">
        <v>56.6</v>
      </c>
      <c r="L977" t="s">
        <v>5025</v>
      </c>
      <c r="M977">
        <v>4</v>
      </c>
      <c r="N977">
        <v>4</v>
      </c>
      <c r="O977">
        <v>0</v>
      </c>
    </row>
    <row r="978" spans="1:15" x14ac:dyDescent="0.3">
      <c r="A978" t="s">
        <v>991</v>
      </c>
      <c r="B978">
        <v>8</v>
      </c>
      <c r="C978">
        <v>30</v>
      </c>
      <c r="D978" t="s">
        <v>5016</v>
      </c>
      <c r="E978" t="s">
        <v>5017</v>
      </c>
      <c r="F978" t="s">
        <v>5024</v>
      </c>
      <c r="G978">
        <v>23.97</v>
      </c>
      <c r="H978">
        <v>4</v>
      </c>
      <c r="I978">
        <v>8.3000000000000007</v>
      </c>
      <c r="J978">
        <v>3.35</v>
      </c>
      <c r="K978">
        <v>45.5</v>
      </c>
      <c r="L978" t="s">
        <v>5028</v>
      </c>
      <c r="M978">
        <v>5</v>
      </c>
      <c r="N978">
        <v>1</v>
      </c>
      <c r="O978">
        <v>0</v>
      </c>
    </row>
    <row r="979" spans="1:15" x14ac:dyDescent="0.3">
      <c r="A979" t="s">
        <v>992</v>
      </c>
      <c r="B979">
        <v>1</v>
      </c>
      <c r="C979">
        <v>59</v>
      </c>
      <c r="D979" t="s">
        <v>5015</v>
      </c>
      <c r="E979" t="s">
        <v>5018</v>
      </c>
      <c r="F979" t="s">
        <v>5024</v>
      </c>
      <c r="G979">
        <v>9.27</v>
      </c>
      <c r="H979">
        <v>5</v>
      </c>
      <c r="I979">
        <v>3.7</v>
      </c>
      <c r="J979">
        <v>12.04</v>
      </c>
      <c r="K979">
        <v>50.6</v>
      </c>
      <c r="L979" t="s">
        <v>5029</v>
      </c>
      <c r="M979">
        <v>11</v>
      </c>
      <c r="N979">
        <v>3</v>
      </c>
      <c r="O979">
        <v>1</v>
      </c>
    </row>
    <row r="980" spans="1:15" x14ac:dyDescent="0.3">
      <c r="A980" t="s">
        <v>993</v>
      </c>
      <c r="B980">
        <v>12</v>
      </c>
      <c r="C980">
        <v>20</v>
      </c>
      <c r="D980" t="s">
        <v>5016</v>
      </c>
      <c r="E980" t="s">
        <v>5017</v>
      </c>
      <c r="F980" t="s">
        <v>5023</v>
      </c>
      <c r="G980">
        <v>21.32</v>
      </c>
      <c r="H980">
        <v>4</v>
      </c>
      <c r="I980">
        <v>3.5</v>
      </c>
      <c r="J980">
        <v>21.88</v>
      </c>
      <c r="K980">
        <v>78.8</v>
      </c>
      <c r="L980" t="s">
        <v>5029</v>
      </c>
      <c r="M980">
        <v>1</v>
      </c>
      <c r="N980">
        <v>1</v>
      </c>
      <c r="O980">
        <v>0</v>
      </c>
    </row>
    <row r="981" spans="1:15" x14ac:dyDescent="0.3">
      <c r="A981" t="s">
        <v>994</v>
      </c>
      <c r="B981">
        <v>3</v>
      </c>
      <c r="C981">
        <v>26</v>
      </c>
      <c r="D981" t="s">
        <v>5015</v>
      </c>
      <c r="E981" t="s">
        <v>5017</v>
      </c>
      <c r="F981" t="s">
        <v>5020</v>
      </c>
      <c r="G981">
        <v>9.93</v>
      </c>
      <c r="H981">
        <v>4</v>
      </c>
      <c r="I981">
        <v>8</v>
      </c>
      <c r="J981">
        <v>12.53</v>
      </c>
      <c r="K981">
        <v>59.9</v>
      </c>
      <c r="L981" t="s">
        <v>5028</v>
      </c>
      <c r="M981">
        <v>5</v>
      </c>
      <c r="N981">
        <v>1</v>
      </c>
      <c r="O981">
        <v>0</v>
      </c>
    </row>
    <row r="982" spans="1:15" x14ac:dyDescent="0.3">
      <c r="A982" t="s">
        <v>995</v>
      </c>
      <c r="B982">
        <v>10</v>
      </c>
      <c r="C982">
        <v>29</v>
      </c>
      <c r="D982" t="s">
        <v>5015</v>
      </c>
      <c r="E982" t="s">
        <v>5018</v>
      </c>
      <c r="F982" t="s">
        <v>5020</v>
      </c>
      <c r="G982">
        <v>13.62</v>
      </c>
      <c r="H982">
        <v>4</v>
      </c>
      <c r="I982">
        <v>4.4000000000000004</v>
      </c>
      <c r="J982">
        <v>3.12</v>
      </c>
      <c r="K982">
        <v>78.8</v>
      </c>
      <c r="L982" t="s">
        <v>5028</v>
      </c>
      <c r="M982">
        <v>10</v>
      </c>
      <c r="N982">
        <v>0</v>
      </c>
      <c r="O982">
        <v>1</v>
      </c>
    </row>
    <row r="983" spans="1:15" x14ac:dyDescent="0.3">
      <c r="A983" t="s">
        <v>996</v>
      </c>
      <c r="B983">
        <v>9</v>
      </c>
      <c r="C983">
        <v>40</v>
      </c>
      <c r="D983" t="s">
        <v>5016</v>
      </c>
      <c r="E983" t="s">
        <v>5017</v>
      </c>
      <c r="F983" t="s">
        <v>5023</v>
      </c>
      <c r="G983">
        <v>18.100000000000001</v>
      </c>
      <c r="H983">
        <v>2</v>
      </c>
      <c r="I983">
        <v>8.4</v>
      </c>
      <c r="J983">
        <v>6.47</v>
      </c>
      <c r="K983">
        <v>97.3</v>
      </c>
      <c r="L983" t="s">
        <v>5026</v>
      </c>
      <c r="M983">
        <v>2</v>
      </c>
      <c r="N983">
        <v>3</v>
      </c>
      <c r="O983">
        <v>1</v>
      </c>
    </row>
    <row r="984" spans="1:15" x14ac:dyDescent="0.3">
      <c r="A984" t="s">
        <v>997</v>
      </c>
      <c r="B984">
        <v>5</v>
      </c>
      <c r="C984">
        <v>31</v>
      </c>
      <c r="D984" t="s">
        <v>5016</v>
      </c>
      <c r="E984" t="s">
        <v>5017</v>
      </c>
      <c r="F984" t="s">
        <v>5020</v>
      </c>
      <c r="G984">
        <v>8.18</v>
      </c>
      <c r="H984">
        <v>5</v>
      </c>
      <c r="I984">
        <v>9.9</v>
      </c>
      <c r="J984">
        <v>12.55</v>
      </c>
      <c r="K984">
        <v>67.599999999999994</v>
      </c>
      <c r="L984" t="s">
        <v>5029</v>
      </c>
      <c r="M984">
        <v>5</v>
      </c>
      <c r="N984">
        <v>1</v>
      </c>
      <c r="O984">
        <v>0</v>
      </c>
    </row>
    <row r="985" spans="1:15" x14ac:dyDescent="0.3">
      <c r="A985" t="s">
        <v>998</v>
      </c>
      <c r="B985">
        <v>6</v>
      </c>
      <c r="C985">
        <v>50</v>
      </c>
      <c r="D985" t="s">
        <v>5015</v>
      </c>
      <c r="E985" t="s">
        <v>5018</v>
      </c>
      <c r="F985" t="s">
        <v>5021</v>
      </c>
      <c r="G985">
        <v>19.739999999999998</v>
      </c>
      <c r="H985">
        <v>5</v>
      </c>
      <c r="I985">
        <v>9.8000000000000007</v>
      </c>
      <c r="J985">
        <v>17.690000000000001</v>
      </c>
      <c r="K985">
        <v>64.3</v>
      </c>
      <c r="L985" t="s">
        <v>5029</v>
      </c>
      <c r="M985">
        <v>10</v>
      </c>
      <c r="N985">
        <v>3</v>
      </c>
      <c r="O985">
        <v>0</v>
      </c>
    </row>
    <row r="986" spans="1:15" x14ac:dyDescent="0.3">
      <c r="A986" t="s">
        <v>999</v>
      </c>
      <c r="B986">
        <v>4</v>
      </c>
      <c r="C986">
        <v>35</v>
      </c>
      <c r="D986" t="s">
        <v>5015</v>
      </c>
      <c r="E986" t="s">
        <v>5019</v>
      </c>
      <c r="F986" t="s">
        <v>5024</v>
      </c>
      <c r="G986">
        <v>18.8</v>
      </c>
      <c r="H986">
        <v>5</v>
      </c>
      <c r="I986">
        <v>7</v>
      </c>
      <c r="J986">
        <v>6.58</v>
      </c>
      <c r="K986">
        <v>46.6</v>
      </c>
      <c r="L986" t="s">
        <v>5026</v>
      </c>
      <c r="M986">
        <v>10</v>
      </c>
      <c r="N986">
        <v>0</v>
      </c>
      <c r="O986">
        <v>0</v>
      </c>
    </row>
    <row r="987" spans="1:15" x14ac:dyDescent="0.3">
      <c r="A987" t="s">
        <v>1000</v>
      </c>
      <c r="B987">
        <v>10</v>
      </c>
      <c r="C987">
        <v>66</v>
      </c>
      <c r="D987" t="s">
        <v>5015</v>
      </c>
      <c r="E987" t="s">
        <v>5018</v>
      </c>
      <c r="F987" t="s">
        <v>5021</v>
      </c>
      <c r="G987">
        <v>15.86</v>
      </c>
      <c r="H987">
        <v>4</v>
      </c>
      <c r="I987">
        <v>4.4000000000000004</v>
      </c>
      <c r="J987">
        <v>12.86</v>
      </c>
      <c r="K987">
        <v>27.7</v>
      </c>
      <c r="L987" t="s">
        <v>5028</v>
      </c>
      <c r="M987">
        <v>6</v>
      </c>
      <c r="N987">
        <v>3</v>
      </c>
      <c r="O987">
        <v>1</v>
      </c>
    </row>
    <row r="988" spans="1:15" x14ac:dyDescent="0.3">
      <c r="A988" t="s">
        <v>1001</v>
      </c>
      <c r="B988">
        <v>2</v>
      </c>
      <c r="C988">
        <v>58</v>
      </c>
      <c r="D988" t="s">
        <v>5016</v>
      </c>
      <c r="E988" t="s">
        <v>5018</v>
      </c>
      <c r="F988" t="s">
        <v>5021</v>
      </c>
      <c r="G988">
        <v>16.32</v>
      </c>
      <c r="H988">
        <v>2</v>
      </c>
      <c r="I988">
        <v>1.6</v>
      </c>
      <c r="J988">
        <v>3.28</v>
      </c>
      <c r="K988">
        <v>43.7</v>
      </c>
      <c r="L988" t="s">
        <v>5026</v>
      </c>
      <c r="M988">
        <v>3</v>
      </c>
      <c r="N988">
        <v>2</v>
      </c>
      <c r="O988">
        <v>0</v>
      </c>
    </row>
    <row r="989" spans="1:15" x14ac:dyDescent="0.3">
      <c r="A989" t="s">
        <v>1002</v>
      </c>
      <c r="B989">
        <v>11</v>
      </c>
      <c r="C989">
        <v>26</v>
      </c>
      <c r="D989" t="s">
        <v>5016</v>
      </c>
      <c r="E989" t="s">
        <v>5018</v>
      </c>
      <c r="F989" t="s">
        <v>5021</v>
      </c>
      <c r="G989">
        <v>7.12</v>
      </c>
      <c r="H989">
        <v>5</v>
      </c>
      <c r="I989">
        <v>7.6</v>
      </c>
      <c r="J989">
        <v>13.51</v>
      </c>
      <c r="K989">
        <v>56.8</v>
      </c>
      <c r="L989" t="s">
        <v>5026</v>
      </c>
      <c r="M989">
        <v>4</v>
      </c>
      <c r="N989">
        <v>0</v>
      </c>
      <c r="O989">
        <v>0</v>
      </c>
    </row>
    <row r="990" spans="1:15" x14ac:dyDescent="0.3">
      <c r="A990" t="s">
        <v>1003</v>
      </c>
      <c r="B990">
        <v>8</v>
      </c>
      <c r="C990">
        <v>40</v>
      </c>
      <c r="D990" t="s">
        <v>5015</v>
      </c>
      <c r="E990" t="s">
        <v>5018</v>
      </c>
      <c r="F990" t="s">
        <v>5023</v>
      </c>
      <c r="G990">
        <v>13.72</v>
      </c>
      <c r="H990">
        <v>3</v>
      </c>
      <c r="I990">
        <v>9.8000000000000007</v>
      </c>
      <c r="J990">
        <v>22.71</v>
      </c>
      <c r="K990">
        <v>13.1</v>
      </c>
      <c r="L990" t="s">
        <v>5027</v>
      </c>
      <c r="M990">
        <v>5</v>
      </c>
      <c r="N990">
        <v>3</v>
      </c>
      <c r="O990">
        <v>0</v>
      </c>
    </row>
    <row r="991" spans="1:15" x14ac:dyDescent="0.3">
      <c r="A991" t="s">
        <v>1004</v>
      </c>
      <c r="B991">
        <v>11</v>
      </c>
      <c r="C991">
        <v>27</v>
      </c>
      <c r="D991" t="s">
        <v>5016</v>
      </c>
      <c r="E991" t="s">
        <v>5019</v>
      </c>
      <c r="F991" t="s">
        <v>5021</v>
      </c>
      <c r="G991">
        <v>6.73</v>
      </c>
      <c r="H991">
        <v>5</v>
      </c>
      <c r="I991">
        <v>1.6</v>
      </c>
      <c r="J991">
        <v>16.13</v>
      </c>
      <c r="K991">
        <v>52.8</v>
      </c>
      <c r="L991" t="s">
        <v>5029</v>
      </c>
      <c r="M991">
        <v>6</v>
      </c>
      <c r="N991">
        <v>4</v>
      </c>
      <c r="O991">
        <v>0</v>
      </c>
    </row>
    <row r="992" spans="1:15" x14ac:dyDescent="0.3">
      <c r="A992" t="s">
        <v>1005</v>
      </c>
      <c r="B992">
        <v>6</v>
      </c>
      <c r="C992">
        <v>36</v>
      </c>
      <c r="D992" t="s">
        <v>5015</v>
      </c>
      <c r="E992" t="s">
        <v>5017</v>
      </c>
      <c r="F992" t="s">
        <v>5022</v>
      </c>
      <c r="G992">
        <v>11.16</v>
      </c>
      <c r="H992">
        <v>1</v>
      </c>
      <c r="I992">
        <v>1.1000000000000001</v>
      </c>
      <c r="J992">
        <v>12.69</v>
      </c>
      <c r="K992">
        <v>87.6</v>
      </c>
      <c r="L992" t="s">
        <v>5028</v>
      </c>
      <c r="M992">
        <v>9</v>
      </c>
      <c r="N992">
        <v>3</v>
      </c>
      <c r="O992">
        <v>0</v>
      </c>
    </row>
    <row r="993" spans="1:15" x14ac:dyDescent="0.3">
      <c r="A993" t="s">
        <v>1006</v>
      </c>
      <c r="B993">
        <v>5</v>
      </c>
      <c r="C993">
        <v>64</v>
      </c>
      <c r="D993" t="s">
        <v>5016</v>
      </c>
      <c r="E993" t="s">
        <v>5018</v>
      </c>
      <c r="F993" t="s">
        <v>5020</v>
      </c>
      <c r="G993">
        <v>23.01</v>
      </c>
      <c r="H993">
        <v>3</v>
      </c>
      <c r="I993">
        <v>8.5</v>
      </c>
      <c r="J993">
        <v>6.57</v>
      </c>
      <c r="K993">
        <v>97.9</v>
      </c>
      <c r="L993" t="s">
        <v>5027</v>
      </c>
      <c r="M993">
        <v>9</v>
      </c>
      <c r="N993">
        <v>0</v>
      </c>
      <c r="O993">
        <v>1</v>
      </c>
    </row>
    <row r="994" spans="1:15" x14ac:dyDescent="0.3">
      <c r="A994" t="s">
        <v>1007</v>
      </c>
      <c r="B994">
        <v>9</v>
      </c>
      <c r="C994">
        <v>22</v>
      </c>
      <c r="D994" t="s">
        <v>5016</v>
      </c>
      <c r="E994" t="s">
        <v>5019</v>
      </c>
      <c r="F994" t="s">
        <v>5023</v>
      </c>
      <c r="G994">
        <v>16.489999999999998</v>
      </c>
      <c r="H994">
        <v>5</v>
      </c>
      <c r="I994">
        <v>1.9</v>
      </c>
      <c r="J994">
        <v>7.45</v>
      </c>
      <c r="K994">
        <v>87</v>
      </c>
      <c r="L994" t="s">
        <v>5027</v>
      </c>
      <c r="M994">
        <v>6</v>
      </c>
      <c r="N994">
        <v>4</v>
      </c>
      <c r="O994">
        <v>0</v>
      </c>
    </row>
    <row r="995" spans="1:15" x14ac:dyDescent="0.3">
      <c r="A995" t="s">
        <v>1008</v>
      </c>
      <c r="B995">
        <v>1</v>
      </c>
      <c r="C995">
        <v>64</v>
      </c>
      <c r="D995" t="s">
        <v>5016</v>
      </c>
      <c r="E995" t="s">
        <v>5019</v>
      </c>
      <c r="F995" t="s">
        <v>5022</v>
      </c>
      <c r="G995">
        <v>19.850000000000001</v>
      </c>
      <c r="H995">
        <v>4</v>
      </c>
      <c r="I995">
        <v>1.7</v>
      </c>
      <c r="J995">
        <v>4.68</v>
      </c>
      <c r="K995">
        <v>25.5</v>
      </c>
      <c r="L995" t="s">
        <v>5027</v>
      </c>
      <c r="M995">
        <v>1</v>
      </c>
      <c r="N995">
        <v>3</v>
      </c>
      <c r="O995">
        <v>0</v>
      </c>
    </row>
    <row r="996" spans="1:15" x14ac:dyDescent="0.3">
      <c r="A996" t="s">
        <v>1009</v>
      </c>
      <c r="B996">
        <v>5</v>
      </c>
      <c r="C996">
        <v>69</v>
      </c>
      <c r="D996" t="s">
        <v>5016</v>
      </c>
      <c r="E996" t="s">
        <v>5017</v>
      </c>
      <c r="F996" t="s">
        <v>5022</v>
      </c>
      <c r="G996">
        <v>16.48</v>
      </c>
      <c r="H996">
        <v>5</v>
      </c>
      <c r="I996">
        <v>9.1999999999999993</v>
      </c>
      <c r="J996">
        <v>19.329999999999998</v>
      </c>
      <c r="K996">
        <v>24</v>
      </c>
      <c r="L996" t="s">
        <v>5028</v>
      </c>
      <c r="M996">
        <v>6</v>
      </c>
      <c r="N996">
        <v>3</v>
      </c>
      <c r="O996">
        <v>0</v>
      </c>
    </row>
    <row r="997" spans="1:15" x14ac:dyDescent="0.3">
      <c r="A997" t="s">
        <v>1010</v>
      </c>
      <c r="B997">
        <v>6</v>
      </c>
      <c r="C997">
        <v>40</v>
      </c>
      <c r="D997" t="s">
        <v>5016</v>
      </c>
      <c r="E997" t="s">
        <v>5017</v>
      </c>
      <c r="F997" t="s">
        <v>5024</v>
      </c>
      <c r="G997">
        <v>8.8800000000000008</v>
      </c>
      <c r="H997">
        <v>2</v>
      </c>
      <c r="I997">
        <v>1.7</v>
      </c>
      <c r="J997">
        <v>4.7</v>
      </c>
      <c r="K997">
        <v>45.4</v>
      </c>
      <c r="L997" t="s">
        <v>5026</v>
      </c>
      <c r="M997">
        <v>10</v>
      </c>
      <c r="N997">
        <v>0</v>
      </c>
      <c r="O997">
        <v>1</v>
      </c>
    </row>
    <row r="998" spans="1:15" x14ac:dyDescent="0.3">
      <c r="A998" t="s">
        <v>1011</v>
      </c>
      <c r="B998">
        <v>5</v>
      </c>
      <c r="C998">
        <v>47</v>
      </c>
      <c r="D998" t="s">
        <v>5015</v>
      </c>
      <c r="E998" t="s">
        <v>5019</v>
      </c>
      <c r="F998" t="s">
        <v>5024</v>
      </c>
      <c r="G998">
        <v>16.899999999999999</v>
      </c>
      <c r="H998">
        <v>2</v>
      </c>
      <c r="I998">
        <v>2</v>
      </c>
      <c r="J998">
        <v>11.45</v>
      </c>
      <c r="K998">
        <v>30.3</v>
      </c>
      <c r="L998" t="s">
        <v>5028</v>
      </c>
      <c r="M998">
        <v>3</v>
      </c>
      <c r="N998">
        <v>4</v>
      </c>
      <c r="O998">
        <v>0</v>
      </c>
    </row>
    <row r="999" spans="1:15" x14ac:dyDescent="0.3">
      <c r="A999" t="s">
        <v>1012</v>
      </c>
      <c r="B999">
        <v>6</v>
      </c>
      <c r="C999">
        <v>42</v>
      </c>
      <c r="D999" t="s">
        <v>5015</v>
      </c>
      <c r="E999" t="s">
        <v>5017</v>
      </c>
      <c r="F999" t="s">
        <v>5022</v>
      </c>
      <c r="G999">
        <v>20.11</v>
      </c>
      <c r="H999">
        <v>5</v>
      </c>
      <c r="I999">
        <v>6.1</v>
      </c>
      <c r="J999">
        <v>19.5</v>
      </c>
      <c r="K999">
        <v>70.8</v>
      </c>
      <c r="L999" t="s">
        <v>5029</v>
      </c>
      <c r="M999">
        <v>5</v>
      </c>
      <c r="N999">
        <v>4</v>
      </c>
      <c r="O999">
        <v>0</v>
      </c>
    </row>
    <row r="1000" spans="1:15" x14ac:dyDescent="0.3">
      <c r="A1000" t="s">
        <v>1013</v>
      </c>
      <c r="B1000">
        <v>6</v>
      </c>
      <c r="C1000">
        <v>45</v>
      </c>
      <c r="D1000" t="s">
        <v>5016</v>
      </c>
      <c r="E1000" t="s">
        <v>5019</v>
      </c>
      <c r="F1000" t="s">
        <v>5024</v>
      </c>
      <c r="G1000">
        <v>7.77</v>
      </c>
      <c r="H1000">
        <v>4</v>
      </c>
      <c r="I1000">
        <v>7.8</v>
      </c>
      <c r="J1000">
        <v>18.68</v>
      </c>
      <c r="K1000">
        <v>17.600000000000001</v>
      </c>
      <c r="L1000" t="s">
        <v>5029</v>
      </c>
      <c r="M1000">
        <v>5</v>
      </c>
      <c r="N1000">
        <v>3</v>
      </c>
      <c r="O1000">
        <v>0</v>
      </c>
    </row>
    <row r="1001" spans="1:15" x14ac:dyDescent="0.3">
      <c r="A1001" t="s">
        <v>1014</v>
      </c>
      <c r="B1001">
        <v>7</v>
      </c>
      <c r="C1001">
        <v>51</v>
      </c>
      <c r="D1001" t="s">
        <v>5015</v>
      </c>
      <c r="E1001" t="s">
        <v>5019</v>
      </c>
      <c r="F1001" t="s">
        <v>5020</v>
      </c>
      <c r="G1001">
        <v>21.34</v>
      </c>
      <c r="H1001">
        <v>4</v>
      </c>
      <c r="I1001">
        <v>4.5999999999999996</v>
      </c>
      <c r="J1001">
        <v>15.71</v>
      </c>
      <c r="K1001">
        <v>49.9</v>
      </c>
      <c r="L1001" t="s">
        <v>5026</v>
      </c>
      <c r="M1001">
        <v>10</v>
      </c>
      <c r="N1001">
        <v>2</v>
      </c>
      <c r="O1001">
        <v>1</v>
      </c>
    </row>
    <row r="1002" spans="1:15" x14ac:dyDescent="0.3">
      <c r="A1002" t="s">
        <v>1015</v>
      </c>
      <c r="B1002">
        <v>4</v>
      </c>
      <c r="C1002">
        <v>62</v>
      </c>
      <c r="D1002" t="s">
        <v>5015</v>
      </c>
      <c r="E1002" t="s">
        <v>5019</v>
      </c>
      <c r="F1002" t="s">
        <v>5020</v>
      </c>
      <c r="G1002">
        <v>16.11</v>
      </c>
      <c r="H1002">
        <v>4</v>
      </c>
      <c r="I1002">
        <v>4.8</v>
      </c>
      <c r="J1002">
        <v>15.57</v>
      </c>
      <c r="K1002">
        <v>35.200000000000003</v>
      </c>
      <c r="L1002" t="s">
        <v>5028</v>
      </c>
      <c r="M1002">
        <v>4</v>
      </c>
      <c r="N1002">
        <v>0</v>
      </c>
      <c r="O1002">
        <v>0</v>
      </c>
    </row>
    <row r="1003" spans="1:15" x14ac:dyDescent="0.3">
      <c r="A1003" t="s">
        <v>1016</v>
      </c>
      <c r="B1003">
        <v>11</v>
      </c>
      <c r="C1003">
        <v>65</v>
      </c>
      <c r="D1003" t="s">
        <v>5016</v>
      </c>
      <c r="E1003" t="s">
        <v>5017</v>
      </c>
      <c r="F1003" t="s">
        <v>5024</v>
      </c>
      <c r="G1003">
        <v>5.09</v>
      </c>
      <c r="H1003">
        <v>5</v>
      </c>
      <c r="I1003">
        <v>6.7</v>
      </c>
      <c r="J1003">
        <v>4.99</v>
      </c>
      <c r="K1003">
        <v>63.6</v>
      </c>
      <c r="L1003" t="s">
        <v>5026</v>
      </c>
      <c r="M1003">
        <v>3</v>
      </c>
      <c r="N1003">
        <v>0</v>
      </c>
      <c r="O1003">
        <v>0</v>
      </c>
    </row>
    <row r="1004" spans="1:15" x14ac:dyDescent="0.3">
      <c r="A1004" t="s">
        <v>1017</v>
      </c>
      <c r="B1004">
        <v>8</v>
      </c>
      <c r="C1004">
        <v>64</v>
      </c>
      <c r="D1004" t="s">
        <v>5015</v>
      </c>
      <c r="E1004" t="s">
        <v>5019</v>
      </c>
      <c r="F1004" t="s">
        <v>5021</v>
      </c>
      <c r="G1004">
        <v>15.4</v>
      </c>
      <c r="H1004">
        <v>5</v>
      </c>
      <c r="I1004">
        <v>5.5</v>
      </c>
      <c r="J1004">
        <v>6.85</v>
      </c>
      <c r="K1004">
        <v>81.7</v>
      </c>
      <c r="L1004" t="s">
        <v>5026</v>
      </c>
      <c r="M1004">
        <v>1</v>
      </c>
      <c r="N1004">
        <v>1</v>
      </c>
      <c r="O1004">
        <v>0</v>
      </c>
    </row>
    <row r="1005" spans="1:15" x14ac:dyDescent="0.3">
      <c r="A1005" t="s">
        <v>1018</v>
      </c>
      <c r="B1005">
        <v>7</v>
      </c>
      <c r="C1005">
        <v>42</v>
      </c>
      <c r="D1005" t="s">
        <v>5016</v>
      </c>
      <c r="E1005" t="s">
        <v>5018</v>
      </c>
      <c r="F1005" t="s">
        <v>5022</v>
      </c>
      <c r="G1005">
        <v>12.91</v>
      </c>
      <c r="H1005">
        <v>1</v>
      </c>
      <c r="I1005">
        <v>1.2</v>
      </c>
      <c r="J1005">
        <v>14.76</v>
      </c>
      <c r="K1005">
        <v>93.1</v>
      </c>
      <c r="L1005" t="s">
        <v>5028</v>
      </c>
      <c r="M1005">
        <v>7</v>
      </c>
      <c r="N1005">
        <v>4</v>
      </c>
      <c r="O1005">
        <v>0</v>
      </c>
    </row>
    <row r="1006" spans="1:15" x14ac:dyDescent="0.3">
      <c r="A1006" t="s">
        <v>1019</v>
      </c>
      <c r="B1006">
        <v>9</v>
      </c>
      <c r="C1006">
        <v>27</v>
      </c>
      <c r="D1006" t="s">
        <v>5015</v>
      </c>
      <c r="E1006" t="s">
        <v>5019</v>
      </c>
      <c r="F1006" t="s">
        <v>5020</v>
      </c>
      <c r="G1006">
        <v>10.93</v>
      </c>
      <c r="H1006">
        <v>2</v>
      </c>
      <c r="I1006">
        <v>2</v>
      </c>
      <c r="J1006">
        <v>10.66</v>
      </c>
      <c r="K1006">
        <v>96.7</v>
      </c>
      <c r="L1006" t="s">
        <v>5029</v>
      </c>
      <c r="M1006">
        <v>8</v>
      </c>
      <c r="N1006">
        <v>4</v>
      </c>
      <c r="O1006">
        <v>0</v>
      </c>
    </row>
    <row r="1007" spans="1:15" x14ac:dyDescent="0.3">
      <c r="A1007" t="s">
        <v>1020</v>
      </c>
      <c r="B1007">
        <v>7</v>
      </c>
      <c r="C1007">
        <v>31</v>
      </c>
      <c r="D1007" t="s">
        <v>5015</v>
      </c>
      <c r="E1007" t="s">
        <v>5017</v>
      </c>
      <c r="F1007" t="s">
        <v>5024</v>
      </c>
      <c r="G1007">
        <v>20.43</v>
      </c>
      <c r="H1007">
        <v>3</v>
      </c>
      <c r="I1007">
        <v>6.2</v>
      </c>
      <c r="J1007">
        <v>3.42</v>
      </c>
      <c r="K1007">
        <v>41.6</v>
      </c>
      <c r="L1007" t="s">
        <v>5028</v>
      </c>
      <c r="M1007">
        <v>5</v>
      </c>
      <c r="N1007">
        <v>1</v>
      </c>
      <c r="O1007">
        <v>0</v>
      </c>
    </row>
    <row r="1008" spans="1:15" x14ac:dyDescent="0.3">
      <c r="A1008" t="s">
        <v>1021</v>
      </c>
      <c r="B1008">
        <v>3</v>
      </c>
      <c r="C1008">
        <v>59</v>
      </c>
      <c r="D1008" t="s">
        <v>5015</v>
      </c>
      <c r="E1008" t="s">
        <v>5017</v>
      </c>
      <c r="F1008" t="s">
        <v>5024</v>
      </c>
      <c r="G1008">
        <v>22.99</v>
      </c>
      <c r="H1008">
        <v>3</v>
      </c>
      <c r="I1008">
        <v>8.1</v>
      </c>
      <c r="J1008">
        <v>20.56</v>
      </c>
      <c r="K1008">
        <v>87</v>
      </c>
      <c r="L1008" t="s">
        <v>5029</v>
      </c>
      <c r="M1008">
        <v>8</v>
      </c>
      <c r="N1008">
        <v>3</v>
      </c>
      <c r="O1008">
        <v>1</v>
      </c>
    </row>
    <row r="1009" spans="1:15" x14ac:dyDescent="0.3">
      <c r="A1009" t="s">
        <v>1022</v>
      </c>
      <c r="B1009">
        <v>3</v>
      </c>
      <c r="C1009">
        <v>63</v>
      </c>
      <c r="D1009" t="s">
        <v>5015</v>
      </c>
      <c r="E1009" t="s">
        <v>5018</v>
      </c>
      <c r="F1009" t="s">
        <v>5020</v>
      </c>
      <c r="G1009">
        <v>20.25</v>
      </c>
      <c r="H1009">
        <v>2</v>
      </c>
      <c r="I1009">
        <v>7.9</v>
      </c>
      <c r="J1009">
        <v>17.38</v>
      </c>
      <c r="K1009">
        <v>63.3</v>
      </c>
      <c r="L1009" t="s">
        <v>5025</v>
      </c>
      <c r="M1009">
        <v>4</v>
      </c>
      <c r="N1009">
        <v>3</v>
      </c>
      <c r="O1009">
        <v>0</v>
      </c>
    </row>
    <row r="1010" spans="1:15" x14ac:dyDescent="0.3">
      <c r="A1010" t="s">
        <v>1023</v>
      </c>
      <c r="B1010">
        <v>8</v>
      </c>
      <c r="C1010">
        <v>47</v>
      </c>
      <c r="D1010" t="s">
        <v>5015</v>
      </c>
      <c r="E1010" t="s">
        <v>5017</v>
      </c>
      <c r="F1010" t="s">
        <v>5020</v>
      </c>
      <c r="G1010">
        <v>21.94</v>
      </c>
      <c r="H1010">
        <v>1</v>
      </c>
      <c r="I1010">
        <v>7.7</v>
      </c>
      <c r="J1010">
        <v>10.17</v>
      </c>
      <c r="K1010">
        <v>72.3</v>
      </c>
      <c r="L1010" t="s">
        <v>5025</v>
      </c>
      <c r="M1010">
        <v>8</v>
      </c>
      <c r="N1010">
        <v>0</v>
      </c>
      <c r="O1010">
        <v>1</v>
      </c>
    </row>
    <row r="1011" spans="1:15" x14ac:dyDescent="0.3">
      <c r="A1011" t="s">
        <v>1024</v>
      </c>
      <c r="B1011">
        <v>5</v>
      </c>
      <c r="C1011">
        <v>58</v>
      </c>
      <c r="D1011" t="s">
        <v>5015</v>
      </c>
      <c r="E1011" t="s">
        <v>5018</v>
      </c>
      <c r="F1011" t="s">
        <v>5021</v>
      </c>
      <c r="G1011">
        <v>23.18</v>
      </c>
      <c r="H1011">
        <v>2</v>
      </c>
      <c r="I1011">
        <v>7.9</v>
      </c>
      <c r="J1011">
        <v>5.16</v>
      </c>
      <c r="K1011">
        <v>86.6</v>
      </c>
      <c r="L1011" t="s">
        <v>5025</v>
      </c>
      <c r="M1011">
        <v>3</v>
      </c>
      <c r="N1011">
        <v>3</v>
      </c>
      <c r="O1011">
        <v>0</v>
      </c>
    </row>
    <row r="1012" spans="1:15" x14ac:dyDescent="0.3">
      <c r="A1012" t="s">
        <v>1025</v>
      </c>
      <c r="B1012">
        <v>4</v>
      </c>
      <c r="C1012">
        <v>42</v>
      </c>
      <c r="D1012" t="s">
        <v>5015</v>
      </c>
      <c r="E1012" t="s">
        <v>5019</v>
      </c>
      <c r="F1012" t="s">
        <v>5024</v>
      </c>
      <c r="G1012">
        <v>23.25</v>
      </c>
      <c r="H1012">
        <v>1</v>
      </c>
      <c r="I1012">
        <v>1.4</v>
      </c>
      <c r="J1012">
        <v>16.010000000000002</v>
      </c>
      <c r="K1012">
        <v>21.7</v>
      </c>
      <c r="L1012" t="s">
        <v>5027</v>
      </c>
      <c r="M1012">
        <v>8</v>
      </c>
      <c r="N1012">
        <v>2</v>
      </c>
      <c r="O1012">
        <v>0</v>
      </c>
    </row>
    <row r="1013" spans="1:15" x14ac:dyDescent="0.3">
      <c r="A1013" t="s">
        <v>1026</v>
      </c>
      <c r="B1013">
        <v>8</v>
      </c>
      <c r="C1013">
        <v>31</v>
      </c>
      <c r="D1013" t="s">
        <v>5016</v>
      </c>
      <c r="E1013" t="s">
        <v>5018</v>
      </c>
      <c r="F1013" t="s">
        <v>5024</v>
      </c>
      <c r="G1013">
        <v>7.29</v>
      </c>
      <c r="H1013">
        <v>1</v>
      </c>
      <c r="I1013">
        <v>9.1</v>
      </c>
      <c r="J1013">
        <v>10.67</v>
      </c>
      <c r="K1013">
        <v>95.3</v>
      </c>
      <c r="L1013" t="s">
        <v>5029</v>
      </c>
      <c r="M1013">
        <v>6</v>
      </c>
      <c r="N1013">
        <v>2</v>
      </c>
      <c r="O1013">
        <v>1</v>
      </c>
    </row>
    <row r="1014" spans="1:15" x14ac:dyDescent="0.3">
      <c r="A1014" t="s">
        <v>1027</v>
      </c>
      <c r="B1014">
        <v>6</v>
      </c>
      <c r="C1014">
        <v>52</v>
      </c>
      <c r="D1014" t="s">
        <v>5016</v>
      </c>
      <c r="E1014" t="s">
        <v>5019</v>
      </c>
      <c r="F1014" t="s">
        <v>5023</v>
      </c>
      <c r="G1014">
        <v>14.13</v>
      </c>
      <c r="H1014">
        <v>4</v>
      </c>
      <c r="I1014">
        <v>9</v>
      </c>
      <c r="J1014">
        <v>8.6199999999999992</v>
      </c>
      <c r="K1014">
        <v>59.3</v>
      </c>
      <c r="L1014" t="s">
        <v>5029</v>
      </c>
      <c r="M1014">
        <v>9</v>
      </c>
      <c r="N1014">
        <v>2</v>
      </c>
      <c r="O1014">
        <v>0</v>
      </c>
    </row>
    <row r="1015" spans="1:15" x14ac:dyDescent="0.3">
      <c r="A1015" t="s">
        <v>1028</v>
      </c>
      <c r="B1015">
        <v>2</v>
      </c>
      <c r="C1015">
        <v>69</v>
      </c>
      <c r="D1015" t="s">
        <v>5016</v>
      </c>
      <c r="E1015" t="s">
        <v>5017</v>
      </c>
      <c r="F1015" t="s">
        <v>5021</v>
      </c>
      <c r="G1015">
        <v>5.01</v>
      </c>
      <c r="H1015">
        <v>2</v>
      </c>
      <c r="I1015">
        <v>5.8</v>
      </c>
      <c r="J1015">
        <v>18.87</v>
      </c>
      <c r="K1015">
        <v>40.200000000000003</v>
      </c>
      <c r="L1015" t="s">
        <v>5028</v>
      </c>
      <c r="M1015">
        <v>5</v>
      </c>
      <c r="N1015">
        <v>1</v>
      </c>
      <c r="O1015">
        <v>1</v>
      </c>
    </row>
    <row r="1016" spans="1:15" x14ac:dyDescent="0.3">
      <c r="A1016" t="s">
        <v>1029</v>
      </c>
      <c r="B1016">
        <v>4</v>
      </c>
      <c r="C1016">
        <v>65</v>
      </c>
      <c r="D1016" t="s">
        <v>5016</v>
      </c>
      <c r="E1016" t="s">
        <v>5017</v>
      </c>
      <c r="F1016" t="s">
        <v>5020</v>
      </c>
      <c r="G1016">
        <v>15.13</v>
      </c>
      <c r="H1016">
        <v>3</v>
      </c>
      <c r="I1016">
        <v>3.2</v>
      </c>
      <c r="J1016">
        <v>10.220000000000001</v>
      </c>
      <c r="K1016">
        <v>40.5</v>
      </c>
      <c r="L1016" t="s">
        <v>5029</v>
      </c>
      <c r="M1016">
        <v>1</v>
      </c>
      <c r="N1016">
        <v>2</v>
      </c>
      <c r="O1016">
        <v>1</v>
      </c>
    </row>
    <row r="1017" spans="1:15" x14ac:dyDescent="0.3">
      <c r="A1017" t="s">
        <v>1030</v>
      </c>
      <c r="B1017">
        <v>12</v>
      </c>
      <c r="C1017">
        <v>51</v>
      </c>
      <c r="D1017" t="s">
        <v>5015</v>
      </c>
      <c r="E1017" t="s">
        <v>5017</v>
      </c>
      <c r="F1017" t="s">
        <v>5020</v>
      </c>
      <c r="G1017">
        <v>23.48</v>
      </c>
      <c r="H1017">
        <v>5</v>
      </c>
      <c r="I1017">
        <v>6.3</v>
      </c>
      <c r="J1017">
        <v>5.99</v>
      </c>
      <c r="K1017">
        <v>77.599999999999994</v>
      </c>
      <c r="L1017" t="s">
        <v>5028</v>
      </c>
      <c r="M1017">
        <v>8</v>
      </c>
      <c r="N1017">
        <v>1</v>
      </c>
      <c r="O1017">
        <v>1</v>
      </c>
    </row>
    <row r="1018" spans="1:15" x14ac:dyDescent="0.3">
      <c r="A1018" t="s">
        <v>1031</v>
      </c>
      <c r="B1018">
        <v>11</v>
      </c>
      <c r="C1018">
        <v>27</v>
      </c>
      <c r="D1018" t="s">
        <v>5015</v>
      </c>
      <c r="E1018" t="s">
        <v>5018</v>
      </c>
      <c r="F1018" t="s">
        <v>5022</v>
      </c>
      <c r="G1018">
        <v>8.98</v>
      </c>
      <c r="H1018">
        <v>5</v>
      </c>
      <c r="I1018">
        <v>6</v>
      </c>
      <c r="J1018">
        <v>13.6</v>
      </c>
      <c r="K1018">
        <v>71.099999999999994</v>
      </c>
      <c r="L1018" t="s">
        <v>5027</v>
      </c>
      <c r="M1018">
        <v>11</v>
      </c>
      <c r="N1018">
        <v>0</v>
      </c>
      <c r="O1018">
        <v>0</v>
      </c>
    </row>
    <row r="1019" spans="1:15" x14ac:dyDescent="0.3">
      <c r="A1019" t="s">
        <v>1032</v>
      </c>
      <c r="B1019">
        <v>4</v>
      </c>
      <c r="C1019">
        <v>52</v>
      </c>
      <c r="D1019" t="s">
        <v>5015</v>
      </c>
      <c r="E1019" t="s">
        <v>5019</v>
      </c>
      <c r="F1019" t="s">
        <v>5020</v>
      </c>
      <c r="G1019">
        <v>17.8</v>
      </c>
      <c r="H1019">
        <v>2</v>
      </c>
      <c r="I1019">
        <v>3</v>
      </c>
      <c r="J1019">
        <v>21.23</v>
      </c>
      <c r="K1019">
        <v>75.7</v>
      </c>
      <c r="L1019" t="s">
        <v>5028</v>
      </c>
      <c r="M1019">
        <v>3</v>
      </c>
      <c r="N1019">
        <v>0</v>
      </c>
      <c r="O1019">
        <v>0</v>
      </c>
    </row>
    <row r="1020" spans="1:15" x14ac:dyDescent="0.3">
      <c r="A1020" t="s">
        <v>1033</v>
      </c>
      <c r="B1020">
        <v>6</v>
      </c>
      <c r="C1020">
        <v>28</v>
      </c>
      <c r="D1020" t="s">
        <v>5016</v>
      </c>
      <c r="E1020" t="s">
        <v>5017</v>
      </c>
      <c r="F1020" t="s">
        <v>5024</v>
      </c>
      <c r="G1020">
        <v>17.89</v>
      </c>
      <c r="H1020">
        <v>5</v>
      </c>
      <c r="I1020">
        <v>6.4</v>
      </c>
      <c r="J1020">
        <v>21.69</v>
      </c>
      <c r="K1020">
        <v>32.799999999999997</v>
      </c>
      <c r="L1020" t="s">
        <v>5025</v>
      </c>
      <c r="M1020">
        <v>11</v>
      </c>
      <c r="N1020">
        <v>2</v>
      </c>
      <c r="O1020">
        <v>0</v>
      </c>
    </row>
    <row r="1021" spans="1:15" x14ac:dyDescent="0.3">
      <c r="A1021" t="s">
        <v>1034</v>
      </c>
      <c r="B1021">
        <v>6</v>
      </c>
      <c r="C1021">
        <v>28</v>
      </c>
      <c r="D1021" t="s">
        <v>5016</v>
      </c>
      <c r="E1021" t="s">
        <v>5018</v>
      </c>
      <c r="F1021" t="s">
        <v>5020</v>
      </c>
      <c r="G1021">
        <v>8.2100000000000009</v>
      </c>
      <c r="H1021">
        <v>1</v>
      </c>
      <c r="I1021">
        <v>8.1999999999999993</v>
      </c>
      <c r="J1021">
        <v>21.69</v>
      </c>
      <c r="K1021">
        <v>25.3</v>
      </c>
      <c r="L1021" t="s">
        <v>5028</v>
      </c>
      <c r="M1021">
        <v>5</v>
      </c>
      <c r="N1021">
        <v>1</v>
      </c>
      <c r="O1021">
        <v>1</v>
      </c>
    </row>
    <row r="1022" spans="1:15" x14ac:dyDescent="0.3">
      <c r="A1022" t="s">
        <v>1035</v>
      </c>
      <c r="B1022">
        <v>1</v>
      </c>
      <c r="C1022">
        <v>38</v>
      </c>
      <c r="D1022" t="s">
        <v>5016</v>
      </c>
      <c r="E1022" t="s">
        <v>5018</v>
      </c>
      <c r="F1022" t="s">
        <v>5024</v>
      </c>
      <c r="G1022">
        <v>9.77</v>
      </c>
      <c r="H1022">
        <v>5</v>
      </c>
      <c r="I1022">
        <v>8.3000000000000007</v>
      </c>
      <c r="J1022">
        <v>12.26</v>
      </c>
      <c r="K1022">
        <v>75</v>
      </c>
      <c r="L1022" t="s">
        <v>5028</v>
      </c>
      <c r="M1022">
        <v>2</v>
      </c>
      <c r="N1022">
        <v>2</v>
      </c>
      <c r="O1022">
        <v>0</v>
      </c>
    </row>
    <row r="1023" spans="1:15" x14ac:dyDescent="0.3">
      <c r="A1023" t="s">
        <v>1036</v>
      </c>
      <c r="B1023">
        <v>8</v>
      </c>
      <c r="C1023">
        <v>38</v>
      </c>
      <c r="D1023" t="s">
        <v>5015</v>
      </c>
      <c r="E1023" t="s">
        <v>5019</v>
      </c>
      <c r="F1023" t="s">
        <v>5024</v>
      </c>
      <c r="G1023">
        <v>14.24</v>
      </c>
      <c r="H1023">
        <v>1</v>
      </c>
      <c r="I1023">
        <v>1.5</v>
      </c>
      <c r="J1023">
        <v>20.399999999999999</v>
      </c>
      <c r="K1023">
        <v>36.9</v>
      </c>
      <c r="L1023" t="s">
        <v>5028</v>
      </c>
      <c r="M1023">
        <v>7</v>
      </c>
      <c r="N1023">
        <v>3</v>
      </c>
      <c r="O1023">
        <v>0</v>
      </c>
    </row>
    <row r="1024" spans="1:15" x14ac:dyDescent="0.3">
      <c r="A1024" t="s">
        <v>1037</v>
      </c>
      <c r="B1024">
        <v>6</v>
      </c>
      <c r="C1024">
        <v>39</v>
      </c>
      <c r="D1024" t="s">
        <v>5016</v>
      </c>
      <c r="E1024" t="s">
        <v>5017</v>
      </c>
      <c r="F1024" t="s">
        <v>5021</v>
      </c>
      <c r="G1024">
        <v>8.76</v>
      </c>
      <c r="H1024">
        <v>1</v>
      </c>
      <c r="I1024">
        <v>2.8</v>
      </c>
      <c r="J1024">
        <v>21.71</v>
      </c>
      <c r="K1024">
        <v>30</v>
      </c>
      <c r="L1024" t="s">
        <v>5029</v>
      </c>
      <c r="M1024">
        <v>5</v>
      </c>
      <c r="N1024">
        <v>1</v>
      </c>
      <c r="O1024">
        <v>1</v>
      </c>
    </row>
    <row r="1025" spans="1:15" x14ac:dyDescent="0.3">
      <c r="A1025" t="s">
        <v>1038</v>
      </c>
      <c r="B1025">
        <v>3</v>
      </c>
      <c r="C1025">
        <v>62</v>
      </c>
      <c r="D1025" t="s">
        <v>5015</v>
      </c>
      <c r="E1025" t="s">
        <v>5017</v>
      </c>
      <c r="F1025" t="s">
        <v>5020</v>
      </c>
      <c r="G1025">
        <v>16.7</v>
      </c>
      <c r="H1025">
        <v>3</v>
      </c>
      <c r="I1025">
        <v>7</v>
      </c>
      <c r="J1025">
        <v>13.11</v>
      </c>
      <c r="K1025">
        <v>29.3</v>
      </c>
      <c r="L1025" t="s">
        <v>5026</v>
      </c>
      <c r="M1025">
        <v>7</v>
      </c>
      <c r="N1025">
        <v>1</v>
      </c>
      <c r="O1025">
        <v>0</v>
      </c>
    </row>
    <row r="1026" spans="1:15" x14ac:dyDescent="0.3">
      <c r="A1026" t="s">
        <v>1039</v>
      </c>
      <c r="B1026">
        <v>9</v>
      </c>
      <c r="C1026">
        <v>24</v>
      </c>
      <c r="D1026" t="s">
        <v>5016</v>
      </c>
      <c r="E1026" t="s">
        <v>5017</v>
      </c>
      <c r="F1026" t="s">
        <v>5021</v>
      </c>
      <c r="G1026">
        <v>14.69</v>
      </c>
      <c r="H1026">
        <v>5</v>
      </c>
      <c r="I1026">
        <v>8.6999999999999993</v>
      </c>
      <c r="J1026">
        <v>10.01</v>
      </c>
      <c r="K1026">
        <v>23.4</v>
      </c>
      <c r="L1026" t="s">
        <v>5026</v>
      </c>
      <c r="M1026">
        <v>7</v>
      </c>
      <c r="N1026">
        <v>1</v>
      </c>
      <c r="O1026">
        <v>0</v>
      </c>
    </row>
    <row r="1027" spans="1:15" x14ac:dyDescent="0.3">
      <c r="A1027" t="s">
        <v>1040</v>
      </c>
      <c r="B1027">
        <v>2</v>
      </c>
      <c r="C1027">
        <v>34</v>
      </c>
      <c r="D1027" t="s">
        <v>5015</v>
      </c>
      <c r="E1027" t="s">
        <v>5018</v>
      </c>
      <c r="F1027" t="s">
        <v>5024</v>
      </c>
      <c r="G1027">
        <v>15.38</v>
      </c>
      <c r="H1027">
        <v>3</v>
      </c>
      <c r="I1027">
        <v>5.7</v>
      </c>
      <c r="J1027">
        <v>18.440000000000001</v>
      </c>
      <c r="K1027">
        <v>48.4</v>
      </c>
      <c r="L1027" t="s">
        <v>5026</v>
      </c>
      <c r="M1027">
        <v>5</v>
      </c>
      <c r="N1027">
        <v>1</v>
      </c>
      <c r="O1027">
        <v>0</v>
      </c>
    </row>
    <row r="1028" spans="1:15" x14ac:dyDescent="0.3">
      <c r="A1028" t="s">
        <v>1041</v>
      </c>
      <c r="B1028">
        <v>11</v>
      </c>
      <c r="C1028">
        <v>19</v>
      </c>
      <c r="D1028" t="s">
        <v>5016</v>
      </c>
      <c r="E1028" t="s">
        <v>5017</v>
      </c>
      <c r="F1028" t="s">
        <v>5020</v>
      </c>
      <c r="G1028">
        <v>7.69</v>
      </c>
      <c r="H1028">
        <v>5</v>
      </c>
      <c r="I1028">
        <v>7.4</v>
      </c>
      <c r="J1028">
        <v>22.9</v>
      </c>
      <c r="K1028">
        <v>33.5</v>
      </c>
      <c r="L1028" t="s">
        <v>5029</v>
      </c>
      <c r="M1028">
        <v>5</v>
      </c>
      <c r="N1028">
        <v>3</v>
      </c>
      <c r="O1028">
        <v>0</v>
      </c>
    </row>
    <row r="1029" spans="1:15" x14ac:dyDescent="0.3">
      <c r="A1029" t="s">
        <v>1042</v>
      </c>
      <c r="B1029">
        <v>8</v>
      </c>
      <c r="C1029">
        <v>29</v>
      </c>
      <c r="D1029" t="s">
        <v>5015</v>
      </c>
      <c r="E1029" t="s">
        <v>5019</v>
      </c>
      <c r="F1029" t="s">
        <v>5020</v>
      </c>
      <c r="G1029">
        <v>15.35</v>
      </c>
      <c r="H1029">
        <v>1</v>
      </c>
      <c r="I1029">
        <v>1.2</v>
      </c>
      <c r="J1029">
        <v>24.39</v>
      </c>
      <c r="K1029">
        <v>90.4</v>
      </c>
      <c r="L1029" t="s">
        <v>5025</v>
      </c>
      <c r="M1029">
        <v>9</v>
      </c>
      <c r="N1029">
        <v>2</v>
      </c>
      <c r="O1029">
        <v>0</v>
      </c>
    </row>
    <row r="1030" spans="1:15" x14ac:dyDescent="0.3">
      <c r="A1030" t="s">
        <v>1043</v>
      </c>
      <c r="B1030">
        <v>10</v>
      </c>
      <c r="C1030">
        <v>59</v>
      </c>
      <c r="D1030" t="s">
        <v>5016</v>
      </c>
      <c r="E1030" t="s">
        <v>5018</v>
      </c>
      <c r="F1030" t="s">
        <v>5021</v>
      </c>
      <c r="G1030">
        <v>5.99</v>
      </c>
      <c r="H1030">
        <v>5</v>
      </c>
      <c r="I1030">
        <v>6.5</v>
      </c>
      <c r="J1030">
        <v>9.3800000000000008</v>
      </c>
      <c r="K1030">
        <v>72</v>
      </c>
      <c r="L1030" t="s">
        <v>5026</v>
      </c>
      <c r="M1030">
        <v>3</v>
      </c>
      <c r="N1030">
        <v>0</v>
      </c>
      <c r="O1030">
        <v>0</v>
      </c>
    </row>
    <row r="1031" spans="1:15" x14ac:dyDescent="0.3">
      <c r="A1031" t="s">
        <v>1044</v>
      </c>
      <c r="B1031">
        <v>3</v>
      </c>
      <c r="C1031">
        <v>35</v>
      </c>
      <c r="D1031" t="s">
        <v>5016</v>
      </c>
      <c r="E1031" t="s">
        <v>5018</v>
      </c>
      <c r="F1031" t="s">
        <v>5021</v>
      </c>
      <c r="G1031">
        <v>22.63</v>
      </c>
      <c r="H1031">
        <v>3</v>
      </c>
      <c r="I1031">
        <v>9.6999999999999993</v>
      </c>
      <c r="J1031">
        <v>24.04</v>
      </c>
      <c r="K1031">
        <v>76.900000000000006</v>
      </c>
      <c r="L1031" t="s">
        <v>5026</v>
      </c>
      <c r="M1031">
        <v>8</v>
      </c>
      <c r="N1031">
        <v>4</v>
      </c>
      <c r="O1031">
        <v>0</v>
      </c>
    </row>
    <row r="1032" spans="1:15" x14ac:dyDescent="0.3">
      <c r="A1032" t="s">
        <v>1045</v>
      </c>
      <c r="B1032">
        <v>12</v>
      </c>
      <c r="C1032">
        <v>28</v>
      </c>
      <c r="D1032" t="s">
        <v>5015</v>
      </c>
      <c r="E1032" t="s">
        <v>5018</v>
      </c>
      <c r="F1032" t="s">
        <v>5024</v>
      </c>
      <c r="G1032">
        <v>11.86</v>
      </c>
      <c r="H1032">
        <v>4</v>
      </c>
      <c r="I1032">
        <v>6.9</v>
      </c>
      <c r="J1032">
        <v>13.98</v>
      </c>
      <c r="K1032">
        <v>46.3</v>
      </c>
      <c r="L1032" t="s">
        <v>5027</v>
      </c>
      <c r="M1032">
        <v>1</v>
      </c>
      <c r="N1032">
        <v>4</v>
      </c>
      <c r="O1032">
        <v>1</v>
      </c>
    </row>
    <row r="1033" spans="1:15" x14ac:dyDescent="0.3">
      <c r="A1033" t="s">
        <v>1046</v>
      </c>
      <c r="B1033">
        <v>5</v>
      </c>
      <c r="C1033">
        <v>33</v>
      </c>
      <c r="D1033" t="s">
        <v>5015</v>
      </c>
      <c r="E1033" t="s">
        <v>5017</v>
      </c>
      <c r="F1033" t="s">
        <v>5024</v>
      </c>
      <c r="G1033">
        <v>22.13</v>
      </c>
      <c r="H1033">
        <v>3</v>
      </c>
      <c r="I1033">
        <v>9.3000000000000007</v>
      </c>
      <c r="J1033">
        <v>9.73</v>
      </c>
      <c r="K1033">
        <v>64</v>
      </c>
      <c r="L1033" t="s">
        <v>5027</v>
      </c>
      <c r="M1033">
        <v>4</v>
      </c>
      <c r="N1033">
        <v>1</v>
      </c>
      <c r="O1033">
        <v>1</v>
      </c>
    </row>
    <row r="1034" spans="1:15" x14ac:dyDescent="0.3">
      <c r="A1034" t="s">
        <v>1047</v>
      </c>
      <c r="B1034">
        <v>6</v>
      </c>
      <c r="C1034">
        <v>66</v>
      </c>
      <c r="D1034" t="s">
        <v>5016</v>
      </c>
      <c r="E1034" t="s">
        <v>5018</v>
      </c>
      <c r="F1034" t="s">
        <v>5020</v>
      </c>
      <c r="G1034">
        <v>19.03</v>
      </c>
      <c r="H1034">
        <v>4</v>
      </c>
      <c r="I1034">
        <v>6.1</v>
      </c>
      <c r="J1034">
        <v>24.74</v>
      </c>
      <c r="K1034">
        <v>55.1</v>
      </c>
      <c r="L1034" t="s">
        <v>5025</v>
      </c>
      <c r="M1034">
        <v>2</v>
      </c>
      <c r="N1034">
        <v>1</v>
      </c>
      <c r="O1034">
        <v>1</v>
      </c>
    </row>
    <row r="1035" spans="1:15" x14ac:dyDescent="0.3">
      <c r="A1035" t="s">
        <v>1048</v>
      </c>
      <c r="B1035">
        <v>10</v>
      </c>
      <c r="C1035">
        <v>68</v>
      </c>
      <c r="D1035" t="s">
        <v>5015</v>
      </c>
      <c r="E1035" t="s">
        <v>5019</v>
      </c>
      <c r="F1035" t="s">
        <v>5020</v>
      </c>
      <c r="G1035">
        <v>20.32</v>
      </c>
      <c r="H1035">
        <v>2</v>
      </c>
      <c r="I1035">
        <v>8.6</v>
      </c>
      <c r="J1035">
        <v>22.31</v>
      </c>
      <c r="K1035">
        <v>25.1</v>
      </c>
      <c r="L1035" t="s">
        <v>5028</v>
      </c>
      <c r="M1035">
        <v>3</v>
      </c>
      <c r="N1035">
        <v>0</v>
      </c>
      <c r="O1035">
        <v>0</v>
      </c>
    </row>
    <row r="1036" spans="1:15" x14ac:dyDescent="0.3">
      <c r="A1036" t="s">
        <v>1049</v>
      </c>
      <c r="B1036">
        <v>6</v>
      </c>
      <c r="C1036">
        <v>35</v>
      </c>
      <c r="D1036" t="s">
        <v>5016</v>
      </c>
      <c r="E1036" t="s">
        <v>5019</v>
      </c>
      <c r="F1036" t="s">
        <v>5023</v>
      </c>
      <c r="G1036">
        <v>11.29</v>
      </c>
      <c r="H1036">
        <v>3</v>
      </c>
      <c r="I1036">
        <v>2.1</v>
      </c>
      <c r="J1036">
        <v>18.23</v>
      </c>
      <c r="K1036">
        <v>14.3</v>
      </c>
      <c r="L1036" t="s">
        <v>5028</v>
      </c>
      <c r="M1036">
        <v>11</v>
      </c>
      <c r="N1036">
        <v>4</v>
      </c>
      <c r="O1036">
        <v>1</v>
      </c>
    </row>
    <row r="1037" spans="1:15" x14ac:dyDescent="0.3">
      <c r="A1037" t="s">
        <v>1050</v>
      </c>
      <c r="B1037">
        <v>4</v>
      </c>
      <c r="C1037">
        <v>52</v>
      </c>
      <c r="D1037" t="s">
        <v>5015</v>
      </c>
      <c r="E1037" t="s">
        <v>5019</v>
      </c>
      <c r="F1037" t="s">
        <v>5023</v>
      </c>
      <c r="G1037">
        <v>9.5500000000000007</v>
      </c>
      <c r="H1037">
        <v>5</v>
      </c>
      <c r="I1037">
        <v>2.1</v>
      </c>
      <c r="J1037">
        <v>22.69</v>
      </c>
      <c r="K1037">
        <v>71.5</v>
      </c>
      <c r="L1037" t="s">
        <v>5027</v>
      </c>
      <c r="M1037">
        <v>6</v>
      </c>
      <c r="N1037">
        <v>1</v>
      </c>
      <c r="O1037">
        <v>0</v>
      </c>
    </row>
    <row r="1038" spans="1:15" x14ac:dyDescent="0.3">
      <c r="A1038" t="s">
        <v>1051</v>
      </c>
      <c r="B1038">
        <v>3</v>
      </c>
      <c r="C1038">
        <v>43</v>
      </c>
      <c r="D1038" t="s">
        <v>5016</v>
      </c>
      <c r="E1038" t="s">
        <v>5019</v>
      </c>
      <c r="F1038" t="s">
        <v>5022</v>
      </c>
      <c r="G1038">
        <v>13.13</v>
      </c>
      <c r="H1038">
        <v>4</v>
      </c>
      <c r="I1038">
        <v>2.1</v>
      </c>
      <c r="J1038">
        <v>17.989999999999998</v>
      </c>
      <c r="K1038">
        <v>20.9</v>
      </c>
      <c r="L1038" t="s">
        <v>5027</v>
      </c>
      <c r="M1038">
        <v>4</v>
      </c>
      <c r="N1038">
        <v>3</v>
      </c>
      <c r="O1038">
        <v>1</v>
      </c>
    </row>
    <row r="1039" spans="1:15" x14ac:dyDescent="0.3">
      <c r="A1039" t="s">
        <v>1052</v>
      </c>
      <c r="B1039">
        <v>4</v>
      </c>
      <c r="C1039">
        <v>33</v>
      </c>
      <c r="D1039" t="s">
        <v>5015</v>
      </c>
      <c r="E1039" t="s">
        <v>5017</v>
      </c>
      <c r="F1039" t="s">
        <v>5024</v>
      </c>
      <c r="G1039">
        <v>5.48</v>
      </c>
      <c r="H1039">
        <v>5</v>
      </c>
      <c r="I1039">
        <v>5.4</v>
      </c>
      <c r="J1039">
        <v>12.69</v>
      </c>
      <c r="K1039">
        <v>15.2</v>
      </c>
      <c r="L1039" t="s">
        <v>5025</v>
      </c>
      <c r="M1039">
        <v>1</v>
      </c>
      <c r="N1039">
        <v>4</v>
      </c>
      <c r="O1039">
        <v>1</v>
      </c>
    </row>
    <row r="1040" spans="1:15" x14ac:dyDescent="0.3">
      <c r="A1040" t="s">
        <v>1053</v>
      </c>
      <c r="B1040">
        <v>1</v>
      </c>
      <c r="C1040">
        <v>23</v>
      </c>
      <c r="D1040" t="s">
        <v>5016</v>
      </c>
      <c r="E1040" t="s">
        <v>5017</v>
      </c>
      <c r="F1040" t="s">
        <v>5022</v>
      </c>
      <c r="G1040">
        <v>23.38</v>
      </c>
      <c r="H1040">
        <v>4</v>
      </c>
      <c r="I1040">
        <v>4</v>
      </c>
      <c r="J1040">
        <v>23.86</v>
      </c>
      <c r="K1040">
        <v>49.8</v>
      </c>
      <c r="L1040" t="s">
        <v>5025</v>
      </c>
      <c r="M1040">
        <v>5</v>
      </c>
      <c r="N1040">
        <v>3</v>
      </c>
      <c r="O1040">
        <v>1</v>
      </c>
    </row>
    <row r="1041" spans="1:15" x14ac:dyDescent="0.3">
      <c r="A1041" t="s">
        <v>1054</v>
      </c>
      <c r="B1041">
        <v>4</v>
      </c>
      <c r="C1041">
        <v>61</v>
      </c>
      <c r="D1041" t="s">
        <v>5016</v>
      </c>
      <c r="E1041" t="s">
        <v>5017</v>
      </c>
      <c r="F1041" t="s">
        <v>5022</v>
      </c>
      <c r="G1041">
        <v>12.74</v>
      </c>
      <c r="H1041">
        <v>3</v>
      </c>
      <c r="I1041">
        <v>7.5</v>
      </c>
      <c r="J1041">
        <v>24.19</v>
      </c>
      <c r="K1041">
        <v>76.400000000000006</v>
      </c>
      <c r="L1041" t="s">
        <v>5029</v>
      </c>
      <c r="M1041">
        <v>3</v>
      </c>
      <c r="N1041">
        <v>0</v>
      </c>
      <c r="O1041">
        <v>0</v>
      </c>
    </row>
    <row r="1042" spans="1:15" x14ac:dyDescent="0.3">
      <c r="A1042" t="s">
        <v>1055</v>
      </c>
      <c r="B1042">
        <v>1</v>
      </c>
      <c r="C1042">
        <v>60</v>
      </c>
      <c r="D1042" t="s">
        <v>5016</v>
      </c>
      <c r="E1042" t="s">
        <v>5018</v>
      </c>
      <c r="F1042" t="s">
        <v>5021</v>
      </c>
      <c r="G1042">
        <v>24.77</v>
      </c>
      <c r="H1042">
        <v>3</v>
      </c>
      <c r="I1042">
        <v>9.1</v>
      </c>
      <c r="J1042">
        <v>9.91</v>
      </c>
      <c r="K1042">
        <v>79.2</v>
      </c>
      <c r="L1042" t="s">
        <v>5028</v>
      </c>
      <c r="M1042">
        <v>2</v>
      </c>
      <c r="N1042">
        <v>0</v>
      </c>
      <c r="O1042">
        <v>1</v>
      </c>
    </row>
    <row r="1043" spans="1:15" x14ac:dyDescent="0.3">
      <c r="A1043" t="s">
        <v>1056</v>
      </c>
      <c r="B1043">
        <v>12</v>
      </c>
      <c r="C1043">
        <v>64</v>
      </c>
      <c r="D1043" t="s">
        <v>5015</v>
      </c>
      <c r="E1043" t="s">
        <v>5017</v>
      </c>
      <c r="F1043" t="s">
        <v>5021</v>
      </c>
      <c r="G1043">
        <v>20.23</v>
      </c>
      <c r="H1043">
        <v>5</v>
      </c>
      <c r="I1043">
        <v>6.6</v>
      </c>
      <c r="J1043">
        <v>10.8</v>
      </c>
      <c r="K1043">
        <v>88.6</v>
      </c>
      <c r="L1043" t="s">
        <v>5029</v>
      </c>
      <c r="M1043">
        <v>4</v>
      </c>
      <c r="N1043">
        <v>4</v>
      </c>
      <c r="O1043">
        <v>0</v>
      </c>
    </row>
    <row r="1044" spans="1:15" x14ac:dyDescent="0.3">
      <c r="A1044" t="s">
        <v>1057</v>
      </c>
      <c r="B1044">
        <v>1</v>
      </c>
      <c r="C1044">
        <v>64</v>
      </c>
      <c r="D1044" t="s">
        <v>5016</v>
      </c>
      <c r="E1044" t="s">
        <v>5018</v>
      </c>
      <c r="F1044" t="s">
        <v>5023</v>
      </c>
      <c r="G1044">
        <v>6.61</v>
      </c>
      <c r="H1044">
        <v>3</v>
      </c>
      <c r="I1044">
        <v>2.9</v>
      </c>
      <c r="J1044">
        <v>11.42</v>
      </c>
      <c r="K1044">
        <v>27.9</v>
      </c>
      <c r="L1044" t="s">
        <v>5026</v>
      </c>
      <c r="M1044">
        <v>4</v>
      </c>
      <c r="N1044">
        <v>2</v>
      </c>
      <c r="O1044">
        <v>0</v>
      </c>
    </row>
    <row r="1045" spans="1:15" x14ac:dyDescent="0.3">
      <c r="A1045" t="s">
        <v>1058</v>
      </c>
      <c r="B1045">
        <v>10</v>
      </c>
      <c r="C1045">
        <v>65</v>
      </c>
      <c r="D1045" t="s">
        <v>5015</v>
      </c>
      <c r="E1045" t="s">
        <v>5018</v>
      </c>
      <c r="F1045" t="s">
        <v>5022</v>
      </c>
      <c r="G1045">
        <v>18.2</v>
      </c>
      <c r="H1045">
        <v>5</v>
      </c>
      <c r="I1045">
        <v>9.4</v>
      </c>
      <c r="J1045">
        <v>21.09</v>
      </c>
      <c r="K1045">
        <v>98.7</v>
      </c>
      <c r="L1045" t="s">
        <v>5025</v>
      </c>
      <c r="M1045">
        <v>3</v>
      </c>
      <c r="N1045">
        <v>4</v>
      </c>
      <c r="O1045">
        <v>0</v>
      </c>
    </row>
    <row r="1046" spans="1:15" x14ac:dyDescent="0.3">
      <c r="A1046" t="s">
        <v>1059</v>
      </c>
      <c r="B1046">
        <v>6</v>
      </c>
      <c r="C1046">
        <v>59</v>
      </c>
      <c r="D1046" t="s">
        <v>5015</v>
      </c>
      <c r="E1046" t="s">
        <v>5019</v>
      </c>
      <c r="F1046" t="s">
        <v>5023</v>
      </c>
      <c r="G1046">
        <v>10.42</v>
      </c>
      <c r="H1046">
        <v>1</v>
      </c>
      <c r="I1046">
        <v>5.8</v>
      </c>
      <c r="J1046">
        <v>20.41</v>
      </c>
      <c r="K1046">
        <v>78.7</v>
      </c>
      <c r="L1046" t="s">
        <v>5028</v>
      </c>
      <c r="M1046">
        <v>5</v>
      </c>
      <c r="N1046">
        <v>3</v>
      </c>
      <c r="O1046">
        <v>0</v>
      </c>
    </row>
    <row r="1047" spans="1:15" x14ac:dyDescent="0.3">
      <c r="A1047" t="s">
        <v>1060</v>
      </c>
      <c r="B1047">
        <v>5</v>
      </c>
      <c r="C1047">
        <v>29</v>
      </c>
      <c r="D1047" t="s">
        <v>5015</v>
      </c>
      <c r="E1047" t="s">
        <v>5019</v>
      </c>
      <c r="F1047" t="s">
        <v>5024</v>
      </c>
      <c r="G1047">
        <v>9.8699999999999992</v>
      </c>
      <c r="H1047">
        <v>4</v>
      </c>
      <c r="I1047">
        <v>7.5</v>
      </c>
      <c r="J1047">
        <v>24.63</v>
      </c>
      <c r="K1047">
        <v>24.1</v>
      </c>
      <c r="L1047" t="s">
        <v>5028</v>
      </c>
      <c r="M1047">
        <v>5</v>
      </c>
      <c r="N1047">
        <v>2</v>
      </c>
      <c r="O1047">
        <v>1</v>
      </c>
    </row>
    <row r="1048" spans="1:15" x14ac:dyDescent="0.3">
      <c r="A1048" t="s">
        <v>1061</v>
      </c>
      <c r="B1048">
        <v>11</v>
      </c>
      <c r="C1048">
        <v>30</v>
      </c>
      <c r="D1048" t="s">
        <v>5016</v>
      </c>
      <c r="E1048" t="s">
        <v>5019</v>
      </c>
      <c r="F1048" t="s">
        <v>5020</v>
      </c>
      <c r="G1048">
        <v>10.130000000000001</v>
      </c>
      <c r="H1048">
        <v>5</v>
      </c>
      <c r="I1048">
        <v>9</v>
      </c>
      <c r="J1048">
        <v>13.23</v>
      </c>
      <c r="K1048">
        <v>85.7</v>
      </c>
      <c r="L1048" t="s">
        <v>5029</v>
      </c>
      <c r="M1048">
        <v>8</v>
      </c>
      <c r="N1048">
        <v>3</v>
      </c>
      <c r="O1048">
        <v>1</v>
      </c>
    </row>
    <row r="1049" spans="1:15" x14ac:dyDescent="0.3">
      <c r="A1049" t="s">
        <v>1062</v>
      </c>
      <c r="B1049">
        <v>4</v>
      </c>
      <c r="C1049">
        <v>21</v>
      </c>
      <c r="D1049" t="s">
        <v>5015</v>
      </c>
      <c r="E1049" t="s">
        <v>5017</v>
      </c>
      <c r="F1049" t="s">
        <v>5021</v>
      </c>
      <c r="G1049">
        <v>23.32</v>
      </c>
      <c r="H1049">
        <v>4</v>
      </c>
      <c r="I1049">
        <v>9.9</v>
      </c>
      <c r="J1049">
        <v>19.21</v>
      </c>
      <c r="K1049">
        <v>54.9</v>
      </c>
      <c r="L1049" t="s">
        <v>5027</v>
      </c>
      <c r="M1049">
        <v>10</v>
      </c>
      <c r="N1049">
        <v>3</v>
      </c>
      <c r="O1049">
        <v>0</v>
      </c>
    </row>
    <row r="1050" spans="1:15" x14ac:dyDescent="0.3">
      <c r="A1050" t="s">
        <v>1063</v>
      </c>
      <c r="B1050">
        <v>11</v>
      </c>
      <c r="C1050">
        <v>56</v>
      </c>
      <c r="D1050" t="s">
        <v>5015</v>
      </c>
      <c r="E1050" t="s">
        <v>5017</v>
      </c>
      <c r="F1050" t="s">
        <v>5024</v>
      </c>
      <c r="G1050">
        <v>15</v>
      </c>
      <c r="H1050">
        <v>1</v>
      </c>
      <c r="I1050">
        <v>5.6</v>
      </c>
      <c r="J1050">
        <v>21.85</v>
      </c>
      <c r="K1050">
        <v>16</v>
      </c>
      <c r="L1050" t="s">
        <v>5027</v>
      </c>
      <c r="M1050">
        <v>7</v>
      </c>
      <c r="N1050">
        <v>3</v>
      </c>
      <c r="O1050">
        <v>0</v>
      </c>
    </row>
    <row r="1051" spans="1:15" x14ac:dyDescent="0.3">
      <c r="A1051" t="s">
        <v>1064</v>
      </c>
      <c r="B1051">
        <v>3</v>
      </c>
      <c r="C1051">
        <v>19</v>
      </c>
      <c r="D1051" t="s">
        <v>5015</v>
      </c>
      <c r="E1051" t="s">
        <v>5018</v>
      </c>
      <c r="F1051" t="s">
        <v>5024</v>
      </c>
      <c r="G1051">
        <v>18.39</v>
      </c>
      <c r="H1051">
        <v>4</v>
      </c>
      <c r="I1051">
        <v>8.3000000000000007</v>
      </c>
      <c r="J1051">
        <v>7.87</v>
      </c>
      <c r="K1051">
        <v>21.9</v>
      </c>
      <c r="L1051" t="s">
        <v>5025</v>
      </c>
      <c r="M1051">
        <v>11</v>
      </c>
      <c r="N1051">
        <v>1</v>
      </c>
      <c r="O1051">
        <v>0</v>
      </c>
    </row>
    <row r="1052" spans="1:15" x14ac:dyDescent="0.3">
      <c r="A1052" t="s">
        <v>1065</v>
      </c>
      <c r="B1052">
        <v>1</v>
      </c>
      <c r="C1052">
        <v>43</v>
      </c>
      <c r="D1052" t="s">
        <v>5016</v>
      </c>
      <c r="E1052" t="s">
        <v>5017</v>
      </c>
      <c r="F1052" t="s">
        <v>5021</v>
      </c>
      <c r="G1052">
        <v>10.62</v>
      </c>
      <c r="H1052">
        <v>5</v>
      </c>
      <c r="I1052">
        <v>6.1</v>
      </c>
      <c r="J1052">
        <v>16.649999999999999</v>
      </c>
      <c r="K1052">
        <v>49.1</v>
      </c>
      <c r="L1052" t="s">
        <v>5027</v>
      </c>
      <c r="M1052">
        <v>9</v>
      </c>
      <c r="N1052">
        <v>2</v>
      </c>
      <c r="O1052">
        <v>1</v>
      </c>
    </row>
    <row r="1053" spans="1:15" x14ac:dyDescent="0.3">
      <c r="A1053" t="s">
        <v>1066</v>
      </c>
      <c r="B1053">
        <v>6</v>
      </c>
      <c r="C1053">
        <v>44</v>
      </c>
      <c r="D1053" t="s">
        <v>5015</v>
      </c>
      <c r="E1053" t="s">
        <v>5017</v>
      </c>
      <c r="F1053" t="s">
        <v>5021</v>
      </c>
      <c r="G1053">
        <v>15.46</v>
      </c>
      <c r="H1053">
        <v>3</v>
      </c>
      <c r="I1053">
        <v>5.4</v>
      </c>
      <c r="J1053">
        <v>15.05</v>
      </c>
      <c r="K1053">
        <v>57.7</v>
      </c>
      <c r="L1053" t="s">
        <v>5026</v>
      </c>
      <c r="M1053">
        <v>7</v>
      </c>
      <c r="N1053">
        <v>1</v>
      </c>
      <c r="O1053">
        <v>0</v>
      </c>
    </row>
    <row r="1054" spans="1:15" x14ac:dyDescent="0.3">
      <c r="A1054" t="s">
        <v>1067</v>
      </c>
      <c r="B1054">
        <v>2</v>
      </c>
      <c r="C1054">
        <v>44</v>
      </c>
      <c r="D1054" t="s">
        <v>5015</v>
      </c>
      <c r="E1054" t="s">
        <v>5018</v>
      </c>
      <c r="F1054" t="s">
        <v>5022</v>
      </c>
      <c r="G1054">
        <v>12</v>
      </c>
      <c r="H1054">
        <v>4</v>
      </c>
      <c r="I1054">
        <v>5.8</v>
      </c>
      <c r="J1054">
        <v>19.34</v>
      </c>
      <c r="K1054">
        <v>95.3</v>
      </c>
      <c r="L1054" t="s">
        <v>5028</v>
      </c>
      <c r="M1054">
        <v>2</v>
      </c>
      <c r="N1054">
        <v>1</v>
      </c>
      <c r="O1054">
        <v>0</v>
      </c>
    </row>
    <row r="1055" spans="1:15" x14ac:dyDescent="0.3">
      <c r="A1055" t="s">
        <v>1068</v>
      </c>
      <c r="B1055">
        <v>8</v>
      </c>
      <c r="C1055">
        <v>32</v>
      </c>
      <c r="D1055" t="s">
        <v>5015</v>
      </c>
      <c r="E1055" t="s">
        <v>5017</v>
      </c>
      <c r="F1055" t="s">
        <v>5023</v>
      </c>
      <c r="G1055">
        <v>11.42</v>
      </c>
      <c r="H1055">
        <v>4</v>
      </c>
      <c r="I1055">
        <v>5.4</v>
      </c>
      <c r="J1055">
        <v>18.3</v>
      </c>
      <c r="K1055">
        <v>29.4</v>
      </c>
      <c r="L1055" t="s">
        <v>5027</v>
      </c>
      <c r="M1055">
        <v>3</v>
      </c>
      <c r="N1055">
        <v>3</v>
      </c>
      <c r="O1055">
        <v>1</v>
      </c>
    </row>
    <row r="1056" spans="1:15" x14ac:dyDescent="0.3">
      <c r="A1056" t="s">
        <v>1069</v>
      </c>
      <c r="B1056">
        <v>10</v>
      </c>
      <c r="C1056">
        <v>25</v>
      </c>
      <c r="D1056" t="s">
        <v>5015</v>
      </c>
      <c r="E1056" t="s">
        <v>5018</v>
      </c>
      <c r="F1056" t="s">
        <v>5024</v>
      </c>
      <c r="G1056">
        <v>9.94</v>
      </c>
      <c r="H1056">
        <v>1</v>
      </c>
      <c r="I1056">
        <v>4.8</v>
      </c>
      <c r="J1056">
        <v>20.88</v>
      </c>
      <c r="K1056">
        <v>52.7</v>
      </c>
      <c r="L1056" t="s">
        <v>5025</v>
      </c>
      <c r="M1056">
        <v>6</v>
      </c>
      <c r="N1056">
        <v>0</v>
      </c>
      <c r="O1056">
        <v>0</v>
      </c>
    </row>
    <row r="1057" spans="1:15" x14ac:dyDescent="0.3">
      <c r="A1057" t="s">
        <v>1070</v>
      </c>
      <c r="B1057">
        <v>5</v>
      </c>
      <c r="C1057">
        <v>24</v>
      </c>
      <c r="D1057" t="s">
        <v>5016</v>
      </c>
      <c r="E1057" t="s">
        <v>5018</v>
      </c>
      <c r="F1057" t="s">
        <v>5022</v>
      </c>
      <c r="G1057">
        <v>13.18</v>
      </c>
      <c r="H1057">
        <v>2</v>
      </c>
      <c r="I1057">
        <v>7.5</v>
      </c>
      <c r="J1057">
        <v>9.85</v>
      </c>
      <c r="K1057">
        <v>30.3</v>
      </c>
      <c r="L1057" t="s">
        <v>5026</v>
      </c>
      <c r="M1057">
        <v>1</v>
      </c>
      <c r="N1057">
        <v>4</v>
      </c>
      <c r="O1057">
        <v>0</v>
      </c>
    </row>
    <row r="1058" spans="1:15" x14ac:dyDescent="0.3">
      <c r="A1058" t="s">
        <v>1071</v>
      </c>
      <c r="B1058">
        <v>7</v>
      </c>
      <c r="C1058">
        <v>64</v>
      </c>
      <c r="D1058" t="s">
        <v>5016</v>
      </c>
      <c r="E1058" t="s">
        <v>5018</v>
      </c>
      <c r="F1058" t="s">
        <v>5022</v>
      </c>
      <c r="G1058">
        <v>18.2</v>
      </c>
      <c r="H1058">
        <v>3</v>
      </c>
      <c r="I1058">
        <v>3.2</v>
      </c>
      <c r="J1058">
        <v>7.76</v>
      </c>
      <c r="K1058">
        <v>60.3</v>
      </c>
      <c r="L1058" t="s">
        <v>5029</v>
      </c>
      <c r="M1058">
        <v>8</v>
      </c>
      <c r="N1058">
        <v>0</v>
      </c>
      <c r="O1058">
        <v>0</v>
      </c>
    </row>
    <row r="1059" spans="1:15" x14ac:dyDescent="0.3">
      <c r="A1059" t="s">
        <v>1072</v>
      </c>
      <c r="B1059">
        <v>10</v>
      </c>
      <c r="C1059">
        <v>63</v>
      </c>
      <c r="D1059" t="s">
        <v>5015</v>
      </c>
      <c r="E1059" t="s">
        <v>5018</v>
      </c>
      <c r="F1059" t="s">
        <v>5024</v>
      </c>
      <c r="G1059">
        <v>9.44</v>
      </c>
      <c r="H1059">
        <v>5</v>
      </c>
      <c r="I1059">
        <v>6.5</v>
      </c>
      <c r="J1059">
        <v>20.71</v>
      </c>
      <c r="K1059">
        <v>91.8</v>
      </c>
      <c r="L1059" t="s">
        <v>5029</v>
      </c>
      <c r="M1059">
        <v>7</v>
      </c>
      <c r="N1059">
        <v>3</v>
      </c>
      <c r="O1059">
        <v>0</v>
      </c>
    </row>
    <row r="1060" spans="1:15" x14ac:dyDescent="0.3">
      <c r="A1060" t="s">
        <v>1073</v>
      </c>
      <c r="B1060">
        <v>12</v>
      </c>
      <c r="C1060">
        <v>57</v>
      </c>
      <c r="D1060" t="s">
        <v>5015</v>
      </c>
      <c r="E1060" t="s">
        <v>5018</v>
      </c>
      <c r="F1060" t="s">
        <v>5024</v>
      </c>
      <c r="G1060">
        <v>24.31</v>
      </c>
      <c r="H1060">
        <v>1</v>
      </c>
      <c r="I1060">
        <v>7.4</v>
      </c>
      <c r="J1060">
        <v>10.93</v>
      </c>
      <c r="K1060">
        <v>61.1</v>
      </c>
      <c r="L1060" t="s">
        <v>5026</v>
      </c>
      <c r="M1060">
        <v>6</v>
      </c>
      <c r="N1060">
        <v>4</v>
      </c>
      <c r="O1060">
        <v>0</v>
      </c>
    </row>
    <row r="1061" spans="1:15" x14ac:dyDescent="0.3">
      <c r="A1061" t="s">
        <v>1074</v>
      </c>
      <c r="B1061">
        <v>2</v>
      </c>
      <c r="C1061">
        <v>29</v>
      </c>
      <c r="D1061" t="s">
        <v>5015</v>
      </c>
      <c r="E1061" t="s">
        <v>5017</v>
      </c>
      <c r="F1061" t="s">
        <v>5020</v>
      </c>
      <c r="G1061">
        <v>7.49</v>
      </c>
      <c r="H1061">
        <v>5</v>
      </c>
      <c r="I1061">
        <v>9</v>
      </c>
      <c r="J1061">
        <v>9.33</v>
      </c>
      <c r="K1061">
        <v>55.9</v>
      </c>
      <c r="L1061" t="s">
        <v>5025</v>
      </c>
      <c r="M1061">
        <v>5</v>
      </c>
      <c r="N1061">
        <v>4</v>
      </c>
      <c r="O1061">
        <v>0</v>
      </c>
    </row>
    <row r="1062" spans="1:15" x14ac:dyDescent="0.3">
      <c r="A1062" t="s">
        <v>1075</v>
      </c>
      <c r="B1062">
        <v>8</v>
      </c>
      <c r="C1062">
        <v>30</v>
      </c>
      <c r="D1062" t="s">
        <v>5015</v>
      </c>
      <c r="E1062" t="s">
        <v>5017</v>
      </c>
      <c r="F1062" t="s">
        <v>5023</v>
      </c>
      <c r="G1062">
        <v>14.6</v>
      </c>
      <c r="H1062">
        <v>5</v>
      </c>
      <c r="I1062">
        <v>4</v>
      </c>
      <c r="J1062">
        <v>10.41</v>
      </c>
      <c r="K1062">
        <v>77.5</v>
      </c>
      <c r="L1062" t="s">
        <v>5029</v>
      </c>
      <c r="M1062">
        <v>10</v>
      </c>
      <c r="N1062">
        <v>3</v>
      </c>
      <c r="O1062">
        <v>0</v>
      </c>
    </row>
    <row r="1063" spans="1:15" x14ac:dyDescent="0.3">
      <c r="A1063" t="s">
        <v>1076</v>
      </c>
      <c r="B1063">
        <v>2</v>
      </c>
      <c r="C1063">
        <v>60</v>
      </c>
      <c r="D1063" t="s">
        <v>5016</v>
      </c>
      <c r="E1063" t="s">
        <v>5018</v>
      </c>
      <c r="F1063" t="s">
        <v>5024</v>
      </c>
      <c r="G1063">
        <v>6.7</v>
      </c>
      <c r="H1063">
        <v>4</v>
      </c>
      <c r="I1063">
        <v>8.6999999999999993</v>
      </c>
      <c r="J1063">
        <v>4.46</v>
      </c>
      <c r="K1063">
        <v>23.3</v>
      </c>
      <c r="L1063" t="s">
        <v>5028</v>
      </c>
      <c r="M1063">
        <v>5</v>
      </c>
      <c r="N1063">
        <v>1</v>
      </c>
      <c r="O1063">
        <v>0</v>
      </c>
    </row>
    <row r="1064" spans="1:15" x14ac:dyDescent="0.3">
      <c r="A1064" t="s">
        <v>1077</v>
      </c>
      <c r="B1064">
        <v>4</v>
      </c>
      <c r="C1064">
        <v>34</v>
      </c>
      <c r="D1064" t="s">
        <v>5016</v>
      </c>
      <c r="E1064" t="s">
        <v>5019</v>
      </c>
      <c r="F1064" t="s">
        <v>5021</v>
      </c>
      <c r="G1064">
        <v>5.45</v>
      </c>
      <c r="H1064">
        <v>1</v>
      </c>
      <c r="I1064">
        <v>9.5</v>
      </c>
      <c r="J1064">
        <v>20.010000000000002</v>
      </c>
      <c r="K1064">
        <v>91.5</v>
      </c>
      <c r="L1064" t="s">
        <v>5028</v>
      </c>
      <c r="M1064">
        <v>8</v>
      </c>
      <c r="N1064">
        <v>4</v>
      </c>
      <c r="O1064">
        <v>0</v>
      </c>
    </row>
    <row r="1065" spans="1:15" x14ac:dyDescent="0.3">
      <c r="A1065" t="s">
        <v>1078</v>
      </c>
      <c r="B1065">
        <v>1</v>
      </c>
      <c r="C1065">
        <v>34</v>
      </c>
      <c r="D1065" t="s">
        <v>5016</v>
      </c>
      <c r="E1065" t="s">
        <v>5019</v>
      </c>
      <c r="F1065" t="s">
        <v>5020</v>
      </c>
      <c r="G1065">
        <v>23.45</v>
      </c>
      <c r="H1065">
        <v>1</v>
      </c>
      <c r="I1065">
        <v>6.8</v>
      </c>
      <c r="J1065">
        <v>18.73</v>
      </c>
      <c r="K1065">
        <v>62</v>
      </c>
      <c r="L1065" t="s">
        <v>5025</v>
      </c>
      <c r="M1065">
        <v>8</v>
      </c>
      <c r="N1065">
        <v>4</v>
      </c>
      <c r="O1065">
        <v>0</v>
      </c>
    </row>
    <row r="1066" spans="1:15" x14ac:dyDescent="0.3">
      <c r="A1066" t="s">
        <v>1079</v>
      </c>
      <c r="B1066">
        <v>5</v>
      </c>
      <c r="C1066">
        <v>53</v>
      </c>
      <c r="D1066" t="s">
        <v>5016</v>
      </c>
      <c r="E1066" t="s">
        <v>5018</v>
      </c>
      <c r="F1066" t="s">
        <v>5023</v>
      </c>
      <c r="G1066">
        <v>21.21</v>
      </c>
      <c r="H1066">
        <v>3</v>
      </c>
      <c r="I1066">
        <v>7.9</v>
      </c>
      <c r="J1066">
        <v>15.16</v>
      </c>
      <c r="K1066">
        <v>71.8</v>
      </c>
      <c r="L1066" t="s">
        <v>5025</v>
      </c>
      <c r="M1066">
        <v>3</v>
      </c>
      <c r="N1066">
        <v>4</v>
      </c>
      <c r="O1066">
        <v>0</v>
      </c>
    </row>
    <row r="1067" spans="1:15" x14ac:dyDescent="0.3">
      <c r="A1067" t="s">
        <v>1080</v>
      </c>
      <c r="B1067">
        <v>9</v>
      </c>
      <c r="C1067">
        <v>38</v>
      </c>
      <c r="D1067" t="s">
        <v>5015</v>
      </c>
      <c r="E1067" t="s">
        <v>5017</v>
      </c>
      <c r="F1067" t="s">
        <v>5021</v>
      </c>
      <c r="G1067">
        <v>18.88</v>
      </c>
      <c r="H1067">
        <v>2</v>
      </c>
      <c r="I1067">
        <v>4.7</v>
      </c>
      <c r="J1067">
        <v>18.75</v>
      </c>
      <c r="K1067">
        <v>83.7</v>
      </c>
      <c r="L1067" t="s">
        <v>5028</v>
      </c>
      <c r="M1067">
        <v>9</v>
      </c>
      <c r="N1067">
        <v>4</v>
      </c>
      <c r="O1067">
        <v>0</v>
      </c>
    </row>
    <row r="1068" spans="1:15" x14ac:dyDescent="0.3">
      <c r="A1068" t="s">
        <v>1081</v>
      </c>
      <c r="B1068">
        <v>1</v>
      </c>
      <c r="C1068">
        <v>25</v>
      </c>
      <c r="D1068" t="s">
        <v>5015</v>
      </c>
      <c r="E1068" t="s">
        <v>5018</v>
      </c>
      <c r="F1068" t="s">
        <v>5021</v>
      </c>
      <c r="G1068">
        <v>22.3</v>
      </c>
      <c r="H1068">
        <v>5</v>
      </c>
      <c r="I1068">
        <v>9.6</v>
      </c>
      <c r="J1068">
        <v>11.21</v>
      </c>
      <c r="K1068">
        <v>67.2</v>
      </c>
      <c r="L1068" t="s">
        <v>5025</v>
      </c>
      <c r="M1068">
        <v>3</v>
      </c>
      <c r="N1068">
        <v>2</v>
      </c>
      <c r="O1068">
        <v>0</v>
      </c>
    </row>
    <row r="1069" spans="1:15" x14ac:dyDescent="0.3">
      <c r="A1069" t="s">
        <v>1082</v>
      </c>
      <c r="B1069">
        <v>9</v>
      </c>
      <c r="C1069">
        <v>22</v>
      </c>
      <c r="D1069" t="s">
        <v>5016</v>
      </c>
      <c r="E1069" t="s">
        <v>5018</v>
      </c>
      <c r="F1069" t="s">
        <v>5023</v>
      </c>
      <c r="G1069">
        <v>21.06</v>
      </c>
      <c r="H1069">
        <v>3</v>
      </c>
      <c r="I1069">
        <v>7</v>
      </c>
      <c r="J1069">
        <v>9.5</v>
      </c>
      <c r="K1069">
        <v>67.7</v>
      </c>
      <c r="L1069" t="s">
        <v>5026</v>
      </c>
      <c r="M1069">
        <v>10</v>
      </c>
      <c r="N1069">
        <v>1</v>
      </c>
      <c r="O1069">
        <v>0</v>
      </c>
    </row>
    <row r="1070" spans="1:15" x14ac:dyDescent="0.3">
      <c r="A1070" t="s">
        <v>1083</v>
      </c>
      <c r="B1070">
        <v>11</v>
      </c>
      <c r="C1070">
        <v>43</v>
      </c>
      <c r="D1070" t="s">
        <v>5016</v>
      </c>
      <c r="E1070" t="s">
        <v>5018</v>
      </c>
      <c r="F1070" t="s">
        <v>5020</v>
      </c>
      <c r="G1070">
        <v>17.940000000000001</v>
      </c>
      <c r="H1070">
        <v>3</v>
      </c>
      <c r="I1070">
        <v>3.8</v>
      </c>
      <c r="J1070">
        <v>21.97</v>
      </c>
      <c r="K1070">
        <v>75.7</v>
      </c>
      <c r="L1070" t="s">
        <v>5025</v>
      </c>
      <c r="M1070">
        <v>8</v>
      </c>
      <c r="N1070">
        <v>2</v>
      </c>
      <c r="O1070">
        <v>1</v>
      </c>
    </row>
    <row r="1071" spans="1:15" x14ac:dyDescent="0.3">
      <c r="A1071" t="s">
        <v>1084</v>
      </c>
      <c r="B1071">
        <v>8</v>
      </c>
      <c r="C1071">
        <v>33</v>
      </c>
      <c r="D1071" t="s">
        <v>5015</v>
      </c>
      <c r="E1071" t="s">
        <v>5018</v>
      </c>
      <c r="F1071" t="s">
        <v>5021</v>
      </c>
      <c r="G1071">
        <v>21.95</v>
      </c>
      <c r="H1071">
        <v>5</v>
      </c>
      <c r="I1071">
        <v>4.5999999999999996</v>
      </c>
      <c r="J1071">
        <v>12.29</v>
      </c>
      <c r="K1071">
        <v>14.7</v>
      </c>
      <c r="L1071" t="s">
        <v>5028</v>
      </c>
      <c r="M1071">
        <v>7</v>
      </c>
      <c r="N1071">
        <v>2</v>
      </c>
      <c r="O1071">
        <v>0</v>
      </c>
    </row>
    <row r="1072" spans="1:15" x14ac:dyDescent="0.3">
      <c r="A1072" t="s">
        <v>1085</v>
      </c>
      <c r="B1072">
        <v>6</v>
      </c>
      <c r="C1072">
        <v>53</v>
      </c>
      <c r="D1072" t="s">
        <v>5015</v>
      </c>
      <c r="E1072" t="s">
        <v>5018</v>
      </c>
      <c r="F1072" t="s">
        <v>5022</v>
      </c>
      <c r="G1072">
        <v>12.82</v>
      </c>
      <c r="H1072">
        <v>4</v>
      </c>
      <c r="I1072">
        <v>6.6</v>
      </c>
      <c r="J1072">
        <v>7.31</v>
      </c>
      <c r="K1072">
        <v>44.4</v>
      </c>
      <c r="L1072" t="s">
        <v>5027</v>
      </c>
      <c r="M1072">
        <v>9</v>
      </c>
      <c r="N1072">
        <v>3</v>
      </c>
      <c r="O1072">
        <v>0</v>
      </c>
    </row>
    <row r="1073" spans="1:15" x14ac:dyDescent="0.3">
      <c r="A1073" t="s">
        <v>1086</v>
      </c>
      <c r="B1073">
        <v>7</v>
      </c>
      <c r="C1073">
        <v>45</v>
      </c>
      <c r="D1073" t="s">
        <v>5015</v>
      </c>
      <c r="E1073" t="s">
        <v>5018</v>
      </c>
      <c r="F1073" t="s">
        <v>5023</v>
      </c>
      <c r="G1073">
        <v>16.059999999999999</v>
      </c>
      <c r="H1073">
        <v>4</v>
      </c>
      <c r="I1073">
        <v>3.1</v>
      </c>
      <c r="J1073">
        <v>19.48</v>
      </c>
      <c r="K1073">
        <v>96.7</v>
      </c>
      <c r="L1073" t="s">
        <v>5025</v>
      </c>
      <c r="M1073">
        <v>11</v>
      </c>
      <c r="N1073">
        <v>1</v>
      </c>
      <c r="O1073">
        <v>0</v>
      </c>
    </row>
    <row r="1074" spans="1:15" x14ac:dyDescent="0.3">
      <c r="A1074" t="s">
        <v>1087</v>
      </c>
      <c r="B1074">
        <v>3</v>
      </c>
      <c r="C1074">
        <v>46</v>
      </c>
      <c r="D1074" t="s">
        <v>5015</v>
      </c>
      <c r="E1074" t="s">
        <v>5019</v>
      </c>
      <c r="F1074" t="s">
        <v>5023</v>
      </c>
      <c r="G1074">
        <v>20.53</v>
      </c>
      <c r="H1074">
        <v>5</v>
      </c>
      <c r="I1074">
        <v>7.8</v>
      </c>
      <c r="J1074">
        <v>10.39</v>
      </c>
      <c r="K1074">
        <v>33.200000000000003</v>
      </c>
      <c r="L1074" t="s">
        <v>5029</v>
      </c>
      <c r="M1074">
        <v>9</v>
      </c>
      <c r="N1074">
        <v>0</v>
      </c>
      <c r="O1074">
        <v>0</v>
      </c>
    </row>
    <row r="1075" spans="1:15" x14ac:dyDescent="0.3">
      <c r="A1075" t="s">
        <v>1088</v>
      </c>
      <c r="B1075">
        <v>1</v>
      </c>
      <c r="C1075">
        <v>64</v>
      </c>
      <c r="D1075" t="s">
        <v>5015</v>
      </c>
      <c r="E1075" t="s">
        <v>5017</v>
      </c>
      <c r="F1075" t="s">
        <v>5024</v>
      </c>
      <c r="G1075">
        <v>6.7</v>
      </c>
      <c r="H1075">
        <v>1</v>
      </c>
      <c r="I1075">
        <v>3</v>
      </c>
      <c r="J1075">
        <v>7.66</v>
      </c>
      <c r="K1075">
        <v>58.8</v>
      </c>
      <c r="L1075" t="s">
        <v>5026</v>
      </c>
      <c r="M1075">
        <v>11</v>
      </c>
      <c r="N1075">
        <v>1</v>
      </c>
      <c r="O1075">
        <v>0</v>
      </c>
    </row>
    <row r="1076" spans="1:15" x14ac:dyDescent="0.3">
      <c r="A1076" t="s">
        <v>1089</v>
      </c>
      <c r="B1076">
        <v>5</v>
      </c>
      <c r="C1076">
        <v>29</v>
      </c>
      <c r="D1076" t="s">
        <v>5016</v>
      </c>
      <c r="E1076" t="s">
        <v>5019</v>
      </c>
      <c r="F1076" t="s">
        <v>5020</v>
      </c>
      <c r="G1076">
        <v>22.17</v>
      </c>
      <c r="H1076">
        <v>2</v>
      </c>
      <c r="I1076">
        <v>6.3</v>
      </c>
      <c r="J1076">
        <v>3.6</v>
      </c>
      <c r="K1076">
        <v>25.8</v>
      </c>
      <c r="L1076" t="s">
        <v>5026</v>
      </c>
      <c r="M1076">
        <v>1</v>
      </c>
      <c r="N1076">
        <v>0</v>
      </c>
      <c r="O1076">
        <v>0</v>
      </c>
    </row>
    <row r="1077" spans="1:15" x14ac:dyDescent="0.3">
      <c r="A1077" t="s">
        <v>1090</v>
      </c>
      <c r="B1077">
        <v>12</v>
      </c>
      <c r="C1077">
        <v>54</v>
      </c>
      <c r="D1077" t="s">
        <v>5016</v>
      </c>
      <c r="E1077" t="s">
        <v>5017</v>
      </c>
      <c r="F1077" t="s">
        <v>5022</v>
      </c>
      <c r="G1077">
        <v>8.14</v>
      </c>
      <c r="H1077">
        <v>4</v>
      </c>
      <c r="I1077">
        <v>7.3</v>
      </c>
      <c r="J1077">
        <v>24.35</v>
      </c>
      <c r="K1077">
        <v>39.1</v>
      </c>
      <c r="L1077" t="s">
        <v>5026</v>
      </c>
      <c r="M1077">
        <v>1</v>
      </c>
      <c r="N1077">
        <v>4</v>
      </c>
      <c r="O1077">
        <v>0</v>
      </c>
    </row>
    <row r="1078" spans="1:15" x14ac:dyDescent="0.3">
      <c r="A1078" t="s">
        <v>1091</v>
      </c>
      <c r="B1078">
        <v>12</v>
      </c>
      <c r="C1078">
        <v>47</v>
      </c>
      <c r="D1078" t="s">
        <v>5015</v>
      </c>
      <c r="E1078" t="s">
        <v>5017</v>
      </c>
      <c r="F1078" t="s">
        <v>5022</v>
      </c>
      <c r="G1078">
        <v>22.29</v>
      </c>
      <c r="H1078">
        <v>2</v>
      </c>
      <c r="I1078">
        <v>8.6999999999999993</v>
      </c>
      <c r="J1078">
        <v>13.28</v>
      </c>
      <c r="K1078">
        <v>74.5</v>
      </c>
      <c r="L1078" t="s">
        <v>5029</v>
      </c>
      <c r="M1078">
        <v>3</v>
      </c>
      <c r="N1078">
        <v>0</v>
      </c>
      <c r="O1078">
        <v>0</v>
      </c>
    </row>
    <row r="1079" spans="1:15" x14ac:dyDescent="0.3">
      <c r="A1079" t="s">
        <v>1092</v>
      </c>
      <c r="B1079">
        <v>2</v>
      </c>
      <c r="C1079">
        <v>40</v>
      </c>
      <c r="D1079" t="s">
        <v>5015</v>
      </c>
      <c r="E1079" t="s">
        <v>5019</v>
      </c>
      <c r="F1079" t="s">
        <v>5024</v>
      </c>
      <c r="G1079">
        <v>11.23</v>
      </c>
      <c r="H1079">
        <v>3</v>
      </c>
      <c r="I1079">
        <v>7.6</v>
      </c>
      <c r="J1079">
        <v>6.56</v>
      </c>
      <c r="K1079">
        <v>67.900000000000006</v>
      </c>
      <c r="L1079" t="s">
        <v>5029</v>
      </c>
      <c r="M1079">
        <v>7</v>
      </c>
      <c r="N1079">
        <v>0</v>
      </c>
      <c r="O1079">
        <v>0</v>
      </c>
    </row>
    <row r="1080" spans="1:15" x14ac:dyDescent="0.3">
      <c r="A1080" t="s">
        <v>1093</v>
      </c>
      <c r="B1080">
        <v>5</v>
      </c>
      <c r="C1080">
        <v>33</v>
      </c>
      <c r="D1080" t="s">
        <v>5016</v>
      </c>
      <c r="E1080" t="s">
        <v>5019</v>
      </c>
      <c r="F1080" t="s">
        <v>5021</v>
      </c>
      <c r="G1080">
        <v>11.54</v>
      </c>
      <c r="H1080">
        <v>3</v>
      </c>
      <c r="I1080">
        <v>8.1999999999999993</v>
      </c>
      <c r="J1080">
        <v>19.670000000000002</v>
      </c>
      <c r="K1080">
        <v>47.3</v>
      </c>
      <c r="L1080" t="s">
        <v>5026</v>
      </c>
      <c r="M1080">
        <v>3</v>
      </c>
      <c r="N1080">
        <v>0</v>
      </c>
      <c r="O1080">
        <v>0</v>
      </c>
    </row>
    <row r="1081" spans="1:15" x14ac:dyDescent="0.3">
      <c r="A1081" t="s">
        <v>1094</v>
      </c>
      <c r="B1081">
        <v>8</v>
      </c>
      <c r="C1081">
        <v>31</v>
      </c>
      <c r="D1081" t="s">
        <v>5015</v>
      </c>
      <c r="E1081" t="s">
        <v>5017</v>
      </c>
      <c r="F1081" t="s">
        <v>5021</v>
      </c>
      <c r="G1081">
        <v>6.48</v>
      </c>
      <c r="H1081">
        <v>5</v>
      </c>
      <c r="I1081">
        <v>9.1999999999999993</v>
      </c>
      <c r="J1081">
        <v>22.53</v>
      </c>
      <c r="K1081">
        <v>94.4</v>
      </c>
      <c r="L1081" t="s">
        <v>5026</v>
      </c>
      <c r="M1081">
        <v>3</v>
      </c>
      <c r="N1081">
        <v>4</v>
      </c>
      <c r="O1081">
        <v>0</v>
      </c>
    </row>
    <row r="1082" spans="1:15" x14ac:dyDescent="0.3">
      <c r="A1082" t="s">
        <v>1095</v>
      </c>
      <c r="B1082">
        <v>11</v>
      </c>
      <c r="C1082">
        <v>27</v>
      </c>
      <c r="D1082" t="s">
        <v>5016</v>
      </c>
      <c r="E1082" t="s">
        <v>5018</v>
      </c>
      <c r="F1082" t="s">
        <v>5022</v>
      </c>
      <c r="G1082">
        <v>22.72</v>
      </c>
      <c r="H1082">
        <v>5</v>
      </c>
      <c r="I1082">
        <v>6.4</v>
      </c>
      <c r="J1082">
        <v>14.62</v>
      </c>
      <c r="K1082">
        <v>79.8</v>
      </c>
      <c r="L1082" t="s">
        <v>5026</v>
      </c>
      <c r="M1082">
        <v>4</v>
      </c>
      <c r="N1082">
        <v>4</v>
      </c>
      <c r="O1082">
        <v>0</v>
      </c>
    </row>
    <row r="1083" spans="1:15" x14ac:dyDescent="0.3">
      <c r="A1083" t="s">
        <v>1096</v>
      </c>
      <c r="B1083">
        <v>9</v>
      </c>
      <c r="C1083">
        <v>24</v>
      </c>
      <c r="D1083" t="s">
        <v>5016</v>
      </c>
      <c r="E1083" t="s">
        <v>5017</v>
      </c>
      <c r="F1083" t="s">
        <v>5020</v>
      </c>
      <c r="G1083">
        <v>8.49</v>
      </c>
      <c r="H1083">
        <v>5</v>
      </c>
      <c r="I1083">
        <v>8.6</v>
      </c>
      <c r="J1083">
        <v>3.62</v>
      </c>
      <c r="K1083">
        <v>34.1</v>
      </c>
      <c r="L1083" t="s">
        <v>5025</v>
      </c>
      <c r="M1083">
        <v>8</v>
      </c>
      <c r="N1083">
        <v>2</v>
      </c>
      <c r="O1083">
        <v>1</v>
      </c>
    </row>
    <row r="1084" spans="1:15" x14ac:dyDescent="0.3">
      <c r="A1084" t="s">
        <v>1097</v>
      </c>
      <c r="B1084">
        <v>2</v>
      </c>
      <c r="C1084">
        <v>62</v>
      </c>
      <c r="D1084" t="s">
        <v>5016</v>
      </c>
      <c r="E1084" t="s">
        <v>5018</v>
      </c>
      <c r="F1084" t="s">
        <v>5021</v>
      </c>
      <c r="G1084">
        <v>17.600000000000001</v>
      </c>
      <c r="H1084">
        <v>4</v>
      </c>
      <c r="I1084">
        <v>3.1</v>
      </c>
      <c r="J1084">
        <v>11.03</v>
      </c>
      <c r="K1084">
        <v>51.9</v>
      </c>
      <c r="L1084" t="s">
        <v>5029</v>
      </c>
      <c r="M1084">
        <v>1</v>
      </c>
      <c r="N1084">
        <v>0</v>
      </c>
      <c r="O1084">
        <v>0</v>
      </c>
    </row>
    <row r="1085" spans="1:15" x14ac:dyDescent="0.3">
      <c r="A1085" t="s">
        <v>1098</v>
      </c>
      <c r="B1085">
        <v>12</v>
      </c>
      <c r="C1085">
        <v>69</v>
      </c>
      <c r="D1085" t="s">
        <v>5016</v>
      </c>
      <c r="E1085" t="s">
        <v>5019</v>
      </c>
      <c r="F1085" t="s">
        <v>5023</v>
      </c>
      <c r="G1085">
        <v>17.88</v>
      </c>
      <c r="H1085">
        <v>2</v>
      </c>
      <c r="I1085">
        <v>8.3000000000000007</v>
      </c>
      <c r="J1085">
        <v>8.35</v>
      </c>
      <c r="K1085">
        <v>89</v>
      </c>
      <c r="L1085" t="s">
        <v>5028</v>
      </c>
      <c r="M1085">
        <v>4</v>
      </c>
      <c r="N1085">
        <v>1</v>
      </c>
      <c r="O1085">
        <v>1</v>
      </c>
    </row>
    <row r="1086" spans="1:15" x14ac:dyDescent="0.3">
      <c r="A1086" t="s">
        <v>1099</v>
      </c>
      <c r="B1086">
        <v>3</v>
      </c>
      <c r="C1086">
        <v>54</v>
      </c>
      <c r="D1086" t="s">
        <v>5015</v>
      </c>
      <c r="E1086" t="s">
        <v>5019</v>
      </c>
      <c r="F1086" t="s">
        <v>5024</v>
      </c>
      <c r="G1086">
        <v>10.62</v>
      </c>
      <c r="H1086">
        <v>3</v>
      </c>
      <c r="I1086">
        <v>3</v>
      </c>
      <c r="J1086">
        <v>17</v>
      </c>
      <c r="K1086">
        <v>12</v>
      </c>
      <c r="L1086" t="s">
        <v>5025</v>
      </c>
      <c r="M1086">
        <v>4</v>
      </c>
      <c r="N1086">
        <v>3</v>
      </c>
      <c r="O1086">
        <v>1</v>
      </c>
    </row>
    <row r="1087" spans="1:15" x14ac:dyDescent="0.3">
      <c r="A1087" t="s">
        <v>1100</v>
      </c>
      <c r="B1087">
        <v>3</v>
      </c>
      <c r="C1087">
        <v>46</v>
      </c>
      <c r="D1087" t="s">
        <v>5015</v>
      </c>
      <c r="E1087" t="s">
        <v>5018</v>
      </c>
      <c r="F1087" t="s">
        <v>5020</v>
      </c>
      <c r="G1087">
        <v>24.71</v>
      </c>
      <c r="H1087">
        <v>2</v>
      </c>
      <c r="I1087">
        <v>9.4</v>
      </c>
      <c r="J1087">
        <v>14.41</v>
      </c>
      <c r="K1087">
        <v>62.3</v>
      </c>
      <c r="L1087" t="s">
        <v>5028</v>
      </c>
      <c r="M1087">
        <v>8</v>
      </c>
      <c r="N1087">
        <v>2</v>
      </c>
      <c r="O1087">
        <v>0</v>
      </c>
    </row>
    <row r="1088" spans="1:15" x14ac:dyDescent="0.3">
      <c r="A1088" t="s">
        <v>1101</v>
      </c>
      <c r="B1088">
        <v>1</v>
      </c>
      <c r="C1088">
        <v>20</v>
      </c>
      <c r="D1088" t="s">
        <v>5016</v>
      </c>
      <c r="E1088" t="s">
        <v>5018</v>
      </c>
      <c r="F1088" t="s">
        <v>5021</v>
      </c>
      <c r="G1088">
        <v>6.28</v>
      </c>
      <c r="H1088">
        <v>4</v>
      </c>
      <c r="I1088">
        <v>4</v>
      </c>
      <c r="J1088">
        <v>10.83</v>
      </c>
      <c r="K1088">
        <v>30.9</v>
      </c>
      <c r="L1088" t="s">
        <v>5025</v>
      </c>
      <c r="M1088">
        <v>7</v>
      </c>
      <c r="N1088">
        <v>0</v>
      </c>
      <c r="O1088">
        <v>0</v>
      </c>
    </row>
    <row r="1089" spans="1:15" x14ac:dyDescent="0.3">
      <c r="A1089" t="s">
        <v>1102</v>
      </c>
      <c r="B1089">
        <v>8</v>
      </c>
      <c r="C1089">
        <v>32</v>
      </c>
      <c r="D1089" t="s">
        <v>5015</v>
      </c>
      <c r="E1089" t="s">
        <v>5018</v>
      </c>
      <c r="F1089" t="s">
        <v>5022</v>
      </c>
      <c r="G1089">
        <v>17.16</v>
      </c>
      <c r="H1089">
        <v>2</v>
      </c>
      <c r="I1089">
        <v>2.5</v>
      </c>
      <c r="J1089">
        <v>17.27</v>
      </c>
      <c r="K1089">
        <v>15.7</v>
      </c>
      <c r="L1089" t="s">
        <v>5025</v>
      </c>
      <c r="M1089">
        <v>4</v>
      </c>
      <c r="N1089">
        <v>2</v>
      </c>
      <c r="O1089">
        <v>1</v>
      </c>
    </row>
    <row r="1090" spans="1:15" x14ac:dyDescent="0.3">
      <c r="A1090" t="s">
        <v>1103</v>
      </c>
      <c r="B1090">
        <v>6</v>
      </c>
      <c r="C1090">
        <v>53</v>
      </c>
      <c r="D1090" t="s">
        <v>5015</v>
      </c>
      <c r="E1090" t="s">
        <v>5018</v>
      </c>
      <c r="F1090" t="s">
        <v>5024</v>
      </c>
      <c r="G1090">
        <v>14.59</v>
      </c>
      <c r="H1090">
        <v>2</v>
      </c>
      <c r="I1090">
        <v>2.2999999999999998</v>
      </c>
      <c r="J1090">
        <v>15.86</v>
      </c>
      <c r="K1090">
        <v>92.2</v>
      </c>
      <c r="L1090" t="s">
        <v>5028</v>
      </c>
      <c r="M1090">
        <v>8</v>
      </c>
      <c r="N1090">
        <v>0</v>
      </c>
      <c r="O1090">
        <v>0</v>
      </c>
    </row>
    <row r="1091" spans="1:15" x14ac:dyDescent="0.3">
      <c r="A1091" t="s">
        <v>1104</v>
      </c>
      <c r="B1091">
        <v>12</v>
      </c>
      <c r="C1091">
        <v>64</v>
      </c>
      <c r="D1091" t="s">
        <v>5015</v>
      </c>
      <c r="E1091" t="s">
        <v>5019</v>
      </c>
      <c r="F1091" t="s">
        <v>5021</v>
      </c>
      <c r="G1091">
        <v>9.91</v>
      </c>
      <c r="H1091">
        <v>5</v>
      </c>
      <c r="I1091">
        <v>2.7</v>
      </c>
      <c r="J1091">
        <v>22.94</v>
      </c>
      <c r="K1091">
        <v>83.5</v>
      </c>
      <c r="L1091" t="s">
        <v>5026</v>
      </c>
      <c r="M1091">
        <v>11</v>
      </c>
      <c r="N1091">
        <v>0</v>
      </c>
      <c r="O1091">
        <v>0</v>
      </c>
    </row>
    <row r="1092" spans="1:15" x14ac:dyDescent="0.3">
      <c r="A1092" t="s">
        <v>1105</v>
      </c>
      <c r="B1092">
        <v>8</v>
      </c>
      <c r="C1092">
        <v>63</v>
      </c>
      <c r="D1092" t="s">
        <v>5015</v>
      </c>
      <c r="E1092" t="s">
        <v>5019</v>
      </c>
      <c r="F1092" t="s">
        <v>5022</v>
      </c>
      <c r="G1092">
        <v>8.27</v>
      </c>
      <c r="H1092">
        <v>2</v>
      </c>
      <c r="I1092">
        <v>5</v>
      </c>
      <c r="J1092">
        <v>16.13</v>
      </c>
      <c r="K1092">
        <v>26.7</v>
      </c>
      <c r="L1092" t="s">
        <v>5028</v>
      </c>
      <c r="M1092">
        <v>3</v>
      </c>
      <c r="N1092">
        <v>2</v>
      </c>
      <c r="O1092">
        <v>0</v>
      </c>
    </row>
    <row r="1093" spans="1:15" x14ac:dyDescent="0.3">
      <c r="A1093" t="s">
        <v>1106</v>
      </c>
      <c r="B1093">
        <v>11</v>
      </c>
      <c r="C1093">
        <v>69</v>
      </c>
      <c r="D1093" t="s">
        <v>5016</v>
      </c>
      <c r="E1093" t="s">
        <v>5018</v>
      </c>
      <c r="F1093" t="s">
        <v>5021</v>
      </c>
      <c r="G1093">
        <v>19.739999999999998</v>
      </c>
      <c r="H1093">
        <v>2</v>
      </c>
      <c r="I1093">
        <v>5.7</v>
      </c>
      <c r="J1093">
        <v>14.17</v>
      </c>
      <c r="K1093">
        <v>85.3</v>
      </c>
      <c r="L1093" t="s">
        <v>5027</v>
      </c>
      <c r="M1093">
        <v>10</v>
      </c>
      <c r="N1093">
        <v>0</v>
      </c>
      <c r="O1093">
        <v>0</v>
      </c>
    </row>
    <row r="1094" spans="1:15" x14ac:dyDescent="0.3">
      <c r="A1094" t="s">
        <v>1107</v>
      </c>
      <c r="B1094">
        <v>9</v>
      </c>
      <c r="C1094">
        <v>36</v>
      </c>
      <c r="D1094" t="s">
        <v>5015</v>
      </c>
      <c r="E1094" t="s">
        <v>5018</v>
      </c>
      <c r="F1094" t="s">
        <v>5024</v>
      </c>
      <c r="G1094">
        <v>23.33</v>
      </c>
      <c r="H1094">
        <v>2</v>
      </c>
      <c r="I1094">
        <v>9.1999999999999993</v>
      </c>
      <c r="J1094">
        <v>21.12</v>
      </c>
      <c r="K1094">
        <v>23.2</v>
      </c>
      <c r="L1094" t="s">
        <v>5029</v>
      </c>
      <c r="M1094">
        <v>7</v>
      </c>
      <c r="N1094">
        <v>0</v>
      </c>
      <c r="O1094">
        <v>0</v>
      </c>
    </row>
    <row r="1095" spans="1:15" x14ac:dyDescent="0.3">
      <c r="A1095" t="s">
        <v>1108</v>
      </c>
      <c r="B1095">
        <v>5</v>
      </c>
      <c r="C1095">
        <v>30</v>
      </c>
      <c r="D1095" t="s">
        <v>5016</v>
      </c>
      <c r="E1095" t="s">
        <v>5017</v>
      </c>
      <c r="F1095" t="s">
        <v>5023</v>
      </c>
      <c r="G1095">
        <v>7.15</v>
      </c>
      <c r="H1095">
        <v>1</v>
      </c>
      <c r="I1095">
        <v>4.4000000000000004</v>
      </c>
      <c r="J1095">
        <v>7.45</v>
      </c>
      <c r="K1095">
        <v>52.9</v>
      </c>
      <c r="L1095" t="s">
        <v>5027</v>
      </c>
      <c r="M1095">
        <v>9</v>
      </c>
      <c r="N1095">
        <v>3</v>
      </c>
      <c r="O1095">
        <v>1</v>
      </c>
    </row>
    <row r="1096" spans="1:15" x14ac:dyDescent="0.3">
      <c r="A1096" t="s">
        <v>1109</v>
      </c>
      <c r="B1096">
        <v>12</v>
      </c>
      <c r="C1096">
        <v>59</v>
      </c>
      <c r="D1096" t="s">
        <v>5016</v>
      </c>
      <c r="E1096" t="s">
        <v>5017</v>
      </c>
      <c r="F1096" t="s">
        <v>5023</v>
      </c>
      <c r="G1096">
        <v>8.8800000000000008</v>
      </c>
      <c r="H1096">
        <v>3</v>
      </c>
      <c r="I1096">
        <v>3</v>
      </c>
      <c r="J1096">
        <v>8.36</v>
      </c>
      <c r="K1096">
        <v>75.3</v>
      </c>
      <c r="L1096" t="s">
        <v>5025</v>
      </c>
      <c r="M1096">
        <v>6</v>
      </c>
      <c r="N1096">
        <v>1</v>
      </c>
      <c r="O1096">
        <v>0</v>
      </c>
    </row>
    <row r="1097" spans="1:15" x14ac:dyDescent="0.3">
      <c r="A1097" t="s">
        <v>1110</v>
      </c>
      <c r="B1097">
        <v>3</v>
      </c>
      <c r="C1097">
        <v>38</v>
      </c>
      <c r="D1097" t="s">
        <v>5015</v>
      </c>
      <c r="E1097" t="s">
        <v>5019</v>
      </c>
      <c r="F1097" t="s">
        <v>5022</v>
      </c>
      <c r="G1097">
        <v>24.73</v>
      </c>
      <c r="H1097">
        <v>3</v>
      </c>
      <c r="I1097">
        <v>7.7</v>
      </c>
      <c r="J1097">
        <v>20.239999999999998</v>
      </c>
      <c r="K1097">
        <v>58</v>
      </c>
      <c r="L1097" t="s">
        <v>5028</v>
      </c>
      <c r="M1097">
        <v>4</v>
      </c>
      <c r="N1097">
        <v>4</v>
      </c>
      <c r="O1097">
        <v>1</v>
      </c>
    </row>
    <row r="1098" spans="1:15" x14ac:dyDescent="0.3">
      <c r="A1098" t="s">
        <v>1111</v>
      </c>
      <c r="B1098">
        <v>5</v>
      </c>
      <c r="C1098">
        <v>54</v>
      </c>
      <c r="D1098" t="s">
        <v>5016</v>
      </c>
      <c r="E1098" t="s">
        <v>5018</v>
      </c>
      <c r="F1098" t="s">
        <v>5023</v>
      </c>
      <c r="G1098">
        <v>5.3</v>
      </c>
      <c r="H1098">
        <v>2</v>
      </c>
      <c r="I1098">
        <v>2.2000000000000002</v>
      </c>
      <c r="J1098">
        <v>12.73</v>
      </c>
      <c r="K1098">
        <v>86.6</v>
      </c>
      <c r="L1098" t="s">
        <v>5026</v>
      </c>
      <c r="M1098">
        <v>4</v>
      </c>
      <c r="N1098">
        <v>3</v>
      </c>
      <c r="O1098">
        <v>0</v>
      </c>
    </row>
    <row r="1099" spans="1:15" x14ac:dyDescent="0.3">
      <c r="A1099" t="s">
        <v>1112</v>
      </c>
      <c r="B1099">
        <v>5</v>
      </c>
      <c r="C1099">
        <v>44</v>
      </c>
      <c r="D1099" t="s">
        <v>5015</v>
      </c>
      <c r="E1099" t="s">
        <v>5018</v>
      </c>
      <c r="F1099" t="s">
        <v>5024</v>
      </c>
      <c r="G1099">
        <v>15.17</v>
      </c>
      <c r="H1099">
        <v>5</v>
      </c>
      <c r="I1099">
        <v>9</v>
      </c>
      <c r="J1099">
        <v>12</v>
      </c>
      <c r="K1099">
        <v>65.5</v>
      </c>
      <c r="L1099" t="s">
        <v>5026</v>
      </c>
      <c r="M1099">
        <v>1</v>
      </c>
      <c r="N1099">
        <v>4</v>
      </c>
      <c r="O1099">
        <v>0</v>
      </c>
    </row>
    <row r="1100" spans="1:15" x14ac:dyDescent="0.3">
      <c r="A1100" t="s">
        <v>1113</v>
      </c>
      <c r="B1100">
        <v>5</v>
      </c>
      <c r="C1100">
        <v>69</v>
      </c>
      <c r="D1100" t="s">
        <v>5015</v>
      </c>
      <c r="E1100" t="s">
        <v>5018</v>
      </c>
      <c r="F1100" t="s">
        <v>5022</v>
      </c>
      <c r="G1100">
        <v>15.32</v>
      </c>
      <c r="H1100">
        <v>5</v>
      </c>
      <c r="I1100">
        <v>4.7</v>
      </c>
      <c r="J1100">
        <v>22.52</v>
      </c>
      <c r="K1100">
        <v>48.9</v>
      </c>
      <c r="L1100" t="s">
        <v>5027</v>
      </c>
      <c r="M1100">
        <v>6</v>
      </c>
      <c r="N1100">
        <v>4</v>
      </c>
      <c r="O1100">
        <v>0</v>
      </c>
    </row>
    <row r="1101" spans="1:15" x14ac:dyDescent="0.3">
      <c r="A1101" t="s">
        <v>1114</v>
      </c>
      <c r="B1101">
        <v>3</v>
      </c>
      <c r="C1101">
        <v>46</v>
      </c>
      <c r="D1101" t="s">
        <v>5016</v>
      </c>
      <c r="E1101" t="s">
        <v>5019</v>
      </c>
      <c r="F1101" t="s">
        <v>5021</v>
      </c>
      <c r="G1101">
        <v>10.26</v>
      </c>
      <c r="H1101">
        <v>5</v>
      </c>
      <c r="I1101">
        <v>6.5</v>
      </c>
      <c r="J1101">
        <v>16.420000000000002</v>
      </c>
      <c r="K1101">
        <v>93.3</v>
      </c>
      <c r="L1101" t="s">
        <v>5027</v>
      </c>
      <c r="M1101">
        <v>3</v>
      </c>
      <c r="N1101">
        <v>1</v>
      </c>
      <c r="O1101">
        <v>0</v>
      </c>
    </row>
    <row r="1102" spans="1:15" x14ac:dyDescent="0.3">
      <c r="A1102" t="s">
        <v>1115</v>
      </c>
      <c r="B1102">
        <v>11</v>
      </c>
      <c r="C1102">
        <v>37</v>
      </c>
      <c r="D1102" t="s">
        <v>5015</v>
      </c>
      <c r="E1102" t="s">
        <v>5017</v>
      </c>
      <c r="F1102" t="s">
        <v>5020</v>
      </c>
      <c r="G1102">
        <v>18.260000000000002</v>
      </c>
      <c r="H1102">
        <v>3</v>
      </c>
      <c r="I1102">
        <v>2.7</v>
      </c>
      <c r="J1102">
        <v>20.66</v>
      </c>
      <c r="K1102">
        <v>13.3</v>
      </c>
      <c r="L1102" t="s">
        <v>5025</v>
      </c>
      <c r="M1102">
        <v>3</v>
      </c>
      <c r="N1102">
        <v>3</v>
      </c>
      <c r="O1102">
        <v>1</v>
      </c>
    </row>
    <row r="1103" spans="1:15" x14ac:dyDescent="0.3">
      <c r="A1103" t="s">
        <v>1116</v>
      </c>
      <c r="B1103">
        <v>10</v>
      </c>
      <c r="C1103">
        <v>42</v>
      </c>
      <c r="D1103" t="s">
        <v>5016</v>
      </c>
      <c r="E1103" t="s">
        <v>5019</v>
      </c>
      <c r="F1103" t="s">
        <v>5021</v>
      </c>
      <c r="G1103">
        <v>23.9</v>
      </c>
      <c r="H1103">
        <v>4</v>
      </c>
      <c r="I1103">
        <v>2.2999999999999998</v>
      </c>
      <c r="J1103">
        <v>20.82</v>
      </c>
      <c r="K1103">
        <v>54</v>
      </c>
      <c r="L1103" t="s">
        <v>5029</v>
      </c>
      <c r="M1103">
        <v>1</v>
      </c>
      <c r="N1103">
        <v>0</v>
      </c>
      <c r="O1103">
        <v>0</v>
      </c>
    </row>
    <row r="1104" spans="1:15" x14ac:dyDescent="0.3">
      <c r="A1104" t="s">
        <v>1117</v>
      </c>
      <c r="B1104">
        <v>4</v>
      </c>
      <c r="C1104">
        <v>23</v>
      </c>
      <c r="D1104" t="s">
        <v>5016</v>
      </c>
      <c r="E1104" t="s">
        <v>5019</v>
      </c>
      <c r="F1104" t="s">
        <v>5024</v>
      </c>
      <c r="G1104">
        <v>14</v>
      </c>
      <c r="H1104">
        <v>2</v>
      </c>
      <c r="I1104">
        <v>8.1999999999999993</v>
      </c>
      <c r="J1104">
        <v>5.64</v>
      </c>
      <c r="K1104">
        <v>69.5</v>
      </c>
      <c r="L1104" t="s">
        <v>5025</v>
      </c>
      <c r="M1104">
        <v>7</v>
      </c>
      <c r="N1104">
        <v>1</v>
      </c>
      <c r="O1104">
        <v>0</v>
      </c>
    </row>
    <row r="1105" spans="1:15" x14ac:dyDescent="0.3">
      <c r="A1105" t="s">
        <v>1118</v>
      </c>
      <c r="B1105">
        <v>9</v>
      </c>
      <c r="C1105">
        <v>53</v>
      </c>
      <c r="D1105" t="s">
        <v>5015</v>
      </c>
      <c r="E1105" t="s">
        <v>5019</v>
      </c>
      <c r="F1105" t="s">
        <v>5022</v>
      </c>
      <c r="G1105">
        <v>19.989999999999998</v>
      </c>
      <c r="H1105">
        <v>3</v>
      </c>
      <c r="I1105">
        <v>4.9000000000000004</v>
      </c>
      <c r="J1105">
        <v>17.38</v>
      </c>
      <c r="K1105">
        <v>85.2</v>
      </c>
      <c r="L1105" t="s">
        <v>5026</v>
      </c>
      <c r="M1105">
        <v>9</v>
      </c>
      <c r="N1105">
        <v>0</v>
      </c>
      <c r="O1105">
        <v>1</v>
      </c>
    </row>
    <row r="1106" spans="1:15" x14ac:dyDescent="0.3">
      <c r="A1106" t="s">
        <v>1119</v>
      </c>
      <c r="B1106">
        <v>10</v>
      </c>
      <c r="C1106">
        <v>19</v>
      </c>
      <c r="D1106" t="s">
        <v>5015</v>
      </c>
      <c r="E1106" t="s">
        <v>5018</v>
      </c>
      <c r="F1106" t="s">
        <v>5021</v>
      </c>
      <c r="G1106">
        <v>17.920000000000002</v>
      </c>
      <c r="H1106">
        <v>5</v>
      </c>
      <c r="I1106">
        <v>9.9</v>
      </c>
      <c r="J1106">
        <v>23.96</v>
      </c>
      <c r="K1106">
        <v>58.7</v>
      </c>
      <c r="L1106" t="s">
        <v>5028</v>
      </c>
      <c r="M1106">
        <v>3</v>
      </c>
      <c r="N1106">
        <v>0</v>
      </c>
      <c r="O1106">
        <v>0</v>
      </c>
    </row>
    <row r="1107" spans="1:15" x14ac:dyDescent="0.3">
      <c r="A1107" t="s">
        <v>1120</v>
      </c>
      <c r="B1107">
        <v>9</v>
      </c>
      <c r="C1107">
        <v>39</v>
      </c>
      <c r="D1107" t="s">
        <v>5015</v>
      </c>
      <c r="E1107" t="s">
        <v>5017</v>
      </c>
      <c r="F1107" t="s">
        <v>5022</v>
      </c>
      <c r="G1107">
        <v>14.46</v>
      </c>
      <c r="H1107">
        <v>3</v>
      </c>
      <c r="I1107">
        <v>5.7</v>
      </c>
      <c r="J1107">
        <v>13.56</v>
      </c>
      <c r="K1107">
        <v>89.7</v>
      </c>
      <c r="L1107" t="s">
        <v>5027</v>
      </c>
      <c r="M1107">
        <v>7</v>
      </c>
      <c r="N1107">
        <v>0</v>
      </c>
      <c r="O1107">
        <v>0</v>
      </c>
    </row>
    <row r="1108" spans="1:15" x14ac:dyDescent="0.3">
      <c r="A1108" t="s">
        <v>1121</v>
      </c>
      <c r="B1108">
        <v>2</v>
      </c>
      <c r="C1108">
        <v>49</v>
      </c>
      <c r="D1108" t="s">
        <v>5016</v>
      </c>
      <c r="E1108" t="s">
        <v>5018</v>
      </c>
      <c r="F1108" t="s">
        <v>5023</v>
      </c>
      <c r="G1108">
        <v>6</v>
      </c>
      <c r="H1108">
        <v>3</v>
      </c>
      <c r="I1108">
        <v>8.6</v>
      </c>
      <c r="J1108">
        <v>19.11</v>
      </c>
      <c r="K1108">
        <v>48.4</v>
      </c>
      <c r="L1108" t="s">
        <v>5026</v>
      </c>
      <c r="M1108">
        <v>9</v>
      </c>
      <c r="N1108">
        <v>0</v>
      </c>
      <c r="O1108">
        <v>0</v>
      </c>
    </row>
    <row r="1109" spans="1:15" x14ac:dyDescent="0.3">
      <c r="A1109" t="s">
        <v>1122</v>
      </c>
      <c r="B1109">
        <v>8</v>
      </c>
      <c r="C1109">
        <v>33</v>
      </c>
      <c r="D1109" t="s">
        <v>5015</v>
      </c>
      <c r="E1109" t="s">
        <v>5018</v>
      </c>
      <c r="F1109" t="s">
        <v>5020</v>
      </c>
      <c r="G1109">
        <v>19.829999999999998</v>
      </c>
      <c r="H1109">
        <v>3</v>
      </c>
      <c r="I1109">
        <v>9.8000000000000007</v>
      </c>
      <c r="J1109">
        <v>15.47</v>
      </c>
      <c r="K1109">
        <v>38.5</v>
      </c>
      <c r="L1109" t="s">
        <v>5025</v>
      </c>
      <c r="M1109">
        <v>3</v>
      </c>
      <c r="N1109">
        <v>3</v>
      </c>
      <c r="O1109">
        <v>0</v>
      </c>
    </row>
    <row r="1110" spans="1:15" x14ac:dyDescent="0.3">
      <c r="A1110" t="s">
        <v>1123</v>
      </c>
      <c r="B1110">
        <v>8</v>
      </c>
      <c r="C1110">
        <v>35</v>
      </c>
      <c r="D1110" t="s">
        <v>5016</v>
      </c>
      <c r="E1110" t="s">
        <v>5017</v>
      </c>
      <c r="F1110" t="s">
        <v>5024</v>
      </c>
      <c r="G1110">
        <v>12.27</v>
      </c>
      <c r="H1110">
        <v>5</v>
      </c>
      <c r="I1110">
        <v>3.5</v>
      </c>
      <c r="J1110">
        <v>7.51</v>
      </c>
      <c r="K1110">
        <v>97.6</v>
      </c>
      <c r="L1110" t="s">
        <v>5029</v>
      </c>
      <c r="M1110">
        <v>9</v>
      </c>
      <c r="N1110">
        <v>4</v>
      </c>
      <c r="O1110">
        <v>0</v>
      </c>
    </row>
    <row r="1111" spans="1:15" x14ac:dyDescent="0.3">
      <c r="A1111" t="s">
        <v>1124</v>
      </c>
      <c r="B1111">
        <v>7</v>
      </c>
      <c r="C1111">
        <v>22</v>
      </c>
      <c r="D1111" t="s">
        <v>5016</v>
      </c>
      <c r="E1111" t="s">
        <v>5018</v>
      </c>
      <c r="F1111" t="s">
        <v>5021</v>
      </c>
      <c r="G1111">
        <v>9.49</v>
      </c>
      <c r="H1111">
        <v>4</v>
      </c>
      <c r="I1111">
        <v>8.1999999999999993</v>
      </c>
      <c r="J1111">
        <v>7.29</v>
      </c>
      <c r="K1111">
        <v>70</v>
      </c>
      <c r="L1111" t="s">
        <v>5028</v>
      </c>
      <c r="M1111">
        <v>11</v>
      </c>
      <c r="N1111">
        <v>4</v>
      </c>
      <c r="O1111">
        <v>0</v>
      </c>
    </row>
    <row r="1112" spans="1:15" x14ac:dyDescent="0.3">
      <c r="A1112" t="s">
        <v>1125</v>
      </c>
      <c r="B1112">
        <v>8</v>
      </c>
      <c r="C1112">
        <v>53</v>
      </c>
      <c r="D1112" t="s">
        <v>5015</v>
      </c>
      <c r="E1112" t="s">
        <v>5018</v>
      </c>
      <c r="F1112" t="s">
        <v>5020</v>
      </c>
      <c r="G1112">
        <v>23.97</v>
      </c>
      <c r="H1112">
        <v>1</v>
      </c>
      <c r="I1112">
        <v>1.2</v>
      </c>
      <c r="J1112">
        <v>12.54</v>
      </c>
      <c r="K1112">
        <v>48.3</v>
      </c>
      <c r="L1112" t="s">
        <v>5029</v>
      </c>
      <c r="M1112">
        <v>2</v>
      </c>
      <c r="N1112">
        <v>3</v>
      </c>
      <c r="O1112">
        <v>0</v>
      </c>
    </row>
    <row r="1113" spans="1:15" x14ac:dyDescent="0.3">
      <c r="A1113" t="s">
        <v>1126</v>
      </c>
      <c r="B1113">
        <v>3</v>
      </c>
      <c r="C1113">
        <v>47</v>
      </c>
      <c r="D1113" t="s">
        <v>5015</v>
      </c>
      <c r="E1113" t="s">
        <v>5019</v>
      </c>
      <c r="F1113" t="s">
        <v>5024</v>
      </c>
      <c r="G1113">
        <v>20.47</v>
      </c>
      <c r="H1113">
        <v>2</v>
      </c>
      <c r="I1113">
        <v>7.1</v>
      </c>
      <c r="J1113">
        <v>13.63</v>
      </c>
      <c r="K1113">
        <v>89</v>
      </c>
      <c r="L1113" t="s">
        <v>5025</v>
      </c>
      <c r="M1113">
        <v>3</v>
      </c>
      <c r="N1113">
        <v>4</v>
      </c>
      <c r="O1113">
        <v>0</v>
      </c>
    </row>
    <row r="1114" spans="1:15" x14ac:dyDescent="0.3">
      <c r="A1114" t="s">
        <v>1127</v>
      </c>
      <c r="B1114">
        <v>6</v>
      </c>
      <c r="C1114">
        <v>62</v>
      </c>
      <c r="D1114" t="s">
        <v>5015</v>
      </c>
      <c r="E1114" t="s">
        <v>5017</v>
      </c>
      <c r="F1114" t="s">
        <v>5024</v>
      </c>
      <c r="G1114">
        <v>24.25</v>
      </c>
      <c r="H1114">
        <v>2</v>
      </c>
      <c r="I1114">
        <v>7.7</v>
      </c>
      <c r="J1114">
        <v>14.07</v>
      </c>
      <c r="K1114">
        <v>71.5</v>
      </c>
      <c r="L1114" t="s">
        <v>5025</v>
      </c>
      <c r="M1114">
        <v>11</v>
      </c>
      <c r="N1114">
        <v>1</v>
      </c>
      <c r="O1114">
        <v>0</v>
      </c>
    </row>
    <row r="1115" spans="1:15" x14ac:dyDescent="0.3">
      <c r="A1115" t="s">
        <v>1128</v>
      </c>
      <c r="B1115">
        <v>1</v>
      </c>
      <c r="C1115">
        <v>36</v>
      </c>
      <c r="D1115" t="s">
        <v>5016</v>
      </c>
      <c r="E1115" t="s">
        <v>5018</v>
      </c>
      <c r="F1115" t="s">
        <v>5023</v>
      </c>
      <c r="G1115">
        <v>10.119999999999999</v>
      </c>
      <c r="H1115">
        <v>3</v>
      </c>
      <c r="I1115">
        <v>5.3</v>
      </c>
      <c r="J1115">
        <v>24.01</v>
      </c>
      <c r="K1115">
        <v>67.400000000000006</v>
      </c>
      <c r="L1115" t="s">
        <v>5026</v>
      </c>
      <c r="M1115">
        <v>4</v>
      </c>
      <c r="N1115">
        <v>0</v>
      </c>
      <c r="O1115">
        <v>0</v>
      </c>
    </row>
    <row r="1116" spans="1:15" x14ac:dyDescent="0.3">
      <c r="A1116" t="s">
        <v>1129</v>
      </c>
      <c r="B1116">
        <v>7</v>
      </c>
      <c r="C1116">
        <v>40</v>
      </c>
      <c r="D1116" t="s">
        <v>5015</v>
      </c>
      <c r="E1116" t="s">
        <v>5019</v>
      </c>
      <c r="F1116" t="s">
        <v>5022</v>
      </c>
      <c r="G1116">
        <v>21.72</v>
      </c>
      <c r="H1116">
        <v>4</v>
      </c>
      <c r="I1116">
        <v>2.5</v>
      </c>
      <c r="J1116">
        <v>5.21</v>
      </c>
      <c r="K1116">
        <v>75.599999999999994</v>
      </c>
      <c r="L1116" t="s">
        <v>5028</v>
      </c>
      <c r="M1116">
        <v>7</v>
      </c>
      <c r="N1116">
        <v>0</v>
      </c>
      <c r="O1116">
        <v>0</v>
      </c>
    </row>
    <row r="1117" spans="1:15" x14ac:dyDescent="0.3">
      <c r="A1117" t="s">
        <v>1130</v>
      </c>
      <c r="B1117">
        <v>1</v>
      </c>
      <c r="C1117">
        <v>51</v>
      </c>
      <c r="D1117" t="s">
        <v>5016</v>
      </c>
      <c r="E1117" t="s">
        <v>5019</v>
      </c>
      <c r="F1117" t="s">
        <v>5022</v>
      </c>
      <c r="G1117">
        <v>17.149999999999999</v>
      </c>
      <c r="H1117">
        <v>5</v>
      </c>
      <c r="I1117">
        <v>6.6</v>
      </c>
      <c r="J1117">
        <v>11.37</v>
      </c>
      <c r="K1117">
        <v>76.400000000000006</v>
      </c>
      <c r="L1117" t="s">
        <v>5025</v>
      </c>
      <c r="M1117">
        <v>11</v>
      </c>
      <c r="N1117">
        <v>0</v>
      </c>
      <c r="O1117">
        <v>0</v>
      </c>
    </row>
    <row r="1118" spans="1:15" x14ac:dyDescent="0.3">
      <c r="A1118" t="s">
        <v>1131</v>
      </c>
      <c r="B1118">
        <v>9</v>
      </c>
      <c r="C1118">
        <v>30</v>
      </c>
      <c r="D1118" t="s">
        <v>5015</v>
      </c>
      <c r="E1118" t="s">
        <v>5019</v>
      </c>
      <c r="F1118" t="s">
        <v>5020</v>
      </c>
      <c r="G1118">
        <v>24.63</v>
      </c>
      <c r="H1118">
        <v>1</v>
      </c>
      <c r="I1118">
        <v>9.1</v>
      </c>
      <c r="J1118">
        <v>14.32</v>
      </c>
      <c r="K1118">
        <v>54.4</v>
      </c>
      <c r="L1118" t="s">
        <v>5026</v>
      </c>
      <c r="M1118">
        <v>9</v>
      </c>
      <c r="N1118">
        <v>2</v>
      </c>
      <c r="O1118">
        <v>0</v>
      </c>
    </row>
    <row r="1119" spans="1:15" x14ac:dyDescent="0.3">
      <c r="A1119" t="s">
        <v>1132</v>
      </c>
      <c r="B1119">
        <v>1</v>
      </c>
      <c r="C1119">
        <v>60</v>
      </c>
      <c r="D1119" t="s">
        <v>5015</v>
      </c>
      <c r="E1119" t="s">
        <v>5019</v>
      </c>
      <c r="F1119" t="s">
        <v>5023</v>
      </c>
      <c r="G1119">
        <v>23.93</v>
      </c>
      <c r="H1119">
        <v>1</v>
      </c>
      <c r="I1119">
        <v>9.4</v>
      </c>
      <c r="J1119">
        <v>24.19</v>
      </c>
      <c r="K1119">
        <v>47.7</v>
      </c>
      <c r="L1119" t="s">
        <v>5025</v>
      </c>
      <c r="M1119">
        <v>1</v>
      </c>
      <c r="N1119">
        <v>1</v>
      </c>
      <c r="O1119">
        <v>1</v>
      </c>
    </row>
    <row r="1120" spans="1:15" x14ac:dyDescent="0.3">
      <c r="A1120" t="s">
        <v>1133</v>
      </c>
      <c r="B1120">
        <v>1</v>
      </c>
      <c r="C1120">
        <v>46</v>
      </c>
      <c r="D1120" t="s">
        <v>5016</v>
      </c>
      <c r="E1120" t="s">
        <v>5019</v>
      </c>
      <c r="F1120" t="s">
        <v>5024</v>
      </c>
      <c r="G1120">
        <v>24.46</v>
      </c>
      <c r="H1120">
        <v>3</v>
      </c>
      <c r="I1120">
        <v>7.7</v>
      </c>
      <c r="J1120">
        <v>14.09</v>
      </c>
      <c r="K1120">
        <v>91.8</v>
      </c>
      <c r="L1120" t="s">
        <v>5026</v>
      </c>
      <c r="M1120">
        <v>9</v>
      </c>
      <c r="N1120">
        <v>2</v>
      </c>
      <c r="O1120">
        <v>1</v>
      </c>
    </row>
    <row r="1121" spans="1:15" x14ac:dyDescent="0.3">
      <c r="A1121" t="s">
        <v>1134</v>
      </c>
      <c r="B1121">
        <v>7</v>
      </c>
      <c r="C1121">
        <v>53</v>
      </c>
      <c r="D1121" t="s">
        <v>5016</v>
      </c>
      <c r="E1121" t="s">
        <v>5018</v>
      </c>
      <c r="F1121" t="s">
        <v>5023</v>
      </c>
      <c r="G1121">
        <v>24.04</v>
      </c>
      <c r="H1121">
        <v>3</v>
      </c>
      <c r="I1121">
        <v>3.4</v>
      </c>
      <c r="J1121">
        <v>20.059999999999999</v>
      </c>
      <c r="K1121">
        <v>54.8</v>
      </c>
      <c r="L1121" t="s">
        <v>5029</v>
      </c>
      <c r="M1121">
        <v>10</v>
      </c>
      <c r="N1121">
        <v>3</v>
      </c>
      <c r="O1121">
        <v>0</v>
      </c>
    </row>
    <row r="1122" spans="1:15" x14ac:dyDescent="0.3">
      <c r="A1122" t="s">
        <v>1135</v>
      </c>
      <c r="B1122">
        <v>2</v>
      </c>
      <c r="C1122">
        <v>39</v>
      </c>
      <c r="D1122" t="s">
        <v>5015</v>
      </c>
      <c r="E1122" t="s">
        <v>5018</v>
      </c>
      <c r="F1122" t="s">
        <v>5023</v>
      </c>
      <c r="G1122">
        <v>5.15</v>
      </c>
      <c r="H1122">
        <v>5</v>
      </c>
      <c r="I1122">
        <v>8.8000000000000007</v>
      </c>
      <c r="J1122">
        <v>19.48</v>
      </c>
      <c r="K1122">
        <v>29.4</v>
      </c>
      <c r="L1122" t="s">
        <v>5026</v>
      </c>
      <c r="M1122">
        <v>5</v>
      </c>
      <c r="N1122">
        <v>2</v>
      </c>
      <c r="O1122">
        <v>0</v>
      </c>
    </row>
    <row r="1123" spans="1:15" x14ac:dyDescent="0.3">
      <c r="A1123" t="s">
        <v>1136</v>
      </c>
      <c r="B1123">
        <v>5</v>
      </c>
      <c r="C1123">
        <v>69</v>
      </c>
      <c r="D1123" t="s">
        <v>5015</v>
      </c>
      <c r="E1123" t="s">
        <v>5017</v>
      </c>
      <c r="F1123" t="s">
        <v>5020</v>
      </c>
      <c r="G1123">
        <v>19.82</v>
      </c>
      <c r="H1123">
        <v>5</v>
      </c>
      <c r="I1123">
        <v>9</v>
      </c>
      <c r="J1123">
        <v>15.46</v>
      </c>
      <c r="K1123">
        <v>56.9</v>
      </c>
      <c r="L1123" t="s">
        <v>5029</v>
      </c>
      <c r="M1123">
        <v>4</v>
      </c>
      <c r="N1123">
        <v>4</v>
      </c>
      <c r="O1123">
        <v>0</v>
      </c>
    </row>
    <row r="1124" spans="1:15" x14ac:dyDescent="0.3">
      <c r="A1124" t="s">
        <v>1137</v>
      </c>
      <c r="B1124">
        <v>8</v>
      </c>
      <c r="C1124">
        <v>69</v>
      </c>
      <c r="D1124" t="s">
        <v>5015</v>
      </c>
      <c r="E1124" t="s">
        <v>5017</v>
      </c>
      <c r="F1124" t="s">
        <v>5022</v>
      </c>
      <c r="G1124">
        <v>10.44</v>
      </c>
      <c r="H1124">
        <v>5</v>
      </c>
      <c r="I1124">
        <v>4.3</v>
      </c>
      <c r="J1124">
        <v>5.88</v>
      </c>
      <c r="K1124">
        <v>13.1</v>
      </c>
      <c r="L1124" t="s">
        <v>5027</v>
      </c>
      <c r="M1124">
        <v>11</v>
      </c>
      <c r="N1124">
        <v>4</v>
      </c>
      <c r="O1124">
        <v>0</v>
      </c>
    </row>
    <row r="1125" spans="1:15" x14ac:dyDescent="0.3">
      <c r="A1125" t="s">
        <v>1138</v>
      </c>
      <c r="B1125">
        <v>8</v>
      </c>
      <c r="C1125">
        <v>64</v>
      </c>
      <c r="D1125" t="s">
        <v>5015</v>
      </c>
      <c r="E1125" t="s">
        <v>5017</v>
      </c>
      <c r="F1125" t="s">
        <v>5023</v>
      </c>
      <c r="G1125">
        <v>19.100000000000001</v>
      </c>
      <c r="H1125">
        <v>3</v>
      </c>
      <c r="I1125">
        <v>2.6</v>
      </c>
      <c r="J1125">
        <v>7.81</v>
      </c>
      <c r="K1125">
        <v>75.099999999999994</v>
      </c>
      <c r="L1125" t="s">
        <v>5025</v>
      </c>
      <c r="M1125">
        <v>6</v>
      </c>
      <c r="N1125">
        <v>1</v>
      </c>
      <c r="O1125">
        <v>0</v>
      </c>
    </row>
    <row r="1126" spans="1:15" x14ac:dyDescent="0.3">
      <c r="A1126" t="s">
        <v>1139</v>
      </c>
      <c r="B1126">
        <v>3</v>
      </c>
      <c r="C1126">
        <v>53</v>
      </c>
      <c r="D1126" t="s">
        <v>5015</v>
      </c>
      <c r="E1126" t="s">
        <v>5017</v>
      </c>
      <c r="F1126" t="s">
        <v>5023</v>
      </c>
      <c r="G1126">
        <v>24.61</v>
      </c>
      <c r="H1126">
        <v>4</v>
      </c>
      <c r="I1126">
        <v>8.9</v>
      </c>
      <c r="J1126">
        <v>8.2799999999999994</v>
      </c>
      <c r="K1126">
        <v>21.4</v>
      </c>
      <c r="L1126" t="s">
        <v>5027</v>
      </c>
      <c r="M1126">
        <v>10</v>
      </c>
      <c r="N1126">
        <v>2</v>
      </c>
      <c r="O1126">
        <v>0</v>
      </c>
    </row>
    <row r="1127" spans="1:15" x14ac:dyDescent="0.3">
      <c r="A1127" t="s">
        <v>1140</v>
      </c>
      <c r="B1127">
        <v>7</v>
      </c>
      <c r="C1127">
        <v>26</v>
      </c>
      <c r="D1127" t="s">
        <v>5016</v>
      </c>
      <c r="E1127" t="s">
        <v>5017</v>
      </c>
      <c r="F1127" t="s">
        <v>5023</v>
      </c>
      <c r="G1127">
        <v>5.79</v>
      </c>
      <c r="H1127">
        <v>3</v>
      </c>
      <c r="I1127">
        <v>9</v>
      </c>
      <c r="J1127">
        <v>3.85</v>
      </c>
      <c r="K1127">
        <v>20.100000000000001</v>
      </c>
      <c r="L1127" t="s">
        <v>5028</v>
      </c>
      <c r="M1127">
        <v>5</v>
      </c>
      <c r="N1127">
        <v>2</v>
      </c>
      <c r="O1127">
        <v>0</v>
      </c>
    </row>
    <row r="1128" spans="1:15" x14ac:dyDescent="0.3">
      <c r="A1128" t="s">
        <v>1141</v>
      </c>
      <c r="B1128">
        <v>3</v>
      </c>
      <c r="C1128">
        <v>56</v>
      </c>
      <c r="D1128" t="s">
        <v>5016</v>
      </c>
      <c r="E1128" t="s">
        <v>5017</v>
      </c>
      <c r="F1128" t="s">
        <v>5021</v>
      </c>
      <c r="G1128">
        <v>16.34</v>
      </c>
      <c r="H1128">
        <v>3</v>
      </c>
      <c r="I1128">
        <v>1.9</v>
      </c>
      <c r="J1128">
        <v>11.34</v>
      </c>
      <c r="K1128">
        <v>95.2</v>
      </c>
      <c r="L1128" t="s">
        <v>5027</v>
      </c>
      <c r="M1128">
        <v>5</v>
      </c>
      <c r="N1128">
        <v>0</v>
      </c>
      <c r="O1128">
        <v>0</v>
      </c>
    </row>
    <row r="1129" spans="1:15" x14ac:dyDescent="0.3">
      <c r="A1129" t="s">
        <v>1142</v>
      </c>
      <c r="B1129">
        <v>6</v>
      </c>
      <c r="C1129">
        <v>68</v>
      </c>
      <c r="D1129" t="s">
        <v>5016</v>
      </c>
      <c r="E1129" t="s">
        <v>5017</v>
      </c>
      <c r="F1129" t="s">
        <v>5023</v>
      </c>
      <c r="G1129">
        <v>19.7</v>
      </c>
      <c r="H1129">
        <v>1</v>
      </c>
      <c r="I1129">
        <v>9.6999999999999993</v>
      </c>
      <c r="J1129">
        <v>16.43</v>
      </c>
      <c r="K1129">
        <v>79.5</v>
      </c>
      <c r="L1129" t="s">
        <v>5026</v>
      </c>
      <c r="M1129">
        <v>5</v>
      </c>
      <c r="N1129">
        <v>1</v>
      </c>
      <c r="O1129">
        <v>0</v>
      </c>
    </row>
    <row r="1130" spans="1:15" x14ac:dyDescent="0.3">
      <c r="A1130" t="s">
        <v>1143</v>
      </c>
      <c r="B1130">
        <v>6</v>
      </c>
      <c r="C1130">
        <v>36</v>
      </c>
      <c r="D1130" t="s">
        <v>5016</v>
      </c>
      <c r="E1130" t="s">
        <v>5019</v>
      </c>
      <c r="F1130" t="s">
        <v>5023</v>
      </c>
      <c r="G1130">
        <v>10.07</v>
      </c>
      <c r="H1130">
        <v>5</v>
      </c>
      <c r="I1130">
        <v>5.8</v>
      </c>
      <c r="J1130">
        <v>6.17</v>
      </c>
      <c r="K1130">
        <v>47.3</v>
      </c>
      <c r="L1130" t="s">
        <v>5026</v>
      </c>
      <c r="M1130">
        <v>8</v>
      </c>
      <c r="N1130">
        <v>0</v>
      </c>
      <c r="O1130">
        <v>1</v>
      </c>
    </row>
    <row r="1131" spans="1:15" x14ac:dyDescent="0.3">
      <c r="A1131" t="s">
        <v>1144</v>
      </c>
      <c r="B1131">
        <v>3</v>
      </c>
      <c r="C1131">
        <v>55</v>
      </c>
      <c r="D1131" t="s">
        <v>5015</v>
      </c>
      <c r="E1131" t="s">
        <v>5017</v>
      </c>
      <c r="F1131" t="s">
        <v>5024</v>
      </c>
      <c r="G1131">
        <v>9.5</v>
      </c>
      <c r="H1131">
        <v>2</v>
      </c>
      <c r="I1131">
        <v>9.9</v>
      </c>
      <c r="J1131">
        <v>6.85</v>
      </c>
      <c r="K1131">
        <v>31.6</v>
      </c>
      <c r="L1131" t="s">
        <v>5028</v>
      </c>
      <c r="M1131">
        <v>10</v>
      </c>
      <c r="N1131">
        <v>1</v>
      </c>
      <c r="O1131">
        <v>0</v>
      </c>
    </row>
    <row r="1132" spans="1:15" x14ac:dyDescent="0.3">
      <c r="A1132" t="s">
        <v>1145</v>
      </c>
      <c r="B1132">
        <v>7</v>
      </c>
      <c r="C1132">
        <v>23</v>
      </c>
      <c r="D1132" t="s">
        <v>5016</v>
      </c>
      <c r="E1132" t="s">
        <v>5019</v>
      </c>
      <c r="F1132" t="s">
        <v>5021</v>
      </c>
      <c r="G1132">
        <v>6.21</v>
      </c>
      <c r="H1132">
        <v>5</v>
      </c>
      <c r="I1132">
        <v>5</v>
      </c>
      <c r="J1132">
        <v>18.55</v>
      </c>
      <c r="K1132">
        <v>85.9</v>
      </c>
      <c r="L1132" t="s">
        <v>5028</v>
      </c>
      <c r="M1132">
        <v>8</v>
      </c>
      <c r="N1132">
        <v>1</v>
      </c>
      <c r="O1132">
        <v>0</v>
      </c>
    </row>
    <row r="1133" spans="1:15" x14ac:dyDescent="0.3">
      <c r="A1133" t="s">
        <v>1146</v>
      </c>
      <c r="B1133">
        <v>3</v>
      </c>
      <c r="C1133">
        <v>69</v>
      </c>
      <c r="D1133" t="s">
        <v>5016</v>
      </c>
      <c r="E1133" t="s">
        <v>5017</v>
      </c>
      <c r="F1133" t="s">
        <v>5023</v>
      </c>
      <c r="G1133">
        <v>6.88</v>
      </c>
      <c r="H1133">
        <v>4</v>
      </c>
      <c r="I1133">
        <v>5.8</v>
      </c>
      <c r="J1133">
        <v>6.72</v>
      </c>
      <c r="K1133">
        <v>97.2</v>
      </c>
      <c r="L1133" t="s">
        <v>5025</v>
      </c>
      <c r="M1133">
        <v>10</v>
      </c>
      <c r="N1133">
        <v>2</v>
      </c>
      <c r="O1133">
        <v>0</v>
      </c>
    </row>
    <row r="1134" spans="1:15" x14ac:dyDescent="0.3">
      <c r="A1134" t="s">
        <v>1147</v>
      </c>
      <c r="B1134">
        <v>8</v>
      </c>
      <c r="C1134">
        <v>64</v>
      </c>
      <c r="D1134" t="s">
        <v>5016</v>
      </c>
      <c r="E1134" t="s">
        <v>5019</v>
      </c>
      <c r="F1134" t="s">
        <v>5023</v>
      </c>
      <c r="G1134">
        <v>18.13</v>
      </c>
      <c r="H1134">
        <v>4</v>
      </c>
      <c r="I1134">
        <v>3.4</v>
      </c>
      <c r="J1134">
        <v>5.98</v>
      </c>
      <c r="K1134">
        <v>55.8</v>
      </c>
      <c r="L1134" t="s">
        <v>5026</v>
      </c>
      <c r="M1134">
        <v>4</v>
      </c>
      <c r="N1134">
        <v>0</v>
      </c>
      <c r="O1134">
        <v>0</v>
      </c>
    </row>
    <row r="1135" spans="1:15" x14ac:dyDescent="0.3">
      <c r="A1135" t="s">
        <v>1148</v>
      </c>
      <c r="B1135">
        <v>10</v>
      </c>
      <c r="C1135">
        <v>32</v>
      </c>
      <c r="D1135" t="s">
        <v>5015</v>
      </c>
      <c r="E1135" t="s">
        <v>5019</v>
      </c>
      <c r="F1135" t="s">
        <v>5020</v>
      </c>
      <c r="G1135">
        <v>15.1</v>
      </c>
      <c r="H1135">
        <v>5</v>
      </c>
      <c r="I1135">
        <v>9.1</v>
      </c>
      <c r="J1135">
        <v>24.51</v>
      </c>
      <c r="K1135">
        <v>62.2</v>
      </c>
      <c r="L1135" t="s">
        <v>5028</v>
      </c>
      <c r="M1135">
        <v>9</v>
      </c>
      <c r="N1135">
        <v>3</v>
      </c>
      <c r="O1135">
        <v>0</v>
      </c>
    </row>
    <row r="1136" spans="1:15" x14ac:dyDescent="0.3">
      <c r="A1136" t="s">
        <v>1149</v>
      </c>
      <c r="B1136">
        <v>4</v>
      </c>
      <c r="C1136">
        <v>37</v>
      </c>
      <c r="D1136" t="s">
        <v>5016</v>
      </c>
      <c r="E1136" t="s">
        <v>5018</v>
      </c>
      <c r="F1136" t="s">
        <v>5020</v>
      </c>
      <c r="G1136">
        <v>5.6</v>
      </c>
      <c r="H1136">
        <v>5</v>
      </c>
      <c r="I1136">
        <v>5</v>
      </c>
      <c r="J1136">
        <v>3.32</v>
      </c>
      <c r="K1136">
        <v>31.9</v>
      </c>
      <c r="L1136" t="s">
        <v>5027</v>
      </c>
      <c r="M1136">
        <v>8</v>
      </c>
      <c r="N1136">
        <v>0</v>
      </c>
      <c r="O1136">
        <v>0</v>
      </c>
    </row>
    <row r="1137" spans="1:15" x14ac:dyDescent="0.3">
      <c r="A1137" t="s">
        <v>1150</v>
      </c>
      <c r="B1137">
        <v>1</v>
      </c>
      <c r="C1137">
        <v>26</v>
      </c>
      <c r="D1137" t="s">
        <v>5015</v>
      </c>
      <c r="E1137" t="s">
        <v>5018</v>
      </c>
      <c r="F1137" t="s">
        <v>5021</v>
      </c>
      <c r="G1137">
        <v>24.39</v>
      </c>
      <c r="H1137">
        <v>3</v>
      </c>
      <c r="I1137">
        <v>8.3000000000000007</v>
      </c>
      <c r="J1137">
        <v>10.16</v>
      </c>
      <c r="K1137">
        <v>63</v>
      </c>
      <c r="L1137" t="s">
        <v>5026</v>
      </c>
      <c r="M1137">
        <v>6</v>
      </c>
      <c r="N1137">
        <v>3</v>
      </c>
      <c r="O1137">
        <v>0</v>
      </c>
    </row>
    <row r="1138" spans="1:15" x14ac:dyDescent="0.3">
      <c r="A1138" t="s">
        <v>1151</v>
      </c>
      <c r="B1138">
        <v>4</v>
      </c>
      <c r="C1138">
        <v>49</v>
      </c>
      <c r="D1138" t="s">
        <v>5016</v>
      </c>
      <c r="E1138" t="s">
        <v>5017</v>
      </c>
      <c r="F1138" t="s">
        <v>5024</v>
      </c>
      <c r="G1138">
        <v>18.12</v>
      </c>
      <c r="H1138">
        <v>2</v>
      </c>
      <c r="I1138">
        <v>1.7</v>
      </c>
      <c r="J1138">
        <v>3.77</v>
      </c>
      <c r="K1138">
        <v>46.1</v>
      </c>
      <c r="L1138" t="s">
        <v>5028</v>
      </c>
      <c r="M1138">
        <v>2</v>
      </c>
      <c r="N1138">
        <v>4</v>
      </c>
      <c r="O1138">
        <v>0</v>
      </c>
    </row>
    <row r="1139" spans="1:15" x14ac:dyDescent="0.3">
      <c r="A1139" t="s">
        <v>1152</v>
      </c>
      <c r="B1139">
        <v>7</v>
      </c>
      <c r="C1139">
        <v>21</v>
      </c>
      <c r="D1139" t="s">
        <v>5015</v>
      </c>
      <c r="E1139" t="s">
        <v>5019</v>
      </c>
      <c r="F1139" t="s">
        <v>5021</v>
      </c>
      <c r="G1139">
        <v>15.31</v>
      </c>
      <c r="H1139">
        <v>3</v>
      </c>
      <c r="I1139">
        <v>8.1</v>
      </c>
      <c r="J1139">
        <v>21.44</v>
      </c>
      <c r="K1139">
        <v>86.1</v>
      </c>
      <c r="L1139" t="s">
        <v>5025</v>
      </c>
      <c r="M1139">
        <v>9</v>
      </c>
      <c r="N1139">
        <v>1</v>
      </c>
      <c r="O1139">
        <v>0</v>
      </c>
    </row>
    <row r="1140" spans="1:15" x14ac:dyDescent="0.3">
      <c r="A1140" t="s">
        <v>1153</v>
      </c>
      <c r="B1140">
        <v>11</v>
      </c>
      <c r="C1140">
        <v>67</v>
      </c>
      <c r="D1140" t="s">
        <v>5016</v>
      </c>
      <c r="E1140" t="s">
        <v>5019</v>
      </c>
      <c r="F1140" t="s">
        <v>5021</v>
      </c>
      <c r="G1140">
        <v>10.45</v>
      </c>
      <c r="H1140">
        <v>1</v>
      </c>
      <c r="I1140">
        <v>5.4</v>
      </c>
      <c r="J1140">
        <v>15.84</v>
      </c>
      <c r="K1140">
        <v>43.9</v>
      </c>
      <c r="L1140" t="s">
        <v>5029</v>
      </c>
      <c r="M1140">
        <v>6</v>
      </c>
      <c r="N1140">
        <v>0</v>
      </c>
      <c r="O1140">
        <v>0</v>
      </c>
    </row>
    <row r="1141" spans="1:15" x14ac:dyDescent="0.3">
      <c r="A1141" t="s">
        <v>1154</v>
      </c>
      <c r="B1141">
        <v>4</v>
      </c>
      <c r="C1141">
        <v>35</v>
      </c>
      <c r="D1141" t="s">
        <v>5015</v>
      </c>
      <c r="E1141" t="s">
        <v>5019</v>
      </c>
      <c r="F1141" t="s">
        <v>5020</v>
      </c>
      <c r="G1141">
        <v>18.16</v>
      </c>
      <c r="H1141">
        <v>1</v>
      </c>
      <c r="I1141">
        <v>1</v>
      </c>
      <c r="J1141">
        <v>4.05</v>
      </c>
      <c r="K1141">
        <v>68.400000000000006</v>
      </c>
      <c r="L1141" t="s">
        <v>5026</v>
      </c>
      <c r="M1141">
        <v>8</v>
      </c>
      <c r="N1141">
        <v>1</v>
      </c>
      <c r="O1141">
        <v>0</v>
      </c>
    </row>
    <row r="1142" spans="1:15" x14ac:dyDescent="0.3">
      <c r="A1142" t="s">
        <v>1155</v>
      </c>
      <c r="B1142">
        <v>6</v>
      </c>
      <c r="C1142">
        <v>22</v>
      </c>
      <c r="D1142" t="s">
        <v>5016</v>
      </c>
      <c r="E1142" t="s">
        <v>5018</v>
      </c>
      <c r="F1142" t="s">
        <v>5020</v>
      </c>
      <c r="G1142">
        <v>12.28</v>
      </c>
      <c r="H1142">
        <v>4</v>
      </c>
      <c r="I1142">
        <v>3</v>
      </c>
      <c r="J1142">
        <v>16.54</v>
      </c>
      <c r="K1142">
        <v>28.3</v>
      </c>
      <c r="L1142" t="s">
        <v>5026</v>
      </c>
      <c r="M1142">
        <v>6</v>
      </c>
      <c r="N1142">
        <v>0</v>
      </c>
      <c r="O1142">
        <v>1</v>
      </c>
    </row>
    <row r="1143" spans="1:15" x14ac:dyDescent="0.3">
      <c r="A1143" t="s">
        <v>1156</v>
      </c>
      <c r="B1143">
        <v>9</v>
      </c>
      <c r="C1143">
        <v>37</v>
      </c>
      <c r="D1143" t="s">
        <v>5015</v>
      </c>
      <c r="E1143" t="s">
        <v>5018</v>
      </c>
      <c r="F1143" t="s">
        <v>5024</v>
      </c>
      <c r="G1143">
        <v>19.05</v>
      </c>
      <c r="H1143">
        <v>4</v>
      </c>
      <c r="I1143">
        <v>2.7</v>
      </c>
      <c r="J1143">
        <v>5.71</v>
      </c>
      <c r="K1143">
        <v>18.2</v>
      </c>
      <c r="L1143" t="s">
        <v>5026</v>
      </c>
      <c r="M1143">
        <v>5</v>
      </c>
      <c r="N1143">
        <v>4</v>
      </c>
      <c r="O1143">
        <v>0</v>
      </c>
    </row>
    <row r="1144" spans="1:15" x14ac:dyDescent="0.3">
      <c r="A1144" t="s">
        <v>1157</v>
      </c>
      <c r="B1144">
        <v>1</v>
      </c>
      <c r="C1144">
        <v>40</v>
      </c>
      <c r="D1144" t="s">
        <v>5015</v>
      </c>
      <c r="E1144" t="s">
        <v>5019</v>
      </c>
      <c r="F1144" t="s">
        <v>5023</v>
      </c>
      <c r="G1144">
        <v>18.649999999999999</v>
      </c>
      <c r="H1144">
        <v>2</v>
      </c>
      <c r="I1144">
        <v>7.8</v>
      </c>
      <c r="J1144">
        <v>13.91</v>
      </c>
      <c r="K1144">
        <v>13.6</v>
      </c>
      <c r="L1144" t="s">
        <v>5026</v>
      </c>
      <c r="M1144">
        <v>7</v>
      </c>
      <c r="N1144">
        <v>0</v>
      </c>
      <c r="O1144">
        <v>0</v>
      </c>
    </row>
    <row r="1145" spans="1:15" x14ac:dyDescent="0.3">
      <c r="A1145" t="s">
        <v>1158</v>
      </c>
      <c r="B1145">
        <v>5</v>
      </c>
      <c r="C1145">
        <v>28</v>
      </c>
      <c r="D1145" t="s">
        <v>5016</v>
      </c>
      <c r="E1145" t="s">
        <v>5017</v>
      </c>
      <c r="F1145" t="s">
        <v>5024</v>
      </c>
      <c r="G1145">
        <v>6.85</v>
      </c>
      <c r="H1145">
        <v>4</v>
      </c>
      <c r="I1145">
        <v>5.3</v>
      </c>
      <c r="J1145">
        <v>17.73</v>
      </c>
      <c r="K1145">
        <v>47.4</v>
      </c>
      <c r="L1145" t="s">
        <v>5029</v>
      </c>
      <c r="M1145">
        <v>4</v>
      </c>
      <c r="N1145">
        <v>4</v>
      </c>
      <c r="O1145">
        <v>1</v>
      </c>
    </row>
    <row r="1146" spans="1:15" x14ac:dyDescent="0.3">
      <c r="A1146" t="s">
        <v>1159</v>
      </c>
      <c r="B1146">
        <v>11</v>
      </c>
      <c r="C1146">
        <v>54</v>
      </c>
      <c r="D1146" t="s">
        <v>5015</v>
      </c>
      <c r="E1146" t="s">
        <v>5018</v>
      </c>
      <c r="F1146" t="s">
        <v>5023</v>
      </c>
      <c r="G1146">
        <v>23.19</v>
      </c>
      <c r="H1146">
        <v>1</v>
      </c>
      <c r="I1146">
        <v>2.4</v>
      </c>
      <c r="J1146">
        <v>6.27</v>
      </c>
      <c r="K1146">
        <v>24.7</v>
      </c>
      <c r="L1146" t="s">
        <v>5029</v>
      </c>
      <c r="M1146">
        <v>10</v>
      </c>
      <c r="N1146">
        <v>1</v>
      </c>
      <c r="O1146">
        <v>0</v>
      </c>
    </row>
    <row r="1147" spans="1:15" x14ac:dyDescent="0.3">
      <c r="A1147" t="s">
        <v>1160</v>
      </c>
      <c r="B1147">
        <v>7</v>
      </c>
      <c r="C1147">
        <v>39</v>
      </c>
      <c r="D1147" t="s">
        <v>5015</v>
      </c>
      <c r="E1147" t="s">
        <v>5017</v>
      </c>
      <c r="F1147" t="s">
        <v>5022</v>
      </c>
      <c r="G1147">
        <v>14.74</v>
      </c>
      <c r="H1147">
        <v>2</v>
      </c>
      <c r="I1147">
        <v>3.3</v>
      </c>
      <c r="J1147">
        <v>13.94</v>
      </c>
      <c r="K1147">
        <v>99.4</v>
      </c>
      <c r="L1147" t="s">
        <v>5025</v>
      </c>
      <c r="M1147">
        <v>11</v>
      </c>
      <c r="N1147">
        <v>2</v>
      </c>
      <c r="O1147">
        <v>0</v>
      </c>
    </row>
    <row r="1148" spans="1:15" x14ac:dyDescent="0.3">
      <c r="A1148" t="s">
        <v>1161</v>
      </c>
      <c r="B1148">
        <v>1</v>
      </c>
      <c r="C1148">
        <v>21</v>
      </c>
      <c r="D1148" t="s">
        <v>5016</v>
      </c>
      <c r="E1148" t="s">
        <v>5019</v>
      </c>
      <c r="F1148" t="s">
        <v>5020</v>
      </c>
      <c r="G1148">
        <v>12.86</v>
      </c>
      <c r="H1148">
        <v>1</v>
      </c>
      <c r="I1148">
        <v>5.5</v>
      </c>
      <c r="J1148">
        <v>13.06</v>
      </c>
      <c r="K1148">
        <v>81.900000000000006</v>
      </c>
      <c r="L1148" t="s">
        <v>5026</v>
      </c>
      <c r="M1148">
        <v>3</v>
      </c>
      <c r="N1148">
        <v>3</v>
      </c>
      <c r="O1148">
        <v>0</v>
      </c>
    </row>
    <row r="1149" spans="1:15" x14ac:dyDescent="0.3">
      <c r="A1149" t="s">
        <v>1162</v>
      </c>
      <c r="B1149">
        <v>4</v>
      </c>
      <c r="C1149">
        <v>46</v>
      </c>
      <c r="D1149" t="s">
        <v>5016</v>
      </c>
      <c r="E1149" t="s">
        <v>5017</v>
      </c>
      <c r="F1149" t="s">
        <v>5022</v>
      </c>
      <c r="G1149">
        <v>24.11</v>
      </c>
      <c r="H1149">
        <v>5</v>
      </c>
      <c r="I1149">
        <v>1.2</v>
      </c>
      <c r="J1149">
        <v>23.15</v>
      </c>
      <c r="K1149">
        <v>72.400000000000006</v>
      </c>
      <c r="L1149" t="s">
        <v>5028</v>
      </c>
      <c r="M1149">
        <v>11</v>
      </c>
      <c r="N1149">
        <v>1</v>
      </c>
      <c r="O1149">
        <v>1</v>
      </c>
    </row>
    <row r="1150" spans="1:15" x14ac:dyDescent="0.3">
      <c r="A1150" t="s">
        <v>1163</v>
      </c>
      <c r="B1150">
        <v>6</v>
      </c>
      <c r="C1150">
        <v>61</v>
      </c>
      <c r="D1150" t="s">
        <v>5015</v>
      </c>
      <c r="E1150" t="s">
        <v>5017</v>
      </c>
      <c r="F1150" t="s">
        <v>5022</v>
      </c>
      <c r="G1150">
        <v>13.76</v>
      </c>
      <c r="H1150">
        <v>5</v>
      </c>
      <c r="I1150">
        <v>4.8</v>
      </c>
      <c r="J1150">
        <v>24.91</v>
      </c>
      <c r="K1150">
        <v>82.3</v>
      </c>
      <c r="L1150" t="s">
        <v>5027</v>
      </c>
      <c r="M1150">
        <v>7</v>
      </c>
      <c r="N1150">
        <v>2</v>
      </c>
      <c r="O1150">
        <v>0</v>
      </c>
    </row>
    <row r="1151" spans="1:15" x14ac:dyDescent="0.3">
      <c r="A1151" t="s">
        <v>1164</v>
      </c>
      <c r="B1151">
        <v>2</v>
      </c>
      <c r="C1151">
        <v>51</v>
      </c>
      <c r="D1151" t="s">
        <v>5016</v>
      </c>
      <c r="E1151" t="s">
        <v>5018</v>
      </c>
      <c r="F1151" t="s">
        <v>5020</v>
      </c>
      <c r="G1151">
        <v>19.420000000000002</v>
      </c>
      <c r="H1151">
        <v>2</v>
      </c>
      <c r="I1151">
        <v>7.1</v>
      </c>
      <c r="J1151">
        <v>17.399999999999999</v>
      </c>
      <c r="K1151">
        <v>33.6</v>
      </c>
      <c r="L1151" t="s">
        <v>5026</v>
      </c>
      <c r="M1151">
        <v>2</v>
      </c>
      <c r="N1151">
        <v>1</v>
      </c>
      <c r="O1151">
        <v>0</v>
      </c>
    </row>
    <row r="1152" spans="1:15" x14ac:dyDescent="0.3">
      <c r="A1152" t="s">
        <v>1165</v>
      </c>
      <c r="B1152">
        <v>10</v>
      </c>
      <c r="C1152">
        <v>30</v>
      </c>
      <c r="D1152" t="s">
        <v>5016</v>
      </c>
      <c r="E1152" t="s">
        <v>5019</v>
      </c>
      <c r="F1152" t="s">
        <v>5022</v>
      </c>
      <c r="G1152">
        <v>18.100000000000001</v>
      </c>
      <c r="H1152">
        <v>3</v>
      </c>
      <c r="I1152">
        <v>5.7</v>
      </c>
      <c r="J1152">
        <v>21.81</v>
      </c>
      <c r="K1152">
        <v>89.1</v>
      </c>
      <c r="L1152" t="s">
        <v>5029</v>
      </c>
      <c r="M1152">
        <v>10</v>
      </c>
      <c r="N1152">
        <v>1</v>
      </c>
      <c r="O1152">
        <v>0</v>
      </c>
    </row>
    <row r="1153" spans="1:15" x14ac:dyDescent="0.3">
      <c r="A1153" t="s">
        <v>1166</v>
      </c>
      <c r="B1153">
        <v>5</v>
      </c>
      <c r="C1153">
        <v>59</v>
      </c>
      <c r="D1153" t="s">
        <v>5016</v>
      </c>
      <c r="E1153" t="s">
        <v>5018</v>
      </c>
      <c r="F1153" t="s">
        <v>5021</v>
      </c>
      <c r="G1153">
        <v>8.3000000000000007</v>
      </c>
      <c r="H1153">
        <v>4</v>
      </c>
      <c r="I1153">
        <v>6.4</v>
      </c>
      <c r="J1153">
        <v>17.23</v>
      </c>
      <c r="K1153">
        <v>99.6</v>
      </c>
      <c r="L1153" t="s">
        <v>5025</v>
      </c>
      <c r="M1153">
        <v>3</v>
      </c>
      <c r="N1153">
        <v>0</v>
      </c>
      <c r="O1153">
        <v>0</v>
      </c>
    </row>
    <row r="1154" spans="1:15" x14ac:dyDescent="0.3">
      <c r="A1154" t="s">
        <v>1167</v>
      </c>
      <c r="B1154">
        <v>11</v>
      </c>
      <c r="C1154">
        <v>26</v>
      </c>
      <c r="D1154" t="s">
        <v>5015</v>
      </c>
      <c r="E1154" t="s">
        <v>5017</v>
      </c>
      <c r="F1154" t="s">
        <v>5023</v>
      </c>
      <c r="G1154">
        <v>24.82</v>
      </c>
      <c r="H1154">
        <v>2</v>
      </c>
      <c r="I1154">
        <v>3.9</v>
      </c>
      <c r="J1154">
        <v>22.28</v>
      </c>
      <c r="K1154">
        <v>36.1</v>
      </c>
      <c r="L1154" t="s">
        <v>5026</v>
      </c>
      <c r="M1154">
        <v>1</v>
      </c>
      <c r="N1154">
        <v>4</v>
      </c>
      <c r="O1154">
        <v>0</v>
      </c>
    </row>
    <row r="1155" spans="1:15" x14ac:dyDescent="0.3">
      <c r="A1155" t="s">
        <v>1168</v>
      </c>
      <c r="B1155">
        <v>10</v>
      </c>
      <c r="C1155">
        <v>59</v>
      </c>
      <c r="D1155" t="s">
        <v>5015</v>
      </c>
      <c r="E1155" t="s">
        <v>5017</v>
      </c>
      <c r="F1155" t="s">
        <v>5024</v>
      </c>
      <c r="G1155">
        <v>14.27</v>
      </c>
      <c r="H1155">
        <v>4</v>
      </c>
      <c r="I1155">
        <v>2.6</v>
      </c>
      <c r="J1155">
        <v>12.53</v>
      </c>
      <c r="K1155">
        <v>98.6</v>
      </c>
      <c r="L1155" t="s">
        <v>5025</v>
      </c>
      <c r="M1155">
        <v>11</v>
      </c>
      <c r="N1155">
        <v>4</v>
      </c>
      <c r="O1155">
        <v>0</v>
      </c>
    </row>
    <row r="1156" spans="1:15" x14ac:dyDescent="0.3">
      <c r="A1156" t="s">
        <v>1169</v>
      </c>
      <c r="B1156">
        <v>1</v>
      </c>
      <c r="C1156">
        <v>48</v>
      </c>
      <c r="D1156" t="s">
        <v>5015</v>
      </c>
      <c r="E1156" t="s">
        <v>5019</v>
      </c>
      <c r="F1156" t="s">
        <v>5020</v>
      </c>
      <c r="G1156">
        <v>12.9</v>
      </c>
      <c r="H1156">
        <v>1</v>
      </c>
      <c r="I1156">
        <v>8.3000000000000007</v>
      </c>
      <c r="J1156">
        <v>16.38</v>
      </c>
      <c r="K1156">
        <v>38.799999999999997</v>
      </c>
      <c r="L1156" t="s">
        <v>5028</v>
      </c>
      <c r="M1156">
        <v>1</v>
      </c>
      <c r="N1156">
        <v>0</v>
      </c>
      <c r="O1156">
        <v>1</v>
      </c>
    </row>
    <row r="1157" spans="1:15" x14ac:dyDescent="0.3">
      <c r="A1157" t="s">
        <v>1170</v>
      </c>
      <c r="B1157">
        <v>6</v>
      </c>
      <c r="C1157">
        <v>24</v>
      </c>
      <c r="D1157" t="s">
        <v>5015</v>
      </c>
      <c r="E1157" t="s">
        <v>5019</v>
      </c>
      <c r="F1157" t="s">
        <v>5021</v>
      </c>
      <c r="G1157">
        <v>23.39</v>
      </c>
      <c r="H1157">
        <v>3</v>
      </c>
      <c r="I1157">
        <v>9.1999999999999993</v>
      </c>
      <c r="J1157">
        <v>21.59</v>
      </c>
      <c r="K1157">
        <v>11.1</v>
      </c>
      <c r="L1157" t="s">
        <v>5028</v>
      </c>
      <c r="M1157">
        <v>2</v>
      </c>
      <c r="N1157">
        <v>0</v>
      </c>
      <c r="O1157">
        <v>1</v>
      </c>
    </row>
    <row r="1158" spans="1:15" x14ac:dyDescent="0.3">
      <c r="A1158" t="s">
        <v>1171</v>
      </c>
      <c r="B1158">
        <v>6</v>
      </c>
      <c r="C1158">
        <v>21</v>
      </c>
      <c r="D1158" t="s">
        <v>5015</v>
      </c>
      <c r="E1158" t="s">
        <v>5019</v>
      </c>
      <c r="F1158" t="s">
        <v>5024</v>
      </c>
      <c r="G1158">
        <v>15.58</v>
      </c>
      <c r="H1158">
        <v>4</v>
      </c>
      <c r="I1158">
        <v>5.6</v>
      </c>
      <c r="J1158">
        <v>23.2</v>
      </c>
      <c r="K1158">
        <v>43</v>
      </c>
      <c r="L1158" t="s">
        <v>5028</v>
      </c>
      <c r="M1158">
        <v>1</v>
      </c>
      <c r="N1158">
        <v>1</v>
      </c>
      <c r="O1158">
        <v>1</v>
      </c>
    </row>
    <row r="1159" spans="1:15" x14ac:dyDescent="0.3">
      <c r="A1159" t="s">
        <v>1172</v>
      </c>
      <c r="B1159">
        <v>4</v>
      </c>
      <c r="C1159">
        <v>36</v>
      </c>
      <c r="D1159" t="s">
        <v>5015</v>
      </c>
      <c r="E1159" t="s">
        <v>5018</v>
      </c>
      <c r="F1159" t="s">
        <v>5024</v>
      </c>
      <c r="G1159">
        <v>19.100000000000001</v>
      </c>
      <c r="H1159">
        <v>5</v>
      </c>
      <c r="I1159">
        <v>3.7</v>
      </c>
      <c r="J1159">
        <v>3.54</v>
      </c>
      <c r="K1159">
        <v>99.8</v>
      </c>
      <c r="L1159" t="s">
        <v>5028</v>
      </c>
      <c r="M1159">
        <v>2</v>
      </c>
      <c r="N1159">
        <v>4</v>
      </c>
      <c r="O1159">
        <v>0</v>
      </c>
    </row>
    <row r="1160" spans="1:15" x14ac:dyDescent="0.3">
      <c r="A1160" t="s">
        <v>1173</v>
      </c>
      <c r="B1160">
        <v>8</v>
      </c>
      <c r="C1160">
        <v>59</v>
      </c>
      <c r="D1160" t="s">
        <v>5015</v>
      </c>
      <c r="E1160" t="s">
        <v>5019</v>
      </c>
      <c r="F1160" t="s">
        <v>5024</v>
      </c>
      <c r="G1160">
        <v>21.92</v>
      </c>
      <c r="H1160">
        <v>5</v>
      </c>
      <c r="I1160">
        <v>5.6</v>
      </c>
      <c r="J1160">
        <v>5.29</v>
      </c>
      <c r="K1160">
        <v>67.2</v>
      </c>
      <c r="L1160" t="s">
        <v>5027</v>
      </c>
      <c r="M1160">
        <v>1</v>
      </c>
      <c r="N1160">
        <v>1</v>
      </c>
      <c r="O1160">
        <v>0</v>
      </c>
    </row>
    <row r="1161" spans="1:15" x14ac:dyDescent="0.3">
      <c r="A1161" t="s">
        <v>1174</v>
      </c>
      <c r="B1161">
        <v>4</v>
      </c>
      <c r="C1161">
        <v>47</v>
      </c>
      <c r="D1161" t="s">
        <v>5016</v>
      </c>
      <c r="E1161" t="s">
        <v>5018</v>
      </c>
      <c r="F1161" t="s">
        <v>5022</v>
      </c>
      <c r="G1161">
        <v>9.7100000000000009</v>
      </c>
      <c r="H1161">
        <v>1</v>
      </c>
      <c r="I1161">
        <v>8.9</v>
      </c>
      <c r="J1161">
        <v>23.49</v>
      </c>
      <c r="K1161">
        <v>72.599999999999994</v>
      </c>
      <c r="L1161" t="s">
        <v>5025</v>
      </c>
      <c r="M1161">
        <v>3</v>
      </c>
      <c r="N1161">
        <v>2</v>
      </c>
      <c r="O1161">
        <v>0</v>
      </c>
    </row>
    <row r="1162" spans="1:15" x14ac:dyDescent="0.3">
      <c r="A1162" t="s">
        <v>1175</v>
      </c>
      <c r="B1162">
        <v>8</v>
      </c>
      <c r="C1162">
        <v>48</v>
      </c>
      <c r="D1162" t="s">
        <v>5015</v>
      </c>
      <c r="E1162" t="s">
        <v>5018</v>
      </c>
      <c r="F1162" t="s">
        <v>5022</v>
      </c>
      <c r="G1162">
        <v>8.39</v>
      </c>
      <c r="H1162">
        <v>2</v>
      </c>
      <c r="I1162">
        <v>7.2</v>
      </c>
      <c r="J1162">
        <v>15.51</v>
      </c>
      <c r="K1162">
        <v>31.5</v>
      </c>
      <c r="L1162" t="s">
        <v>5026</v>
      </c>
      <c r="M1162">
        <v>9</v>
      </c>
      <c r="N1162">
        <v>2</v>
      </c>
      <c r="O1162">
        <v>0</v>
      </c>
    </row>
    <row r="1163" spans="1:15" x14ac:dyDescent="0.3">
      <c r="A1163" t="s">
        <v>1176</v>
      </c>
      <c r="B1163">
        <v>8</v>
      </c>
      <c r="C1163">
        <v>52</v>
      </c>
      <c r="D1163" t="s">
        <v>5015</v>
      </c>
      <c r="E1163" t="s">
        <v>5018</v>
      </c>
      <c r="F1163" t="s">
        <v>5022</v>
      </c>
      <c r="G1163">
        <v>6.37</v>
      </c>
      <c r="H1163">
        <v>4</v>
      </c>
      <c r="I1163">
        <v>8.6999999999999993</v>
      </c>
      <c r="J1163">
        <v>24.78</v>
      </c>
      <c r="K1163">
        <v>23.1</v>
      </c>
      <c r="L1163" t="s">
        <v>5027</v>
      </c>
      <c r="M1163">
        <v>9</v>
      </c>
      <c r="N1163">
        <v>0</v>
      </c>
      <c r="O1163">
        <v>0</v>
      </c>
    </row>
    <row r="1164" spans="1:15" x14ac:dyDescent="0.3">
      <c r="A1164" t="s">
        <v>1177</v>
      </c>
      <c r="B1164">
        <v>5</v>
      </c>
      <c r="C1164">
        <v>38</v>
      </c>
      <c r="D1164" t="s">
        <v>5016</v>
      </c>
      <c r="E1164" t="s">
        <v>5018</v>
      </c>
      <c r="F1164" t="s">
        <v>5022</v>
      </c>
      <c r="G1164">
        <v>22.94</v>
      </c>
      <c r="H1164">
        <v>1</v>
      </c>
      <c r="I1164">
        <v>4</v>
      </c>
      <c r="J1164">
        <v>20.440000000000001</v>
      </c>
      <c r="K1164">
        <v>89.7</v>
      </c>
      <c r="L1164" t="s">
        <v>5026</v>
      </c>
      <c r="M1164">
        <v>8</v>
      </c>
      <c r="N1164">
        <v>4</v>
      </c>
      <c r="O1164">
        <v>1</v>
      </c>
    </row>
    <row r="1165" spans="1:15" x14ac:dyDescent="0.3">
      <c r="A1165" t="s">
        <v>1178</v>
      </c>
      <c r="B1165">
        <v>4</v>
      </c>
      <c r="C1165">
        <v>48</v>
      </c>
      <c r="D1165" t="s">
        <v>5016</v>
      </c>
      <c r="E1165" t="s">
        <v>5019</v>
      </c>
      <c r="F1165" t="s">
        <v>5021</v>
      </c>
      <c r="G1165">
        <v>9.01</v>
      </c>
      <c r="H1165">
        <v>5</v>
      </c>
      <c r="I1165">
        <v>7.4</v>
      </c>
      <c r="J1165">
        <v>21</v>
      </c>
      <c r="K1165">
        <v>47.2</v>
      </c>
      <c r="L1165" t="s">
        <v>5029</v>
      </c>
      <c r="M1165">
        <v>9</v>
      </c>
      <c r="N1165">
        <v>2</v>
      </c>
      <c r="O1165">
        <v>1</v>
      </c>
    </row>
    <row r="1166" spans="1:15" x14ac:dyDescent="0.3">
      <c r="A1166" t="s">
        <v>1179</v>
      </c>
      <c r="B1166">
        <v>12</v>
      </c>
      <c r="C1166">
        <v>36</v>
      </c>
      <c r="D1166" t="s">
        <v>5016</v>
      </c>
      <c r="E1166" t="s">
        <v>5018</v>
      </c>
      <c r="F1166" t="s">
        <v>5022</v>
      </c>
      <c r="G1166">
        <v>11.16</v>
      </c>
      <c r="H1166">
        <v>5</v>
      </c>
      <c r="I1166">
        <v>6.9</v>
      </c>
      <c r="J1166">
        <v>11.49</v>
      </c>
      <c r="K1166">
        <v>10.4</v>
      </c>
      <c r="L1166" t="s">
        <v>5027</v>
      </c>
      <c r="M1166">
        <v>4</v>
      </c>
      <c r="N1166">
        <v>4</v>
      </c>
      <c r="O1166">
        <v>0</v>
      </c>
    </row>
    <row r="1167" spans="1:15" x14ac:dyDescent="0.3">
      <c r="A1167" t="s">
        <v>1180</v>
      </c>
      <c r="B1167">
        <v>2</v>
      </c>
      <c r="C1167">
        <v>48</v>
      </c>
      <c r="D1167" t="s">
        <v>5015</v>
      </c>
      <c r="E1167" t="s">
        <v>5018</v>
      </c>
      <c r="F1167" t="s">
        <v>5020</v>
      </c>
      <c r="G1167">
        <v>10.72</v>
      </c>
      <c r="H1167">
        <v>5</v>
      </c>
      <c r="I1167">
        <v>6.1</v>
      </c>
      <c r="J1167">
        <v>8.67</v>
      </c>
      <c r="K1167">
        <v>36.5</v>
      </c>
      <c r="L1167" t="s">
        <v>5027</v>
      </c>
      <c r="M1167">
        <v>8</v>
      </c>
      <c r="N1167">
        <v>4</v>
      </c>
      <c r="O1167">
        <v>1</v>
      </c>
    </row>
    <row r="1168" spans="1:15" x14ac:dyDescent="0.3">
      <c r="A1168" t="s">
        <v>1181</v>
      </c>
      <c r="B1168">
        <v>11</v>
      </c>
      <c r="C1168">
        <v>49</v>
      </c>
      <c r="D1168" t="s">
        <v>5016</v>
      </c>
      <c r="E1168" t="s">
        <v>5017</v>
      </c>
      <c r="F1168" t="s">
        <v>5024</v>
      </c>
      <c r="G1168">
        <v>11.09</v>
      </c>
      <c r="H1168">
        <v>3</v>
      </c>
      <c r="I1168">
        <v>5.8</v>
      </c>
      <c r="J1168">
        <v>16.16</v>
      </c>
      <c r="K1168">
        <v>27.6</v>
      </c>
      <c r="L1168" t="s">
        <v>5029</v>
      </c>
      <c r="M1168">
        <v>11</v>
      </c>
      <c r="N1168">
        <v>3</v>
      </c>
      <c r="O1168">
        <v>0</v>
      </c>
    </row>
    <row r="1169" spans="1:15" x14ac:dyDescent="0.3">
      <c r="A1169" t="s">
        <v>1182</v>
      </c>
      <c r="B1169">
        <v>3</v>
      </c>
      <c r="C1169">
        <v>19</v>
      </c>
      <c r="D1169" t="s">
        <v>5015</v>
      </c>
      <c r="E1169" t="s">
        <v>5017</v>
      </c>
      <c r="F1169" t="s">
        <v>5021</v>
      </c>
      <c r="G1169">
        <v>18.36</v>
      </c>
      <c r="H1169">
        <v>3</v>
      </c>
      <c r="I1169">
        <v>6</v>
      </c>
      <c r="J1169">
        <v>22.34</v>
      </c>
      <c r="K1169">
        <v>64.3</v>
      </c>
      <c r="L1169" t="s">
        <v>5027</v>
      </c>
      <c r="M1169">
        <v>5</v>
      </c>
      <c r="N1169">
        <v>2</v>
      </c>
      <c r="O1169">
        <v>0</v>
      </c>
    </row>
    <row r="1170" spans="1:15" x14ac:dyDescent="0.3">
      <c r="A1170" t="s">
        <v>1183</v>
      </c>
      <c r="B1170">
        <v>3</v>
      </c>
      <c r="C1170">
        <v>69</v>
      </c>
      <c r="D1170" t="s">
        <v>5015</v>
      </c>
      <c r="E1170" t="s">
        <v>5018</v>
      </c>
      <c r="F1170" t="s">
        <v>5022</v>
      </c>
      <c r="G1170">
        <v>24.08</v>
      </c>
      <c r="H1170">
        <v>5</v>
      </c>
      <c r="I1170">
        <v>8.6</v>
      </c>
      <c r="J1170">
        <v>18.97</v>
      </c>
      <c r="K1170">
        <v>78.099999999999994</v>
      </c>
      <c r="L1170" t="s">
        <v>5025</v>
      </c>
      <c r="M1170">
        <v>4</v>
      </c>
      <c r="N1170">
        <v>2</v>
      </c>
      <c r="O1170">
        <v>0</v>
      </c>
    </row>
    <row r="1171" spans="1:15" x14ac:dyDescent="0.3">
      <c r="A1171" t="s">
        <v>1184</v>
      </c>
      <c r="B1171">
        <v>4</v>
      </c>
      <c r="C1171">
        <v>27</v>
      </c>
      <c r="D1171" t="s">
        <v>5015</v>
      </c>
      <c r="E1171" t="s">
        <v>5017</v>
      </c>
      <c r="F1171" t="s">
        <v>5024</v>
      </c>
      <c r="G1171">
        <v>11.59</v>
      </c>
      <c r="H1171">
        <v>2</v>
      </c>
      <c r="I1171">
        <v>9.1999999999999993</v>
      </c>
      <c r="J1171">
        <v>13.39</v>
      </c>
      <c r="K1171">
        <v>54.8</v>
      </c>
      <c r="L1171" t="s">
        <v>5028</v>
      </c>
      <c r="M1171">
        <v>4</v>
      </c>
      <c r="N1171">
        <v>1</v>
      </c>
      <c r="O1171">
        <v>1</v>
      </c>
    </row>
    <row r="1172" spans="1:15" x14ac:dyDescent="0.3">
      <c r="A1172" t="s">
        <v>1185</v>
      </c>
      <c r="B1172">
        <v>4</v>
      </c>
      <c r="C1172">
        <v>19</v>
      </c>
      <c r="D1172" t="s">
        <v>5016</v>
      </c>
      <c r="E1172" t="s">
        <v>5017</v>
      </c>
      <c r="F1172" t="s">
        <v>5021</v>
      </c>
      <c r="G1172">
        <v>13.15</v>
      </c>
      <c r="H1172">
        <v>3</v>
      </c>
      <c r="I1172">
        <v>2</v>
      </c>
      <c r="J1172">
        <v>19.57</v>
      </c>
      <c r="K1172">
        <v>26.7</v>
      </c>
      <c r="L1172" t="s">
        <v>5026</v>
      </c>
      <c r="M1172">
        <v>2</v>
      </c>
      <c r="N1172">
        <v>1</v>
      </c>
      <c r="O1172">
        <v>0</v>
      </c>
    </row>
    <row r="1173" spans="1:15" x14ac:dyDescent="0.3">
      <c r="A1173" t="s">
        <v>1186</v>
      </c>
      <c r="B1173">
        <v>10</v>
      </c>
      <c r="C1173">
        <v>19</v>
      </c>
      <c r="D1173" t="s">
        <v>5016</v>
      </c>
      <c r="E1173" t="s">
        <v>5018</v>
      </c>
      <c r="F1173" t="s">
        <v>5024</v>
      </c>
      <c r="G1173">
        <v>20.420000000000002</v>
      </c>
      <c r="H1173">
        <v>4</v>
      </c>
      <c r="I1173">
        <v>6.1</v>
      </c>
      <c r="J1173">
        <v>18.190000000000001</v>
      </c>
      <c r="K1173">
        <v>15.2</v>
      </c>
      <c r="L1173" t="s">
        <v>5029</v>
      </c>
      <c r="M1173">
        <v>10</v>
      </c>
      <c r="N1173">
        <v>4</v>
      </c>
      <c r="O1173">
        <v>0</v>
      </c>
    </row>
    <row r="1174" spans="1:15" x14ac:dyDescent="0.3">
      <c r="A1174" t="s">
        <v>1187</v>
      </c>
      <c r="B1174">
        <v>11</v>
      </c>
      <c r="C1174">
        <v>41</v>
      </c>
      <c r="D1174" t="s">
        <v>5015</v>
      </c>
      <c r="E1174" t="s">
        <v>5018</v>
      </c>
      <c r="F1174" t="s">
        <v>5021</v>
      </c>
      <c r="G1174">
        <v>13.65</v>
      </c>
      <c r="H1174">
        <v>3</v>
      </c>
      <c r="I1174">
        <v>9.3000000000000007</v>
      </c>
      <c r="J1174">
        <v>23.09</v>
      </c>
      <c r="K1174">
        <v>38.200000000000003</v>
      </c>
      <c r="L1174" t="s">
        <v>5028</v>
      </c>
      <c r="M1174">
        <v>9</v>
      </c>
      <c r="N1174">
        <v>0</v>
      </c>
      <c r="O1174">
        <v>0</v>
      </c>
    </row>
    <row r="1175" spans="1:15" x14ac:dyDescent="0.3">
      <c r="A1175" t="s">
        <v>1188</v>
      </c>
      <c r="B1175">
        <v>11</v>
      </c>
      <c r="C1175">
        <v>34</v>
      </c>
      <c r="D1175" t="s">
        <v>5015</v>
      </c>
      <c r="E1175" t="s">
        <v>5019</v>
      </c>
      <c r="F1175" t="s">
        <v>5023</v>
      </c>
      <c r="G1175">
        <v>23.52</v>
      </c>
      <c r="H1175">
        <v>4</v>
      </c>
      <c r="I1175">
        <v>2.2000000000000002</v>
      </c>
      <c r="J1175">
        <v>8.8000000000000007</v>
      </c>
      <c r="K1175">
        <v>82.5</v>
      </c>
      <c r="L1175" t="s">
        <v>5027</v>
      </c>
      <c r="M1175">
        <v>9</v>
      </c>
      <c r="N1175">
        <v>1</v>
      </c>
      <c r="O1175">
        <v>1</v>
      </c>
    </row>
    <row r="1176" spans="1:15" x14ac:dyDescent="0.3">
      <c r="A1176" t="s">
        <v>1189</v>
      </c>
      <c r="B1176">
        <v>5</v>
      </c>
      <c r="C1176">
        <v>49</v>
      </c>
      <c r="D1176" t="s">
        <v>5015</v>
      </c>
      <c r="E1176" t="s">
        <v>5018</v>
      </c>
      <c r="F1176" t="s">
        <v>5021</v>
      </c>
      <c r="G1176">
        <v>15.06</v>
      </c>
      <c r="H1176">
        <v>3</v>
      </c>
      <c r="I1176">
        <v>4.7</v>
      </c>
      <c r="J1176">
        <v>5.62</v>
      </c>
      <c r="K1176">
        <v>47.8</v>
      </c>
      <c r="L1176" t="s">
        <v>5025</v>
      </c>
      <c r="M1176">
        <v>1</v>
      </c>
      <c r="N1176">
        <v>1</v>
      </c>
      <c r="O1176">
        <v>1</v>
      </c>
    </row>
    <row r="1177" spans="1:15" x14ac:dyDescent="0.3">
      <c r="A1177" t="s">
        <v>1190</v>
      </c>
      <c r="B1177">
        <v>4</v>
      </c>
      <c r="C1177">
        <v>33</v>
      </c>
      <c r="D1177" t="s">
        <v>5016</v>
      </c>
      <c r="E1177" t="s">
        <v>5019</v>
      </c>
      <c r="F1177" t="s">
        <v>5022</v>
      </c>
      <c r="G1177">
        <v>11.95</v>
      </c>
      <c r="H1177">
        <v>5</v>
      </c>
      <c r="I1177">
        <v>1.8</v>
      </c>
      <c r="J1177">
        <v>13.34</v>
      </c>
      <c r="K1177">
        <v>32.700000000000003</v>
      </c>
      <c r="L1177" t="s">
        <v>5027</v>
      </c>
      <c r="M1177">
        <v>4</v>
      </c>
      <c r="N1177">
        <v>4</v>
      </c>
      <c r="O1177">
        <v>0</v>
      </c>
    </row>
    <row r="1178" spans="1:15" x14ac:dyDescent="0.3">
      <c r="A1178" t="s">
        <v>1191</v>
      </c>
      <c r="B1178">
        <v>11</v>
      </c>
      <c r="C1178">
        <v>33</v>
      </c>
      <c r="D1178" t="s">
        <v>5015</v>
      </c>
      <c r="E1178" t="s">
        <v>5019</v>
      </c>
      <c r="F1178" t="s">
        <v>5024</v>
      </c>
      <c r="G1178">
        <v>24.43</v>
      </c>
      <c r="H1178">
        <v>4</v>
      </c>
      <c r="I1178">
        <v>2</v>
      </c>
      <c r="J1178">
        <v>10.94</v>
      </c>
      <c r="K1178">
        <v>11.9</v>
      </c>
      <c r="L1178" t="s">
        <v>5029</v>
      </c>
      <c r="M1178">
        <v>9</v>
      </c>
      <c r="N1178">
        <v>2</v>
      </c>
      <c r="O1178">
        <v>0</v>
      </c>
    </row>
    <row r="1179" spans="1:15" x14ac:dyDescent="0.3">
      <c r="A1179" t="s">
        <v>1192</v>
      </c>
      <c r="B1179">
        <v>10</v>
      </c>
      <c r="C1179">
        <v>63</v>
      </c>
      <c r="D1179" t="s">
        <v>5016</v>
      </c>
      <c r="E1179" t="s">
        <v>5019</v>
      </c>
      <c r="F1179" t="s">
        <v>5024</v>
      </c>
      <c r="G1179">
        <v>13.52</v>
      </c>
      <c r="H1179">
        <v>2</v>
      </c>
      <c r="I1179">
        <v>9.1</v>
      </c>
      <c r="J1179">
        <v>24.45</v>
      </c>
      <c r="K1179">
        <v>54.6</v>
      </c>
      <c r="L1179" t="s">
        <v>5027</v>
      </c>
      <c r="M1179">
        <v>4</v>
      </c>
      <c r="N1179">
        <v>1</v>
      </c>
      <c r="O1179">
        <v>0</v>
      </c>
    </row>
    <row r="1180" spans="1:15" x14ac:dyDescent="0.3">
      <c r="A1180" t="s">
        <v>1193</v>
      </c>
      <c r="B1180">
        <v>8</v>
      </c>
      <c r="C1180">
        <v>56</v>
      </c>
      <c r="D1180" t="s">
        <v>5015</v>
      </c>
      <c r="E1180" t="s">
        <v>5018</v>
      </c>
      <c r="F1180" t="s">
        <v>5024</v>
      </c>
      <c r="G1180">
        <v>9.6199999999999992</v>
      </c>
      <c r="H1180">
        <v>3</v>
      </c>
      <c r="I1180">
        <v>5</v>
      </c>
      <c r="J1180">
        <v>3.17</v>
      </c>
      <c r="K1180">
        <v>71.599999999999994</v>
      </c>
      <c r="L1180" t="s">
        <v>5025</v>
      </c>
      <c r="M1180">
        <v>2</v>
      </c>
      <c r="N1180">
        <v>0</v>
      </c>
      <c r="O1180">
        <v>0</v>
      </c>
    </row>
    <row r="1181" spans="1:15" x14ac:dyDescent="0.3">
      <c r="A1181" t="s">
        <v>1194</v>
      </c>
      <c r="B1181">
        <v>6</v>
      </c>
      <c r="C1181">
        <v>48</v>
      </c>
      <c r="D1181" t="s">
        <v>5016</v>
      </c>
      <c r="E1181" t="s">
        <v>5018</v>
      </c>
      <c r="F1181" t="s">
        <v>5020</v>
      </c>
      <c r="G1181">
        <v>8.5500000000000007</v>
      </c>
      <c r="H1181">
        <v>3</v>
      </c>
      <c r="I1181">
        <v>7.2</v>
      </c>
      <c r="J1181">
        <v>23.53</v>
      </c>
      <c r="K1181">
        <v>27.1</v>
      </c>
      <c r="L1181" t="s">
        <v>5027</v>
      </c>
      <c r="M1181">
        <v>2</v>
      </c>
      <c r="N1181">
        <v>4</v>
      </c>
      <c r="O1181">
        <v>0</v>
      </c>
    </row>
    <row r="1182" spans="1:15" x14ac:dyDescent="0.3">
      <c r="A1182" t="s">
        <v>1195</v>
      </c>
      <c r="B1182">
        <v>6</v>
      </c>
      <c r="C1182">
        <v>60</v>
      </c>
      <c r="D1182" t="s">
        <v>5015</v>
      </c>
      <c r="E1182" t="s">
        <v>5019</v>
      </c>
      <c r="F1182" t="s">
        <v>5020</v>
      </c>
      <c r="G1182">
        <v>24.9</v>
      </c>
      <c r="H1182">
        <v>5</v>
      </c>
      <c r="I1182">
        <v>2.2999999999999998</v>
      </c>
      <c r="J1182">
        <v>24.01</v>
      </c>
      <c r="K1182">
        <v>58.3</v>
      </c>
      <c r="L1182" t="s">
        <v>5027</v>
      </c>
      <c r="M1182">
        <v>10</v>
      </c>
      <c r="N1182">
        <v>2</v>
      </c>
      <c r="O1182">
        <v>0</v>
      </c>
    </row>
    <row r="1183" spans="1:15" x14ac:dyDescent="0.3">
      <c r="A1183" t="s">
        <v>1196</v>
      </c>
      <c r="B1183">
        <v>8</v>
      </c>
      <c r="C1183">
        <v>41</v>
      </c>
      <c r="D1183" t="s">
        <v>5016</v>
      </c>
      <c r="E1183" t="s">
        <v>5017</v>
      </c>
      <c r="F1183" t="s">
        <v>5022</v>
      </c>
      <c r="G1183">
        <v>20.059999999999999</v>
      </c>
      <c r="H1183">
        <v>4</v>
      </c>
      <c r="I1183">
        <v>1.2</v>
      </c>
      <c r="J1183">
        <v>4.12</v>
      </c>
      <c r="K1183">
        <v>47.9</v>
      </c>
      <c r="L1183" t="s">
        <v>5027</v>
      </c>
      <c r="M1183">
        <v>9</v>
      </c>
      <c r="N1183">
        <v>3</v>
      </c>
      <c r="O1183">
        <v>0</v>
      </c>
    </row>
    <row r="1184" spans="1:15" x14ac:dyDescent="0.3">
      <c r="A1184" t="s">
        <v>1197</v>
      </c>
      <c r="B1184">
        <v>7</v>
      </c>
      <c r="C1184">
        <v>18</v>
      </c>
      <c r="D1184" t="s">
        <v>5016</v>
      </c>
      <c r="E1184" t="s">
        <v>5017</v>
      </c>
      <c r="F1184" t="s">
        <v>5023</v>
      </c>
      <c r="G1184">
        <v>13.17</v>
      </c>
      <c r="H1184">
        <v>5</v>
      </c>
      <c r="I1184">
        <v>9</v>
      </c>
      <c r="J1184">
        <v>22.57</v>
      </c>
      <c r="K1184">
        <v>73.400000000000006</v>
      </c>
      <c r="L1184" t="s">
        <v>5027</v>
      </c>
      <c r="M1184">
        <v>11</v>
      </c>
      <c r="N1184">
        <v>0</v>
      </c>
      <c r="O1184">
        <v>1</v>
      </c>
    </row>
    <row r="1185" spans="1:15" x14ac:dyDescent="0.3">
      <c r="A1185" t="s">
        <v>1198</v>
      </c>
      <c r="B1185">
        <v>10</v>
      </c>
      <c r="C1185">
        <v>28</v>
      </c>
      <c r="D1185" t="s">
        <v>5016</v>
      </c>
      <c r="E1185" t="s">
        <v>5018</v>
      </c>
      <c r="F1185" t="s">
        <v>5020</v>
      </c>
      <c r="G1185">
        <v>21.53</v>
      </c>
      <c r="H1185">
        <v>4</v>
      </c>
      <c r="I1185">
        <v>6.2</v>
      </c>
      <c r="J1185">
        <v>13.36</v>
      </c>
      <c r="K1185">
        <v>87.5</v>
      </c>
      <c r="L1185" t="s">
        <v>5025</v>
      </c>
      <c r="M1185">
        <v>4</v>
      </c>
      <c r="N1185">
        <v>2</v>
      </c>
      <c r="O1185">
        <v>1</v>
      </c>
    </row>
    <row r="1186" spans="1:15" x14ac:dyDescent="0.3">
      <c r="A1186" t="s">
        <v>1199</v>
      </c>
      <c r="B1186">
        <v>11</v>
      </c>
      <c r="C1186">
        <v>38</v>
      </c>
      <c r="D1186" t="s">
        <v>5016</v>
      </c>
      <c r="E1186" t="s">
        <v>5017</v>
      </c>
      <c r="F1186" t="s">
        <v>5021</v>
      </c>
      <c r="G1186">
        <v>15.94</v>
      </c>
      <c r="H1186">
        <v>3</v>
      </c>
      <c r="I1186">
        <v>1.2</v>
      </c>
      <c r="J1186">
        <v>19.86</v>
      </c>
      <c r="K1186">
        <v>37.6</v>
      </c>
      <c r="L1186" t="s">
        <v>5026</v>
      </c>
      <c r="M1186">
        <v>1</v>
      </c>
      <c r="N1186">
        <v>4</v>
      </c>
      <c r="O1186">
        <v>0</v>
      </c>
    </row>
    <row r="1187" spans="1:15" x14ac:dyDescent="0.3">
      <c r="A1187" t="s">
        <v>1200</v>
      </c>
      <c r="B1187">
        <v>12</v>
      </c>
      <c r="C1187">
        <v>21</v>
      </c>
      <c r="D1187" t="s">
        <v>5016</v>
      </c>
      <c r="E1187" t="s">
        <v>5019</v>
      </c>
      <c r="F1187" t="s">
        <v>5022</v>
      </c>
      <c r="G1187">
        <v>11.35</v>
      </c>
      <c r="H1187">
        <v>3</v>
      </c>
      <c r="I1187">
        <v>9.9</v>
      </c>
      <c r="J1187">
        <v>4.74</v>
      </c>
      <c r="K1187">
        <v>91.4</v>
      </c>
      <c r="L1187" t="s">
        <v>5028</v>
      </c>
      <c r="M1187">
        <v>1</v>
      </c>
      <c r="N1187">
        <v>3</v>
      </c>
      <c r="O1187">
        <v>0</v>
      </c>
    </row>
    <row r="1188" spans="1:15" x14ac:dyDescent="0.3">
      <c r="A1188" t="s">
        <v>1201</v>
      </c>
      <c r="B1188">
        <v>10</v>
      </c>
      <c r="C1188">
        <v>24</v>
      </c>
      <c r="D1188" t="s">
        <v>5016</v>
      </c>
      <c r="E1188" t="s">
        <v>5018</v>
      </c>
      <c r="F1188" t="s">
        <v>5023</v>
      </c>
      <c r="G1188">
        <v>19.87</v>
      </c>
      <c r="H1188">
        <v>3</v>
      </c>
      <c r="I1188">
        <v>5.4</v>
      </c>
      <c r="J1188">
        <v>24.01</v>
      </c>
      <c r="K1188">
        <v>73.599999999999994</v>
      </c>
      <c r="L1188" t="s">
        <v>5029</v>
      </c>
      <c r="M1188">
        <v>1</v>
      </c>
      <c r="N1188">
        <v>0</v>
      </c>
      <c r="O1188">
        <v>0</v>
      </c>
    </row>
    <row r="1189" spans="1:15" x14ac:dyDescent="0.3">
      <c r="A1189" t="s">
        <v>1202</v>
      </c>
      <c r="B1189">
        <v>8</v>
      </c>
      <c r="C1189">
        <v>43</v>
      </c>
      <c r="D1189" t="s">
        <v>5015</v>
      </c>
      <c r="E1189" t="s">
        <v>5018</v>
      </c>
      <c r="F1189" t="s">
        <v>5021</v>
      </c>
      <c r="G1189">
        <v>19.920000000000002</v>
      </c>
      <c r="H1189">
        <v>3</v>
      </c>
      <c r="I1189">
        <v>5.3</v>
      </c>
      <c r="J1189">
        <v>16.37</v>
      </c>
      <c r="K1189">
        <v>13.3</v>
      </c>
      <c r="L1189" t="s">
        <v>5026</v>
      </c>
      <c r="M1189">
        <v>8</v>
      </c>
      <c r="N1189">
        <v>1</v>
      </c>
      <c r="O1189">
        <v>0</v>
      </c>
    </row>
    <row r="1190" spans="1:15" x14ac:dyDescent="0.3">
      <c r="A1190" t="s">
        <v>1203</v>
      </c>
      <c r="B1190">
        <v>2</v>
      </c>
      <c r="C1190">
        <v>64</v>
      </c>
      <c r="D1190" t="s">
        <v>5015</v>
      </c>
      <c r="E1190" t="s">
        <v>5018</v>
      </c>
      <c r="F1190" t="s">
        <v>5024</v>
      </c>
      <c r="G1190">
        <v>15</v>
      </c>
      <c r="H1190">
        <v>1</v>
      </c>
      <c r="I1190">
        <v>6.6</v>
      </c>
      <c r="J1190">
        <v>22.77</v>
      </c>
      <c r="K1190">
        <v>81.2</v>
      </c>
      <c r="L1190" t="s">
        <v>5025</v>
      </c>
      <c r="M1190">
        <v>1</v>
      </c>
      <c r="N1190">
        <v>1</v>
      </c>
      <c r="O1190">
        <v>0</v>
      </c>
    </row>
    <row r="1191" spans="1:15" x14ac:dyDescent="0.3">
      <c r="A1191" t="s">
        <v>1204</v>
      </c>
      <c r="B1191">
        <v>9</v>
      </c>
      <c r="C1191">
        <v>67</v>
      </c>
      <c r="D1191" t="s">
        <v>5015</v>
      </c>
      <c r="E1191" t="s">
        <v>5018</v>
      </c>
      <c r="F1191" t="s">
        <v>5020</v>
      </c>
      <c r="G1191">
        <v>5.9</v>
      </c>
      <c r="H1191">
        <v>3</v>
      </c>
      <c r="I1191">
        <v>1.1000000000000001</v>
      </c>
      <c r="J1191">
        <v>17.809999999999999</v>
      </c>
      <c r="K1191">
        <v>54.5</v>
      </c>
      <c r="L1191" t="s">
        <v>5029</v>
      </c>
      <c r="M1191">
        <v>5</v>
      </c>
      <c r="N1191">
        <v>0</v>
      </c>
      <c r="O1191">
        <v>1</v>
      </c>
    </row>
    <row r="1192" spans="1:15" x14ac:dyDescent="0.3">
      <c r="A1192" t="s">
        <v>1205</v>
      </c>
      <c r="B1192">
        <v>1</v>
      </c>
      <c r="C1192">
        <v>29</v>
      </c>
      <c r="D1192" t="s">
        <v>5015</v>
      </c>
      <c r="E1192" t="s">
        <v>5017</v>
      </c>
      <c r="F1192" t="s">
        <v>5021</v>
      </c>
      <c r="G1192">
        <v>6.54</v>
      </c>
      <c r="H1192">
        <v>3</v>
      </c>
      <c r="I1192">
        <v>6.1</v>
      </c>
      <c r="J1192">
        <v>14.81</v>
      </c>
      <c r="K1192">
        <v>95.1</v>
      </c>
      <c r="L1192" t="s">
        <v>5029</v>
      </c>
      <c r="M1192">
        <v>9</v>
      </c>
      <c r="N1192">
        <v>1</v>
      </c>
      <c r="O1192">
        <v>0</v>
      </c>
    </row>
    <row r="1193" spans="1:15" x14ac:dyDescent="0.3">
      <c r="A1193" t="s">
        <v>1206</v>
      </c>
      <c r="B1193">
        <v>8</v>
      </c>
      <c r="C1193">
        <v>48</v>
      </c>
      <c r="D1193" t="s">
        <v>5016</v>
      </c>
      <c r="E1193" t="s">
        <v>5018</v>
      </c>
      <c r="F1193" t="s">
        <v>5023</v>
      </c>
      <c r="G1193">
        <v>20.77</v>
      </c>
      <c r="H1193">
        <v>4</v>
      </c>
      <c r="I1193">
        <v>6.7</v>
      </c>
      <c r="J1193">
        <v>6.79</v>
      </c>
      <c r="K1193">
        <v>39.1</v>
      </c>
      <c r="L1193" t="s">
        <v>5027</v>
      </c>
      <c r="M1193">
        <v>4</v>
      </c>
      <c r="N1193">
        <v>4</v>
      </c>
      <c r="O1193">
        <v>0</v>
      </c>
    </row>
    <row r="1194" spans="1:15" x14ac:dyDescent="0.3">
      <c r="A1194" t="s">
        <v>1207</v>
      </c>
      <c r="B1194">
        <v>12</v>
      </c>
      <c r="C1194">
        <v>34</v>
      </c>
      <c r="D1194" t="s">
        <v>5015</v>
      </c>
      <c r="E1194" t="s">
        <v>5019</v>
      </c>
      <c r="F1194" t="s">
        <v>5022</v>
      </c>
      <c r="G1194">
        <v>21.47</v>
      </c>
      <c r="H1194">
        <v>3</v>
      </c>
      <c r="I1194">
        <v>3.7</v>
      </c>
      <c r="J1194">
        <v>6.91</v>
      </c>
      <c r="K1194">
        <v>63.2</v>
      </c>
      <c r="L1194" t="s">
        <v>5028</v>
      </c>
      <c r="M1194">
        <v>11</v>
      </c>
      <c r="N1194">
        <v>0</v>
      </c>
      <c r="O1194">
        <v>0</v>
      </c>
    </row>
    <row r="1195" spans="1:15" x14ac:dyDescent="0.3">
      <c r="A1195" t="s">
        <v>1208</v>
      </c>
      <c r="B1195">
        <v>11</v>
      </c>
      <c r="C1195">
        <v>50</v>
      </c>
      <c r="D1195" t="s">
        <v>5016</v>
      </c>
      <c r="E1195" t="s">
        <v>5018</v>
      </c>
      <c r="F1195" t="s">
        <v>5021</v>
      </c>
      <c r="G1195">
        <v>18.57</v>
      </c>
      <c r="H1195">
        <v>3</v>
      </c>
      <c r="I1195">
        <v>7.5</v>
      </c>
      <c r="J1195">
        <v>13.4</v>
      </c>
      <c r="K1195">
        <v>96.1</v>
      </c>
      <c r="L1195" t="s">
        <v>5028</v>
      </c>
      <c r="M1195">
        <v>9</v>
      </c>
      <c r="N1195">
        <v>0</v>
      </c>
      <c r="O1195">
        <v>1</v>
      </c>
    </row>
    <row r="1196" spans="1:15" x14ac:dyDescent="0.3">
      <c r="A1196" t="s">
        <v>1209</v>
      </c>
      <c r="B1196">
        <v>12</v>
      </c>
      <c r="C1196">
        <v>28</v>
      </c>
      <c r="D1196" t="s">
        <v>5016</v>
      </c>
      <c r="E1196" t="s">
        <v>5019</v>
      </c>
      <c r="F1196" t="s">
        <v>5022</v>
      </c>
      <c r="G1196">
        <v>21.78</v>
      </c>
      <c r="H1196">
        <v>4</v>
      </c>
      <c r="I1196">
        <v>4.4000000000000004</v>
      </c>
      <c r="J1196">
        <v>22.15</v>
      </c>
      <c r="K1196">
        <v>34.4</v>
      </c>
      <c r="L1196" t="s">
        <v>5025</v>
      </c>
      <c r="M1196">
        <v>5</v>
      </c>
      <c r="N1196">
        <v>1</v>
      </c>
      <c r="O1196">
        <v>0</v>
      </c>
    </row>
    <row r="1197" spans="1:15" x14ac:dyDescent="0.3">
      <c r="A1197" t="s">
        <v>1210</v>
      </c>
      <c r="B1197">
        <v>12</v>
      </c>
      <c r="C1197">
        <v>45</v>
      </c>
      <c r="D1197" t="s">
        <v>5016</v>
      </c>
      <c r="E1197" t="s">
        <v>5017</v>
      </c>
      <c r="F1197" t="s">
        <v>5024</v>
      </c>
      <c r="G1197">
        <v>19.39</v>
      </c>
      <c r="H1197">
        <v>3</v>
      </c>
      <c r="I1197">
        <v>7.5</v>
      </c>
      <c r="J1197">
        <v>5.53</v>
      </c>
      <c r="K1197">
        <v>52.5</v>
      </c>
      <c r="L1197" t="s">
        <v>5026</v>
      </c>
      <c r="M1197">
        <v>9</v>
      </c>
      <c r="N1197">
        <v>0</v>
      </c>
      <c r="O1197">
        <v>0</v>
      </c>
    </row>
    <row r="1198" spans="1:15" x14ac:dyDescent="0.3">
      <c r="A1198" t="s">
        <v>1211</v>
      </c>
      <c r="B1198">
        <v>4</v>
      </c>
      <c r="C1198">
        <v>49</v>
      </c>
      <c r="D1198" t="s">
        <v>5015</v>
      </c>
      <c r="E1198" t="s">
        <v>5017</v>
      </c>
      <c r="F1198" t="s">
        <v>5023</v>
      </c>
      <c r="G1198">
        <v>22.94</v>
      </c>
      <c r="H1198">
        <v>3</v>
      </c>
      <c r="I1198">
        <v>2.2999999999999998</v>
      </c>
      <c r="J1198">
        <v>24.96</v>
      </c>
      <c r="K1198">
        <v>77.7</v>
      </c>
      <c r="L1198" t="s">
        <v>5027</v>
      </c>
      <c r="M1198">
        <v>2</v>
      </c>
      <c r="N1198">
        <v>3</v>
      </c>
      <c r="O1198">
        <v>0</v>
      </c>
    </row>
    <row r="1199" spans="1:15" x14ac:dyDescent="0.3">
      <c r="A1199" t="s">
        <v>1212</v>
      </c>
      <c r="B1199">
        <v>4</v>
      </c>
      <c r="C1199">
        <v>18</v>
      </c>
      <c r="D1199" t="s">
        <v>5016</v>
      </c>
      <c r="E1199" t="s">
        <v>5017</v>
      </c>
      <c r="F1199" t="s">
        <v>5023</v>
      </c>
      <c r="G1199">
        <v>8.01</v>
      </c>
      <c r="H1199">
        <v>5</v>
      </c>
      <c r="I1199">
        <v>9.1999999999999993</v>
      </c>
      <c r="J1199">
        <v>22.27</v>
      </c>
      <c r="K1199">
        <v>72.2</v>
      </c>
      <c r="L1199" t="s">
        <v>5028</v>
      </c>
      <c r="M1199">
        <v>8</v>
      </c>
      <c r="N1199">
        <v>0</v>
      </c>
      <c r="O1199">
        <v>0</v>
      </c>
    </row>
    <row r="1200" spans="1:15" x14ac:dyDescent="0.3">
      <c r="A1200" t="s">
        <v>1213</v>
      </c>
      <c r="B1200">
        <v>5</v>
      </c>
      <c r="C1200">
        <v>64</v>
      </c>
      <c r="D1200" t="s">
        <v>5015</v>
      </c>
      <c r="E1200" t="s">
        <v>5018</v>
      </c>
      <c r="F1200" t="s">
        <v>5020</v>
      </c>
      <c r="G1200">
        <v>12.75</v>
      </c>
      <c r="H1200">
        <v>1</v>
      </c>
      <c r="I1200">
        <v>8.9</v>
      </c>
      <c r="J1200">
        <v>11.64</v>
      </c>
      <c r="K1200">
        <v>85.5</v>
      </c>
      <c r="L1200" t="s">
        <v>5027</v>
      </c>
      <c r="M1200">
        <v>7</v>
      </c>
      <c r="N1200">
        <v>1</v>
      </c>
      <c r="O1200">
        <v>1</v>
      </c>
    </row>
    <row r="1201" spans="1:15" x14ac:dyDescent="0.3">
      <c r="A1201" t="s">
        <v>1214</v>
      </c>
      <c r="B1201">
        <v>8</v>
      </c>
      <c r="C1201">
        <v>45</v>
      </c>
      <c r="D1201" t="s">
        <v>5015</v>
      </c>
      <c r="E1201" t="s">
        <v>5019</v>
      </c>
      <c r="F1201" t="s">
        <v>5023</v>
      </c>
      <c r="G1201">
        <v>14.28</v>
      </c>
      <c r="H1201">
        <v>4</v>
      </c>
      <c r="I1201">
        <v>2.4</v>
      </c>
      <c r="J1201">
        <v>8.57</v>
      </c>
      <c r="K1201">
        <v>56.8</v>
      </c>
      <c r="L1201" t="s">
        <v>5026</v>
      </c>
      <c r="M1201">
        <v>7</v>
      </c>
      <c r="N1201">
        <v>1</v>
      </c>
      <c r="O1201">
        <v>0</v>
      </c>
    </row>
    <row r="1202" spans="1:15" x14ac:dyDescent="0.3">
      <c r="A1202" t="s">
        <v>1215</v>
      </c>
      <c r="B1202">
        <v>5</v>
      </c>
      <c r="C1202">
        <v>59</v>
      </c>
      <c r="D1202" t="s">
        <v>5015</v>
      </c>
      <c r="E1202" t="s">
        <v>5019</v>
      </c>
      <c r="F1202" t="s">
        <v>5021</v>
      </c>
      <c r="G1202">
        <v>10.95</v>
      </c>
      <c r="H1202">
        <v>5</v>
      </c>
      <c r="I1202">
        <v>9.4</v>
      </c>
      <c r="J1202">
        <v>23.28</v>
      </c>
      <c r="K1202">
        <v>38.700000000000003</v>
      </c>
      <c r="L1202" t="s">
        <v>5029</v>
      </c>
      <c r="M1202">
        <v>3</v>
      </c>
      <c r="N1202">
        <v>1</v>
      </c>
      <c r="O1202">
        <v>0</v>
      </c>
    </row>
    <row r="1203" spans="1:15" x14ac:dyDescent="0.3">
      <c r="A1203" t="s">
        <v>1216</v>
      </c>
      <c r="B1203">
        <v>8</v>
      </c>
      <c r="C1203">
        <v>24</v>
      </c>
      <c r="D1203" t="s">
        <v>5015</v>
      </c>
      <c r="E1203" t="s">
        <v>5018</v>
      </c>
      <c r="F1203" t="s">
        <v>5021</v>
      </c>
      <c r="G1203">
        <v>19.510000000000002</v>
      </c>
      <c r="H1203">
        <v>2</v>
      </c>
      <c r="I1203">
        <v>6</v>
      </c>
      <c r="J1203">
        <v>5.71</v>
      </c>
      <c r="K1203">
        <v>58.2</v>
      </c>
      <c r="L1203" t="s">
        <v>5026</v>
      </c>
      <c r="M1203">
        <v>10</v>
      </c>
      <c r="N1203">
        <v>1</v>
      </c>
      <c r="O1203">
        <v>0</v>
      </c>
    </row>
    <row r="1204" spans="1:15" x14ac:dyDescent="0.3">
      <c r="A1204" t="s">
        <v>1217</v>
      </c>
      <c r="B1204">
        <v>10</v>
      </c>
      <c r="C1204">
        <v>19</v>
      </c>
      <c r="D1204" t="s">
        <v>5015</v>
      </c>
      <c r="E1204" t="s">
        <v>5018</v>
      </c>
      <c r="F1204" t="s">
        <v>5021</v>
      </c>
      <c r="G1204">
        <v>23.25</v>
      </c>
      <c r="H1204">
        <v>2</v>
      </c>
      <c r="I1204">
        <v>7.3</v>
      </c>
      <c r="J1204">
        <v>10.64</v>
      </c>
      <c r="K1204">
        <v>41.5</v>
      </c>
      <c r="L1204" t="s">
        <v>5029</v>
      </c>
      <c r="M1204">
        <v>2</v>
      </c>
      <c r="N1204">
        <v>4</v>
      </c>
      <c r="O1204">
        <v>0</v>
      </c>
    </row>
    <row r="1205" spans="1:15" x14ac:dyDescent="0.3">
      <c r="A1205" t="s">
        <v>1218</v>
      </c>
      <c r="B1205">
        <v>1</v>
      </c>
      <c r="C1205">
        <v>59</v>
      </c>
      <c r="D1205" t="s">
        <v>5016</v>
      </c>
      <c r="E1205" t="s">
        <v>5019</v>
      </c>
      <c r="F1205" t="s">
        <v>5024</v>
      </c>
      <c r="G1205">
        <v>13.25</v>
      </c>
      <c r="H1205">
        <v>1</v>
      </c>
      <c r="I1205">
        <v>8.6</v>
      </c>
      <c r="J1205">
        <v>4.8499999999999996</v>
      </c>
      <c r="K1205">
        <v>25.9</v>
      </c>
      <c r="L1205" t="s">
        <v>5026</v>
      </c>
      <c r="M1205">
        <v>11</v>
      </c>
      <c r="N1205">
        <v>1</v>
      </c>
      <c r="O1205">
        <v>1</v>
      </c>
    </row>
    <row r="1206" spans="1:15" x14ac:dyDescent="0.3">
      <c r="A1206" t="s">
        <v>1219</v>
      </c>
      <c r="B1206">
        <v>12</v>
      </c>
      <c r="C1206">
        <v>41</v>
      </c>
      <c r="D1206" t="s">
        <v>5016</v>
      </c>
      <c r="E1206" t="s">
        <v>5017</v>
      </c>
      <c r="F1206" t="s">
        <v>5023</v>
      </c>
      <c r="G1206">
        <v>23.83</v>
      </c>
      <c r="H1206">
        <v>2</v>
      </c>
      <c r="I1206">
        <v>1.8</v>
      </c>
      <c r="J1206">
        <v>23.98</v>
      </c>
      <c r="K1206">
        <v>59.9</v>
      </c>
      <c r="L1206" t="s">
        <v>5027</v>
      </c>
      <c r="M1206">
        <v>10</v>
      </c>
      <c r="N1206">
        <v>3</v>
      </c>
      <c r="O1206">
        <v>1</v>
      </c>
    </row>
    <row r="1207" spans="1:15" x14ac:dyDescent="0.3">
      <c r="A1207" t="s">
        <v>1220</v>
      </c>
      <c r="B1207">
        <v>10</v>
      </c>
      <c r="C1207">
        <v>21</v>
      </c>
      <c r="D1207" t="s">
        <v>5015</v>
      </c>
      <c r="E1207" t="s">
        <v>5017</v>
      </c>
      <c r="F1207" t="s">
        <v>5023</v>
      </c>
      <c r="G1207">
        <v>15.34</v>
      </c>
      <c r="H1207">
        <v>1</v>
      </c>
      <c r="I1207">
        <v>2.5</v>
      </c>
      <c r="J1207">
        <v>16.59</v>
      </c>
      <c r="K1207">
        <v>14.4</v>
      </c>
      <c r="L1207" t="s">
        <v>5026</v>
      </c>
      <c r="M1207">
        <v>1</v>
      </c>
      <c r="N1207">
        <v>0</v>
      </c>
      <c r="O1207">
        <v>0</v>
      </c>
    </row>
    <row r="1208" spans="1:15" x14ac:dyDescent="0.3">
      <c r="A1208" t="s">
        <v>1221</v>
      </c>
      <c r="B1208">
        <v>9</v>
      </c>
      <c r="C1208">
        <v>61</v>
      </c>
      <c r="D1208" t="s">
        <v>5016</v>
      </c>
      <c r="E1208" t="s">
        <v>5019</v>
      </c>
      <c r="F1208" t="s">
        <v>5021</v>
      </c>
      <c r="G1208">
        <v>15.45</v>
      </c>
      <c r="H1208">
        <v>2</v>
      </c>
      <c r="I1208">
        <v>3.6</v>
      </c>
      <c r="J1208">
        <v>10.4</v>
      </c>
      <c r="K1208">
        <v>13.3</v>
      </c>
      <c r="L1208" t="s">
        <v>5028</v>
      </c>
      <c r="M1208">
        <v>1</v>
      </c>
      <c r="N1208">
        <v>2</v>
      </c>
      <c r="O1208">
        <v>0</v>
      </c>
    </row>
    <row r="1209" spans="1:15" x14ac:dyDescent="0.3">
      <c r="A1209" t="s">
        <v>1222</v>
      </c>
      <c r="B1209">
        <v>6</v>
      </c>
      <c r="C1209">
        <v>36</v>
      </c>
      <c r="D1209" t="s">
        <v>5015</v>
      </c>
      <c r="E1209" t="s">
        <v>5018</v>
      </c>
      <c r="F1209" t="s">
        <v>5020</v>
      </c>
      <c r="G1209">
        <v>17</v>
      </c>
      <c r="H1209">
        <v>2</v>
      </c>
      <c r="I1209">
        <v>5.3</v>
      </c>
      <c r="J1209">
        <v>9.06</v>
      </c>
      <c r="K1209">
        <v>15.8</v>
      </c>
      <c r="L1209" t="s">
        <v>5028</v>
      </c>
      <c r="M1209">
        <v>7</v>
      </c>
      <c r="N1209">
        <v>2</v>
      </c>
      <c r="O1209">
        <v>0</v>
      </c>
    </row>
    <row r="1210" spans="1:15" x14ac:dyDescent="0.3">
      <c r="A1210" t="s">
        <v>1223</v>
      </c>
      <c r="B1210">
        <v>3</v>
      </c>
      <c r="C1210">
        <v>43</v>
      </c>
      <c r="D1210" t="s">
        <v>5016</v>
      </c>
      <c r="E1210" t="s">
        <v>5019</v>
      </c>
      <c r="F1210" t="s">
        <v>5020</v>
      </c>
      <c r="G1210">
        <v>10.37</v>
      </c>
      <c r="H1210">
        <v>5</v>
      </c>
      <c r="I1210">
        <v>4.0999999999999996</v>
      </c>
      <c r="J1210">
        <v>12.77</v>
      </c>
      <c r="K1210">
        <v>70.5</v>
      </c>
      <c r="L1210" t="s">
        <v>5025</v>
      </c>
      <c r="M1210">
        <v>9</v>
      </c>
      <c r="N1210">
        <v>4</v>
      </c>
      <c r="O1210">
        <v>1</v>
      </c>
    </row>
    <row r="1211" spans="1:15" x14ac:dyDescent="0.3">
      <c r="A1211" t="s">
        <v>1224</v>
      </c>
      <c r="B1211">
        <v>8</v>
      </c>
      <c r="C1211">
        <v>28</v>
      </c>
      <c r="D1211" t="s">
        <v>5016</v>
      </c>
      <c r="E1211" t="s">
        <v>5018</v>
      </c>
      <c r="F1211" t="s">
        <v>5023</v>
      </c>
      <c r="G1211">
        <v>12.67</v>
      </c>
      <c r="H1211">
        <v>2</v>
      </c>
      <c r="I1211">
        <v>5.6</v>
      </c>
      <c r="J1211">
        <v>5.01</v>
      </c>
      <c r="K1211">
        <v>46.6</v>
      </c>
      <c r="L1211" t="s">
        <v>5028</v>
      </c>
      <c r="M1211">
        <v>1</v>
      </c>
      <c r="N1211">
        <v>2</v>
      </c>
      <c r="O1211">
        <v>0</v>
      </c>
    </row>
    <row r="1212" spans="1:15" x14ac:dyDescent="0.3">
      <c r="A1212" t="s">
        <v>1225</v>
      </c>
      <c r="B1212">
        <v>9</v>
      </c>
      <c r="C1212">
        <v>57</v>
      </c>
      <c r="D1212" t="s">
        <v>5016</v>
      </c>
      <c r="E1212" t="s">
        <v>5019</v>
      </c>
      <c r="F1212" t="s">
        <v>5023</v>
      </c>
      <c r="G1212">
        <v>16.059999999999999</v>
      </c>
      <c r="H1212">
        <v>1</v>
      </c>
      <c r="I1212">
        <v>2.7</v>
      </c>
      <c r="J1212">
        <v>22.57</v>
      </c>
      <c r="K1212">
        <v>54.5</v>
      </c>
      <c r="L1212" t="s">
        <v>5028</v>
      </c>
      <c r="M1212">
        <v>10</v>
      </c>
      <c r="N1212">
        <v>1</v>
      </c>
      <c r="O1212">
        <v>0</v>
      </c>
    </row>
    <row r="1213" spans="1:15" x14ac:dyDescent="0.3">
      <c r="A1213" t="s">
        <v>1226</v>
      </c>
      <c r="B1213">
        <v>6</v>
      </c>
      <c r="C1213">
        <v>67</v>
      </c>
      <c r="D1213" t="s">
        <v>5016</v>
      </c>
      <c r="E1213" t="s">
        <v>5017</v>
      </c>
      <c r="F1213" t="s">
        <v>5022</v>
      </c>
      <c r="G1213">
        <v>23.84</v>
      </c>
      <c r="H1213">
        <v>3</v>
      </c>
      <c r="I1213">
        <v>7.1</v>
      </c>
      <c r="J1213">
        <v>14.24</v>
      </c>
      <c r="K1213">
        <v>40.9</v>
      </c>
      <c r="L1213" t="s">
        <v>5029</v>
      </c>
      <c r="M1213">
        <v>4</v>
      </c>
      <c r="N1213">
        <v>2</v>
      </c>
      <c r="O1213">
        <v>0</v>
      </c>
    </row>
    <row r="1214" spans="1:15" x14ac:dyDescent="0.3">
      <c r="A1214" t="s">
        <v>1227</v>
      </c>
      <c r="B1214">
        <v>11</v>
      </c>
      <c r="C1214">
        <v>60</v>
      </c>
      <c r="D1214" t="s">
        <v>5016</v>
      </c>
      <c r="E1214" t="s">
        <v>5017</v>
      </c>
      <c r="F1214" t="s">
        <v>5023</v>
      </c>
      <c r="G1214">
        <v>17.850000000000001</v>
      </c>
      <c r="H1214">
        <v>3</v>
      </c>
      <c r="I1214">
        <v>1.5</v>
      </c>
      <c r="J1214">
        <v>18.95</v>
      </c>
      <c r="K1214">
        <v>32.799999999999997</v>
      </c>
      <c r="L1214" t="s">
        <v>5027</v>
      </c>
      <c r="M1214">
        <v>2</v>
      </c>
      <c r="N1214">
        <v>3</v>
      </c>
      <c r="O1214">
        <v>0</v>
      </c>
    </row>
    <row r="1215" spans="1:15" x14ac:dyDescent="0.3">
      <c r="A1215" t="s">
        <v>1228</v>
      </c>
      <c r="B1215">
        <v>7</v>
      </c>
      <c r="C1215">
        <v>28</v>
      </c>
      <c r="D1215" t="s">
        <v>5016</v>
      </c>
      <c r="E1215" t="s">
        <v>5018</v>
      </c>
      <c r="F1215" t="s">
        <v>5021</v>
      </c>
      <c r="G1215">
        <v>11.66</v>
      </c>
      <c r="H1215">
        <v>3</v>
      </c>
      <c r="I1215">
        <v>4.3</v>
      </c>
      <c r="J1215">
        <v>8.14</v>
      </c>
      <c r="K1215">
        <v>42.2</v>
      </c>
      <c r="L1215" t="s">
        <v>5027</v>
      </c>
      <c r="M1215">
        <v>8</v>
      </c>
      <c r="N1215">
        <v>1</v>
      </c>
      <c r="O1215">
        <v>1</v>
      </c>
    </row>
    <row r="1216" spans="1:15" x14ac:dyDescent="0.3">
      <c r="A1216" t="s">
        <v>1229</v>
      </c>
      <c r="B1216">
        <v>1</v>
      </c>
      <c r="C1216">
        <v>62</v>
      </c>
      <c r="D1216" t="s">
        <v>5016</v>
      </c>
      <c r="E1216" t="s">
        <v>5018</v>
      </c>
      <c r="F1216" t="s">
        <v>5024</v>
      </c>
      <c r="G1216">
        <v>5.21</v>
      </c>
      <c r="H1216">
        <v>1</v>
      </c>
      <c r="I1216">
        <v>2.6</v>
      </c>
      <c r="J1216">
        <v>14.08</v>
      </c>
      <c r="K1216">
        <v>27.4</v>
      </c>
      <c r="L1216" t="s">
        <v>5029</v>
      </c>
      <c r="M1216">
        <v>9</v>
      </c>
      <c r="N1216">
        <v>2</v>
      </c>
      <c r="O1216">
        <v>0</v>
      </c>
    </row>
    <row r="1217" spans="1:15" x14ac:dyDescent="0.3">
      <c r="A1217" t="s">
        <v>1230</v>
      </c>
      <c r="B1217">
        <v>5</v>
      </c>
      <c r="C1217">
        <v>20</v>
      </c>
      <c r="D1217" t="s">
        <v>5016</v>
      </c>
      <c r="E1217" t="s">
        <v>5017</v>
      </c>
      <c r="F1217" t="s">
        <v>5023</v>
      </c>
      <c r="G1217">
        <v>24.63</v>
      </c>
      <c r="H1217">
        <v>1</v>
      </c>
      <c r="I1217">
        <v>7.6</v>
      </c>
      <c r="J1217">
        <v>7.64</v>
      </c>
      <c r="K1217">
        <v>71.099999999999994</v>
      </c>
      <c r="L1217" t="s">
        <v>5028</v>
      </c>
      <c r="M1217">
        <v>3</v>
      </c>
      <c r="N1217">
        <v>1</v>
      </c>
      <c r="O1217">
        <v>0</v>
      </c>
    </row>
    <row r="1218" spans="1:15" x14ac:dyDescent="0.3">
      <c r="A1218" t="s">
        <v>1231</v>
      </c>
      <c r="B1218">
        <v>5</v>
      </c>
      <c r="C1218">
        <v>29</v>
      </c>
      <c r="D1218" t="s">
        <v>5016</v>
      </c>
      <c r="E1218" t="s">
        <v>5017</v>
      </c>
      <c r="F1218" t="s">
        <v>5023</v>
      </c>
      <c r="G1218">
        <v>14.86</v>
      </c>
      <c r="H1218">
        <v>3</v>
      </c>
      <c r="I1218">
        <v>9</v>
      </c>
      <c r="J1218">
        <v>20.95</v>
      </c>
      <c r="K1218">
        <v>19.2</v>
      </c>
      <c r="L1218" t="s">
        <v>5026</v>
      </c>
      <c r="M1218">
        <v>3</v>
      </c>
      <c r="N1218">
        <v>4</v>
      </c>
      <c r="O1218">
        <v>1</v>
      </c>
    </row>
    <row r="1219" spans="1:15" x14ac:dyDescent="0.3">
      <c r="A1219" t="s">
        <v>1232</v>
      </c>
      <c r="B1219">
        <v>10</v>
      </c>
      <c r="C1219">
        <v>20</v>
      </c>
      <c r="D1219" t="s">
        <v>5016</v>
      </c>
      <c r="E1219" t="s">
        <v>5017</v>
      </c>
      <c r="F1219" t="s">
        <v>5021</v>
      </c>
      <c r="G1219">
        <v>23.77</v>
      </c>
      <c r="H1219">
        <v>2</v>
      </c>
      <c r="I1219">
        <v>1.7</v>
      </c>
      <c r="J1219">
        <v>20.059999999999999</v>
      </c>
      <c r="K1219">
        <v>56.5</v>
      </c>
      <c r="L1219" t="s">
        <v>5029</v>
      </c>
      <c r="M1219">
        <v>7</v>
      </c>
      <c r="N1219">
        <v>3</v>
      </c>
      <c r="O1219">
        <v>0</v>
      </c>
    </row>
    <row r="1220" spans="1:15" x14ac:dyDescent="0.3">
      <c r="A1220" t="s">
        <v>1233</v>
      </c>
      <c r="B1220">
        <v>4</v>
      </c>
      <c r="C1220">
        <v>59</v>
      </c>
      <c r="D1220" t="s">
        <v>5016</v>
      </c>
      <c r="E1220" t="s">
        <v>5019</v>
      </c>
      <c r="F1220" t="s">
        <v>5022</v>
      </c>
      <c r="G1220">
        <v>15.99</v>
      </c>
      <c r="H1220">
        <v>3</v>
      </c>
      <c r="I1220">
        <v>8.1</v>
      </c>
      <c r="J1220">
        <v>6.26</v>
      </c>
      <c r="K1220">
        <v>52.9</v>
      </c>
      <c r="L1220" t="s">
        <v>5027</v>
      </c>
      <c r="M1220">
        <v>9</v>
      </c>
      <c r="N1220">
        <v>0</v>
      </c>
      <c r="O1220">
        <v>0</v>
      </c>
    </row>
    <row r="1221" spans="1:15" x14ac:dyDescent="0.3">
      <c r="A1221" t="s">
        <v>1234</v>
      </c>
      <c r="B1221">
        <v>6</v>
      </c>
      <c r="C1221">
        <v>44</v>
      </c>
      <c r="D1221" t="s">
        <v>5016</v>
      </c>
      <c r="E1221" t="s">
        <v>5018</v>
      </c>
      <c r="F1221" t="s">
        <v>5023</v>
      </c>
      <c r="G1221">
        <v>17.11</v>
      </c>
      <c r="H1221">
        <v>4</v>
      </c>
      <c r="I1221">
        <v>9.1</v>
      </c>
      <c r="J1221">
        <v>4.6399999999999997</v>
      </c>
      <c r="K1221">
        <v>37.200000000000003</v>
      </c>
      <c r="L1221" t="s">
        <v>5025</v>
      </c>
      <c r="M1221">
        <v>7</v>
      </c>
      <c r="N1221">
        <v>1</v>
      </c>
      <c r="O1221">
        <v>0</v>
      </c>
    </row>
    <row r="1222" spans="1:15" x14ac:dyDescent="0.3">
      <c r="A1222" t="s">
        <v>1235</v>
      </c>
      <c r="B1222">
        <v>7</v>
      </c>
      <c r="C1222">
        <v>66</v>
      </c>
      <c r="D1222" t="s">
        <v>5016</v>
      </c>
      <c r="E1222" t="s">
        <v>5017</v>
      </c>
      <c r="F1222" t="s">
        <v>5020</v>
      </c>
      <c r="G1222">
        <v>19.239999999999998</v>
      </c>
      <c r="H1222">
        <v>1</v>
      </c>
      <c r="I1222">
        <v>9.8000000000000007</v>
      </c>
      <c r="J1222">
        <v>21.13</v>
      </c>
      <c r="K1222">
        <v>19.2</v>
      </c>
      <c r="L1222" t="s">
        <v>5027</v>
      </c>
      <c r="M1222">
        <v>7</v>
      </c>
      <c r="N1222">
        <v>3</v>
      </c>
      <c r="O1222">
        <v>0</v>
      </c>
    </row>
    <row r="1223" spans="1:15" x14ac:dyDescent="0.3">
      <c r="A1223" t="s">
        <v>1236</v>
      </c>
      <c r="B1223">
        <v>9</v>
      </c>
      <c r="C1223">
        <v>19</v>
      </c>
      <c r="D1223" t="s">
        <v>5015</v>
      </c>
      <c r="E1223" t="s">
        <v>5017</v>
      </c>
      <c r="F1223" t="s">
        <v>5020</v>
      </c>
      <c r="G1223">
        <v>11.42</v>
      </c>
      <c r="H1223">
        <v>4</v>
      </c>
      <c r="I1223">
        <v>6.2</v>
      </c>
      <c r="J1223">
        <v>5.41</v>
      </c>
      <c r="K1223">
        <v>73.3</v>
      </c>
      <c r="L1223" t="s">
        <v>5026</v>
      </c>
      <c r="M1223">
        <v>2</v>
      </c>
      <c r="N1223">
        <v>4</v>
      </c>
      <c r="O1223">
        <v>0</v>
      </c>
    </row>
    <row r="1224" spans="1:15" x14ac:dyDescent="0.3">
      <c r="A1224" t="s">
        <v>1237</v>
      </c>
      <c r="B1224">
        <v>1</v>
      </c>
      <c r="C1224">
        <v>66</v>
      </c>
      <c r="D1224" t="s">
        <v>5016</v>
      </c>
      <c r="E1224" t="s">
        <v>5017</v>
      </c>
      <c r="F1224" t="s">
        <v>5020</v>
      </c>
      <c r="G1224">
        <v>18.98</v>
      </c>
      <c r="H1224">
        <v>4</v>
      </c>
      <c r="I1224">
        <v>3.9</v>
      </c>
      <c r="J1224">
        <v>15.07</v>
      </c>
      <c r="K1224">
        <v>61.3</v>
      </c>
      <c r="L1224" t="s">
        <v>5027</v>
      </c>
      <c r="M1224">
        <v>11</v>
      </c>
      <c r="N1224">
        <v>4</v>
      </c>
      <c r="O1224">
        <v>0</v>
      </c>
    </row>
    <row r="1225" spans="1:15" x14ac:dyDescent="0.3">
      <c r="A1225" t="s">
        <v>1238</v>
      </c>
      <c r="B1225">
        <v>6</v>
      </c>
      <c r="C1225">
        <v>33</v>
      </c>
      <c r="D1225" t="s">
        <v>5016</v>
      </c>
      <c r="E1225" t="s">
        <v>5018</v>
      </c>
      <c r="F1225" t="s">
        <v>5024</v>
      </c>
      <c r="G1225">
        <v>15.54</v>
      </c>
      <c r="H1225">
        <v>1</v>
      </c>
      <c r="I1225">
        <v>3.9</v>
      </c>
      <c r="J1225">
        <v>14.76</v>
      </c>
      <c r="K1225">
        <v>82.9</v>
      </c>
      <c r="L1225" t="s">
        <v>5029</v>
      </c>
      <c r="M1225">
        <v>1</v>
      </c>
      <c r="N1225">
        <v>3</v>
      </c>
      <c r="O1225">
        <v>0</v>
      </c>
    </row>
    <row r="1226" spans="1:15" x14ac:dyDescent="0.3">
      <c r="A1226" t="s">
        <v>1239</v>
      </c>
      <c r="B1226">
        <v>7</v>
      </c>
      <c r="C1226">
        <v>19</v>
      </c>
      <c r="D1226" t="s">
        <v>5016</v>
      </c>
      <c r="E1226" t="s">
        <v>5017</v>
      </c>
      <c r="F1226" t="s">
        <v>5024</v>
      </c>
      <c r="G1226">
        <v>18.45</v>
      </c>
      <c r="H1226">
        <v>3</v>
      </c>
      <c r="I1226">
        <v>4.4000000000000004</v>
      </c>
      <c r="J1226">
        <v>7.46</v>
      </c>
      <c r="K1226">
        <v>31.2</v>
      </c>
      <c r="L1226" t="s">
        <v>5025</v>
      </c>
      <c r="M1226">
        <v>2</v>
      </c>
      <c r="N1226">
        <v>2</v>
      </c>
      <c r="O1226">
        <v>0</v>
      </c>
    </row>
    <row r="1227" spans="1:15" x14ac:dyDescent="0.3">
      <c r="A1227" t="s">
        <v>1240</v>
      </c>
      <c r="B1227">
        <v>3</v>
      </c>
      <c r="C1227">
        <v>47</v>
      </c>
      <c r="D1227" t="s">
        <v>5016</v>
      </c>
      <c r="E1227" t="s">
        <v>5019</v>
      </c>
      <c r="F1227" t="s">
        <v>5023</v>
      </c>
      <c r="G1227">
        <v>21.72</v>
      </c>
      <c r="H1227">
        <v>5</v>
      </c>
      <c r="I1227">
        <v>6.5</v>
      </c>
      <c r="J1227">
        <v>16.010000000000002</v>
      </c>
      <c r="K1227">
        <v>81.2</v>
      </c>
      <c r="L1227" t="s">
        <v>5027</v>
      </c>
      <c r="M1227">
        <v>6</v>
      </c>
      <c r="N1227">
        <v>3</v>
      </c>
      <c r="O1227">
        <v>0</v>
      </c>
    </row>
    <row r="1228" spans="1:15" x14ac:dyDescent="0.3">
      <c r="A1228" t="s">
        <v>1241</v>
      </c>
      <c r="B1228">
        <v>8</v>
      </c>
      <c r="C1228">
        <v>37</v>
      </c>
      <c r="D1228" t="s">
        <v>5016</v>
      </c>
      <c r="E1228" t="s">
        <v>5017</v>
      </c>
      <c r="F1228" t="s">
        <v>5023</v>
      </c>
      <c r="G1228">
        <v>8.68</v>
      </c>
      <c r="H1228">
        <v>4</v>
      </c>
      <c r="I1228">
        <v>5.4</v>
      </c>
      <c r="J1228">
        <v>14.06</v>
      </c>
      <c r="K1228">
        <v>36.299999999999997</v>
      </c>
      <c r="L1228" t="s">
        <v>5029</v>
      </c>
      <c r="M1228">
        <v>10</v>
      </c>
      <c r="N1228">
        <v>2</v>
      </c>
      <c r="O1228">
        <v>0</v>
      </c>
    </row>
    <row r="1229" spans="1:15" x14ac:dyDescent="0.3">
      <c r="A1229" t="s">
        <v>1242</v>
      </c>
      <c r="B1229">
        <v>5</v>
      </c>
      <c r="C1229">
        <v>55</v>
      </c>
      <c r="D1229" t="s">
        <v>5016</v>
      </c>
      <c r="E1229" t="s">
        <v>5017</v>
      </c>
      <c r="F1229" t="s">
        <v>5023</v>
      </c>
      <c r="G1229">
        <v>17.27</v>
      </c>
      <c r="H1229">
        <v>3</v>
      </c>
      <c r="I1229">
        <v>6.9</v>
      </c>
      <c r="J1229">
        <v>14.2</v>
      </c>
      <c r="K1229">
        <v>20.100000000000001</v>
      </c>
      <c r="L1229" t="s">
        <v>5029</v>
      </c>
      <c r="M1229">
        <v>8</v>
      </c>
      <c r="N1229">
        <v>2</v>
      </c>
      <c r="O1229">
        <v>0</v>
      </c>
    </row>
    <row r="1230" spans="1:15" x14ac:dyDescent="0.3">
      <c r="A1230" t="s">
        <v>1243</v>
      </c>
      <c r="B1230">
        <v>9</v>
      </c>
      <c r="C1230">
        <v>45</v>
      </c>
      <c r="D1230" t="s">
        <v>5015</v>
      </c>
      <c r="E1230" t="s">
        <v>5019</v>
      </c>
      <c r="F1230" t="s">
        <v>5024</v>
      </c>
      <c r="G1230">
        <v>6.04</v>
      </c>
      <c r="H1230">
        <v>5</v>
      </c>
      <c r="I1230">
        <v>1.4</v>
      </c>
      <c r="J1230">
        <v>10.91</v>
      </c>
      <c r="K1230">
        <v>22.1</v>
      </c>
      <c r="L1230" t="s">
        <v>5029</v>
      </c>
      <c r="M1230">
        <v>8</v>
      </c>
      <c r="N1230">
        <v>3</v>
      </c>
      <c r="O1230">
        <v>0</v>
      </c>
    </row>
    <row r="1231" spans="1:15" x14ac:dyDescent="0.3">
      <c r="A1231" t="s">
        <v>1244</v>
      </c>
      <c r="B1231">
        <v>5</v>
      </c>
      <c r="C1231">
        <v>42</v>
      </c>
      <c r="D1231" t="s">
        <v>5015</v>
      </c>
      <c r="E1231" t="s">
        <v>5019</v>
      </c>
      <c r="F1231" t="s">
        <v>5023</v>
      </c>
      <c r="G1231">
        <v>7.04</v>
      </c>
      <c r="H1231">
        <v>4</v>
      </c>
      <c r="I1231">
        <v>2</v>
      </c>
      <c r="J1231">
        <v>21.45</v>
      </c>
      <c r="K1231">
        <v>29.9</v>
      </c>
      <c r="L1231" t="s">
        <v>5025</v>
      </c>
      <c r="M1231">
        <v>6</v>
      </c>
      <c r="N1231">
        <v>4</v>
      </c>
      <c r="O1231">
        <v>0</v>
      </c>
    </row>
    <row r="1232" spans="1:15" x14ac:dyDescent="0.3">
      <c r="A1232" t="s">
        <v>1245</v>
      </c>
      <c r="B1232">
        <v>9</v>
      </c>
      <c r="C1232">
        <v>49</v>
      </c>
      <c r="D1232" t="s">
        <v>5015</v>
      </c>
      <c r="E1232" t="s">
        <v>5017</v>
      </c>
      <c r="F1232" t="s">
        <v>5021</v>
      </c>
      <c r="G1232">
        <v>18.489999999999998</v>
      </c>
      <c r="H1232">
        <v>3</v>
      </c>
      <c r="I1232">
        <v>9.8000000000000007</v>
      </c>
      <c r="J1232">
        <v>4.8600000000000003</v>
      </c>
      <c r="K1232">
        <v>71.400000000000006</v>
      </c>
      <c r="L1232" t="s">
        <v>5029</v>
      </c>
      <c r="M1232">
        <v>2</v>
      </c>
      <c r="N1232">
        <v>0</v>
      </c>
      <c r="O1232">
        <v>1</v>
      </c>
    </row>
    <row r="1233" spans="1:15" x14ac:dyDescent="0.3">
      <c r="A1233" t="s">
        <v>1246</v>
      </c>
      <c r="B1233">
        <v>10</v>
      </c>
      <c r="C1233">
        <v>27</v>
      </c>
      <c r="D1233" t="s">
        <v>5016</v>
      </c>
      <c r="E1233" t="s">
        <v>5019</v>
      </c>
      <c r="F1233" t="s">
        <v>5022</v>
      </c>
      <c r="G1233">
        <v>6.42</v>
      </c>
      <c r="H1233">
        <v>4</v>
      </c>
      <c r="I1233">
        <v>10</v>
      </c>
      <c r="J1233">
        <v>12.65</v>
      </c>
      <c r="K1233">
        <v>32</v>
      </c>
      <c r="L1233" t="s">
        <v>5025</v>
      </c>
      <c r="M1233">
        <v>9</v>
      </c>
      <c r="N1233">
        <v>0</v>
      </c>
      <c r="O1233">
        <v>0</v>
      </c>
    </row>
    <row r="1234" spans="1:15" x14ac:dyDescent="0.3">
      <c r="A1234" t="s">
        <v>1247</v>
      </c>
      <c r="B1234">
        <v>4</v>
      </c>
      <c r="C1234">
        <v>59</v>
      </c>
      <c r="D1234" t="s">
        <v>5016</v>
      </c>
      <c r="E1234" t="s">
        <v>5018</v>
      </c>
      <c r="F1234" t="s">
        <v>5020</v>
      </c>
      <c r="G1234">
        <v>16.91</v>
      </c>
      <c r="H1234">
        <v>3</v>
      </c>
      <c r="I1234">
        <v>7.7</v>
      </c>
      <c r="J1234">
        <v>8.7200000000000006</v>
      </c>
      <c r="K1234">
        <v>64.3</v>
      </c>
      <c r="L1234" t="s">
        <v>5026</v>
      </c>
      <c r="M1234">
        <v>10</v>
      </c>
      <c r="N1234">
        <v>3</v>
      </c>
      <c r="O1234">
        <v>0</v>
      </c>
    </row>
    <row r="1235" spans="1:15" x14ac:dyDescent="0.3">
      <c r="A1235" t="s">
        <v>1248</v>
      </c>
      <c r="B1235">
        <v>9</v>
      </c>
      <c r="C1235">
        <v>57</v>
      </c>
      <c r="D1235" t="s">
        <v>5016</v>
      </c>
      <c r="E1235" t="s">
        <v>5019</v>
      </c>
      <c r="F1235" t="s">
        <v>5020</v>
      </c>
      <c r="G1235">
        <v>9.4</v>
      </c>
      <c r="H1235">
        <v>2</v>
      </c>
      <c r="I1235">
        <v>3.3</v>
      </c>
      <c r="J1235">
        <v>21.67</v>
      </c>
      <c r="K1235">
        <v>33.1</v>
      </c>
      <c r="L1235" t="s">
        <v>5026</v>
      </c>
      <c r="M1235">
        <v>4</v>
      </c>
      <c r="N1235">
        <v>1</v>
      </c>
      <c r="O1235">
        <v>0</v>
      </c>
    </row>
    <row r="1236" spans="1:15" x14ac:dyDescent="0.3">
      <c r="A1236" t="s">
        <v>1249</v>
      </c>
      <c r="B1236">
        <v>5</v>
      </c>
      <c r="C1236">
        <v>50</v>
      </c>
      <c r="D1236" t="s">
        <v>5015</v>
      </c>
      <c r="E1236" t="s">
        <v>5018</v>
      </c>
      <c r="F1236" t="s">
        <v>5021</v>
      </c>
      <c r="G1236">
        <v>11.08</v>
      </c>
      <c r="H1236">
        <v>2</v>
      </c>
      <c r="I1236">
        <v>9.6</v>
      </c>
      <c r="J1236">
        <v>7.95</v>
      </c>
      <c r="K1236">
        <v>42.9</v>
      </c>
      <c r="L1236" t="s">
        <v>5026</v>
      </c>
      <c r="M1236">
        <v>5</v>
      </c>
      <c r="N1236">
        <v>3</v>
      </c>
      <c r="O1236">
        <v>0</v>
      </c>
    </row>
    <row r="1237" spans="1:15" x14ac:dyDescent="0.3">
      <c r="A1237" t="s">
        <v>1250</v>
      </c>
      <c r="B1237">
        <v>10</v>
      </c>
      <c r="C1237">
        <v>30</v>
      </c>
      <c r="D1237" t="s">
        <v>5016</v>
      </c>
      <c r="E1237" t="s">
        <v>5018</v>
      </c>
      <c r="F1237" t="s">
        <v>5023</v>
      </c>
      <c r="G1237">
        <v>7.59</v>
      </c>
      <c r="H1237">
        <v>1</v>
      </c>
      <c r="I1237">
        <v>2.9</v>
      </c>
      <c r="J1237">
        <v>19.87</v>
      </c>
      <c r="K1237">
        <v>90.1</v>
      </c>
      <c r="L1237" t="s">
        <v>5029</v>
      </c>
      <c r="M1237">
        <v>1</v>
      </c>
      <c r="N1237">
        <v>0</v>
      </c>
      <c r="O1237">
        <v>1</v>
      </c>
    </row>
    <row r="1238" spans="1:15" x14ac:dyDescent="0.3">
      <c r="A1238" t="s">
        <v>1251</v>
      </c>
      <c r="B1238">
        <v>9</v>
      </c>
      <c r="C1238">
        <v>58</v>
      </c>
      <c r="D1238" t="s">
        <v>5016</v>
      </c>
      <c r="E1238" t="s">
        <v>5019</v>
      </c>
      <c r="F1238" t="s">
        <v>5024</v>
      </c>
      <c r="G1238">
        <v>9.9700000000000006</v>
      </c>
      <c r="H1238">
        <v>5</v>
      </c>
      <c r="I1238">
        <v>7.6</v>
      </c>
      <c r="J1238">
        <v>16.45</v>
      </c>
      <c r="K1238">
        <v>55</v>
      </c>
      <c r="L1238" t="s">
        <v>5025</v>
      </c>
      <c r="M1238">
        <v>9</v>
      </c>
      <c r="N1238">
        <v>3</v>
      </c>
      <c r="O1238">
        <v>0</v>
      </c>
    </row>
    <row r="1239" spans="1:15" x14ac:dyDescent="0.3">
      <c r="A1239" t="s">
        <v>1252</v>
      </c>
      <c r="B1239">
        <v>3</v>
      </c>
      <c r="C1239">
        <v>59</v>
      </c>
      <c r="D1239" t="s">
        <v>5015</v>
      </c>
      <c r="E1239" t="s">
        <v>5017</v>
      </c>
      <c r="F1239" t="s">
        <v>5023</v>
      </c>
      <c r="G1239">
        <v>21.43</v>
      </c>
      <c r="H1239">
        <v>4</v>
      </c>
      <c r="I1239">
        <v>2</v>
      </c>
      <c r="J1239">
        <v>22.25</v>
      </c>
      <c r="K1239">
        <v>64</v>
      </c>
      <c r="L1239" t="s">
        <v>5026</v>
      </c>
      <c r="M1239">
        <v>11</v>
      </c>
      <c r="N1239">
        <v>4</v>
      </c>
      <c r="O1239">
        <v>0</v>
      </c>
    </row>
    <row r="1240" spans="1:15" x14ac:dyDescent="0.3">
      <c r="A1240" t="s">
        <v>1253</v>
      </c>
      <c r="B1240">
        <v>4</v>
      </c>
      <c r="C1240">
        <v>64</v>
      </c>
      <c r="D1240" t="s">
        <v>5015</v>
      </c>
      <c r="E1240" t="s">
        <v>5018</v>
      </c>
      <c r="F1240" t="s">
        <v>5023</v>
      </c>
      <c r="G1240">
        <v>17.78</v>
      </c>
      <c r="H1240">
        <v>4</v>
      </c>
      <c r="I1240">
        <v>6.8</v>
      </c>
      <c r="J1240">
        <v>16.059999999999999</v>
      </c>
      <c r="K1240">
        <v>27</v>
      </c>
      <c r="L1240" t="s">
        <v>5028</v>
      </c>
      <c r="M1240">
        <v>11</v>
      </c>
      <c r="N1240">
        <v>0</v>
      </c>
      <c r="O1240">
        <v>0</v>
      </c>
    </row>
    <row r="1241" spans="1:15" x14ac:dyDescent="0.3">
      <c r="A1241" t="s">
        <v>1254</v>
      </c>
      <c r="B1241">
        <v>9</v>
      </c>
      <c r="C1241">
        <v>54</v>
      </c>
      <c r="D1241" t="s">
        <v>5016</v>
      </c>
      <c r="E1241" t="s">
        <v>5018</v>
      </c>
      <c r="F1241" t="s">
        <v>5020</v>
      </c>
      <c r="G1241">
        <v>24</v>
      </c>
      <c r="H1241">
        <v>3</v>
      </c>
      <c r="I1241">
        <v>7.8</v>
      </c>
      <c r="J1241">
        <v>15.24</v>
      </c>
      <c r="K1241">
        <v>21.8</v>
      </c>
      <c r="L1241" t="s">
        <v>5026</v>
      </c>
      <c r="M1241">
        <v>11</v>
      </c>
      <c r="N1241">
        <v>0</v>
      </c>
      <c r="O1241">
        <v>1</v>
      </c>
    </row>
    <row r="1242" spans="1:15" x14ac:dyDescent="0.3">
      <c r="A1242" t="s">
        <v>1255</v>
      </c>
      <c r="B1242">
        <v>10</v>
      </c>
      <c r="C1242">
        <v>33</v>
      </c>
      <c r="D1242" t="s">
        <v>5016</v>
      </c>
      <c r="E1242" t="s">
        <v>5017</v>
      </c>
      <c r="F1242" t="s">
        <v>5020</v>
      </c>
      <c r="G1242">
        <v>5.97</v>
      </c>
      <c r="H1242">
        <v>5</v>
      </c>
      <c r="I1242">
        <v>8.6999999999999993</v>
      </c>
      <c r="J1242">
        <v>20.62</v>
      </c>
      <c r="K1242">
        <v>47.2</v>
      </c>
      <c r="L1242" t="s">
        <v>5029</v>
      </c>
      <c r="M1242">
        <v>10</v>
      </c>
      <c r="N1242">
        <v>0</v>
      </c>
      <c r="O1242">
        <v>0</v>
      </c>
    </row>
    <row r="1243" spans="1:15" x14ac:dyDescent="0.3">
      <c r="A1243" t="s">
        <v>1256</v>
      </c>
      <c r="B1243">
        <v>11</v>
      </c>
      <c r="C1243">
        <v>62</v>
      </c>
      <c r="D1243" t="s">
        <v>5016</v>
      </c>
      <c r="E1243" t="s">
        <v>5017</v>
      </c>
      <c r="F1243" t="s">
        <v>5024</v>
      </c>
      <c r="G1243">
        <v>20.85</v>
      </c>
      <c r="H1243">
        <v>4</v>
      </c>
      <c r="I1243">
        <v>7.6</v>
      </c>
      <c r="J1243">
        <v>15.37</v>
      </c>
      <c r="K1243">
        <v>87</v>
      </c>
      <c r="L1243" t="s">
        <v>5028</v>
      </c>
      <c r="M1243">
        <v>1</v>
      </c>
      <c r="N1243">
        <v>4</v>
      </c>
      <c r="O1243">
        <v>0</v>
      </c>
    </row>
    <row r="1244" spans="1:15" x14ac:dyDescent="0.3">
      <c r="A1244" t="s">
        <v>1257</v>
      </c>
      <c r="B1244">
        <v>6</v>
      </c>
      <c r="C1244">
        <v>39</v>
      </c>
      <c r="D1244" t="s">
        <v>5016</v>
      </c>
      <c r="E1244" t="s">
        <v>5017</v>
      </c>
      <c r="F1244" t="s">
        <v>5020</v>
      </c>
      <c r="G1244">
        <v>18.98</v>
      </c>
      <c r="H1244">
        <v>5</v>
      </c>
      <c r="I1244">
        <v>9.3000000000000007</v>
      </c>
      <c r="J1244">
        <v>21.58</v>
      </c>
      <c r="K1244">
        <v>31.7</v>
      </c>
      <c r="L1244" t="s">
        <v>5027</v>
      </c>
      <c r="M1244">
        <v>7</v>
      </c>
      <c r="N1244">
        <v>0</v>
      </c>
      <c r="O1244">
        <v>1</v>
      </c>
    </row>
    <row r="1245" spans="1:15" x14ac:dyDescent="0.3">
      <c r="A1245" t="s">
        <v>1258</v>
      </c>
      <c r="B1245">
        <v>2</v>
      </c>
      <c r="C1245">
        <v>37</v>
      </c>
      <c r="D1245" t="s">
        <v>5015</v>
      </c>
      <c r="E1245" t="s">
        <v>5018</v>
      </c>
      <c r="F1245" t="s">
        <v>5023</v>
      </c>
      <c r="G1245">
        <v>10.220000000000001</v>
      </c>
      <c r="H1245">
        <v>5</v>
      </c>
      <c r="I1245">
        <v>5.7</v>
      </c>
      <c r="J1245">
        <v>4.08</v>
      </c>
      <c r="K1245">
        <v>66</v>
      </c>
      <c r="L1245" t="s">
        <v>5028</v>
      </c>
      <c r="M1245">
        <v>11</v>
      </c>
      <c r="N1245">
        <v>1</v>
      </c>
      <c r="O1245">
        <v>0</v>
      </c>
    </row>
    <row r="1246" spans="1:15" x14ac:dyDescent="0.3">
      <c r="A1246" t="s">
        <v>1259</v>
      </c>
      <c r="B1246">
        <v>7</v>
      </c>
      <c r="C1246">
        <v>67</v>
      </c>
      <c r="D1246" t="s">
        <v>5016</v>
      </c>
      <c r="E1246" t="s">
        <v>5018</v>
      </c>
      <c r="F1246" t="s">
        <v>5021</v>
      </c>
      <c r="G1246">
        <v>19.579999999999998</v>
      </c>
      <c r="H1246">
        <v>2</v>
      </c>
      <c r="I1246">
        <v>7.1</v>
      </c>
      <c r="J1246">
        <v>13.89</v>
      </c>
      <c r="K1246">
        <v>88.5</v>
      </c>
      <c r="L1246" t="s">
        <v>5027</v>
      </c>
      <c r="M1246">
        <v>9</v>
      </c>
      <c r="N1246">
        <v>0</v>
      </c>
      <c r="O1246">
        <v>1</v>
      </c>
    </row>
    <row r="1247" spans="1:15" x14ac:dyDescent="0.3">
      <c r="A1247" t="s">
        <v>1260</v>
      </c>
      <c r="B1247">
        <v>2</v>
      </c>
      <c r="C1247">
        <v>60</v>
      </c>
      <c r="D1247" t="s">
        <v>5016</v>
      </c>
      <c r="E1247" t="s">
        <v>5018</v>
      </c>
      <c r="F1247" t="s">
        <v>5024</v>
      </c>
      <c r="G1247">
        <v>19.329999999999998</v>
      </c>
      <c r="H1247">
        <v>4</v>
      </c>
      <c r="I1247">
        <v>4.3</v>
      </c>
      <c r="J1247">
        <v>20.88</v>
      </c>
      <c r="K1247">
        <v>94.1</v>
      </c>
      <c r="L1247" t="s">
        <v>5028</v>
      </c>
      <c r="M1247">
        <v>3</v>
      </c>
      <c r="N1247">
        <v>3</v>
      </c>
      <c r="O1247">
        <v>0</v>
      </c>
    </row>
    <row r="1248" spans="1:15" x14ac:dyDescent="0.3">
      <c r="A1248" t="s">
        <v>1261</v>
      </c>
      <c r="B1248">
        <v>11</v>
      </c>
      <c r="C1248">
        <v>44</v>
      </c>
      <c r="D1248" t="s">
        <v>5015</v>
      </c>
      <c r="E1248" t="s">
        <v>5017</v>
      </c>
      <c r="F1248" t="s">
        <v>5021</v>
      </c>
      <c r="G1248">
        <v>14.19</v>
      </c>
      <c r="H1248">
        <v>4</v>
      </c>
      <c r="I1248">
        <v>1.1000000000000001</v>
      </c>
      <c r="J1248">
        <v>21.66</v>
      </c>
      <c r="K1248">
        <v>99.4</v>
      </c>
      <c r="L1248" t="s">
        <v>5025</v>
      </c>
      <c r="M1248">
        <v>2</v>
      </c>
      <c r="N1248">
        <v>1</v>
      </c>
      <c r="O1248">
        <v>0</v>
      </c>
    </row>
    <row r="1249" spans="1:15" x14ac:dyDescent="0.3">
      <c r="A1249" t="s">
        <v>1262</v>
      </c>
      <c r="B1249">
        <v>2</v>
      </c>
      <c r="C1249">
        <v>58</v>
      </c>
      <c r="D1249" t="s">
        <v>5016</v>
      </c>
      <c r="E1249" t="s">
        <v>5018</v>
      </c>
      <c r="F1249" t="s">
        <v>5023</v>
      </c>
      <c r="G1249">
        <v>18.77</v>
      </c>
      <c r="H1249">
        <v>1</v>
      </c>
      <c r="I1249">
        <v>7.8</v>
      </c>
      <c r="J1249">
        <v>21.35</v>
      </c>
      <c r="K1249">
        <v>78.7</v>
      </c>
      <c r="L1249" t="s">
        <v>5028</v>
      </c>
      <c r="M1249">
        <v>10</v>
      </c>
      <c r="N1249">
        <v>2</v>
      </c>
      <c r="O1249">
        <v>0</v>
      </c>
    </row>
    <row r="1250" spans="1:15" x14ac:dyDescent="0.3">
      <c r="A1250" t="s">
        <v>1263</v>
      </c>
      <c r="B1250">
        <v>11</v>
      </c>
      <c r="C1250">
        <v>33</v>
      </c>
      <c r="D1250" t="s">
        <v>5016</v>
      </c>
      <c r="E1250" t="s">
        <v>5019</v>
      </c>
      <c r="F1250" t="s">
        <v>5024</v>
      </c>
      <c r="G1250">
        <v>13.89</v>
      </c>
      <c r="H1250">
        <v>5</v>
      </c>
      <c r="I1250">
        <v>8.8000000000000007</v>
      </c>
      <c r="J1250">
        <v>16.3</v>
      </c>
      <c r="K1250">
        <v>16.8</v>
      </c>
      <c r="L1250" t="s">
        <v>5026</v>
      </c>
      <c r="M1250">
        <v>8</v>
      </c>
      <c r="N1250">
        <v>0</v>
      </c>
      <c r="O1250">
        <v>0</v>
      </c>
    </row>
    <row r="1251" spans="1:15" x14ac:dyDescent="0.3">
      <c r="A1251" t="s">
        <v>1264</v>
      </c>
      <c r="B1251">
        <v>1</v>
      </c>
      <c r="C1251">
        <v>51</v>
      </c>
      <c r="D1251" t="s">
        <v>5015</v>
      </c>
      <c r="E1251" t="s">
        <v>5018</v>
      </c>
      <c r="F1251" t="s">
        <v>5021</v>
      </c>
      <c r="G1251">
        <v>11.71</v>
      </c>
      <c r="H1251">
        <v>3</v>
      </c>
      <c r="I1251">
        <v>2.6</v>
      </c>
      <c r="J1251">
        <v>24.87</v>
      </c>
      <c r="K1251">
        <v>88.4</v>
      </c>
      <c r="L1251" t="s">
        <v>5027</v>
      </c>
      <c r="M1251">
        <v>4</v>
      </c>
      <c r="N1251">
        <v>2</v>
      </c>
      <c r="O1251">
        <v>0</v>
      </c>
    </row>
    <row r="1252" spans="1:15" x14ac:dyDescent="0.3">
      <c r="A1252" t="s">
        <v>1265</v>
      </c>
      <c r="B1252">
        <v>11</v>
      </c>
      <c r="C1252">
        <v>49</v>
      </c>
      <c r="D1252" t="s">
        <v>5015</v>
      </c>
      <c r="E1252" t="s">
        <v>5018</v>
      </c>
      <c r="F1252" t="s">
        <v>5024</v>
      </c>
      <c r="G1252">
        <v>14.33</v>
      </c>
      <c r="H1252">
        <v>2</v>
      </c>
      <c r="I1252">
        <v>1.3</v>
      </c>
      <c r="J1252">
        <v>6.99</v>
      </c>
      <c r="K1252">
        <v>89.7</v>
      </c>
      <c r="L1252" t="s">
        <v>5027</v>
      </c>
      <c r="M1252">
        <v>1</v>
      </c>
      <c r="N1252">
        <v>2</v>
      </c>
      <c r="O1252">
        <v>0</v>
      </c>
    </row>
    <row r="1253" spans="1:15" x14ac:dyDescent="0.3">
      <c r="A1253" t="s">
        <v>1266</v>
      </c>
      <c r="B1253">
        <v>11</v>
      </c>
      <c r="C1253">
        <v>43</v>
      </c>
      <c r="D1253" t="s">
        <v>5016</v>
      </c>
      <c r="E1253" t="s">
        <v>5019</v>
      </c>
      <c r="F1253" t="s">
        <v>5023</v>
      </c>
      <c r="G1253">
        <v>22.9</v>
      </c>
      <c r="H1253">
        <v>1</v>
      </c>
      <c r="I1253">
        <v>2.5</v>
      </c>
      <c r="J1253">
        <v>6.84</v>
      </c>
      <c r="K1253">
        <v>60.2</v>
      </c>
      <c r="L1253" t="s">
        <v>5026</v>
      </c>
      <c r="M1253">
        <v>8</v>
      </c>
      <c r="N1253">
        <v>4</v>
      </c>
      <c r="O1253">
        <v>0</v>
      </c>
    </row>
    <row r="1254" spans="1:15" x14ac:dyDescent="0.3">
      <c r="A1254" t="s">
        <v>1267</v>
      </c>
      <c r="B1254">
        <v>12</v>
      </c>
      <c r="C1254">
        <v>42</v>
      </c>
      <c r="D1254" t="s">
        <v>5015</v>
      </c>
      <c r="E1254" t="s">
        <v>5019</v>
      </c>
      <c r="F1254" t="s">
        <v>5024</v>
      </c>
      <c r="G1254">
        <v>12.69</v>
      </c>
      <c r="H1254">
        <v>2</v>
      </c>
      <c r="I1254">
        <v>9.1</v>
      </c>
      <c r="J1254">
        <v>3.72</v>
      </c>
      <c r="K1254">
        <v>16.100000000000001</v>
      </c>
      <c r="L1254" t="s">
        <v>5025</v>
      </c>
      <c r="M1254">
        <v>6</v>
      </c>
      <c r="N1254">
        <v>3</v>
      </c>
      <c r="O1254">
        <v>0</v>
      </c>
    </row>
    <row r="1255" spans="1:15" x14ac:dyDescent="0.3">
      <c r="A1255" t="s">
        <v>1268</v>
      </c>
      <c r="B1255">
        <v>11</v>
      </c>
      <c r="C1255">
        <v>19</v>
      </c>
      <c r="D1255" t="s">
        <v>5015</v>
      </c>
      <c r="E1255" t="s">
        <v>5018</v>
      </c>
      <c r="F1255" t="s">
        <v>5023</v>
      </c>
      <c r="G1255">
        <v>13.07</v>
      </c>
      <c r="H1255">
        <v>3</v>
      </c>
      <c r="I1255">
        <v>3.7</v>
      </c>
      <c r="J1255">
        <v>24.77</v>
      </c>
      <c r="K1255">
        <v>52.9</v>
      </c>
      <c r="L1255" t="s">
        <v>5028</v>
      </c>
      <c r="M1255">
        <v>6</v>
      </c>
      <c r="N1255">
        <v>3</v>
      </c>
      <c r="O1255">
        <v>0</v>
      </c>
    </row>
    <row r="1256" spans="1:15" x14ac:dyDescent="0.3">
      <c r="A1256" t="s">
        <v>1269</v>
      </c>
      <c r="B1256">
        <v>3</v>
      </c>
      <c r="C1256">
        <v>29</v>
      </c>
      <c r="D1256" t="s">
        <v>5016</v>
      </c>
      <c r="E1256" t="s">
        <v>5019</v>
      </c>
      <c r="F1256" t="s">
        <v>5024</v>
      </c>
      <c r="G1256">
        <v>17.170000000000002</v>
      </c>
      <c r="H1256">
        <v>1</v>
      </c>
      <c r="I1256">
        <v>3.1</v>
      </c>
      <c r="J1256">
        <v>10.66</v>
      </c>
      <c r="K1256">
        <v>29</v>
      </c>
      <c r="L1256" t="s">
        <v>5025</v>
      </c>
      <c r="M1256">
        <v>4</v>
      </c>
      <c r="N1256">
        <v>2</v>
      </c>
      <c r="O1256">
        <v>0</v>
      </c>
    </row>
    <row r="1257" spans="1:15" x14ac:dyDescent="0.3">
      <c r="A1257" t="s">
        <v>1270</v>
      </c>
      <c r="B1257">
        <v>6</v>
      </c>
      <c r="C1257">
        <v>57</v>
      </c>
      <c r="D1257" t="s">
        <v>5015</v>
      </c>
      <c r="E1257" t="s">
        <v>5018</v>
      </c>
      <c r="F1257" t="s">
        <v>5024</v>
      </c>
      <c r="G1257">
        <v>20.059999999999999</v>
      </c>
      <c r="H1257">
        <v>2</v>
      </c>
      <c r="I1257">
        <v>1.1000000000000001</v>
      </c>
      <c r="J1257">
        <v>19.77</v>
      </c>
      <c r="K1257">
        <v>49.8</v>
      </c>
      <c r="L1257" t="s">
        <v>5026</v>
      </c>
      <c r="M1257">
        <v>6</v>
      </c>
      <c r="N1257">
        <v>4</v>
      </c>
      <c r="O1257">
        <v>0</v>
      </c>
    </row>
    <row r="1258" spans="1:15" x14ac:dyDescent="0.3">
      <c r="A1258" t="s">
        <v>1271</v>
      </c>
      <c r="B1258">
        <v>8</v>
      </c>
      <c r="C1258">
        <v>26</v>
      </c>
      <c r="D1258" t="s">
        <v>5016</v>
      </c>
      <c r="E1258" t="s">
        <v>5019</v>
      </c>
      <c r="F1258" t="s">
        <v>5020</v>
      </c>
      <c r="G1258">
        <v>19.690000000000001</v>
      </c>
      <c r="H1258">
        <v>3</v>
      </c>
      <c r="I1258">
        <v>3.7</v>
      </c>
      <c r="J1258">
        <v>4.3099999999999996</v>
      </c>
      <c r="K1258">
        <v>75.2</v>
      </c>
      <c r="L1258" t="s">
        <v>5028</v>
      </c>
      <c r="M1258">
        <v>2</v>
      </c>
      <c r="N1258">
        <v>1</v>
      </c>
      <c r="O1258">
        <v>0</v>
      </c>
    </row>
    <row r="1259" spans="1:15" x14ac:dyDescent="0.3">
      <c r="A1259" t="s">
        <v>1272</v>
      </c>
      <c r="B1259">
        <v>9</v>
      </c>
      <c r="C1259">
        <v>29</v>
      </c>
      <c r="D1259" t="s">
        <v>5016</v>
      </c>
      <c r="E1259" t="s">
        <v>5017</v>
      </c>
      <c r="F1259" t="s">
        <v>5023</v>
      </c>
      <c r="G1259">
        <v>5.4</v>
      </c>
      <c r="H1259">
        <v>1</v>
      </c>
      <c r="I1259">
        <v>7.4</v>
      </c>
      <c r="J1259">
        <v>9.57</v>
      </c>
      <c r="K1259">
        <v>70.099999999999994</v>
      </c>
      <c r="L1259" t="s">
        <v>5026</v>
      </c>
      <c r="M1259">
        <v>6</v>
      </c>
      <c r="N1259">
        <v>0</v>
      </c>
      <c r="O1259">
        <v>0</v>
      </c>
    </row>
    <row r="1260" spans="1:15" x14ac:dyDescent="0.3">
      <c r="A1260" t="s">
        <v>1273</v>
      </c>
      <c r="B1260">
        <v>7</v>
      </c>
      <c r="C1260">
        <v>43</v>
      </c>
      <c r="D1260" t="s">
        <v>5016</v>
      </c>
      <c r="E1260" t="s">
        <v>5017</v>
      </c>
      <c r="F1260" t="s">
        <v>5022</v>
      </c>
      <c r="G1260">
        <v>18.75</v>
      </c>
      <c r="H1260">
        <v>3</v>
      </c>
      <c r="I1260">
        <v>9.6</v>
      </c>
      <c r="J1260">
        <v>16.72</v>
      </c>
      <c r="K1260">
        <v>80.2</v>
      </c>
      <c r="L1260" t="s">
        <v>5027</v>
      </c>
      <c r="M1260">
        <v>2</v>
      </c>
      <c r="N1260">
        <v>1</v>
      </c>
      <c r="O1260">
        <v>0</v>
      </c>
    </row>
    <row r="1261" spans="1:15" x14ac:dyDescent="0.3">
      <c r="A1261" t="s">
        <v>1274</v>
      </c>
      <c r="B1261">
        <v>4</v>
      </c>
      <c r="C1261">
        <v>26</v>
      </c>
      <c r="D1261" t="s">
        <v>5016</v>
      </c>
      <c r="E1261" t="s">
        <v>5017</v>
      </c>
      <c r="F1261" t="s">
        <v>5024</v>
      </c>
      <c r="G1261">
        <v>14.01</v>
      </c>
      <c r="H1261">
        <v>1</v>
      </c>
      <c r="I1261">
        <v>3.8</v>
      </c>
      <c r="J1261">
        <v>14.55</v>
      </c>
      <c r="K1261">
        <v>52.9</v>
      </c>
      <c r="L1261" t="s">
        <v>5027</v>
      </c>
      <c r="M1261">
        <v>6</v>
      </c>
      <c r="N1261">
        <v>0</v>
      </c>
      <c r="O1261">
        <v>1</v>
      </c>
    </row>
    <row r="1262" spans="1:15" x14ac:dyDescent="0.3">
      <c r="A1262" t="s">
        <v>1275</v>
      </c>
      <c r="B1262">
        <v>6</v>
      </c>
      <c r="C1262">
        <v>27</v>
      </c>
      <c r="D1262" t="s">
        <v>5015</v>
      </c>
      <c r="E1262" t="s">
        <v>5019</v>
      </c>
      <c r="F1262" t="s">
        <v>5021</v>
      </c>
      <c r="G1262">
        <v>15.48</v>
      </c>
      <c r="H1262">
        <v>4</v>
      </c>
      <c r="I1262">
        <v>3.2</v>
      </c>
      <c r="J1262">
        <v>7.57</v>
      </c>
      <c r="K1262">
        <v>56</v>
      </c>
      <c r="L1262" t="s">
        <v>5027</v>
      </c>
      <c r="M1262">
        <v>9</v>
      </c>
      <c r="N1262">
        <v>2</v>
      </c>
      <c r="O1262">
        <v>0</v>
      </c>
    </row>
    <row r="1263" spans="1:15" x14ac:dyDescent="0.3">
      <c r="A1263" t="s">
        <v>1276</v>
      </c>
      <c r="B1263">
        <v>5</v>
      </c>
      <c r="C1263">
        <v>49</v>
      </c>
      <c r="D1263" t="s">
        <v>5016</v>
      </c>
      <c r="E1263" t="s">
        <v>5018</v>
      </c>
      <c r="F1263" t="s">
        <v>5020</v>
      </c>
      <c r="G1263">
        <v>16.23</v>
      </c>
      <c r="H1263">
        <v>4</v>
      </c>
      <c r="I1263">
        <v>9</v>
      </c>
      <c r="J1263">
        <v>13.16</v>
      </c>
      <c r="K1263">
        <v>94.2</v>
      </c>
      <c r="L1263" t="s">
        <v>5029</v>
      </c>
      <c r="M1263">
        <v>7</v>
      </c>
      <c r="N1263">
        <v>4</v>
      </c>
      <c r="O1263">
        <v>0</v>
      </c>
    </row>
    <row r="1264" spans="1:15" x14ac:dyDescent="0.3">
      <c r="A1264" t="s">
        <v>1277</v>
      </c>
      <c r="B1264">
        <v>8</v>
      </c>
      <c r="C1264">
        <v>51</v>
      </c>
      <c r="D1264" t="s">
        <v>5016</v>
      </c>
      <c r="E1264" t="s">
        <v>5017</v>
      </c>
      <c r="F1264" t="s">
        <v>5020</v>
      </c>
      <c r="G1264">
        <v>19.63</v>
      </c>
      <c r="H1264">
        <v>2</v>
      </c>
      <c r="I1264">
        <v>8.6999999999999993</v>
      </c>
      <c r="J1264">
        <v>5.39</v>
      </c>
      <c r="K1264">
        <v>66.8</v>
      </c>
      <c r="L1264" t="s">
        <v>5029</v>
      </c>
      <c r="M1264">
        <v>4</v>
      </c>
      <c r="N1264">
        <v>4</v>
      </c>
      <c r="O1264">
        <v>1</v>
      </c>
    </row>
    <row r="1265" spans="1:15" x14ac:dyDescent="0.3">
      <c r="A1265" t="s">
        <v>1278</v>
      </c>
      <c r="B1265">
        <v>1</v>
      </c>
      <c r="C1265">
        <v>65</v>
      </c>
      <c r="D1265" t="s">
        <v>5016</v>
      </c>
      <c r="E1265" t="s">
        <v>5017</v>
      </c>
      <c r="F1265" t="s">
        <v>5024</v>
      </c>
      <c r="G1265">
        <v>21.63</v>
      </c>
      <c r="H1265">
        <v>5</v>
      </c>
      <c r="I1265">
        <v>4</v>
      </c>
      <c r="J1265">
        <v>14.94</v>
      </c>
      <c r="K1265">
        <v>77.3</v>
      </c>
      <c r="L1265" t="s">
        <v>5027</v>
      </c>
      <c r="M1265">
        <v>1</v>
      </c>
      <c r="N1265">
        <v>3</v>
      </c>
      <c r="O1265">
        <v>0</v>
      </c>
    </row>
    <row r="1266" spans="1:15" x14ac:dyDescent="0.3">
      <c r="A1266" t="s">
        <v>1279</v>
      </c>
      <c r="B1266">
        <v>1</v>
      </c>
      <c r="C1266">
        <v>37</v>
      </c>
      <c r="D1266" t="s">
        <v>5016</v>
      </c>
      <c r="E1266" t="s">
        <v>5019</v>
      </c>
      <c r="F1266" t="s">
        <v>5022</v>
      </c>
      <c r="G1266">
        <v>17.93</v>
      </c>
      <c r="H1266">
        <v>5</v>
      </c>
      <c r="I1266">
        <v>1.6</v>
      </c>
      <c r="J1266">
        <v>5.13</v>
      </c>
      <c r="K1266">
        <v>69.8</v>
      </c>
      <c r="L1266" t="s">
        <v>5029</v>
      </c>
      <c r="M1266">
        <v>9</v>
      </c>
      <c r="N1266">
        <v>3</v>
      </c>
      <c r="O1266">
        <v>0</v>
      </c>
    </row>
    <row r="1267" spans="1:15" x14ac:dyDescent="0.3">
      <c r="A1267" t="s">
        <v>1280</v>
      </c>
      <c r="B1267">
        <v>11</v>
      </c>
      <c r="C1267">
        <v>56</v>
      </c>
      <c r="D1267" t="s">
        <v>5015</v>
      </c>
      <c r="E1267" t="s">
        <v>5019</v>
      </c>
      <c r="F1267" t="s">
        <v>5020</v>
      </c>
      <c r="G1267">
        <v>16.28</v>
      </c>
      <c r="H1267">
        <v>3</v>
      </c>
      <c r="I1267">
        <v>9.9</v>
      </c>
      <c r="J1267">
        <v>16.989999999999998</v>
      </c>
      <c r="K1267">
        <v>67.599999999999994</v>
      </c>
      <c r="L1267" t="s">
        <v>5029</v>
      </c>
      <c r="M1267">
        <v>1</v>
      </c>
      <c r="N1267">
        <v>1</v>
      </c>
      <c r="O1267">
        <v>0</v>
      </c>
    </row>
    <row r="1268" spans="1:15" x14ac:dyDescent="0.3">
      <c r="A1268" t="s">
        <v>1281</v>
      </c>
      <c r="B1268">
        <v>6</v>
      </c>
      <c r="C1268">
        <v>19</v>
      </c>
      <c r="D1268" t="s">
        <v>5015</v>
      </c>
      <c r="E1268" t="s">
        <v>5018</v>
      </c>
      <c r="F1268" t="s">
        <v>5023</v>
      </c>
      <c r="G1268">
        <v>12.48</v>
      </c>
      <c r="H1268">
        <v>1</v>
      </c>
      <c r="I1268">
        <v>7.1</v>
      </c>
      <c r="J1268">
        <v>6.42</v>
      </c>
      <c r="K1268">
        <v>92.2</v>
      </c>
      <c r="L1268" t="s">
        <v>5026</v>
      </c>
      <c r="M1268">
        <v>5</v>
      </c>
      <c r="N1268">
        <v>3</v>
      </c>
      <c r="O1268">
        <v>1</v>
      </c>
    </row>
    <row r="1269" spans="1:15" x14ac:dyDescent="0.3">
      <c r="A1269" t="s">
        <v>1282</v>
      </c>
      <c r="B1269">
        <v>10</v>
      </c>
      <c r="C1269">
        <v>18</v>
      </c>
      <c r="D1269" t="s">
        <v>5015</v>
      </c>
      <c r="E1269" t="s">
        <v>5018</v>
      </c>
      <c r="F1269" t="s">
        <v>5024</v>
      </c>
      <c r="G1269">
        <v>7.76</v>
      </c>
      <c r="H1269">
        <v>4</v>
      </c>
      <c r="I1269">
        <v>9.3000000000000007</v>
      </c>
      <c r="J1269">
        <v>15.04</v>
      </c>
      <c r="K1269">
        <v>42.1</v>
      </c>
      <c r="L1269" t="s">
        <v>5028</v>
      </c>
      <c r="M1269">
        <v>7</v>
      </c>
      <c r="N1269">
        <v>0</v>
      </c>
      <c r="O1269">
        <v>1</v>
      </c>
    </row>
    <row r="1270" spans="1:15" x14ac:dyDescent="0.3">
      <c r="A1270" t="s">
        <v>1283</v>
      </c>
      <c r="B1270">
        <v>12</v>
      </c>
      <c r="C1270">
        <v>68</v>
      </c>
      <c r="D1270" t="s">
        <v>5016</v>
      </c>
      <c r="E1270" t="s">
        <v>5018</v>
      </c>
      <c r="F1270" t="s">
        <v>5024</v>
      </c>
      <c r="G1270">
        <v>24.17</v>
      </c>
      <c r="H1270">
        <v>5</v>
      </c>
      <c r="I1270">
        <v>4.0999999999999996</v>
      </c>
      <c r="J1270">
        <v>5.84</v>
      </c>
      <c r="K1270">
        <v>48.5</v>
      </c>
      <c r="L1270" t="s">
        <v>5027</v>
      </c>
      <c r="M1270">
        <v>10</v>
      </c>
      <c r="N1270">
        <v>4</v>
      </c>
      <c r="O1270">
        <v>1</v>
      </c>
    </row>
    <row r="1271" spans="1:15" x14ac:dyDescent="0.3">
      <c r="A1271" t="s">
        <v>1284</v>
      </c>
      <c r="B1271">
        <v>2</v>
      </c>
      <c r="C1271">
        <v>53</v>
      </c>
      <c r="D1271" t="s">
        <v>5015</v>
      </c>
      <c r="E1271" t="s">
        <v>5018</v>
      </c>
      <c r="F1271" t="s">
        <v>5022</v>
      </c>
      <c r="G1271">
        <v>14.24</v>
      </c>
      <c r="H1271">
        <v>4</v>
      </c>
      <c r="I1271">
        <v>6.8</v>
      </c>
      <c r="J1271">
        <v>11.82</v>
      </c>
      <c r="K1271">
        <v>44.2</v>
      </c>
      <c r="L1271" t="s">
        <v>5029</v>
      </c>
      <c r="M1271">
        <v>10</v>
      </c>
      <c r="N1271">
        <v>4</v>
      </c>
      <c r="O1271">
        <v>0</v>
      </c>
    </row>
    <row r="1272" spans="1:15" x14ac:dyDescent="0.3">
      <c r="A1272" t="s">
        <v>1285</v>
      </c>
      <c r="B1272">
        <v>5</v>
      </c>
      <c r="C1272">
        <v>41</v>
      </c>
      <c r="D1272" t="s">
        <v>5015</v>
      </c>
      <c r="E1272" t="s">
        <v>5019</v>
      </c>
      <c r="F1272" t="s">
        <v>5023</v>
      </c>
      <c r="G1272">
        <v>16.32</v>
      </c>
      <c r="H1272">
        <v>3</v>
      </c>
      <c r="I1272">
        <v>7.1</v>
      </c>
      <c r="J1272">
        <v>10.74</v>
      </c>
      <c r="K1272">
        <v>78.900000000000006</v>
      </c>
      <c r="L1272" t="s">
        <v>5026</v>
      </c>
      <c r="M1272">
        <v>6</v>
      </c>
      <c r="N1272">
        <v>2</v>
      </c>
      <c r="O1272">
        <v>0</v>
      </c>
    </row>
    <row r="1273" spans="1:15" x14ac:dyDescent="0.3">
      <c r="A1273" t="s">
        <v>1286</v>
      </c>
      <c r="B1273">
        <v>1</v>
      </c>
      <c r="C1273">
        <v>44</v>
      </c>
      <c r="D1273" t="s">
        <v>5016</v>
      </c>
      <c r="E1273" t="s">
        <v>5017</v>
      </c>
      <c r="F1273" t="s">
        <v>5023</v>
      </c>
      <c r="G1273">
        <v>20.02</v>
      </c>
      <c r="H1273">
        <v>3</v>
      </c>
      <c r="I1273">
        <v>8.9</v>
      </c>
      <c r="J1273">
        <v>19.64</v>
      </c>
      <c r="K1273">
        <v>88.2</v>
      </c>
      <c r="L1273" t="s">
        <v>5026</v>
      </c>
      <c r="M1273">
        <v>3</v>
      </c>
      <c r="N1273">
        <v>2</v>
      </c>
      <c r="O1273">
        <v>0</v>
      </c>
    </row>
    <row r="1274" spans="1:15" x14ac:dyDescent="0.3">
      <c r="A1274" t="s">
        <v>1287</v>
      </c>
      <c r="B1274">
        <v>7</v>
      </c>
      <c r="C1274">
        <v>19</v>
      </c>
      <c r="D1274" t="s">
        <v>5015</v>
      </c>
      <c r="E1274" t="s">
        <v>5018</v>
      </c>
      <c r="F1274" t="s">
        <v>5022</v>
      </c>
      <c r="G1274">
        <v>6.37</v>
      </c>
      <c r="H1274">
        <v>1</v>
      </c>
      <c r="I1274">
        <v>9.9</v>
      </c>
      <c r="J1274">
        <v>17.11</v>
      </c>
      <c r="K1274">
        <v>42.2</v>
      </c>
      <c r="L1274" t="s">
        <v>5028</v>
      </c>
      <c r="M1274">
        <v>11</v>
      </c>
      <c r="N1274">
        <v>1</v>
      </c>
      <c r="O1274">
        <v>0</v>
      </c>
    </row>
    <row r="1275" spans="1:15" x14ac:dyDescent="0.3">
      <c r="A1275" t="s">
        <v>1288</v>
      </c>
      <c r="B1275">
        <v>1</v>
      </c>
      <c r="C1275">
        <v>48</v>
      </c>
      <c r="D1275" t="s">
        <v>5016</v>
      </c>
      <c r="E1275" t="s">
        <v>5018</v>
      </c>
      <c r="F1275" t="s">
        <v>5021</v>
      </c>
      <c r="G1275">
        <v>22.1</v>
      </c>
      <c r="H1275">
        <v>5</v>
      </c>
      <c r="I1275">
        <v>2</v>
      </c>
      <c r="J1275">
        <v>23.62</v>
      </c>
      <c r="K1275">
        <v>22.8</v>
      </c>
      <c r="L1275" t="s">
        <v>5026</v>
      </c>
      <c r="M1275">
        <v>8</v>
      </c>
      <c r="N1275">
        <v>2</v>
      </c>
      <c r="O1275">
        <v>0</v>
      </c>
    </row>
    <row r="1276" spans="1:15" x14ac:dyDescent="0.3">
      <c r="A1276" t="s">
        <v>1289</v>
      </c>
      <c r="B1276">
        <v>4</v>
      </c>
      <c r="C1276">
        <v>31</v>
      </c>
      <c r="D1276" t="s">
        <v>5015</v>
      </c>
      <c r="E1276" t="s">
        <v>5018</v>
      </c>
      <c r="F1276" t="s">
        <v>5023</v>
      </c>
      <c r="G1276">
        <v>20.94</v>
      </c>
      <c r="H1276">
        <v>3</v>
      </c>
      <c r="I1276">
        <v>6.7</v>
      </c>
      <c r="J1276">
        <v>23.28</v>
      </c>
      <c r="K1276">
        <v>54.5</v>
      </c>
      <c r="L1276" t="s">
        <v>5025</v>
      </c>
      <c r="M1276">
        <v>11</v>
      </c>
      <c r="N1276">
        <v>0</v>
      </c>
      <c r="O1276">
        <v>0</v>
      </c>
    </row>
    <row r="1277" spans="1:15" x14ac:dyDescent="0.3">
      <c r="A1277" t="s">
        <v>1290</v>
      </c>
      <c r="B1277">
        <v>9</v>
      </c>
      <c r="C1277">
        <v>19</v>
      </c>
      <c r="D1277" t="s">
        <v>5015</v>
      </c>
      <c r="E1277" t="s">
        <v>5018</v>
      </c>
      <c r="F1277" t="s">
        <v>5021</v>
      </c>
      <c r="G1277">
        <v>20.49</v>
      </c>
      <c r="H1277">
        <v>3</v>
      </c>
      <c r="I1277">
        <v>4</v>
      </c>
      <c r="J1277">
        <v>18.95</v>
      </c>
      <c r="K1277">
        <v>98.6</v>
      </c>
      <c r="L1277" t="s">
        <v>5025</v>
      </c>
      <c r="M1277">
        <v>7</v>
      </c>
      <c r="N1277">
        <v>3</v>
      </c>
      <c r="O1277">
        <v>0</v>
      </c>
    </row>
    <row r="1278" spans="1:15" x14ac:dyDescent="0.3">
      <c r="A1278" t="s">
        <v>1291</v>
      </c>
      <c r="B1278">
        <v>1</v>
      </c>
      <c r="C1278">
        <v>46</v>
      </c>
      <c r="D1278" t="s">
        <v>5015</v>
      </c>
      <c r="E1278" t="s">
        <v>5018</v>
      </c>
      <c r="F1278" t="s">
        <v>5021</v>
      </c>
      <c r="G1278">
        <v>5.44</v>
      </c>
      <c r="H1278">
        <v>4</v>
      </c>
      <c r="I1278">
        <v>8.3000000000000007</v>
      </c>
      <c r="J1278">
        <v>19.95</v>
      </c>
      <c r="K1278">
        <v>28.3</v>
      </c>
      <c r="L1278" t="s">
        <v>5027</v>
      </c>
      <c r="M1278">
        <v>9</v>
      </c>
      <c r="N1278">
        <v>3</v>
      </c>
      <c r="O1278">
        <v>1</v>
      </c>
    </row>
    <row r="1279" spans="1:15" x14ac:dyDescent="0.3">
      <c r="A1279" t="s">
        <v>1292</v>
      </c>
      <c r="B1279">
        <v>4</v>
      </c>
      <c r="C1279">
        <v>32</v>
      </c>
      <c r="D1279" t="s">
        <v>5015</v>
      </c>
      <c r="E1279" t="s">
        <v>5017</v>
      </c>
      <c r="F1279" t="s">
        <v>5024</v>
      </c>
      <c r="G1279">
        <v>15.53</v>
      </c>
      <c r="H1279">
        <v>2</v>
      </c>
      <c r="I1279">
        <v>7.8</v>
      </c>
      <c r="J1279">
        <v>16.75</v>
      </c>
      <c r="K1279">
        <v>50.7</v>
      </c>
      <c r="L1279" t="s">
        <v>5028</v>
      </c>
      <c r="M1279">
        <v>1</v>
      </c>
      <c r="N1279">
        <v>1</v>
      </c>
      <c r="O1279">
        <v>0</v>
      </c>
    </row>
    <row r="1280" spans="1:15" x14ac:dyDescent="0.3">
      <c r="A1280" t="s">
        <v>1293</v>
      </c>
      <c r="B1280">
        <v>6</v>
      </c>
      <c r="C1280">
        <v>29</v>
      </c>
      <c r="D1280" t="s">
        <v>5016</v>
      </c>
      <c r="E1280" t="s">
        <v>5018</v>
      </c>
      <c r="F1280" t="s">
        <v>5024</v>
      </c>
      <c r="G1280">
        <v>6.09</v>
      </c>
      <c r="H1280">
        <v>5</v>
      </c>
      <c r="I1280">
        <v>9</v>
      </c>
      <c r="J1280">
        <v>18.22</v>
      </c>
      <c r="K1280">
        <v>34.4</v>
      </c>
      <c r="L1280" t="s">
        <v>5025</v>
      </c>
      <c r="M1280">
        <v>8</v>
      </c>
      <c r="N1280">
        <v>3</v>
      </c>
      <c r="O1280">
        <v>1</v>
      </c>
    </row>
    <row r="1281" spans="1:15" x14ac:dyDescent="0.3">
      <c r="A1281" t="s">
        <v>1294</v>
      </c>
      <c r="B1281">
        <v>6</v>
      </c>
      <c r="C1281">
        <v>54</v>
      </c>
      <c r="D1281" t="s">
        <v>5016</v>
      </c>
      <c r="E1281" t="s">
        <v>5017</v>
      </c>
      <c r="F1281" t="s">
        <v>5020</v>
      </c>
      <c r="G1281">
        <v>16.02</v>
      </c>
      <c r="H1281">
        <v>1</v>
      </c>
      <c r="I1281">
        <v>4.0999999999999996</v>
      </c>
      <c r="J1281">
        <v>16.579999999999998</v>
      </c>
      <c r="K1281">
        <v>93</v>
      </c>
      <c r="L1281" t="s">
        <v>5028</v>
      </c>
      <c r="M1281">
        <v>4</v>
      </c>
      <c r="N1281">
        <v>4</v>
      </c>
      <c r="O1281">
        <v>0</v>
      </c>
    </row>
    <row r="1282" spans="1:15" x14ac:dyDescent="0.3">
      <c r="A1282" t="s">
        <v>1295</v>
      </c>
      <c r="B1282">
        <v>12</v>
      </c>
      <c r="C1282">
        <v>45</v>
      </c>
      <c r="D1282" t="s">
        <v>5015</v>
      </c>
      <c r="E1282" t="s">
        <v>5017</v>
      </c>
      <c r="F1282" t="s">
        <v>5024</v>
      </c>
      <c r="G1282">
        <v>19.37</v>
      </c>
      <c r="H1282">
        <v>1</v>
      </c>
      <c r="I1282">
        <v>2.7</v>
      </c>
      <c r="J1282">
        <v>9.86</v>
      </c>
      <c r="K1282">
        <v>59.6</v>
      </c>
      <c r="L1282" t="s">
        <v>5027</v>
      </c>
      <c r="M1282">
        <v>7</v>
      </c>
      <c r="N1282">
        <v>3</v>
      </c>
      <c r="O1282">
        <v>0</v>
      </c>
    </row>
    <row r="1283" spans="1:15" x14ac:dyDescent="0.3">
      <c r="A1283" t="s">
        <v>1296</v>
      </c>
      <c r="B1283">
        <v>8</v>
      </c>
      <c r="C1283">
        <v>37</v>
      </c>
      <c r="D1283" t="s">
        <v>5016</v>
      </c>
      <c r="E1283" t="s">
        <v>5017</v>
      </c>
      <c r="F1283" t="s">
        <v>5023</v>
      </c>
      <c r="G1283">
        <v>7.44</v>
      </c>
      <c r="H1283">
        <v>4</v>
      </c>
      <c r="I1283">
        <v>1.2</v>
      </c>
      <c r="J1283">
        <v>10.72</v>
      </c>
      <c r="K1283">
        <v>62.1</v>
      </c>
      <c r="L1283" t="s">
        <v>5026</v>
      </c>
      <c r="M1283">
        <v>7</v>
      </c>
      <c r="N1283">
        <v>2</v>
      </c>
      <c r="O1283">
        <v>1</v>
      </c>
    </row>
    <row r="1284" spans="1:15" x14ac:dyDescent="0.3">
      <c r="A1284" t="s">
        <v>1297</v>
      </c>
      <c r="B1284">
        <v>1</v>
      </c>
      <c r="C1284">
        <v>56</v>
      </c>
      <c r="D1284" t="s">
        <v>5015</v>
      </c>
      <c r="E1284" t="s">
        <v>5019</v>
      </c>
      <c r="F1284" t="s">
        <v>5023</v>
      </c>
      <c r="G1284">
        <v>18.899999999999999</v>
      </c>
      <c r="H1284">
        <v>1</v>
      </c>
      <c r="I1284">
        <v>3.3</v>
      </c>
      <c r="J1284">
        <v>15.64</v>
      </c>
      <c r="K1284">
        <v>10.7</v>
      </c>
      <c r="L1284" t="s">
        <v>5026</v>
      </c>
      <c r="M1284">
        <v>4</v>
      </c>
      <c r="N1284">
        <v>4</v>
      </c>
      <c r="O1284">
        <v>0</v>
      </c>
    </row>
    <row r="1285" spans="1:15" x14ac:dyDescent="0.3">
      <c r="A1285" t="s">
        <v>1298</v>
      </c>
      <c r="B1285">
        <v>7</v>
      </c>
      <c r="C1285">
        <v>41</v>
      </c>
      <c r="D1285" t="s">
        <v>5015</v>
      </c>
      <c r="E1285" t="s">
        <v>5018</v>
      </c>
      <c r="F1285" t="s">
        <v>5021</v>
      </c>
      <c r="G1285">
        <v>13.99</v>
      </c>
      <c r="H1285">
        <v>3</v>
      </c>
      <c r="I1285">
        <v>4.3</v>
      </c>
      <c r="J1285">
        <v>18.84</v>
      </c>
      <c r="K1285">
        <v>68.8</v>
      </c>
      <c r="L1285" t="s">
        <v>5026</v>
      </c>
      <c r="M1285">
        <v>8</v>
      </c>
      <c r="N1285">
        <v>2</v>
      </c>
      <c r="O1285">
        <v>1</v>
      </c>
    </row>
    <row r="1286" spans="1:15" x14ac:dyDescent="0.3">
      <c r="A1286" t="s">
        <v>1299</v>
      </c>
      <c r="B1286">
        <v>1</v>
      </c>
      <c r="C1286">
        <v>38</v>
      </c>
      <c r="D1286" t="s">
        <v>5015</v>
      </c>
      <c r="E1286" t="s">
        <v>5018</v>
      </c>
      <c r="F1286" t="s">
        <v>5023</v>
      </c>
      <c r="G1286">
        <v>21.23</v>
      </c>
      <c r="H1286">
        <v>5</v>
      </c>
      <c r="I1286">
        <v>9.5</v>
      </c>
      <c r="J1286">
        <v>11.93</v>
      </c>
      <c r="K1286">
        <v>37.6</v>
      </c>
      <c r="L1286" t="s">
        <v>5025</v>
      </c>
      <c r="M1286">
        <v>1</v>
      </c>
      <c r="N1286">
        <v>2</v>
      </c>
      <c r="O1286">
        <v>0</v>
      </c>
    </row>
    <row r="1287" spans="1:15" x14ac:dyDescent="0.3">
      <c r="A1287" t="s">
        <v>1300</v>
      </c>
      <c r="B1287">
        <v>7</v>
      </c>
      <c r="C1287">
        <v>27</v>
      </c>
      <c r="D1287" t="s">
        <v>5015</v>
      </c>
      <c r="E1287" t="s">
        <v>5019</v>
      </c>
      <c r="F1287" t="s">
        <v>5024</v>
      </c>
      <c r="G1287">
        <v>15.67</v>
      </c>
      <c r="H1287">
        <v>1</v>
      </c>
      <c r="I1287">
        <v>5.4</v>
      </c>
      <c r="J1287">
        <v>6.14</v>
      </c>
      <c r="K1287">
        <v>56.2</v>
      </c>
      <c r="L1287" t="s">
        <v>5028</v>
      </c>
      <c r="M1287">
        <v>5</v>
      </c>
      <c r="N1287">
        <v>1</v>
      </c>
      <c r="O1287">
        <v>1</v>
      </c>
    </row>
    <row r="1288" spans="1:15" x14ac:dyDescent="0.3">
      <c r="A1288" t="s">
        <v>1301</v>
      </c>
      <c r="B1288">
        <v>3</v>
      </c>
      <c r="C1288">
        <v>63</v>
      </c>
      <c r="D1288" t="s">
        <v>5015</v>
      </c>
      <c r="E1288" t="s">
        <v>5018</v>
      </c>
      <c r="F1288" t="s">
        <v>5024</v>
      </c>
      <c r="G1288">
        <v>11.72</v>
      </c>
      <c r="H1288">
        <v>5</v>
      </c>
      <c r="I1288">
        <v>6</v>
      </c>
      <c r="J1288">
        <v>13.11</v>
      </c>
      <c r="K1288">
        <v>57.8</v>
      </c>
      <c r="L1288" t="s">
        <v>5025</v>
      </c>
      <c r="M1288">
        <v>4</v>
      </c>
      <c r="N1288">
        <v>1</v>
      </c>
      <c r="O1288">
        <v>0</v>
      </c>
    </row>
    <row r="1289" spans="1:15" x14ac:dyDescent="0.3">
      <c r="A1289" t="s">
        <v>1302</v>
      </c>
      <c r="B1289">
        <v>11</v>
      </c>
      <c r="C1289">
        <v>31</v>
      </c>
      <c r="D1289" t="s">
        <v>5015</v>
      </c>
      <c r="E1289" t="s">
        <v>5018</v>
      </c>
      <c r="F1289" t="s">
        <v>5024</v>
      </c>
      <c r="G1289">
        <v>11.64</v>
      </c>
      <c r="H1289">
        <v>1</v>
      </c>
      <c r="I1289">
        <v>8.9</v>
      </c>
      <c r="J1289">
        <v>24.19</v>
      </c>
      <c r="K1289">
        <v>63.3</v>
      </c>
      <c r="L1289" t="s">
        <v>5029</v>
      </c>
      <c r="M1289">
        <v>4</v>
      </c>
      <c r="N1289">
        <v>4</v>
      </c>
      <c r="O1289">
        <v>0</v>
      </c>
    </row>
    <row r="1290" spans="1:15" x14ac:dyDescent="0.3">
      <c r="A1290" t="s">
        <v>1303</v>
      </c>
      <c r="B1290">
        <v>8</v>
      </c>
      <c r="C1290">
        <v>54</v>
      </c>
      <c r="D1290" t="s">
        <v>5016</v>
      </c>
      <c r="E1290" t="s">
        <v>5018</v>
      </c>
      <c r="F1290" t="s">
        <v>5022</v>
      </c>
      <c r="G1290">
        <v>22.95</v>
      </c>
      <c r="H1290">
        <v>2</v>
      </c>
      <c r="I1290">
        <v>9</v>
      </c>
      <c r="J1290">
        <v>7.71</v>
      </c>
      <c r="K1290">
        <v>84.1</v>
      </c>
      <c r="L1290" t="s">
        <v>5028</v>
      </c>
      <c r="M1290">
        <v>3</v>
      </c>
      <c r="N1290">
        <v>3</v>
      </c>
      <c r="O1290">
        <v>1</v>
      </c>
    </row>
    <row r="1291" spans="1:15" x14ac:dyDescent="0.3">
      <c r="A1291" t="s">
        <v>1304</v>
      </c>
      <c r="B1291">
        <v>3</v>
      </c>
      <c r="C1291">
        <v>35</v>
      </c>
      <c r="D1291" t="s">
        <v>5016</v>
      </c>
      <c r="E1291" t="s">
        <v>5018</v>
      </c>
      <c r="F1291" t="s">
        <v>5023</v>
      </c>
      <c r="G1291">
        <v>14.06</v>
      </c>
      <c r="H1291">
        <v>2</v>
      </c>
      <c r="I1291">
        <v>5.8</v>
      </c>
      <c r="J1291">
        <v>17.28</v>
      </c>
      <c r="K1291">
        <v>36.9</v>
      </c>
      <c r="L1291" t="s">
        <v>5027</v>
      </c>
      <c r="M1291">
        <v>1</v>
      </c>
      <c r="N1291">
        <v>0</v>
      </c>
      <c r="O1291">
        <v>0</v>
      </c>
    </row>
    <row r="1292" spans="1:15" x14ac:dyDescent="0.3">
      <c r="A1292" t="s">
        <v>1305</v>
      </c>
      <c r="B1292">
        <v>1</v>
      </c>
      <c r="C1292">
        <v>41</v>
      </c>
      <c r="D1292" t="s">
        <v>5015</v>
      </c>
      <c r="E1292" t="s">
        <v>5018</v>
      </c>
      <c r="F1292" t="s">
        <v>5020</v>
      </c>
      <c r="G1292">
        <v>13.12</v>
      </c>
      <c r="H1292">
        <v>5</v>
      </c>
      <c r="I1292">
        <v>2</v>
      </c>
      <c r="J1292">
        <v>24.62</v>
      </c>
      <c r="K1292">
        <v>33.1</v>
      </c>
      <c r="L1292" t="s">
        <v>5025</v>
      </c>
      <c r="M1292">
        <v>5</v>
      </c>
      <c r="N1292">
        <v>3</v>
      </c>
      <c r="O1292">
        <v>0</v>
      </c>
    </row>
    <row r="1293" spans="1:15" x14ac:dyDescent="0.3">
      <c r="A1293" t="s">
        <v>1306</v>
      </c>
      <c r="B1293">
        <v>8</v>
      </c>
      <c r="C1293">
        <v>31</v>
      </c>
      <c r="D1293" t="s">
        <v>5016</v>
      </c>
      <c r="E1293" t="s">
        <v>5018</v>
      </c>
      <c r="F1293" t="s">
        <v>5023</v>
      </c>
      <c r="G1293">
        <v>5.8</v>
      </c>
      <c r="H1293">
        <v>2</v>
      </c>
      <c r="I1293">
        <v>3.4</v>
      </c>
      <c r="J1293">
        <v>11.28</v>
      </c>
      <c r="K1293">
        <v>81.599999999999994</v>
      </c>
      <c r="L1293" t="s">
        <v>5026</v>
      </c>
      <c r="M1293">
        <v>8</v>
      </c>
      <c r="N1293">
        <v>4</v>
      </c>
      <c r="O1293">
        <v>0</v>
      </c>
    </row>
    <row r="1294" spans="1:15" x14ac:dyDescent="0.3">
      <c r="A1294" t="s">
        <v>1307</v>
      </c>
      <c r="B1294">
        <v>3</v>
      </c>
      <c r="C1294">
        <v>51</v>
      </c>
      <c r="D1294" t="s">
        <v>5015</v>
      </c>
      <c r="E1294" t="s">
        <v>5019</v>
      </c>
      <c r="F1294" t="s">
        <v>5023</v>
      </c>
      <c r="G1294">
        <v>12.29</v>
      </c>
      <c r="H1294">
        <v>2</v>
      </c>
      <c r="I1294">
        <v>5.0999999999999996</v>
      </c>
      <c r="J1294">
        <v>22.53</v>
      </c>
      <c r="K1294">
        <v>74.7</v>
      </c>
      <c r="L1294" t="s">
        <v>5026</v>
      </c>
      <c r="M1294">
        <v>10</v>
      </c>
      <c r="N1294">
        <v>0</v>
      </c>
      <c r="O1294">
        <v>1</v>
      </c>
    </row>
    <row r="1295" spans="1:15" x14ac:dyDescent="0.3">
      <c r="A1295" t="s">
        <v>1308</v>
      </c>
      <c r="B1295">
        <v>2</v>
      </c>
      <c r="C1295">
        <v>29</v>
      </c>
      <c r="D1295" t="s">
        <v>5016</v>
      </c>
      <c r="E1295" t="s">
        <v>5019</v>
      </c>
      <c r="F1295" t="s">
        <v>5022</v>
      </c>
      <c r="G1295">
        <v>21.99</v>
      </c>
      <c r="H1295">
        <v>3</v>
      </c>
      <c r="I1295">
        <v>7.8</v>
      </c>
      <c r="J1295">
        <v>22.01</v>
      </c>
      <c r="K1295">
        <v>30.3</v>
      </c>
      <c r="L1295" t="s">
        <v>5026</v>
      </c>
      <c r="M1295">
        <v>6</v>
      </c>
      <c r="N1295">
        <v>2</v>
      </c>
      <c r="O1295">
        <v>0</v>
      </c>
    </row>
    <row r="1296" spans="1:15" x14ac:dyDescent="0.3">
      <c r="A1296" t="s">
        <v>1309</v>
      </c>
      <c r="B1296">
        <v>1</v>
      </c>
      <c r="C1296">
        <v>39</v>
      </c>
      <c r="D1296" t="s">
        <v>5016</v>
      </c>
      <c r="E1296" t="s">
        <v>5017</v>
      </c>
      <c r="F1296" t="s">
        <v>5023</v>
      </c>
      <c r="G1296">
        <v>20.22</v>
      </c>
      <c r="H1296">
        <v>1</v>
      </c>
      <c r="I1296">
        <v>7.4</v>
      </c>
      <c r="J1296">
        <v>10.46</v>
      </c>
      <c r="K1296">
        <v>10.1</v>
      </c>
      <c r="L1296" t="s">
        <v>5025</v>
      </c>
      <c r="M1296">
        <v>1</v>
      </c>
      <c r="N1296">
        <v>2</v>
      </c>
      <c r="O1296">
        <v>0</v>
      </c>
    </row>
    <row r="1297" spans="1:15" x14ac:dyDescent="0.3">
      <c r="A1297" t="s">
        <v>1310</v>
      </c>
      <c r="B1297">
        <v>3</v>
      </c>
      <c r="C1297">
        <v>23</v>
      </c>
      <c r="D1297" t="s">
        <v>5016</v>
      </c>
      <c r="E1297" t="s">
        <v>5017</v>
      </c>
      <c r="F1297" t="s">
        <v>5021</v>
      </c>
      <c r="G1297">
        <v>9.42</v>
      </c>
      <c r="H1297">
        <v>2</v>
      </c>
      <c r="I1297">
        <v>6.8</v>
      </c>
      <c r="J1297">
        <v>5.17</v>
      </c>
      <c r="K1297">
        <v>69.900000000000006</v>
      </c>
      <c r="L1297" t="s">
        <v>5025</v>
      </c>
      <c r="M1297">
        <v>5</v>
      </c>
      <c r="N1297">
        <v>0</v>
      </c>
      <c r="O1297">
        <v>1</v>
      </c>
    </row>
    <row r="1298" spans="1:15" x14ac:dyDescent="0.3">
      <c r="A1298" t="s">
        <v>1311</v>
      </c>
      <c r="B1298">
        <v>2</v>
      </c>
      <c r="C1298">
        <v>53</v>
      </c>
      <c r="D1298" t="s">
        <v>5015</v>
      </c>
      <c r="E1298" t="s">
        <v>5018</v>
      </c>
      <c r="F1298" t="s">
        <v>5024</v>
      </c>
      <c r="G1298">
        <v>13.26</v>
      </c>
      <c r="H1298">
        <v>5</v>
      </c>
      <c r="I1298">
        <v>8.9</v>
      </c>
      <c r="J1298">
        <v>6.93</v>
      </c>
      <c r="K1298">
        <v>24.1</v>
      </c>
      <c r="L1298" t="s">
        <v>5026</v>
      </c>
      <c r="M1298">
        <v>6</v>
      </c>
      <c r="N1298">
        <v>2</v>
      </c>
      <c r="O1298">
        <v>1</v>
      </c>
    </row>
    <row r="1299" spans="1:15" x14ac:dyDescent="0.3">
      <c r="A1299" t="s">
        <v>1312</v>
      </c>
      <c r="B1299">
        <v>2</v>
      </c>
      <c r="C1299">
        <v>62</v>
      </c>
      <c r="D1299" t="s">
        <v>5016</v>
      </c>
      <c r="E1299" t="s">
        <v>5018</v>
      </c>
      <c r="F1299" t="s">
        <v>5024</v>
      </c>
      <c r="G1299">
        <v>8.93</v>
      </c>
      <c r="H1299">
        <v>3</v>
      </c>
      <c r="I1299">
        <v>8.1999999999999993</v>
      </c>
      <c r="J1299">
        <v>11.05</v>
      </c>
      <c r="K1299">
        <v>96.1</v>
      </c>
      <c r="L1299" t="s">
        <v>5026</v>
      </c>
      <c r="M1299">
        <v>9</v>
      </c>
      <c r="N1299">
        <v>3</v>
      </c>
      <c r="O1299">
        <v>0</v>
      </c>
    </row>
    <row r="1300" spans="1:15" x14ac:dyDescent="0.3">
      <c r="A1300" t="s">
        <v>1313</v>
      </c>
      <c r="B1300">
        <v>6</v>
      </c>
      <c r="C1300">
        <v>53</v>
      </c>
      <c r="D1300" t="s">
        <v>5015</v>
      </c>
      <c r="E1300" t="s">
        <v>5017</v>
      </c>
      <c r="F1300" t="s">
        <v>5022</v>
      </c>
      <c r="G1300">
        <v>24.08</v>
      </c>
      <c r="H1300">
        <v>2</v>
      </c>
      <c r="I1300">
        <v>9.8000000000000007</v>
      </c>
      <c r="J1300">
        <v>24.1</v>
      </c>
      <c r="K1300">
        <v>64.400000000000006</v>
      </c>
      <c r="L1300" t="s">
        <v>5026</v>
      </c>
      <c r="M1300">
        <v>9</v>
      </c>
      <c r="N1300">
        <v>1</v>
      </c>
      <c r="O1300">
        <v>1</v>
      </c>
    </row>
    <row r="1301" spans="1:15" x14ac:dyDescent="0.3">
      <c r="A1301" t="s">
        <v>1314</v>
      </c>
      <c r="B1301">
        <v>12</v>
      </c>
      <c r="C1301">
        <v>39</v>
      </c>
      <c r="D1301" t="s">
        <v>5015</v>
      </c>
      <c r="E1301" t="s">
        <v>5019</v>
      </c>
      <c r="F1301" t="s">
        <v>5024</v>
      </c>
      <c r="G1301">
        <v>16.96</v>
      </c>
      <c r="H1301">
        <v>5</v>
      </c>
      <c r="I1301">
        <v>9</v>
      </c>
      <c r="J1301">
        <v>9.0399999999999991</v>
      </c>
      <c r="K1301">
        <v>86.5</v>
      </c>
      <c r="L1301" t="s">
        <v>5029</v>
      </c>
      <c r="M1301">
        <v>5</v>
      </c>
      <c r="N1301">
        <v>3</v>
      </c>
      <c r="O1301">
        <v>0</v>
      </c>
    </row>
    <row r="1302" spans="1:15" x14ac:dyDescent="0.3">
      <c r="A1302" t="s">
        <v>1315</v>
      </c>
      <c r="B1302">
        <v>1</v>
      </c>
      <c r="C1302">
        <v>31</v>
      </c>
      <c r="D1302" t="s">
        <v>5015</v>
      </c>
      <c r="E1302" t="s">
        <v>5017</v>
      </c>
      <c r="F1302" t="s">
        <v>5021</v>
      </c>
      <c r="G1302">
        <v>20.09</v>
      </c>
      <c r="H1302">
        <v>1</v>
      </c>
      <c r="I1302">
        <v>2.8</v>
      </c>
      <c r="J1302">
        <v>23.39</v>
      </c>
      <c r="K1302">
        <v>82.5</v>
      </c>
      <c r="L1302" t="s">
        <v>5025</v>
      </c>
      <c r="M1302">
        <v>3</v>
      </c>
      <c r="N1302">
        <v>2</v>
      </c>
      <c r="O1302">
        <v>0</v>
      </c>
    </row>
    <row r="1303" spans="1:15" x14ac:dyDescent="0.3">
      <c r="A1303" t="s">
        <v>1316</v>
      </c>
      <c r="B1303">
        <v>2</v>
      </c>
      <c r="C1303">
        <v>33</v>
      </c>
      <c r="D1303" t="s">
        <v>5016</v>
      </c>
      <c r="E1303" t="s">
        <v>5019</v>
      </c>
      <c r="F1303" t="s">
        <v>5022</v>
      </c>
      <c r="G1303">
        <v>19.28</v>
      </c>
      <c r="H1303">
        <v>2</v>
      </c>
      <c r="I1303">
        <v>1.5</v>
      </c>
      <c r="J1303">
        <v>6.99</v>
      </c>
      <c r="K1303">
        <v>60.2</v>
      </c>
      <c r="L1303" t="s">
        <v>5026</v>
      </c>
      <c r="M1303">
        <v>6</v>
      </c>
      <c r="N1303">
        <v>1</v>
      </c>
      <c r="O1303">
        <v>0</v>
      </c>
    </row>
    <row r="1304" spans="1:15" x14ac:dyDescent="0.3">
      <c r="A1304" t="s">
        <v>1317</v>
      </c>
      <c r="B1304">
        <v>6</v>
      </c>
      <c r="C1304">
        <v>53</v>
      </c>
      <c r="D1304" t="s">
        <v>5016</v>
      </c>
      <c r="E1304" t="s">
        <v>5019</v>
      </c>
      <c r="F1304" t="s">
        <v>5020</v>
      </c>
      <c r="G1304">
        <v>22.47</v>
      </c>
      <c r="H1304">
        <v>5</v>
      </c>
      <c r="I1304">
        <v>4.7</v>
      </c>
      <c r="J1304">
        <v>24.34</v>
      </c>
      <c r="K1304">
        <v>49.5</v>
      </c>
      <c r="L1304" t="s">
        <v>5027</v>
      </c>
      <c r="M1304">
        <v>11</v>
      </c>
      <c r="N1304">
        <v>3</v>
      </c>
      <c r="O1304">
        <v>0</v>
      </c>
    </row>
    <row r="1305" spans="1:15" x14ac:dyDescent="0.3">
      <c r="A1305" t="s">
        <v>1318</v>
      </c>
      <c r="B1305">
        <v>3</v>
      </c>
      <c r="C1305">
        <v>42</v>
      </c>
      <c r="D1305" t="s">
        <v>5016</v>
      </c>
      <c r="E1305" t="s">
        <v>5019</v>
      </c>
      <c r="F1305" t="s">
        <v>5024</v>
      </c>
      <c r="G1305">
        <v>23.99</v>
      </c>
      <c r="H1305">
        <v>5</v>
      </c>
      <c r="I1305">
        <v>6.6</v>
      </c>
      <c r="J1305">
        <v>9.4600000000000009</v>
      </c>
      <c r="K1305">
        <v>54.7</v>
      </c>
      <c r="L1305" t="s">
        <v>5026</v>
      </c>
      <c r="M1305">
        <v>8</v>
      </c>
      <c r="N1305">
        <v>2</v>
      </c>
      <c r="O1305">
        <v>1</v>
      </c>
    </row>
    <row r="1306" spans="1:15" x14ac:dyDescent="0.3">
      <c r="A1306" t="s">
        <v>1319</v>
      </c>
      <c r="B1306">
        <v>4</v>
      </c>
      <c r="C1306">
        <v>49</v>
      </c>
      <c r="D1306" t="s">
        <v>5015</v>
      </c>
      <c r="E1306" t="s">
        <v>5017</v>
      </c>
      <c r="F1306" t="s">
        <v>5023</v>
      </c>
      <c r="G1306">
        <v>5.65</v>
      </c>
      <c r="H1306">
        <v>4</v>
      </c>
      <c r="I1306">
        <v>6.8</v>
      </c>
      <c r="J1306">
        <v>16.93</v>
      </c>
      <c r="K1306">
        <v>82.3</v>
      </c>
      <c r="L1306" t="s">
        <v>5025</v>
      </c>
      <c r="M1306">
        <v>11</v>
      </c>
      <c r="N1306">
        <v>3</v>
      </c>
      <c r="O1306">
        <v>0</v>
      </c>
    </row>
    <row r="1307" spans="1:15" x14ac:dyDescent="0.3">
      <c r="A1307" t="s">
        <v>1320</v>
      </c>
      <c r="B1307">
        <v>1</v>
      </c>
      <c r="C1307">
        <v>50</v>
      </c>
      <c r="D1307" t="s">
        <v>5015</v>
      </c>
      <c r="E1307" t="s">
        <v>5017</v>
      </c>
      <c r="F1307" t="s">
        <v>5021</v>
      </c>
      <c r="G1307">
        <v>24.51</v>
      </c>
      <c r="H1307">
        <v>5</v>
      </c>
      <c r="I1307">
        <v>3.4</v>
      </c>
      <c r="J1307">
        <v>4.53</v>
      </c>
      <c r="K1307">
        <v>67.599999999999994</v>
      </c>
      <c r="L1307" t="s">
        <v>5027</v>
      </c>
      <c r="M1307">
        <v>5</v>
      </c>
      <c r="N1307">
        <v>2</v>
      </c>
      <c r="O1307">
        <v>0</v>
      </c>
    </row>
    <row r="1308" spans="1:15" x14ac:dyDescent="0.3">
      <c r="A1308" t="s">
        <v>1321</v>
      </c>
      <c r="B1308">
        <v>8</v>
      </c>
      <c r="C1308">
        <v>62</v>
      </c>
      <c r="D1308" t="s">
        <v>5016</v>
      </c>
      <c r="E1308" t="s">
        <v>5018</v>
      </c>
      <c r="F1308" t="s">
        <v>5021</v>
      </c>
      <c r="G1308">
        <v>22.41</v>
      </c>
      <c r="H1308">
        <v>4</v>
      </c>
      <c r="I1308">
        <v>8.6999999999999993</v>
      </c>
      <c r="J1308">
        <v>9.59</v>
      </c>
      <c r="K1308">
        <v>28.5</v>
      </c>
      <c r="L1308" t="s">
        <v>5025</v>
      </c>
      <c r="M1308">
        <v>8</v>
      </c>
      <c r="N1308">
        <v>4</v>
      </c>
      <c r="O1308">
        <v>0</v>
      </c>
    </row>
    <row r="1309" spans="1:15" x14ac:dyDescent="0.3">
      <c r="A1309" t="s">
        <v>1322</v>
      </c>
      <c r="B1309">
        <v>7</v>
      </c>
      <c r="C1309">
        <v>53</v>
      </c>
      <c r="D1309" t="s">
        <v>5015</v>
      </c>
      <c r="E1309" t="s">
        <v>5017</v>
      </c>
      <c r="F1309" t="s">
        <v>5024</v>
      </c>
      <c r="G1309">
        <v>12.66</v>
      </c>
      <c r="H1309">
        <v>1</v>
      </c>
      <c r="I1309">
        <v>4</v>
      </c>
      <c r="J1309">
        <v>7.64</v>
      </c>
      <c r="K1309">
        <v>64.8</v>
      </c>
      <c r="L1309" t="s">
        <v>5025</v>
      </c>
      <c r="M1309">
        <v>1</v>
      </c>
      <c r="N1309">
        <v>0</v>
      </c>
      <c r="O1309">
        <v>0</v>
      </c>
    </row>
    <row r="1310" spans="1:15" x14ac:dyDescent="0.3">
      <c r="A1310" t="s">
        <v>1323</v>
      </c>
      <c r="B1310">
        <v>7</v>
      </c>
      <c r="C1310">
        <v>37</v>
      </c>
      <c r="D1310" t="s">
        <v>5016</v>
      </c>
      <c r="E1310" t="s">
        <v>5018</v>
      </c>
      <c r="F1310" t="s">
        <v>5020</v>
      </c>
      <c r="G1310">
        <v>21.74</v>
      </c>
      <c r="H1310">
        <v>1</v>
      </c>
      <c r="I1310">
        <v>9.3000000000000007</v>
      </c>
      <c r="J1310">
        <v>3.08</v>
      </c>
      <c r="K1310">
        <v>46.4</v>
      </c>
      <c r="L1310" t="s">
        <v>5025</v>
      </c>
      <c r="M1310">
        <v>8</v>
      </c>
      <c r="N1310">
        <v>2</v>
      </c>
      <c r="O1310">
        <v>0</v>
      </c>
    </row>
    <row r="1311" spans="1:15" x14ac:dyDescent="0.3">
      <c r="A1311" t="s">
        <v>1324</v>
      </c>
      <c r="B1311">
        <v>3</v>
      </c>
      <c r="C1311">
        <v>35</v>
      </c>
      <c r="D1311" t="s">
        <v>5016</v>
      </c>
      <c r="E1311" t="s">
        <v>5018</v>
      </c>
      <c r="F1311" t="s">
        <v>5023</v>
      </c>
      <c r="G1311">
        <v>19.73</v>
      </c>
      <c r="H1311">
        <v>3</v>
      </c>
      <c r="I1311">
        <v>5.2</v>
      </c>
      <c r="J1311">
        <v>6.45</v>
      </c>
      <c r="K1311">
        <v>15.5</v>
      </c>
      <c r="L1311" t="s">
        <v>5028</v>
      </c>
      <c r="M1311">
        <v>2</v>
      </c>
      <c r="N1311">
        <v>3</v>
      </c>
      <c r="O1311">
        <v>1</v>
      </c>
    </row>
    <row r="1312" spans="1:15" x14ac:dyDescent="0.3">
      <c r="A1312" t="s">
        <v>1325</v>
      </c>
      <c r="B1312">
        <v>10</v>
      </c>
      <c r="C1312">
        <v>55</v>
      </c>
      <c r="D1312" t="s">
        <v>5016</v>
      </c>
      <c r="E1312" t="s">
        <v>5017</v>
      </c>
      <c r="F1312" t="s">
        <v>5020</v>
      </c>
      <c r="G1312">
        <v>20.86</v>
      </c>
      <c r="H1312">
        <v>4</v>
      </c>
      <c r="I1312">
        <v>1.1000000000000001</v>
      </c>
      <c r="J1312">
        <v>16.05</v>
      </c>
      <c r="K1312">
        <v>44.3</v>
      </c>
      <c r="L1312" t="s">
        <v>5027</v>
      </c>
      <c r="M1312">
        <v>7</v>
      </c>
      <c r="N1312">
        <v>2</v>
      </c>
      <c r="O1312">
        <v>0</v>
      </c>
    </row>
    <row r="1313" spans="1:15" x14ac:dyDescent="0.3">
      <c r="A1313" t="s">
        <v>1326</v>
      </c>
      <c r="B1313">
        <v>10</v>
      </c>
      <c r="C1313">
        <v>20</v>
      </c>
      <c r="D1313" t="s">
        <v>5016</v>
      </c>
      <c r="E1313" t="s">
        <v>5017</v>
      </c>
      <c r="F1313" t="s">
        <v>5020</v>
      </c>
      <c r="G1313">
        <v>9.41</v>
      </c>
      <c r="H1313">
        <v>5</v>
      </c>
      <c r="I1313">
        <v>2.5</v>
      </c>
      <c r="J1313">
        <v>11.58</v>
      </c>
      <c r="K1313">
        <v>30.5</v>
      </c>
      <c r="L1313" t="s">
        <v>5029</v>
      </c>
      <c r="M1313">
        <v>2</v>
      </c>
      <c r="N1313">
        <v>2</v>
      </c>
      <c r="O1313">
        <v>1</v>
      </c>
    </row>
    <row r="1314" spans="1:15" x14ac:dyDescent="0.3">
      <c r="A1314" t="s">
        <v>1327</v>
      </c>
      <c r="B1314">
        <v>3</v>
      </c>
      <c r="C1314">
        <v>40</v>
      </c>
      <c r="D1314" t="s">
        <v>5015</v>
      </c>
      <c r="E1314" t="s">
        <v>5019</v>
      </c>
      <c r="F1314" t="s">
        <v>5024</v>
      </c>
      <c r="G1314">
        <v>17.97</v>
      </c>
      <c r="H1314">
        <v>3</v>
      </c>
      <c r="I1314">
        <v>1.9</v>
      </c>
      <c r="J1314">
        <v>18.899999999999999</v>
      </c>
      <c r="K1314">
        <v>85.5</v>
      </c>
      <c r="L1314" t="s">
        <v>5029</v>
      </c>
      <c r="M1314">
        <v>3</v>
      </c>
      <c r="N1314">
        <v>3</v>
      </c>
      <c r="O1314">
        <v>0</v>
      </c>
    </row>
    <row r="1315" spans="1:15" x14ac:dyDescent="0.3">
      <c r="A1315" t="s">
        <v>1328</v>
      </c>
      <c r="B1315">
        <v>2</v>
      </c>
      <c r="C1315">
        <v>49</v>
      </c>
      <c r="D1315" t="s">
        <v>5016</v>
      </c>
      <c r="E1315" t="s">
        <v>5017</v>
      </c>
      <c r="F1315" t="s">
        <v>5023</v>
      </c>
      <c r="G1315">
        <v>5.52</v>
      </c>
      <c r="H1315">
        <v>3</v>
      </c>
      <c r="I1315">
        <v>1.4</v>
      </c>
      <c r="J1315">
        <v>17.760000000000002</v>
      </c>
      <c r="K1315">
        <v>19.399999999999999</v>
      </c>
      <c r="L1315" t="s">
        <v>5028</v>
      </c>
      <c r="M1315">
        <v>5</v>
      </c>
      <c r="N1315">
        <v>3</v>
      </c>
      <c r="O1315">
        <v>0</v>
      </c>
    </row>
    <row r="1316" spans="1:15" x14ac:dyDescent="0.3">
      <c r="A1316" t="s">
        <v>1329</v>
      </c>
      <c r="B1316">
        <v>12</v>
      </c>
      <c r="C1316">
        <v>62</v>
      </c>
      <c r="D1316" t="s">
        <v>5016</v>
      </c>
      <c r="E1316" t="s">
        <v>5017</v>
      </c>
      <c r="F1316" t="s">
        <v>5024</v>
      </c>
      <c r="G1316">
        <v>21.96</v>
      </c>
      <c r="H1316">
        <v>1</v>
      </c>
      <c r="I1316">
        <v>7.4</v>
      </c>
      <c r="J1316">
        <v>20.58</v>
      </c>
      <c r="K1316">
        <v>42.5</v>
      </c>
      <c r="L1316" t="s">
        <v>5025</v>
      </c>
      <c r="M1316">
        <v>10</v>
      </c>
      <c r="N1316">
        <v>1</v>
      </c>
      <c r="O1316">
        <v>0</v>
      </c>
    </row>
    <row r="1317" spans="1:15" x14ac:dyDescent="0.3">
      <c r="A1317" t="s">
        <v>1330</v>
      </c>
      <c r="B1317">
        <v>1</v>
      </c>
      <c r="C1317">
        <v>33</v>
      </c>
      <c r="D1317" t="s">
        <v>5016</v>
      </c>
      <c r="E1317" t="s">
        <v>5018</v>
      </c>
      <c r="F1317" t="s">
        <v>5024</v>
      </c>
      <c r="G1317">
        <v>24.02</v>
      </c>
      <c r="H1317">
        <v>5</v>
      </c>
      <c r="I1317">
        <v>2.7</v>
      </c>
      <c r="J1317">
        <v>22.07</v>
      </c>
      <c r="K1317">
        <v>72.599999999999994</v>
      </c>
      <c r="L1317" t="s">
        <v>5029</v>
      </c>
      <c r="M1317">
        <v>7</v>
      </c>
      <c r="N1317">
        <v>2</v>
      </c>
      <c r="O1317">
        <v>0</v>
      </c>
    </row>
    <row r="1318" spans="1:15" x14ac:dyDescent="0.3">
      <c r="A1318" t="s">
        <v>1331</v>
      </c>
      <c r="B1318">
        <v>7</v>
      </c>
      <c r="C1318">
        <v>22</v>
      </c>
      <c r="D1318" t="s">
        <v>5016</v>
      </c>
      <c r="E1318" t="s">
        <v>5019</v>
      </c>
      <c r="F1318" t="s">
        <v>5021</v>
      </c>
      <c r="G1318">
        <v>18.239999999999998</v>
      </c>
      <c r="H1318">
        <v>4</v>
      </c>
      <c r="I1318">
        <v>8.5</v>
      </c>
      <c r="J1318">
        <v>21.04</v>
      </c>
      <c r="K1318">
        <v>90.8</v>
      </c>
      <c r="L1318" t="s">
        <v>5027</v>
      </c>
      <c r="M1318">
        <v>9</v>
      </c>
      <c r="N1318">
        <v>4</v>
      </c>
      <c r="O1318">
        <v>0</v>
      </c>
    </row>
    <row r="1319" spans="1:15" x14ac:dyDescent="0.3">
      <c r="A1319" t="s">
        <v>1332</v>
      </c>
      <c r="B1319">
        <v>7</v>
      </c>
      <c r="C1319">
        <v>21</v>
      </c>
      <c r="D1319" t="s">
        <v>5016</v>
      </c>
      <c r="E1319" t="s">
        <v>5018</v>
      </c>
      <c r="F1319" t="s">
        <v>5024</v>
      </c>
      <c r="G1319">
        <v>15.25</v>
      </c>
      <c r="H1319">
        <v>1</v>
      </c>
      <c r="I1319">
        <v>3.4</v>
      </c>
      <c r="J1319">
        <v>12.86</v>
      </c>
      <c r="K1319">
        <v>40.200000000000003</v>
      </c>
      <c r="L1319" t="s">
        <v>5026</v>
      </c>
      <c r="M1319">
        <v>5</v>
      </c>
      <c r="N1319">
        <v>0</v>
      </c>
      <c r="O1319">
        <v>0</v>
      </c>
    </row>
    <row r="1320" spans="1:15" x14ac:dyDescent="0.3">
      <c r="A1320" t="s">
        <v>1333</v>
      </c>
      <c r="B1320">
        <v>12</v>
      </c>
      <c r="C1320">
        <v>38</v>
      </c>
      <c r="D1320" t="s">
        <v>5016</v>
      </c>
      <c r="E1320" t="s">
        <v>5017</v>
      </c>
      <c r="F1320" t="s">
        <v>5022</v>
      </c>
      <c r="G1320">
        <v>19.510000000000002</v>
      </c>
      <c r="H1320">
        <v>3</v>
      </c>
      <c r="I1320">
        <v>1.3</v>
      </c>
      <c r="J1320">
        <v>9.7899999999999991</v>
      </c>
      <c r="K1320">
        <v>64.599999999999994</v>
      </c>
      <c r="L1320" t="s">
        <v>5027</v>
      </c>
      <c r="M1320">
        <v>11</v>
      </c>
      <c r="N1320">
        <v>2</v>
      </c>
      <c r="O1320">
        <v>1</v>
      </c>
    </row>
    <row r="1321" spans="1:15" x14ac:dyDescent="0.3">
      <c r="A1321" t="s">
        <v>1334</v>
      </c>
      <c r="B1321">
        <v>2</v>
      </c>
      <c r="C1321">
        <v>57</v>
      </c>
      <c r="D1321" t="s">
        <v>5016</v>
      </c>
      <c r="E1321" t="s">
        <v>5018</v>
      </c>
      <c r="F1321" t="s">
        <v>5023</v>
      </c>
      <c r="G1321">
        <v>11.53</v>
      </c>
      <c r="H1321">
        <v>2</v>
      </c>
      <c r="I1321">
        <v>8.4</v>
      </c>
      <c r="J1321">
        <v>14.05</v>
      </c>
      <c r="K1321">
        <v>43.6</v>
      </c>
      <c r="L1321" t="s">
        <v>5025</v>
      </c>
      <c r="M1321">
        <v>1</v>
      </c>
      <c r="N1321">
        <v>3</v>
      </c>
      <c r="O1321">
        <v>1</v>
      </c>
    </row>
    <row r="1322" spans="1:15" x14ac:dyDescent="0.3">
      <c r="A1322" t="s">
        <v>1335</v>
      </c>
      <c r="B1322">
        <v>7</v>
      </c>
      <c r="C1322">
        <v>68</v>
      </c>
      <c r="D1322" t="s">
        <v>5015</v>
      </c>
      <c r="E1322" t="s">
        <v>5019</v>
      </c>
      <c r="F1322" t="s">
        <v>5021</v>
      </c>
      <c r="G1322">
        <v>17.53</v>
      </c>
      <c r="H1322">
        <v>3</v>
      </c>
      <c r="I1322">
        <v>5.2</v>
      </c>
      <c r="J1322">
        <v>14.77</v>
      </c>
      <c r="K1322">
        <v>28.3</v>
      </c>
      <c r="L1322" t="s">
        <v>5027</v>
      </c>
      <c r="M1322">
        <v>11</v>
      </c>
      <c r="N1322">
        <v>1</v>
      </c>
      <c r="O1322">
        <v>0</v>
      </c>
    </row>
    <row r="1323" spans="1:15" x14ac:dyDescent="0.3">
      <c r="A1323" t="s">
        <v>1336</v>
      </c>
      <c r="B1323">
        <v>8</v>
      </c>
      <c r="C1323">
        <v>31</v>
      </c>
      <c r="D1323" t="s">
        <v>5015</v>
      </c>
      <c r="E1323" t="s">
        <v>5019</v>
      </c>
      <c r="F1323" t="s">
        <v>5023</v>
      </c>
      <c r="G1323">
        <v>19.38</v>
      </c>
      <c r="H1323">
        <v>2</v>
      </c>
      <c r="I1323">
        <v>6.4</v>
      </c>
      <c r="J1323">
        <v>9.89</v>
      </c>
      <c r="K1323">
        <v>39.299999999999997</v>
      </c>
      <c r="L1323" t="s">
        <v>5025</v>
      </c>
      <c r="M1323">
        <v>3</v>
      </c>
      <c r="N1323">
        <v>2</v>
      </c>
      <c r="O1323">
        <v>0</v>
      </c>
    </row>
    <row r="1324" spans="1:15" x14ac:dyDescent="0.3">
      <c r="A1324" t="s">
        <v>1337</v>
      </c>
      <c r="B1324">
        <v>1</v>
      </c>
      <c r="C1324">
        <v>56</v>
      </c>
      <c r="D1324" t="s">
        <v>5015</v>
      </c>
      <c r="E1324" t="s">
        <v>5018</v>
      </c>
      <c r="F1324" t="s">
        <v>5021</v>
      </c>
      <c r="G1324">
        <v>7.85</v>
      </c>
      <c r="H1324">
        <v>1</v>
      </c>
      <c r="I1324">
        <v>4</v>
      </c>
      <c r="J1324">
        <v>14.88</v>
      </c>
      <c r="K1324">
        <v>67.2</v>
      </c>
      <c r="L1324" t="s">
        <v>5027</v>
      </c>
      <c r="M1324">
        <v>5</v>
      </c>
      <c r="N1324">
        <v>4</v>
      </c>
      <c r="O1324">
        <v>0</v>
      </c>
    </row>
    <row r="1325" spans="1:15" x14ac:dyDescent="0.3">
      <c r="A1325" t="s">
        <v>1338</v>
      </c>
      <c r="B1325">
        <v>9</v>
      </c>
      <c r="C1325">
        <v>48</v>
      </c>
      <c r="D1325" t="s">
        <v>5015</v>
      </c>
      <c r="E1325" t="s">
        <v>5018</v>
      </c>
      <c r="F1325" t="s">
        <v>5022</v>
      </c>
      <c r="G1325">
        <v>7.8</v>
      </c>
      <c r="H1325">
        <v>4</v>
      </c>
      <c r="I1325">
        <v>1.4</v>
      </c>
      <c r="J1325">
        <v>5.33</v>
      </c>
      <c r="K1325">
        <v>74.5</v>
      </c>
      <c r="L1325" t="s">
        <v>5028</v>
      </c>
      <c r="M1325">
        <v>3</v>
      </c>
      <c r="N1325">
        <v>3</v>
      </c>
      <c r="O1325">
        <v>0</v>
      </c>
    </row>
    <row r="1326" spans="1:15" x14ac:dyDescent="0.3">
      <c r="A1326" t="s">
        <v>1339</v>
      </c>
      <c r="B1326">
        <v>7</v>
      </c>
      <c r="C1326">
        <v>31</v>
      </c>
      <c r="D1326" t="s">
        <v>5016</v>
      </c>
      <c r="E1326" t="s">
        <v>5018</v>
      </c>
      <c r="F1326" t="s">
        <v>5024</v>
      </c>
      <c r="G1326">
        <v>19.32</v>
      </c>
      <c r="H1326">
        <v>5</v>
      </c>
      <c r="I1326">
        <v>4.3</v>
      </c>
      <c r="J1326">
        <v>8.08</v>
      </c>
      <c r="K1326">
        <v>43.4</v>
      </c>
      <c r="L1326" t="s">
        <v>5027</v>
      </c>
      <c r="M1326">
        <v>8</v>
      </c>
      <c r="N1326">
        <v>4</v>
      </c>
      <c r="O1326">
        <v>1</v>
      </c>
    </row>
    <row r="1327" spans="1:15" x14ac:dyDescent="0.3">
      <c r="A1327" t="s">
        <v>1340</v>
      </c>
      <c r="B1327">
        <v>3</v>
      </c>
      <c r="C1327">
        <v>23</v>
      </c>
      <c r="D1327" t="s">
        <v>5015</v>
      </c>
      <c r="E1327" t="s">
        <v>5017</v>
      </c>
      <c r="F1327" t="s">
        <v>5021</v>
      </c>
      <c r="G1327">
        <v>13.64</v>
      </c>
      <c r="H1327">
        <v>2</v>
      </c>
      <c r="I1327">
        <v>5.7</v>
      </c>
      <c r="J1327">
        <v>19.41</v>
      </c>
      <c r="K1327">
        <v>23.7</v>
      </c>
      <c r="L1327" t="s">
        <v>5029</v>
      </c>
      <c r="M1327">
        <v>8</v>
      </c>
      <c r="N1327">
        <v>4</v>
      </c>
      <c r="O1327">
        <v>0</v>
      </c>
    </row>
    <row r="1328" spans="1:15" x14ac:dyDescent="0.3">
      <c r="A1328" t="s">
        <v>1341</v>
      </c>
      <c r="B1328">
        <v>8</v>
      </c>
      <c r="C1328">
        <v>29</v>
      </c>
      <c r="D1328" t="s">
        <v>5015</v>
      </c>
      <c r="E1328" t="s">
        <v>5018</v>
      </c>
      <c r="F1328" t="s">
        <v>5021</v>
      </c>
      <c r="G1328">
        <v>22.78</v>
      </c>
      <c r="H1328">
        <v>5</v>
      </c>
      <c r="I1328">
        <v>1.1000000000000001</v>
      </c>
      <c r="J1328">
        <v>7.02</v>
      </c>
      <c r="K1328">
        <v>22.6</v>
      </c>
      <c r="L1328" t="s">
        <v>5026</v>
      </c>
      <c r="M1328">
        <v>11</v>
      </c>
      <c r="N1328">
        <v>0</v>
      </c>
      <c r="O1328">
        <v>1</v>
      </c>
    </row>
    <row r="1329" spans="1:15" x14ac:dyDescent="0.3">
      <c r="A1329" t="s">
        <v>1342</v>
      </c>
      <c r="B1329">
        <v>7</v>
      </c>
      <c r="C1329">
        <v>33</v>
      </c>
      <c r="D1329" t="s">
        <v>5015</v>
      </c>
      <c r="E1329" t="s">
        <v>5019</v>
      </c>
      <c r="F1329" t="s">
        <v>5021</v>
      </c>
      <c r="G1329">
        <v>11.24</v>
      </c>
      <c r="H1329">
        <v>1</v>
      </c>
      <c r="I1329">
        <v>6.2</v>
      </c>
      <c r="J1329">
        <v>6.06</v>
      </c>
      <c r="K1329">
        <v>83.1</v>
      </c>
      <c r="L1329" t="s">
        <v>5028</v>
      </c>
      <c r="M1329">
        <v>1</v>
      </c>
      <c r="N1329">
        <v>0</v>
      </c>
      <c r="O1329">
        <v>0</v>
      </c>
    </row>
    <row r="1330" spans="1:15" x14ac:dyDescent="0.3">
      <c r="A1330" t="s">
        <v>1343</v>
      </c>
      <c r="B1330">
        <v>11</v>
      </c>
      <c r="C1330">
        <v>34</v>
      </c>
      <c r="D1330" t="s">
        <v>5016</v>
      </c>
      <c r="E1330" t="s">
        <v>5019</v>
      </c>
      <c r="F1330" t="s">
        <v>5022</v>
      </c>
      <c r="G1330">
        <v>5.85</v>
      </c>
      <c r="H1330">
        <v>1</v>
      </c>
      <c r="I1330">
        <v>9</v>
      </c>
      <c r="J1330">
        <v>9.32</v>
      </c>
      <c r="K1330">
        <v>68.8</v>
      </c>
      <c r="L1330" t="s">
        <v>5027</v>
      </c>
      <c r="M1330">
        <v>8</v>
      </c>
      <c r="N1330">
        <v>2</v>
      </c>
      <c r="O1330">
        <v>0</v>
      </c>
    </row>
    <row r="1331" spans="1:15" x14ac:dyDescent="0.3">
      <c r="A1331" t="s">
        <v>1344</v>
      </c>
      <c r="B1331">
        <v>8</v>
      </c>
      <c r="C1331">
        <v>62</v>
      </c>
      <c r="D1331" t="s">
        <v>5015</v>
      </c>
      <c r="E1331" t="s">
        <v>5017</v>
      </c>
      <c r="F1331" t="s">
        <v>5023</v>
      </c>
      <c r="G1331">
        <v>18</v>
      </c>
      <c r="H1331">
        <v>1</v>
      </c>
      <c r="I1331">
        <v>3</v>
      </c>
      <c r="J1331">
        <v>11.16</v>
      </c>
      <c r="K1331">
        <v>75.5</v>
      </c>
      <c r="L1331" t="s">
        <v>5025</v>
      </c>
      <c r="M1331">
        <v>4</v>
      </c>
      <c r="N1331">
        <v>0</v>
      </c>
      <c r="O1331">
        <v>0</v>
      </c>
    </row>
    <row r="1332" spans="1:15" x14ac:dyDescent="0.3">
      <c r="A1332" t="s">
        <v>1345</v>
      </c>
      <c r="B1332">
        <v>6</v>
      </c>
      <c r="C1332">
        <v>40</v>
      </c>
      <c r="D1332" t="s">
        <v>5015</v>
      </c>
      <c r="E1332" t="s">
        <v>5017</v>
      </c>
      <c r="F1332" t="s">
        <v>5022</v>
      </c>
      <c r="G1332">
        <v>18.68</v>
      </c>
      <c r="H1332">
        <v>4</v>
      </c>
      <c r="I1332">
        <v>9.3000000000000007</v>
      </c>
      <c r="J1332">
        <v>10.23</v>
      </c>
      <c r="K1332">
        <v>53.9</v>
      </c>
      <c r="L1332" t="s">
        <v>5028</v>
      </c>
      <c r="M1332">
        <v>11</v>
      </c>
      <c r="N1332">
        <v>2</v>
      </c>
      <c r="O1332">
        <v>0</v>
      </c>
    </row>
    <row r="1333" spans="1:15" x14ac:dyDescent="0.3">
      <c r="A1333" t="s">
        <v>1346</v>
      </c>
      <c r="B1333">
        <v>9</v>
      </c>
      <c r="C1333">
        <v>31</v>
      </c>
      <c r="D1333" t="s">
        <v>5016</v>
      </c>
      <c r="E1333" t="s">
        <v>5018</v>
      </c>
      <c r="F1333" t="s">
        <v>5021</v>
      </c>
      <c r="G1333">
        <v>16.07</v>
      </c>
      <c r="H1333">
        <v>2</v>
      </c>
      <c r="I1333">
        <v>1.9</v>
      </c>
      <c r="J1333">
        <v>11.24</v>
      </c>
      <c r="K1333">
        <v>51.2</v>
      </c>
      <c r="L1333" t="s">
        <v>5029</v>
      </c>
      <c r="M1333">
        <v>6</v>
      </c>
      <c r="N1333">
        <v>2</v>
      </c>
      <c r="O1333">
        <v>0</v>
      </c>
    </row>
    <row r="1334" spans="1:15" x14ac:dyDescent="0.3">
      <c r="A1334" t="s">
        <v>1347</v>
      </c>
      <c r="B1334">
        <v>5</v>
      </c>
      <c r="C1334">
        <v>24</v>
      </c>
      <c r="D1334" t="s">
        <v>5015</v>
      </c>
      <c r="E1334" t="s">
        <v>5019</v>
      </c>
      <c r="F1334" t="s">
        <v>5021</v>
      </c>
      <c r="G1334">
        <v>18.670000000000002</v>
      </c>
      <c r="H1334">
        <v>5</v>
      </c>
      <c r="I1334">
        <v>8.4</v>
      </c>
      <c r="J1334">
        <v>6.08</v>
      </c>
      <c r="K1334">
        <v>29</v>
      </c>
      <c r="L1334" t="s">
        <v>5026</v>
      </c>
      <c r="M1334">
        <v>10</v>
      </c>
      <c r="N1334">
        <v>3</v>
      </c>
      <c r="O1334">
        <v>1</v>
      </c>
    </row>
    <row r="1335" spans="1:15" x14ac:dyDescent="0.3">
      <c r="A1335" t="s">
        <v>1348</v>
      </c>
      <c r="B1335">
        <v>3</v>
      </c>
      <c r="C1335">
        <v>63</v>
      </c>
      <c r="D1335" t="s">
        <v>5016</v>
      </c>
      <c r="E1335" t="s">
        <v>5019</v>
      </c>
      <c r="F1335" t="s">
        <v>5024</v>
      </c>
      <c r="G1335">
        <v>15.48</v>
      </c>
      <c r="H1335">
        <v>3</v>
      </c>
      <c r="I1335">
        <v>8.6</v>
      </c>
      <c r="J1335">
        <v>6.64</v>
      </c>
      <c r="K1335">
        <v>25.2</v>
      </c>
      <c r="L1335" t="s">
        <v>5026</v>
      </c>
      <c r="M1335">
        <v>8</v>
      </c>
      <c r="N1335">
        <v>3</v>
      </c>
      <c r="O1335">
        <v>0</v>
      </c>
    </row>
    <row r="1336" spans="1:15" x14ac:dyDescent="0.3">
      <c r="A1336" t="s">
        <v>1349</v>
      </c>
      <c r="B1336">
        <v>3</v>
      </c>
      <c r="C1336">
        <v>49</v>
      </c>
      <c r="D1336" t="s">
        <v>5015</v>
      </c>
      <c r="E1336" t="s">
        <v>5017</v>
      </c>
      <c r="F1336" t="s">
        <v>5022</v>
      </c>
      <c r="G1336">
        <v>18.850000000000001</v>
      </c>
      <c r="H1336">
        <v>1</v>
      </c>
      <c r="I1336">
        <v>3.3</v>
      </c>
      <c r="J1336">
        <v>8.19</v>
      </c>
      <c r="K1336">
        <v>23.9</v>
      </c>
      <c r="L1336" t="s">
        <v>5027</v>
      </c>
      <c r="M1336">
        <v>2</v>
      </c>
      <c r="N1336">
        <v>1</v>
      </c>
      <c r="O1336">
        <v>0</v>
      </c>
    </row>
    <row r="1337" spans="1:15" x14ac:dyDescent="0.3">
      <c r="A1337" t="s">
        <v>1350</v>
      </c>
      <c r="B1337">
        <v>1</v>
      </c>
      <c r="C1337">
        <v>32</v>
      </c>
      <c r="D1337" t="s">
        <v>5016</v>
      </c>
      <c r="E1337" t="s">
        <v>5017</v>
      </c>
      <c r="F1337" t="s">
        <v>5022</v>
      </c>
      <c r="G1337">
        <v>5.88</v>
      </c>
      <c r="H1337">
        <v>5</v>
      </c>
      <c r="I1337">
        <v>9.6</v>
      </c>
      <c r="J1337">
        <v>11.84</v>
      </c>
      <c r="K1337">
        <v>99.3</v>
      </c>
      <c r="L1337" t="s">
        <v>5029</v>
      </c>
      <c r="M1337">
        <v>8</v>
      </c>
      <c r="N1337">
        <v>0</v>
      </c>
      <c r="O1337">
        <v>0</v>
      </c>
    </row>
    <row r="1338" spans="1:15" x14ac:dyDescent="0.3">
      <c r="A1338" t="s">
        <v>1351</v>
      </c>
      <c r="B1338">
        <v>12</v>
      </c>
      <c r="C1338">
        <v>61</v>
      </c>
      <c r="D1338" t="s">
        <v>5015</v>
      </c>
      <c r="E1338" t="s">
        <v>5018</v>
      </c>
      <c r="F1338" t="s">
        <v>5020</v>
      </c>
      <c r="G1338">
        <v>12.37</v>
      </c>
      <c r="H1338">
        <v>5</v>
      </c>
      <c r="I1338">
        <v>4.7</v>
      </c>
      <c r="J1338">
        <v>10.39</v>
      </c>
      <c r="K1338">
        <v>83.9</v>
      </c>
      <c r="L1338" t="s">
        <v>5029</v>
      </c>
      <c r="M1338">
        <v>7</v>
      </c>
      <c r="N1338">
        <v>1</v>
      </c>
      <c r="O1338">
        <v>0</v>
      </c>
    </row>
    <row r="1339" spans="1:15" x14ac:dyDescent="0.3">
      <c r="A1339" t="s">
        <v>1352</v>
      </c>
      <c r="B1339">
        <v>8</v>
      </c>
      <c r="C1339">
        <v>34</v>
      </c>
      <c r="D1339" t="s">
        <v>5015</v>
      </c>
      <c r="E1339" t="s">
        <v>5018</v>
      </c>
      <c r="F1339" t="s">
        <v>5023</v>
      </c>
      <c r="G1339">
        <v>9.2200000000000006</v>
      </c>
      <c r="H1339">
        <v>4</v>
      </c>
      <c r="I1339">
        <v>2.2999999999999998</v>
      </c>
      <c r="J1339">
        <v>20.41</v>
      </c>
      <c r="K1339">
        <v>66.400000000000006</v>
      </c>
      <c r="L1339" t="s">
        <v>5026</v>
      </c>
      <c r="M1339">
        <v>4</v>
      </c>
      <c r="N1339">
        <v>4</v>
      </c>
      <c r="O1339">
        <v>0</v>
      </c>
    </row>
    <row r="1340" spans="1:15" x14ac:dyDescent="0.3">
      <c r="A1340" t="s">
        <v>1353</v>
      </c>
      <c r="B1340">
        <v>2</v>
      </c>
      <c r="C1340">
        <v>58</v>
      </c>
      <c r="D1340" t="s">
        <v>5015</v>
      </c>
      <c r="E1340" t="s">
        <v>5019</v>
      </c>
      <c r="F1340" t="s">
        <v>5020</v>
      </c>
      <c r="G1340">
        <v>6.99</v>
      </c>
      <c r="H1340">
        <v>2</v>
      </c>
      <c r="I1340">
        <v>6.3</v>
      </c>
      <c r="J1340">
        <v>14.56</v>
      </c>
      <c r="K1340">
        <v>29.3</v>
      </c>
      <c r="L1340" t="s">
        <v>5026</v>
      </c>
      <c r="M1340">
        <v>5</v>
      </c>
      <c r="N1340">
        <v>2</v>
      </c>
      <c r="O1340">
        <v>0</v>
      </c>
    </row>
    <row r="1341" spans="1:15" x14ac:dyDescent="0.3">
      <c r="A1341" t="s">
        <v>1354</v>
      </c>
      <c r="B1341">
        <v>3</v>
      </c>
      <c r="C1341">
        <v>64</v>
      </c>
      <c r="D1341" t="s">
        <v>5016</v>
      </c>
      <c r="E1341" t="s">
        <v>5018</v>
      </c>
      <c r="F1341" t="s">
        <v>5020</v>
      </c>
      <c r="G1341">
        <v>9.68</v>
      </c>
      <c r="H1341">
        <v>4</v>
      </c>
      <c r="I1341">
        <v>10</v>
      </c>
      <c r="J1341">
        <v>15.67</v>
      </c>
      <c r="K1341">
        <v>40.4</v>
      </c>
      <c r="L1341" t="s">
        <v>5029</v>
      </c>
      <c r="M1341">
        <v>6</v>
      </c>
      <c r="N1341">
        <v>2</v>
      </c>
      <c r="O1341">
        <v>1</v>
      </c>
    </row>
    <row r="1342" spans="1:15" x14ac:dyDescent="0.3">
      <c r="A1342" t="s">
        <v>1355</v>
      </c>
      <c r="B1342">
        <v>8</v>
      </c>
      <c r="C1342">
        <v>61</v>
      </c>
      <c r="D1342" t="s">
        <v>5015</v>
      </c>
      <c r="E1342" t="s">
        <v>5019</v>
      </c>
      <c r="F1342" t="s">
        <v>5023</v>
      </c>
      <c r="G1342">
        <v>8.83</v>
      </c>
      <c r="H1342">
        <v>4</v>
      </c>
      <c r="I1342">
        <v>9.1</v>
      </c>
      <c r="J1342">
        <v>15.33</v>
      </c>
      <c r="K1342">
        <v>41.6</v>
      </c>
      <c r="L1342" t="s">
        <v>5026</v>
      </c>
      <c r="M1342">
        <v>3</v>
      </c>
      <c r="N1342">
        <v>3</v>
      </c>
      <c r="O1342">
        <v>0</v>
      </c>
    </row>
    <row r="1343" spans="1:15" x14ac:dyDescent="0.3">
      <c r="A1343" t="s">
        <v>1356</v>
      </c>
      <c r="B1343">
        <v>8</v>
      </c>
      <c r="C1343">
        <v>51</v>
      </c>
      <c r="D1343" t="s">
        <v>5016</v>
      </c>
      <c r="E1343" t="s">
        <v>5018</v>
      </c>
      <c r="F1343" t="s">
        <v>5024</v>
      </c>
      <c r="G1343">
        <v>24.46</v>
      </c>
      <c r="H1343">
        <v>5</v>
      </c>
      <c r="I1343">
        <v>3.5</v>
      </c>
      <c r="J1343">
        <v>11.77</v>
      </c>
      <c r="K1343">
        <v>53</v>
      </c>
      <c r="L1343" t="s">
        <v>5025</v>
      </c>
      <c r="M1343">
        <v>2</v>
      </c>
      <c r="N1343">
        <v>4</v>
      </c>
      <c r="O1343">
        <v>0</v>
      </c>
    </row>
    <row r="1344" spans="1:15" x14ac:dyDescent="0.3">
      <c r="A1344" t="s">
        <v>1357</v>
      </c>
      <c r="B1344">
        <v>11</v>
      </c>
      <c r="C1344">
        <v>22</v>
      </c>
      <c r="D1344" t="s">
        <v>5016</v>
      </c>
      <c r="E1344" t="s">
        <v>5019</v>
      </c>
      <c r="F1344" t="s">
        <v>5024</v>
      </c>
      <c r="G1344">
        <v>10.73</v>
      </c>
      <c r="H1344">
        <v>2</v>
      </c>
      <c r="I1344">
        <v>6.2</v>
      </c>
      <c r="J1344">
        <v>24.57</v>
      </c>
      <c r="K1344">
        <v>48</v>
      </c>
      <c r="L1344" t="s">
        <v>5026</v>
      </c>
      <c r="M1344">
        <v>2</v>
      </c>
      <c r="N1344">
        <v>2</v>
      </c>
      <c r="O1344">
        <v>0</v>
      </c>
    </row>
    <row r="1345" spans="1:15" x14ac:dyDescent="0.3">
      <c r="A1345" t="s">
        <v>1358</v>
      </c>
      <c r="B1345">
        <v>4</v>
      </c>
      <c r="C1345">
        <v>62</v>
      </c>
      <c r="D1345" t="s">
        <v>5016</v>
      </c>
      <c r="E1345" t="s">
        <v>5018</v>
      </c>
      <c r="F1345" t="s">
        <v>5023</v>
      </c>
      <c r="G1345">
        <v>9.6199999999999992</v>
      </c>
      <c r="H1345">
        <v>2</v>
      </c>
      <c r="I1345">
        <v>2</v>
      </c>
      <c r="J1345">
        <v>3.82</v>
      </c>
      <c r="K1345">
        <v>94.1</v>
      </c>
      <c r="L1345" t="s">
        <v>5025</v>
      </c>
      <c r="M1345">
        <v>4</v>
      </c>
      <c r="N1345">
        <v>2</v>
      </c>
      <c r="O1345">
        <v>0</v>
      </c>
    </row>
    <row r="1346" spans="1:15" x14ac:dyDescent="0.3">
      <c r="A1346" t="s">
        <v>1359</v>
      </c>
      <c r="B1346">
        <v>4</v>
      </c>
      <c r="C1346">
        <v>44</v>
      </c>
      <c r="D1346" t="s">
        <v>5016</v>
      </c>
      <c r="E1346" t="s">
        <v>5019</v>
      </c>
      <c r="F1346" t="s">
        <v>5023</v>
      </c>
      <c r="G1346">
        <v>21.7</v>
      </c>
      <c r="H1346">
        <v>2</v>
      </c>
      <c r="I1346">
        <v>5.2</v>
      </c>
      <c r="J1346">
        <v>7.75</v>
      </c>
      <c r="K1346">
        <v>74.900000000000006</v>
      </c>
      <c r="L1346" t="s">
        <v>5026</v>
      </c>
      <c r="M1346">
        <v>7</v>
      </c>
      <c r="N1346">
        <v>4</v>
      </c>
      <c r="O1346">
        <v>0</v>
      </c>
    </row>
    <row r="1347" spans="1:15" x14ac:dyDescent="0.3">
      <c r="A1347" t="s">
        <v>1360</v>
      </c>
      <c r="B1347">
        <v>5</v>
      </c>
      <c r="C1347">
        <v>69</v>
      </c>
      <c r="D1347" t="s">
        <v>5015</v>
      </c>
      <c r="E1347" t="s">
        <v>5017</v>
      </c>
      <c r="F1347" t="s">
        <v>5022</v>
      </c>
      <c r="G1347">
        <v>13.38</v>
      </c>
      <c r="H1347">
        <v>1</v>
      </c>
      <c r="I1347">
        <v>5.7</v>
      </c>
      <c r="J1347">
        <v>9.26</v>
      </c>
      <c r="K1347">
        <v>17.3</v>
      </c>
      <c r="L1347" t="s">
        <v>5028</v>
      </c>
      <c r="M1347">
        <v>1</v>
      </c>
      <c r="N1347">
        <v>4</v>
      </c>
      <c r="O1347">
        <v>1</v>
      </c>
    </row>
    <row r="1348" spans="1:15" x14ac:dyDescent="0.3">
      <c r="A1348" t="s">
        <v>1361</v>
      </c>
      <c r="B1348">
        <v>6</v>
      </c>
      <c r="C1348">
        <v>40</v>
      </c>
      <c r="D1348" t="s">
        <v>5015</v>
      </c>
      <c r="E1348" t="s">
        <v>5018</v>
      </c>
      <c r="F1348" t="s">
        <v>5022</v>
      </c>
      <c r="G1348">
        <v>13.43</v>
      </c>
      <c r="H1348">
        <v>2</v>
      </c>
      <c r="I1348">
        <v>3.8</v>
      </c>
      <c r="J1348">
        <v>22.39</v>
      </c>
      <c r="K1348">
        <v>42.4</v>
      </c>
      <c r="L1348" t="s">
        <v>5028</v>
      </c>
      <c r="M1348">
        <v>1</v>
      </c>
      <c r="N1348">
        <v>2</v>
      </c>
      <c r="O1348">
        <v>0</v>
      </c>
    </row>
    <row r="1349" spans="1:15" x14ac:dyDescent="0.3">
      <c r="A1349" t="s">
        <v>1362</v>
      </c>
      <c r="B1349">
        <v>5</v>
      </c>
      <c r="C1349">
        <v>57</v>
      </c>
      <c r="D1349" t="s">
        <v>5015</v>
      </c>
      <c r="E1349" t="s">
        <v>5017</v>
      </c>
      <c r="F1349" t="s">
        <v>5022</v>
      </c>
      <c r="G1349">
        <v>13.87</v>
      </c>
      <c r="H1349">
        <v>5</v>
      </c>
      <c r="I1349">
        <v>5.4</v>
      </c>
      <c r="J1349">
        <v>23.22</v>
      </c>
      <c r="K1349">
        <v>22</v>
      </c>
      <c r="L1349" t="s">
        <v>5028</v>
      </c>
      <c r="M1349">
        <v>4</v>
      </c>
      <c r="N1349">
        <v>4</v>
      </c>
      <c r="O1349">
        <v>0</v>
      </c>
    </row>
    <row r="1350" spans="1:15" x14ac:dyDescent="0.3">
      <c r="A1350" t="s">
        <v>1363</v>
      </c>
      <c r="B1350">
        <v>7</v>
      </c>
      <c r="C1350">
        <v>31</v>
      </c>
      <c r="D1350" t="s">
        <v>5016</v>
      </c>
      <c r="E1350" t="s">
        <v>5018</v>
      </c>
      <c r="F1350" t="s">
        <v>5022</v>
      </c>
      <c r="G1350">
        <v>13.33</v>
      </c>
      <c r="H1350">
        <v>1</v>
      </c>
      <c r="I1350">
        <v>9.3000000000000007</v>
      </c>
      <c r="J1350">
        <v>21.61</v>
      </c>
      <c r="K1350">
        <v>35.1</v>
      </c>
      <c r="L1350" t="s">
        <v>5025</v>
      </c>
      <c r="M1350">
        <v>9</v>
      </c>
      <c r="N1350">
        <v>0</v>
      </c>
      <c r="O1350">
        <v>0</v>
      </c>
    </row>
    <row r="1351" spans="1:15" x14ac:dyDescent="0.3">
      <c r="A1351" t="s">
        <v>1364</v>
      </c>
      <c r="B1351">
        <v>2</v>
      </c>
      <c r="C1351">
        <v>32</v>
      </c>
      <c r="D1351" t="s">
        <v>5015</v>
      </c>
      <c r="E1351" t="s">
        <v>5018</v>
      </c>
      <c r="F1351" t="s">
        <v>5021</v>
      </c>
      <c r="G1351">
        <v>11.53</v>
      </c>
      <c r="H1351">
        <v>3</v>
      </c>
      <c r="I1351">
        <v>5.5</v>
      </c>
      <c r="J1351">
        <v>12.17</v>
      </c>
      <c r="K1351">
        <v>96.3</v>
      </c>
      <c r="L1351" t="s">
        <v>5025</v>
      </c>
      <c r="M1351">
        <v>5</v>
      </c>
      <c r="N1351">
        <v>4</v>
      </c>
      <c r="O1351">
        <v>0</v>
      </c>
    </row>
    <row r="1352" spans="1:15" x14ac:dyDescent="0.3">
      <c r="A1352" t="s">
        <v>1365</v>
      </c>
      <c r="B1352">
        <v>7</v>
      </c>
      <c r="C1352">
        <v>60</v>
      </c>
      <c r="D1352" t="s">
        <v>5016</v>
      </c>
      <c r="E1352" t="s">
        <v>5017</v>
      </c>
      <c r="F1352" t="s">
        <v>5021</v>
      </c>
      <c r="G1352">
        <v>10.73</v>
      </c>
      <c r="H1352">
        <v>4</v>
      </c>
      <c r="I1352">
        <v>8.5</v>
      </c>
      <c r="J1352">
        <v>23.12</v>
      </c>
      <c r="K1352">
        <v>73.5</v>
      </c>
      <c r="L1352" t="s">
        <v>5027</v>
      </c>
      <c r="M1352">
        <v>1</v>
      </c>
      <c r="N1352">
        <v>1</v>
      </c>
      <c r="O1352">
        <v>0</v>
      </c>
    </row>
    <row r="1353" spans="1:15" x14ac:dyDescent="0.3">
      <c r="A1353" t="s">
        <v>1366</v>
      </c>
      <c r="B1353">
        <v>10</v>
      </c>
      <c r="C1353">
        <v>50</v>
      </c>
      <c r="D1353" t="s">
        <v>5016</v>
      </c>
      <c r="E1353" t="s">
        <v>5019</v>
      </c>
      <c r="F1353" t="s">
        <v>5024</v>
      </c>
      <c r="G1353">
        <v>22.64</v>
      </c>
      <c r="H1353">
        <v>2</v>
      </c>
      <c r="I1353">
        <v>3.9</v>
      </c>
      <c r="J1353">
        <v>5.17</v>
      </c>
      <c r="K1353">
        <v>10.7</v>
      </c>
      <c r="L1353" t="s">
        <v>5027</v>
      </c>
      <c r="M1353">
        <v>3</v>
      </c>
      <c r="N1353">
        <v>1</v>
      </c>
      <c r="O1353">
        <v>0</v>
      </c>
    </row>
    <row r="1354" spans="1:15" x14ac:dyDescent="0.3">
      <c r="A1354" t="s">
        <v>1367</v>
      </c>
      <c r="B1354">
        <v>7</v>
      </c>
      <c r="C1354">
        <v>48</v>
      </c>
      <c r="D1354" t="s">
        <v>5016</v>
      </c>
      <c r="E1354" t="s">
        <v>5017</v>
      </c>
      <c r="F1354" t="s">
        <v>5021</v>
      </c>
      <c r="G1354">
        <v>8.23</v>
      </c>
      <c r="H1354">
        <v>3</v>
      </c>
      <c r="I1354">
        <v>9.6999999999999993</v>
      </c>
      <c r="J1354">
        <v>17.350000000000001</v>
      </c>
      <c r="K1354">
        <v>39.6</v>
      </c>
      <c r="L1354" t="s">
        <v>5026</v>
      </c>
      <c r="M1354">
        <v>11</v>
      </c>
      <c r="N1354">
        <v>2</v>
      </c>
      <c r="O1354">
        <v>1</v>
      </c>
    </row>
    <row r="1355" spans="1:15" x14ac:dyDescent="0.3">
      <c r="A1355" t="s">
        <v>1368</v>
      </c>
      <c r="B1355">
        <v>1</v>
      </c>
      <c r="C1355">
        <v>52</v>
      </c>
      <c r="D1355" t="s">
        <v>5015</v>
      </c>
      <c r="E1355" t="s">
        <v>5019</v>
      </c>
      <c r="F1355" t="s">
        <v>5021</v>
      </c>
      <c r="G1355">
        <v>8.6199999999999992</v>
      </c>
      <c r="H1355">
        <v>2</v>
      </c>
      <c r="I1355">
        <v>1.8</v>
      </c>
      <c r="J1355">
        <v>23.62</v>
      </c>
      <c r="K1355">
        <v>49.5</v>
      </c>
      <c r="L1355" t="s">
        <v>5025</v>
      </c>
      <c r="M1355">
        <v>6</v>
      </c>
      <c r="N1355">
        <v>2</v>
      </c>
      <c r="O1355">
        <v>0</v>
      </c>
    </row>
    <row r="1356" spans="1:15" x14ac:dyDescent="0.3">
      <c r="A1356" t="s">
        <v>1369</v>
      </c>
      <c r="B1356">
        <v>7</v>
      </c>
      <c r="C1356">
        <v>34</v>
      </c>
      <c r="D1356" t="s">
        <v>5015</v>
      </c>
      <c r="E1356" t="s">
        <v>5019</v>
      </c>
      <c r="F1356" t="s">
        <v>5022</v>
      </c>
      <c r="G1356">
        <v>16.43</v>
      </c>
      <c r="H1356">
        <v>4</v>
      </c>
      <c r="I1356">
        <v>6.3</v>
      </c>
      <c r="J1356">
        <v>19.61</v>
      </c>
      <c r="K1356">
        <v>64.2</v>
      </c>
      <c r="L1356" t="s">
        <v>5028</v>
      </c>
      <c r="M1356">
        <v>3</v>
      </c>
      <c r="N1356">
        <v>3</v>
      </c>
      <c r="O1356">
        <v>0</v>
      </c>
    </row>
    <row r="1357" spans="1:15" x14ac:dyDescent="0.3">
      <c r="A1357" t="s">
        <v>1370</v>
      </c>
      <c r="B1357">
        <v>5</v>
      </c>
      <c r="C1357">
        <v>45</v>
      </c>
      <c r="D1357" t="s">
        <v>5016</v>
      </c>
      <c r="E1357" t="s">
        <v>5017</v>
      </c>
      <c r="F1357" t="s">
        <v>5022</v>
      </c>
      <c r="G1357">
        <v>11.87</v>
      </c>
      <c r="H1357">
        <v>5</v>
      </c>
      <c r="I1357">
        <v>8.1</v>
      </c>
      <c r="J1357">
        <v>9.11</v>
      </c>
      <c r="K1357">
        <v>55</v>
      </c>
      <c r="L1357" t="s">
        <v>5028</v>
      </c>
      <c r="M1357">
        <v>11</v>
      </c>
      <c r="N1357">
        <v>4</v>
      </c>
      <c r="O1357">
        <v>1</v>
      </c>
    </row>
    <row r="1358" spans="1:15" x14ac:dyDescent="0.3">
      <c r="A1358" t="s">
        <v>1371</v>
      </c>
      <c r="B1358">
        <v>3</v>
      </c>
      <c r="C1358">
        <v>36</v>
      </c>
      <c r="D1358" t="s">
        <v>5015</v>
      </c>
      <c r="E1358" t="s">
        <v>5018</v>
      </c>
      <c r="F1358" t="s">
        <v>5023</v>
      </c>
      <c r="G1358">
        <v>13.43</v>
      </c>
      <c r="H1358">
        <v>5</v>
      </c>
      <c r="I1358">
        <v>8.3000000000000007</v>
      </c>
      <c r="J1358">
        <v>18.79</v>
      </c>
      <c r="K1358">
        <v>16.3</v>
      </c>
      <c r="L1358" t="s">
        <v>5028</v>
      </c>
      <c r="M1358">
        <v>6</v>
      </c>
      <c r="N1358">
        <v>1</v>
      </c>
      <c r="O1358">
        <v>1</v>
      </c>
    </row>
    <row r="1359" spans="1:15" x14ac:dyDescent="0.3">
      <c r="A1359" t="s">
        <v>1372</v>
      </c>
      <c r="B1359">
        <v>3</v>
      </c>
      <c r="C1359">
        <v>63</v>
      </c>
      <c r="D1359" t="s">
        <v>5015</v>
      </c>
      <c r="E1359" t="s">
        <v>5017</v>
      </c>
      <c r="F1359" t="s">
        <v>5022</v>
      </c>
      <c r="G1359">
        <v>21.13</v>
      </c>
      <c r="H1359">
        <v>4</v>
      </c>
      <c r="I1359">
        <v>2.8</v>
      </c>
      <c r="J1359">
        <v>9.48</v>
      </c>
      <c r="K1359">
        <v>56.4</v>
      </c>
      <c r="L1359" t="s">
        <v>5026</v>
      </c>
      <c r="M1359">
        <v>6</v>
      </c>
      <c r="N1359">
        <v>3</v>
      </c>
      <c r="O1359">
        <v>0</v>
      </c>
    </row>
    <row r="1360" spans="1:15" x14ac:dyDescent="0.3">
      <c r="A1360" t="s">
        <v>1373</v>
      </c>
      <c r="B1360">
        <v>4</v>
      </c>
      <c r="C1360">
        <v>40</v>
      </c>
      <c r="D1360" t="s">
        <v>5016</v>
      </c>
      <c r="E1360" t="s">
        <v>5017</v>
      </c>
      <c r="F1360" t="s">
        <v>5023</v>
      </c>
      <c r="G1360">
        <v>23.07</v>
      </c>
      <c r="H1360">
        <v>3</v>
      </c>
      <c r="I1360">
        <v>4.5999999999999996</v>
      </c>
      <c r="J1360">
        <v>5.45</v>
      </c>
      <c r="K1360">
        <v>21.7</v>
      </c>
      <c r="L1360" t="s">
        <v>5025</v>
      </c>
      <c r="M1360">
        <v>5</v>
      </c>
      <c r="N1360">
        <v>2</v>
      </c>
      <c r="O1360">
        <v>0</v>
      </c>
    </row>
    <row r="1361" spans="1:15" x14ac:dyDescent="0.3">
      <c r="A1361" t="s">
        <v>1374</v>
      </c>
      <c r="B1361">
        <v>12</v>
      </c>
      <c r="C1361">
        <v>49</v>
      </c>
      <c r="D1361" t="s">
        <v>5016</v>
      </c>
      <c r="E1361" t="s">
        <v>5018</v>
      </c>
      <c r="F1361" t="s">
        <v>5023</v>
      </c>
      <c r="G1361">
        <v>20.81</v>
      </c>
      <c r="H1361">
        <v>1</v>
      </c>
      <c r="I1361">
        <v>6.6</v>
      </c>
      <c r="J1361">
        <v>18.78</v>
      </c>
      <c r="K1361">
        <v>56.7</v>
      </c>
      <c r="L1361" t="s">
        <v>5026</v>
      </c>
      <c r="M1361">
        <v>10</v>
      </c>
      <c r="N1361">
        <v>0</v>
      </c>
      <c r="O1361">
        <v>0</v>
      </c>
    </row>
    <row r="1362" spans="1:15" x14ac:dyDescent="0.3">
      <c r="A1362" t="s">
        <v>1375</v>
      </c>
      <c r="B1362">
        <v>2</v>
      </c>
      <c r="C1362">
        <v>57</v>
      </c>
      <c r="D1362" t="s">
        <v>5015</v>
      </c>
      <c r="E1362" t="s">
        <v>5019</v>
      </c>
      <c r="F1362" t="s">
        <v>5021</v>
      </c>
      <c r="G1362">
        <v>9.6999999999999993</v>
      </c>
      <c r="H1362">
        <v>1</v>
      </c>
      <c r="I1362">
        <v>3.8</v>
      </c>
      <c r="J1362">
        <v>6.94</v>
      </c>
      <c r="K1362">
        <v>32.1</v>
      </c>
      <c r="L1362" t="s">
        <v>5029</v>
      </c>
      <c r="M1362">
        <v>5</v>
      </c>
      <c r="N1362">
        <v>4</v>
      </c>
      <c r="O1362">
        <v>0</v>
      </c>
    </row>
    <row r="1363" spans="1:15" x14ac:dyDescent="0.3">
      <c r="A1363" t="s">
        <v>1376</v>
      </c>
      <c r="B1363">
        <v>2</v>
      </c>
      <c r="C1363">
        <v>30</v>
      </c>
      <c r="D1363" t="s">
        <v>5016</v>
      </c>
      <c r="E1363" t="s">
        <v>5017</v>
      </c>
      <c r="F1363" t="s">
        <v>5022</v>
      </c>
      <c r="G1363">
        <v>24.6</v>
      </c>
      <c r="H1363">
        <v>2</v>
      </c>
      <c r="I1363">
        <v>6.9</v>
      </c>
      <c r="J1363">
        <v>5.44</v>
      </c>
      <c r="K1363">
        <v>23</v>
      </c>
      <c r="L1363" t="s">
        <v>5029</v>
      </c>
      <c r="M1363">
        <v>9</v>
      </c>
      <c r="N1363">
        <v>3</v>
      </c>
      <c r="O1363">
        <v>1</v>
      </c>
    </row>
    <row r="1364" spans="1:15" x14ac:dyDescent="0.3">
      <c r="A1364" t="s">
        <v>1377</v>
      </c>
      <c r="B1364">
        <v>1</v>
      </c>
      <c r="C1364">
        <v>37</v>
      </c>
      <c r="D1364" t="s">
        <v>5016</v>
      </c>
      <c r="E1364" t="s">
        <v>5018</v>
      </c>
      <c r="F1364" t="s">
        <v>5021</v>
      </c>
      <c r="G1364">
        <v>12.26</v>
      </c>
      <c r="H1364">
        <v>4</v>
      </c>
      <c r="I1364">
        <v>4.4000000000000004</v>
      </c>
      <c r="J1364">
        <v>15.14</v>
      </c>
      <c r="K1364">
        <v>35.9</v>
      </c>
      <c r="L1364" t="s">
        <v>5027</v>
      </c>
      <c r="M1364">
        <v>3</v>
      </c>
      <c r="N1364">
        <v>0</v>
      </c>
      <c r="O1364">
        <v>0</v>
      </c>
    </row>
    <row r="1365" spans="1:15" x14ac:dyDescent="0.3">
      <c r="A1365" t="s">
        <v>1378</v>
      </c>
      <c r="B1365">
        <v>5</v>
      </c>
      <c r="C1365">
        <v>52</v>
      </c>
      <c r="D1365" t="s">
        <v>5015</v>
      </c>
      <c r="E1365" t="s">
        <v>5018</v>
      </c>
      <c r="F1365" t="s">
        <v>5022</v>
      </c>
      <c r="G1365">
        <v>8.3800000000000008</v>
      </c>
      <c r="H1365">
        <v>4</v>
      </c>
      <c r="I1365">
        <v>4.2</v>
      </c>
      <c r="J1365">
        <v>16.649999999999999</v>
      </c>
      <c r="K1365">
        <v>19</v>
      </c>
      <c r="L1365" t="s">
        <v>5025</v>
      </c>
      <c r="M1365">
        <v>11</v>
      </c>
      <c r="N1365">
        <v>2</v>
      </c>
      <c r="O1365">
        <v>0</v>
      </c>
    </row>
    <row r="1366" spans="1:15" x14ac:dyDescent="0.3">
      <c r="A1366" t="s">
        <v>1379</v>
      </c>
      <c r="B1366">
        <v>4</v>
      </c>
      <c r="C1366">
        <v>22</v>
      </c>
      <c r="D1366" t="s">
        <v>5015</v>
      </c>
      <c r="E1366" t="s">
        <v>5019</v>
      </c>
      <c r="F1366" t="s">
        <v>5021</v>
      </c>
      <c r="G1366">
        <v>14.99</v>
      </c>
      <c r="H1366">
        <v>1</v>
      </c>
      <c r="I1366">
        <v>2</v>
      </c>
      <c r="J1366">
        <v>4.12</v>
      </c>
      <c r="K1366">
        <v>35.6</v>
      </c>
      <c r="L1366" t="s">
        <v>5028</v>
      </c>
      <c r="M1366">
        <v>10</v>
      </c>
      <c r="N1366">
        <v>1</v>
      </c>
      <c r="O1366">
        <v>0</v>
      </c>
    </row>
    <row r="1367" spans="1:15" x14ac:dyDescent="0.3">
      <c r="A1367" t="s">
        <v>1380</v>
      </c>
      <c r="B1367">
        <v>11</v>
      </c>
      <c r="C1367">
        <v>26</v>
      </c>
      <c r="D1367" t="s">
        <v>5016</v>
      </c>
      <c r="E1367" t="s">
        <v>5017</v>
      </c>
      <c r="F1367" t="s">
        <v>5021</v>
      </c>
      <c r="G1367">
        <v>19.510000000000002</v>
      </c>
      <c r="H1367">
        <v>3</v>
      </c>
      <c r="I1367">
        <v>1.4</v>
      </c>
      <c r="J1367">
        <v>3.1</v>
      </c>
      <c r="K1367">
        <v>88</v>
      </c>
      <c r="L1367" t="s">
        <v>5025</v>
      </c>
      <c r="M1367">
        <v>7</v>
      </c>
      <c r="N1367">
        <v>3</v>
      </c>
      <c r="O1367">
        <v>0</v>
      </c>
    </row>
    <row r="1368" spans="1:15" x14ac:dyDescent="0.3">
      <c r="A1368" t="s">
        <v>1381</v>
      </c>
      <c r="B1368">
        <v>10</v>
      </c>
      <c r="C1368">
        <v>46</v>
      </c>
      <c r="D1368" t="s">
        <v>5015</v>
      </c>
      <c r="E1368" t="s">
        <v>5018</v>
      </c>
      <c r="F1368" t="s">
        <v>5021</v>
      </c>
      <c r="G1368">
        <v>6.67</v>
      </c>
      <c r="H1368">
        <v>4</v>
      </c>
      <c r="I1368">
        <v>8.5</v>
      </c>
      <c r="J1368">
        <v>22.41</v>
      </c>
      <c r="K1368">
        <v>37.6</v>
      </c>
      <c r="L1368" t="s">
        <v>5027</v>
      </c>
      <c r="M1368">
        <v>4</v>
      </c>
      <c r="N1368">
        <v>3</v>
      </c>
      <c r="O1368">
        <v>1</v>
      </c>
    </row>
    <row r="1369" spans="1:15" x14ac:dyDescent="0.3">
      <c r="A1369" t="s">
        <v>1382</v>
      </c>
      <c r="B1369">
        <v>2</v>
      </c>
      <c r="C1369">
        <v>23</v>
      </c>
      <c r="D1369" t="s">
        <v>5016</v>
      </c>
      <c r="E1369" t="s">
        <v>5018</v>
      </c>
      <c r="F1369" t="s">
        <v>5024</v>
      </c>
      <c r="G1369">
        <v>17.690000000000001</v>
      </c>
      <c r="H1369">
        <v>5</v>
      </c>
      <c r="I1369">
        <v>5.4</v>
      </c>
      <c r="J1369">
        <v>5.54</v>
      </c>
      <c r="K1369">
        <v>52.3</v>
      </c>
      <c r="L1369" t="s">
        <v>5028</v>
      </c>
      <c r="M1369">
        <v>2</v>
      </c>
      <c r="N1369">
        <v>2</v>
      </c>
      <c r="O1369">
        <v>1</v>
      </c>
    </row>
    <row r="1370" spans="1:15" x14ac:dyDescent="0.3">
      <c r="A1370" t="s">
        <v>1383</v>
      </c>
      <c r="B1370">
        <v>3</v>
      </c>
      <c r="C1370">
        <v>42</v>
      </c>
      <c r="D1370" t="s">
        <v>5016</v>
      </c>
      <c r="E1370" t="s">
        <v>5018</v>
      </c>
      <c r="F1370" t="s">
        <v>5021</v>
      </c>
      <c r="G1370">
        <v>22.16</v>
      </c>
      <c r="H1370">
        <v>5</v>
      </c>
      <c r="I1370">
        <v>6.1</v>
      </c>
      <c r="J1370">
        <v>15.85</v>
      </c>
      <c r="K1370">
        <v>56.8</v>
      </c>
      <c r="L1370" t="s">
        <v>5026</v>
      </c>
      <c r="M1370">
        <v>10</v>
      </c>
      <c r="N1370">
        <v>2</v>
      </c>
      <c r="O1370">
        <v>1</v>
      </c>
    </row>
    <row r="1371" spans="1:15" x14ac:dyDescent="0.3">
      <c r="A1371" t="s">
        <v>1384</v>
      </c>
      <c r="B1371">
        <v>7</v>
      </c>
      <c r="C1371">
        <v>48</v>
      </c>
      <c r="D1371" t="s">
        <v>5015</v>
      </c>
      <c r="E1371" t="s">
        <v>5019</v>
      </c>
      <c r="F1371" t="s">
        <v>5020</v>
      </c>
      <c r="G1371">
        <v>10.24</v>
      </c>
      <c r="H1371">
        <v>4</v>
      </c>
      <c r="I1371">
        <v>4.3</v>
      </c>
      <c r="J1371">
        <v>23.98</v>
      </c>
      <c r="K1371">
        <v>26</v>
      </c>
      <c r="L1371" t="s">
        <v>5028</v>
      </c>
      <c r="M1371">
        <v>3</v>
      </c>
      <c r="N1371">
        <v>1</v>
      </c>
      <c r="O1371">
        <v>0</v>
      </c>
    </row>
    <row r="1372" spans="1:15" x14ac:dyDescent="0.3">
      <c r="A1372" t="s">
        <v>1385</v>
      </c>
      <c r="B1372">
        <v>7</v>
      </c>
      <c r="C1372">
        <v>39</v>
      </c>
      <c r="D1372" t="s">
        <v>5016</v>
      </c>
      <c r="E1372" t="s">
        <v>5019</v>
      </c>
      <c r="F1372" t="s">
        <v>5020</v>
      </c>
      <c r="G1372">
        <v>18.86</v>
      </c>
      <c r="H1372">
        <v>3</v>
      </c>
      <c r="I1372">
        <v>2.2000000000000002</v>
      </c>
      <c r="J1372">
        <v>14.26</v>
      </c>
      <c r="K1372">
        <v>49.8</v>
      </c>
      <c r="L1372" t="s">
        <v>5029</v>
      </c>
      <c r="M1372">
        <v>3</v>
      </c>
      <c r="N1372">
        <v>1</v>
      </c>
      <c r="O1372">
        <v>0</v>
      </c>
    </row>
    <row r="1373" spans="1:15" x14ac:dyDescent="0.3">
      <c r="A1373" t="s">
        <v>1386</v>
      </c>
      <c r="B1373">
        <v>12</v>
      </c>
      <c r="C1373">
        <v>19</v>
      </c>
      <c r="D1373" t="s">
        <v>5016</v>
      </c>
      <c r="E1373" t="s">
        <v>5017</v>
      </c>
      <c r="F1373" t="s">
        <v>5020</v>
      </c>
      <c r="G1373">
        <v>13</v>
      </c>
      <c r="H1373">
        <v>5</v>
      </c>
      <c r="I1373">
        <v>5</v>
      </c>
      <c r="J1373">
        <v>6.08</v>
      </c>
      <c r="K1373">
        <v>86.8</v>
      </c>
      <c r="L1373" t="s">
        <v>5026</v>
      </c>
      <c r="M1373">
        <v>3</v>
      </c>
      <c r="N1373">
        <v>1</v>
      </c>
      <c r="O1373">
        <v>1</v>
      </c>
    </row>
    <row r="1374" spans="1:15" x14ac:dyDescent="0.3">
      <c r="A1374" t="s">
        <v>1387</v>
      </c>
      <c r="B1374">
        <v>4</v>
      </c>
      <c r="C1374">
        <v>62</v>
      </c>
      <c r="D1374" t="s">
        <v>5016</v>
      </c>
      <c r="E1374" t="s">
        <v>5018</v>
      </c>
      <c r="F1374" t="s">
        <v>5023</v>
      </c>
      <c r="G1374">
        <v>13.28</v>
      </c>
      <c r="H1374">
        <v>3</v>
      </c>
      <c r="I1374">
        <v>3.1</v>
      </c>
      <c r="J1374">
        <v>11.66</v>
      </c>
      <c r="K1374">
        <v>17.2</v>
      </c>
      <c r="L1374" t="s">
        <v>5028</v>
      </c>
      <c r="M1374">
        <v>3</v>
      </c>
      <c r="N1374">
        <v>0</v>
      </c>
      <c r="O1374">
        <v>1</v>
      </c>
    </row>
    <row r="1375" spans="1:15" x14ac:dyDescent="0.3">
      <c r="A1375" t="s">
        <v>1388</v>
      </c>
      <c r="B1375">
        <v>5</v>
      </c>
      <c r="C1375">
        <v>22</v>
      </c>
      <c r="D1375" t="s">
        <v>5015</v>
      </c>
      <c r="E1375" t="s">
        <v>5018</v>
      </c>
      <c r="F1375" t="s">
        <v>5021</v>
      </c>
      <c r="G1375">
        <v>10.62</v>
      </c>
      <c r="H1375">
        <v>1</v>
      </c>
      <c r="I1375">
        <v>8.5</v>
      </c>
      <c r="J1375">
        <v>16.73</v>
      </c>
      <c r="K1375">
        <v>93.1</v>
      </c>
      <c r="L1375" t="s">
        <v>5026</v>
      </c>
      <c r="M1375">
        <v>10</v>
      </c>
      <c r="N1375">
        <v>0</v>
      </c>
      <c r="O1375">
        <v>0</v>
      </c>
    </row>
    <row r="1376" spans="1:15" x14ac:dyDescent="0.3">
      <c r="A1376" t="s">
        <v>1389</v>
      </c>
      <c r="B1376">
        <v>5</v>
      </c>
      <c r="C1376">
        <v>44</v>
      </c>
      <c r="D1376" t="s">
        <v>5015</v>
      </c>
      <c r="E1376" t="s">
        <v>5018</v>
      </c>
      <c r="F1376" t="s">
        <v>5020</v>
      </c>
      <c r="G1376">
        <v>17.489999999999998</v>
      </c>
      <c r="H1376">
        <v>2</v>
      </c>
      <c r="I1376">
        <v>9.9</v>
      </c>
      <c r="J1376">
        <v>19.78</v>
      </c>
      <c r="K1376">
        <v>88.4</v>
      </c>
      <c r="L1376" t="s">
        <v>5029</v>
      </c>
      <c r="M1376">
        <v>6</v>
      </c>
      <c r="N1376">
        <v>2</v>
      </c>
      <c r="O1376">
        <v>0</v>
      </c>
    </row>
    <row r="1377" spans="1:15" x14ac:dyDescent="0.3">
      <c r="A1377" t="s">
        <v>1390</v>
      </c>
      <c r="B1377">
        <v>6</v>
      </c>
      <c r="C1377">
        <v>42</v>
      </c>
      <c r="D1377" t="s">
        <v>5015</v>
      </c>
      <c r="E1377" t="s">
        <v>5018</v>
      </c>
      <c r="F1377" t="s">
        <v>5023</v>
      </c>
      <c r="G1377">
        <v>12.22</v>
      </c>
      <c r="H1377">
        <v>1</v>
      </c>
      <c r="I1377">
        <v>9</v>
      </c>
      <c r="J1377">
        <v>16.350000000000001</v>
      </c>
      <c r="K1377">
        <v>87</v>
      </c>
      <c r="L1377" t="s">
        <v>5029</v>
      </c>
      <c r="M1377">
        <v>6</v>
      </c>
      <c r="N1377">
        <v>3</v>
      </c>
      <c r="O1377">
        <v>0</v>
      </c>
    </row>
    <row r="1378" spans="1:15" x14ac:dyDescent="0.3">
      <c r="A1378" t="s">
        <v>1391</v>
      </c>
      <c r="B1378">
        <v>9</v>
      </c>
      <c r="C1378">
        <v>25</v>
      </c>
      <c r="D1378" t="s">
        <v>5016</v>
      </c>
      <c r="E1378" t="s">
        <v>5018</v>
      </c>
      <c r="F1378" t="s">
        <v>5020</v>
      </c>
      <c r="G1378">
        <v>21.62</v>
      </c>
      <c r="H1378">
        <v>2</v>
      </c>
      <c r="I1378">
        <v>5.8</v>
      </c>
      <c r="J1378">
        <v>3.75</v>
      </c>
      <c r="K1378">
        <v>27.9</v>
      </c>
      <c r="L1378" t="s">
        <v>5025</v>
      </c>
      <c r="M1378">
        <v>11</v>
      </c>
      <c r="N1378">
        <v>0</v>
      </c>
      <c r="O1378">
        <v>0</v>
      </c>
    </row>
    <row r="1379" spans="1:15" x14ac:dyDescent="0.3">
      <c r="A1379" t="s">
        <v>1392</v>
      </c>
      <c r="B1379">
        <v>2</v>
      </c>
      <c r="C1379">
        <v>18</v>
      </c>
      <c r="D1379" t="s">
        <v>5016</v>
      </c>
      <c r="E1379" t="s">
        <v>5018</v>
      </c>
      <c r="F1379" t="s">
        <v>5022</v>
      </c>
      <c r="G1379">
        <v>24.26</v>
      </c>
      <c r="H1379">
        <v>5</v>
      </c>
      <c r="I1379">
        <v>6.7</v>
      </c>
      <c r="J1379">
        <v>6.15</v>
      </c>
      <c r="K1379">
        <v>53.6</v>
      </c>
      <c r="L1379" t="s">
        <v>5029</v>
      </c>
      <c r="M1379">
        <v>9</v>
      </c>
      <c r="N1379">
        <v>2</v>
      </c>
      <c r="O1379">
        <v>0</v>
      </c>
    </row>
    <row r="1380" spans="1:15" x14ac:dyDescent="0.3">
      <c r="A1380" t="s">
        <v>1393</v>
      </c>
      <c r="B1380">
        <v>5</v>
      </c>
      <c r="C1380">
        <v>37</v>
      </c>
      <c r="D1380" t="s">
        <v>5015</v>
      </c>
      <c r="E1380" t="s">
        <v>5019</v>
      </c>
      <c r="F1380" t="s">
        <v>5024</v>
      </c>
      <c r="G1380">
        <v>23.7</v>
      </c>
      <c r="H1380">
        <v>2</v>
      </c>
      <c r="I1380">
        <v>9.5</v>
      </c>
      <c r="J1380">
        <v>11.18</v>
      </c>
      <c r="K1380">
        <v>65.5</v>
      </c>
      <c r="L1380" t="s">
        <v>5029</v>
      </c>
      <c r="M1380">
        <v>8</v>
      </c>
      <c r="N1380">
        <v>0</v>
      </c>
      <c r="O1380">
        <v>0</v>
      </c>
    </row>
    <row r="1381" spans="1:15" x14ac:dyDescent="0.3">
      <c r="A1381" t="s">
        <v>1394</v>
      </c>
      <c r="B1381">
        <v>12</v>
      </c>
      <c r="C1381">
        <v>61</v>
      </c>
      <c r="D1381" t="s">
        <v>5015</v>
      </c>
      <c r="E1381" t="s">
        <v>5017</v>
      </c>
      <c r="F1381" t="s">
        <v>5021</v>
      </c>
      <c r="G1381">
        <v>8.26</v>
      </c>
      <c r="H1381">
        <v>2</v>
      </c>
      <c r="I1381">
        <v>5.8</v>
      </c>
      <c r="J1381">
        <v>18.53</v>
      </c>
      <c r="K1381">
        <v>19</v>
      </c>
      <c r="L1381" t="s">
        <v>5029</v>
      </c>
      <c r="M1381">
        <v>10</v>
      </c>
      <c r="N1381">
        <v>1</v>
      </c>
      <c r="O1381">
        <v>0</v>
      </c>
    </row>
    <row r="1382" spans="1:15" x14ac:dyDescent="0.3">
      <c r="A1382" t="s">
        <v>1395</v>
      </c>
      <c r="B1382">
        <v>3</v>
      </c>
      <c r="C1382">
        <v>40</v>
      </c>
      <c r="D1382" t="s">
        <v>5015</v>
      </c>
      <c r="E1382" t="s">
        <v>5019</v>
      </c>
      <c r="F1382" t="s">
        <v>5024</v>
      </c>
      <c r="G1382">
        <v>5.28</v>
      </c>
      <c r="H1382">
        <v>4</v>
      </c>
      <c r="I1382">
        <v>6.7</v>
      </c>
      <c r="J1382">
        <v>15.86</v>
      </c>
      <c r="K1382">
        <v>60.1</v>
      </c>
      <c r="L1382" t="s">
        <v>5027</v>
      </c>
      <c r="M1382">
        <v>7</v>
      </c>
      <c r="N1382">
        <v>2</v>
      </c>
      <c r="O1382">
        <v>0</v>
      </c>
    </row>
    <row r="1383" spans="1:15" x14ac:dyDescent="0.3">
      <c r="A1383" t="s">
        <v>1396</v>
      </c>
      <c r="B1383">
        <v>4</v>
      </c>
      <c r="C1383">
        <v>49</v>
      </c>
      <c r="D1383" t="s">
        <v>5016</v>
      </c>
      <c r="E1383" t="s">
        <v>5018</v>
      </c>
      <c r="F1383" t="s">
        <v>5024</v>
      </c>
      <c r="G1383">
        <v>13.77</v>
      </c>
      <c r="H1383">
        <v>2</v>
      </c>
      <c r="I1383">
        <v>6.7</v>
      </c>
      <c r="J1383">
        <v>3.98</v>
      </c>
      <c r="K1383">
        <v>85.6</v>
      </c>
      <c r="L1383" t="s">
        <v>5029</v>
      </c>
      <c r="M1383">
        <v>2</v>
      </c>
      <c r="N1383">
        <v>1</v>
      </c>
      <c r="O1383">
        <v>0</v>
      </c>
    </row>
    <row r="1384" spans="1:15" x14ac:dyDescent="0.3">
      <c r="A1384" t="s">
        <v>1397</v>
      </c>
      <c r="B1384">
        <v>10</v>
      </c>
      <c r="C1384">
        <v>28</v>
      </c>
      <c r="D1384" t="s">
        <v>5015</v>
      </c>
      <c r="E1384" t="s">
        <v>5018</v>
      </c>
      <c r="F1384" t="s">
        <v>5022</v>
      </c>
      <c r="G1384">
        <v>19.579999999999998</v>
      </c>
      <c r="H1384">
        <v>4</v>
      </c>
      <c r="I1384">
        <v>7.4</v>
      </c>
      <c r="J1384">
        <v>20.53</v>
      </c>
      <c r="K1384">
        <v>94.3</v>
      </c>
      <c r="L1384" t="s">
        <v>5025</v>
      </c>
      <c r="M1384">
        <v>10</v>
      </c>
      <c r="N1384">
        <v>4</v>
      </c>
      <c r="O1384">
        <v>0</v>
      </c>
    </row>
    <row r="1385" spans="1:15" x14ac:dyDescent="0.3">
      <c r="A1385" t="s">
        <v>1398</v>
      </c>
      <c r="B1385">
        <v>6</v>
      </c>
      <c r="C1385">
        <v>56</v>
      </c>
      <c r="D1385" t="s">
        <v>5016</v>
      </c>
      <c r="E1385" t="s">
        <v>5019</v>
      </c>
      <c r="F1385" t="s">
        <v>5022</v>
      </c>
      <c r="G1385">
        <v>24.55</v>
      </c>
      <c r="H1385">
        <v>2</v>
      </c>
      <c r="I1385">
        <v>6.8</v>
      </c>
      <c r="J1385">
        <v>16.309999999999999</v>
      </c>
      <c r="K1385">
        <v>35</v>
      </c>
      <c r="L1385" t="s">
        <v>5026</v>
      </c>
      <c r="M1385">
        <v>2</v>
      </c>
      <c r="N1385">
        <v>3</v>
      </c>
      <c r="O1385">
        <v>0</v>
      </c>
    </row>
    <row r="1386" spans="1:15" x14ac:dyDescent="0.3">
      <c r="A1386" t="s">
        <v>1399</v>
      </c>
      <c r="B1386">
        <v>12</v>
      </c>
      <c r="C1386">
        <v>64</v>
      </c>
      <c r="D1386" t="s">
        <v>5015</v>
      </c>
      <c r="E1386" t="s">
        <v>5018</v>
      </c>
      <c r="F1386" t="s">
        <v>5022</v>
      </c>
      <c r="G1386">
        <v>20.67</v>
      </c>
      <c r="H1386">
        <v>4</v>
      </c>
      <c r="I1386">
        <v>7</v>
      </c>
      <c r="J1386">
        <v>22.52</v>
      </c>
      <c r="K1386">
        <v>36</v>
      </c>
      <c r="L1386" t="s">
        <v>5027</v>
      </c>
      <c r="M1386">
        <v>1</v>
      </c>
      <c r="N1386">
        <v>1</v>
      </c>
      <c r="O1386">
        <v>0</v>
      </c>
    </row>
    <row r="1387" spans="1:15" x14ac:dyDescent="0.3">
      <c r="A1387" t="s">
        <v>1400</v>
      </c>
      <c r="B1387">
        <v>8</v>
      </c>
      <c r="C1387">
        <v>41</v>
      </c>
      <c r="D1387" t="s">
        <v>5016</v>
      </c>
      <c r="E1387" t="s">
        <v>5018</v>
      </c>
      <c r="F1387" t="s">
        <v>5023</v>
      </c>
      <c r="G1387">
        <v>16.61</v>
      </c>
      <c r="H1387">
        <v>5</v>
      </c>
      <c r="I1387">
        <v>7.5</v>
      </c>
      <c r="J1387">
        <v>12.19</v>
      </c>
      <c r="K1387">
        <v>34.4</v>
      </c>
      <c r="L1387" t="s">
        <v>5026</v>
      </c>
      <c r="M1387">
        <v>7</v>
      </c>
      <c r="N1387">
        <v>3</v>
      </c>
      <c r="O1387">
        <v>0</v>
      </c>
    </row>
    <row r="1388" spans="1:15" x14ac:dyDescent="0.3">
      <c r="A1388" t="s">
        <v>1401</v>
      </c>
      <c r="B1388">
        <v>1</v>
      </c>
      <c r="C1388">
        <v>28</v>
      </c>
      <c r="D1388" t="s">
        <v>5016</v>
      </c>
      <c r="E1388" t="s">
        <v>5018</v>
      </c>
      <c r="F1388" t="s">
        <v>5020</v>
      </c>
      <c r="G1388">
        <v>5.53</v>
      </c>
      <c r="H1388">
        <v>5</v>
      </c>
      <c r="I1388">
        <v>8.3000000000000007</v>
      </c>
      <c r="J1388">
        <v>13.78</v>
      </c>
      <c r="K1388">
        <v>23.8</v>
      </c>
      <c r="L1388" t="s">
        <v>5026</v>
      </c>
      <c r="M1388">
        <v>7</v>
      </c>
      <c r="N1388">
        <v>2</v>
      </c>
      <c r="O1388">
        <v>0</v>
      </c>
    </row>
    <row r="1389" spans="1:15" x14ac:dyDescent="0.3">
      <c r="A1389" t="s">
        <v>1402</v>
      </c>
      <c r="B1389">
        <v>10</v>
      </c>
      <c r="C1389">
        <v>46</v>
      </c>
      <c r="D1389" t="s">
        <v>5015</v>
      </c>
      <c r="E1389" t="s">
        <v>5018</v>
      </c>
      <c r="F1389" t="s">
        <v>5021</v>
      </c>
      <c r="G1389">
        <v>21.51</v>
      </c>
      <c r="H1389">
        <v>2</v>
      </c>
      <c r="I1389">
        <v>4.5999999999999996</v>
      </c>
      <c r="J1389">
        <v>11.92</v>
      </c>
      <c r="K1389">
        <v>48.8</v>
      </c>
      <c r="L1389" t="s">
        <v>5025</v>
      </c>
      <c r="M1389">
        <v>1</v>
      </c>
      <c r="N1389">
        <v>4</v>
      </c>
      <c r="O1389">
        <v>0</v>
      </c>
    </row>
    <row r="1390" spans="1:15" x14ac:dyDescent="0.3">
      <c r="A1390" t="s">
        <v>1403</v>
      </c>
      <c r="B1390">
        <v>8</v>
      </c>
      <c r="C1390">
        <v>43</v>
      </c>
      <c r="D1390" t="s">
        <v>5016</v>
      </c>
      <c r="E1390" t="s">
        <v>5019</v>
      </c>
      <c r="F1390" t="s">
        <v>5022</v>
      </c>
      <c r="G1390">
        <v>8.5399999999999991</v>
      </c>
      <c r="H1390">
        <v>3</v>
      </c>
      <c r="I1390">
        <v>7.7</v>
      </c>
      <c r="J1390">
        <v>18.89</v>
      </c>
      <c r="K1390">
        <v>80.599999999999994</v>
      </c>
      <c r="L1390" t="s">
        <v>5027</v>
      </c>
      <c r="M1390">
        <v>6</v>
      </c>
      <c r="N1390">
        <v>3</v>
      </c>
      <c r="O1390">
        <v>0</v>
      </c>
    </row>
    <row r="1391" spans="1:15" x14ac:dyDescent="0.3">
      <c r="A1391" t="s">
        <v>1404</v>
      </c>
      <c r="B1391">
        <v>11</v>
      </c>
      <c r="C1391">
        <v>33</v>
      </c>
      <c r="D1391" t="s">
        <v>5015</v>
      </c>
      <c r="E1391" t="s">
        <v>5019</v>
      </c>
      <c r="F1391" t="s">
        <v>5021</v>
      </c>
      <c r="G1391">
        <v>6.11</v>
      </c>
      <c r="H1391">
        <v>5</v>
      </c>
      <c r="I1391">
        <v>1.9</v>
      </c>
      <c r="J1391">
        <v>19.55</v>
      </c>
      <c r="K1391">
        <v>74.099999999999994</v>
      </c>
      <c r="L1391" t="s">
        <v>5028</v>
      </c>
      <c r="M1391">
        <v>11</v>
      </c>
      <c r="N1391">
        <v>0</v>
      </c>
      <c r="O1391">
        <v>0</v>
      </c>
    </row>
    <row r="1392" spans="1:15" x14ac:dyDescent="0.3">
      <c r="A1392" t="s">
        <v>1405</v>
      </c>
      <c r="B1392">
        <v>7</v>
      </c>
      <c r="C1392">
        <v>52</v>
      </c>
      <c r="D1392" t="s">
        <v>5016</v>
      </c>
      <c r="E1392" t="s">
        <v>5017</v>
      </c>
      <c r="F1392" t="s">
        <v>5021</v>
      </c>
      <c r="G1392">
        <v>22.01</v>
      </c>
      <c r="H1392">
        <v>1</v>
      </c>
      <c r="I1392">
        <v>8.9</v>
      </c>
      <c r="J1392">
        <v>18.91</v>
      </c>
      <c r="K1392">
        <v>91</v>
      </c>
      <c r="L1392" t="s">
        <v>5029</v>
      </c>
      <c r="M1392">
        <v>7</v>
      </c>
      <c r="N1392">
        <v>2</v>
      </c>
      <c r="O1392">
        <v>0</v>
      </c>
    </row>
    <row r="1393" spans="1:15" x14ac:dyDescent="0.3">
      <c r="A1393" t="s">
        <v>1406</v>
      </c>
      <c r="B1393">
        <v>1</v>
      </c>
      <c r="C1393">
        <v>37</v>
      </c>
      <c r="D1393" t="s">
        <v>5016</v>
      </c>
      <c r="E1393" t="s">
        <v>5017</v>
      </c>
      <c r="F1393" t="s">
        <v>5021</v>
      </c>
      <c r="G1393">
        <v>16.329999999999998</v>
      </c>
      <c r="H1393">
        <v>1</v>
      </c>
      <c r="I1393">
        <v>3.6</v>
      </c>
      <c r="J1393">
        <v>9.42</v>
      </c>
      <c r="K1393">
        <v>42</v>
      </c>
      <c r="L1393" t="s">
        <v>5026</v>
      </c>
      <c r="M1393">
        <v>1</v>
      </c>
      <c r="N1393">
        <v>4</v>
      </c>
      <c r="O1393">
        <v>0</v>
      </c>
    </row>
    <row r="1394" spans="1:15" x14ac:dyDescent="0.3">
      <c r="A1394" t="s">
        <v>1407</v>
      </c>
      <c r="B1394">
        <v>2</v>
      </c>
      <c r="C1394">
        <v>63</v>
      </c>
      <c r="D1394" t="s">
        <v>5015</v>
      </c>
      <c r="E1394" t="s">
        <v>5018</v>
      </c>
      <c r="F1394" t="s">
        <v>5022</v>
      </c>
      <c r="G1394">
        <v>7.57</v>
      </c>
      <c r="H1394">
        <v>4</v>
      </c>
      <c r="I1394">
        <v>4.5999999999999996</v>
      </c>
      <c r="J1394">
        <v>16.989999999999998</v>
      </c>
      <c r="K1394">
        <v>61.5</v>
      </c>
      <c r="L1394" t="s">
        <v>5026</v>
      </c>
      <c r="M1394">
        <v>6</v>
      </c>
      <c r="N1394">
        <v>0</v>
      </c>
      <c r="O1394">
        <v>1</v>
      </c>
    </row>
    <row r="1395" spans="1:15" x14ac:dyDescent="0.3">
      <c r="A1395" t="s">
        <v>1408</v>
      </c>
      <c r="B1395">
        <v>3</v>
      </c>
      <c r="C1395">
        <v>20</v>
      </c>
      <c r="D1395" t="s">
        <v>5016</v>
      </c>
      <c r="E1395" t="s">
        <v>5017</v>
      </c>
      <c r="F1395" t="s">
        <v>5022</v>
      </c>
      <c r="G1395">
        <v>12.73</v>
      </c>
      <c r="H1395">
        <v>3</v>
      </c>
      <c r="I1395">
        <v>8.1999999999999993</v>
      </c>
      <c r="J1395">
        <v>10.45</v>
      </c>
      <c r="K1395">
        <v>79</v>
      </c>
      <c r="L1395" t="s">
        <v>5025</v>
      </c>
      <c r="M1395">
        <v>10</v>
      </c>
      <c r="N1395">
        <v>0</v>
      </c>
      <c r="O1395">
        <v>0</v>
      </c>
    </row>
    <row r="1396" spans="1:15" x14ac:dyDescent="0.3">
      <c r="A1396" t="s">
        <v>1409</v>
      </c>
      <c r="B1396">
        <v>1</v>
      </c>
      <c r="C1396">
        <v>18</v>
      </c>
      <c r="D1396" t="s">
        <v>5015</v>
      </c>
      <c r="E1396" t="s">
        <v>5018</v>
      </c>
      <c r="F1396" t="s">
        <v>5020</v>
      </c>
      <c r="G1396">
        <v>6.71</v>
      </c>
      <c r="H1396">
        <v>4</v>
      </c>
      <c r="I1396">
        <v>6.7</v>
      </c>
      <c r="J1396">
        <v>21.35</v>
      </c>
      <c r="K1396">
        <v>90.8</v>
      </c>
      <c r="L1396" t="s">
        <v>5025</v>
      </c>
      <c r="M1396">
        <v>9</v>
      </c>
      <c r="N1396">
        <v>4</v>
      </c>
      <c r="O1396">
        <v>1</v>
      </c>
    </row>
    <row r="1397" spans="1:15" x14ac:dyDescent="0.3">
      <c r="A1397" t="s">
        <v>1410</v>
      </c>
      <c r="B1397">
        <v>9</v>
      </c>
      <c r="C1397">
        <v>64</v>
      </c>
      <c r="D1397" t="s">
        <v>5015</v>
      </c>
      <c r="E1397" t="s">
        <v>5017</v>
      </c>
      <c r="F1397" t="s">
        <v>5022</v>
      </c>
      <c r="G1397">
        <v>17.760000000000002</v>
      </c>
      <c r="H1397">
        <v>2</v>
      </c>
      <c r="I1397">
        <v>3.8</v>
      </c>
      <c r="J1397">
        <v>4.21</v>
      </c>
      <c r="K1397">
        <v>88.5</v>
      </c>
      <c r="L1397" t="s">
        <v>5025</v>
      </c>
      <c r="M1397">
        <v>1</v>
      </c>
      <c r="N1397">
        <v>1</v>
      </c>
      <c r="O1397">
        <v>0</v>
      </c>
    </row>
    <row r="1398" spans="1:15" x14ac:dyDescent="0.3">
      <c r="A1398" t="s">
        <v>1411</v>
      </c>
      <c r="B1398">
        <v>8</v>
      </c>
      <c r="C1398">
        <v>18</v>
      </c>
      <c r="D1398" t="s">
        <v>5015</v>
      </c>
      <c r="E1398" t="s">
        <v>5018</v>
      </c>
      <c r="F1398" t="s">
        <v>5022</v>
      </c>
      <c r="G1398">
        <v>10.65</v>
      </c>
      <c r="H1398">
        <v>5</v>
      </c>
      <c r="I1398">
        <v>3</v>
      </c>
      <c r="J1398">
        <v>3.83</v>
      </c>
      <c r="K1398">
        <v>51.9</v>
      </c>
      <c r="L1398" t="s">
        <v>5027</v>
      </c>
      <c r="M1398">
        <v>2</v>
      </c>
      <c r="N1398">
        <v>4</v>
      </c>
      <c r="O1398">
        <v>0</v>
      </c>
    </row>
    <row r="1399" spans="1:15" x14ac:dyDescent="0.3">
      <c r="A1399" t="s">
        <v>1412</v>
      </c>
      <c r="B1399">
        <v>2</v>
      </c>
      <c r="C1399">
        <v>34</v>
      </c>
      <c r="D1399" t="s">
        <v>5016</v>
      </c>
      <c r="E1399" t="s">
        <v>5017</v>
      </c>
      <c r="F1399" t="s">
        <v>5021</v>
      </c>
      <c r="G1399">
        <v>22.32</v>
      </c>
      <c r="H1399">
        <v>3</v>
      </c>
      <c r="I1399">
        <v>9.6</v>
      </c>
      <c r="J1399">
        <v>5.24</v>
      </c>
      <c r="K1399">
        <v>91.6</v>
      </c>
      <c r="L1399" t="s">
        <v>5029</v>
      </c>
      <c r="M1399">
        <v>2</v>
      </c>
      <c r="N1399">
        <v>4</v>
      </c>
      <c r="O1399">
        <v>0</v>
      </c>
    </row>
    <row r="1400" spans="1:15" x14ac:dyDescent="0.3">
      <c r="A1400" t="s">
        <v>1413</v>
      </c>
      <c r="B1400">
        <v>9</v>
      </c>
      <c r="C1400">
        <v>19</v>
      </c>
      <c r="D1400" t="s">
        <v>5016</v>
      </c>
      <c r="E1400" t="s">
        <v>5018</v>
      </c>
      <c r="F1400" t="s">
        <v>5020</v>
      </c>
      <c r="G1400">
        <v>12.16</v>
      </c>
      <c r="H1400">
        <v>4</v>
      </c>
      <c r="I1400">
        <v>1.8</v>
      </c>
      <c r="J1400">
        <v>7.45</v>
      </c>
      <c r="K1400">
        <v>50</v>
      </c>
      <c r="L1400" t="s">
        <v>5027</v>
      </c>
      <c r="M1400">
        <v>10</v>
      </c>
      <c r="N1400">
        <v>4</v>
      </c>
      <c r="O1400">
        <v>0</v>
      </c>
    </row>
    <row r="1401" spans="1:15" x14ac:dyDescent="0.3">
      <c r="A1401" t="s">
        <v>1414</v>
      </c>
      <c r="B1401">
        <v>7</v>
      </c>
      <c r="C1401">
        <v>46</v>
      </c>
      <c r="D1401" t="s">
        <v>5016</v>
      </c>
      <c r="E1401" t="s">
        <v>5018</v>
      </c>
      <c r="F1401" t="s">
        <v>5024</v>
      </c>
      <c r="G1401">
        <v>14.89</v>
      </c>
      <c r="H1401">
        <v>4</v>
      </c>
      <c r="I1401">
        <v>1</v>
      </c>
      <c r="J1401">
        <v>3.83</v>
      </c>
      <c r="K1401">
        <v>91.3</v>
      </c>
      <c r="L1401" t="s">
        <v>5025</v>
      </c>
      <c r="M1401">
        <v>3</v>
      </c>
      <c r="N1401">
        <v>3</v>
      </c>
      <c r="O1401">
        <v>0</v>
      </c>
    </row>
    <row r="1402" spans="1:15" x14ac:dyDescent="0.3">
      <c r="A1402" t="s">
        <v>1415</v>
      </c>
      <c r="B1402">
        <v>9</v>
      </c>
      <c r="C1402">
        <v>37</v>
      </c>
      <c r="D1402" t="s">
        <v>5015</v>
      </c>
      <c r="E1402" t="s">
        <v>5018</v>
      </c>
      <c r="F1402" t="s">
        <v>5022</v>
      </c>
      <c r="G1402">
        <v>6.27</v>
      </c>
      <c r="H1402">
        <v>1</v>
      </c>
      <c r="I1402">
        <v>7.1</v>
      </c>
      <c r="J1402">
        <v>4.58</v>
      </c>
      <c r="K1402">
        <v>79.900000000000006</v>
      </c>
      <c r="L1402" t="s">
        <v>5025</v>
      </c>
      <c r="M1402">
        <v>4</v>
      </c>
      <c r="N1402">
        <v>1</v>
      </c>
      <c r="O1402">
        <v>0</v>
      </c>
    </row>
    <row r="1403" spans="1:15" x14ac:dyDescent="0.3">
      <c r="A1403" t="s">
        <v>1416</v>
      </c>
      <c r="B1403">
        <v>6</v>
      </c>
      <c r="C1403">
        <v>23</v>
      </c>
      <c r="D1403" t="s">
        <v>5015</v>
      </c>
      <c r="E1403" t="s">
        <v>5019</v>
      </c>
      <c r="F1403" t="s">
        <v>5022</v>
      </c>
      <c r="G1403">
        <v>10.51</v>
      </c>
      <c r="H1403">
        <v>2</v>
      </c>
      <c r="I1403">
        <v>6.5</v>
      </c>
      <c r="J1403">
        <v>9.73</v>
      </c>
      <c r="K1403">
        <v>29.9</v>
      </c>
      <c r="L1403" t="s">
        <v>5026</v>
      </c>
      <c r="M1403">
        <v>7</v>
      </c>
      <c r="N1403">
        <v>2</v>
      </c>
      <c r="O1403">
        <v>0</v>
      </c>
    </row>
    <row r="1404" spans="1:15" x14ac:dyDescent="0.3">
      <c r="A1404" t="s">
        <v>1417</v>
      </c>
      <c r="B1404">
        <v>6</v>
      </c>
      <c r="C1404">
        <v>25</v>
      </c>
      <c r="D1404" t="s">
        <v>5016</v>
      </c>
      <c r="E1404" t="s">
        <v>5019</v>
      </c>
      <c r="F1404" t="s">
        <v>5024</v>
      </c>
      <c r="G1404">
        <v>18.54</v>
      </c>
      <c r="H1404">
        <v>4</v>
      </c>
      <c r="I1404">
        <v>7.6</v>
      </c>
      <c r="J1404">
        <v>5.2</v>
      </c>
      <c r="K1404">
        <v>93.7</v>
      </c>
      <c r="L1404" t="s">
        <v>5027</v>
      </c>
      <c r="M1404">
        <v>3</v>
      </c>
      <c r="N1404">
        <v>0</v>
      </c>
      <c r="O1404">
        <v>1</v>
      </c>
    </row>
    <row r="1405" spans="1:15" x14ac:dyDescent="0.3">
      <c r="A1405" t="s">
        <v>1418</v>
      </c>
      <c r="B1405">
        <v>11</v>
      </c>
      <c r="C1405">
        <v>46</v>
      </c>
      <c r="D1405" t="s">
        <v>5016</v>
      </c>
      <c r="E1405" t="s">
        <v>5018</v>
      </c>
      <c r="F1405" t="s">
        <v>5021</v>
      </c>
      <c r="G1405">
        <v>19.73</v>
      </c>
      <c r="H1405">
        <v>1</v>
      </c>
      <c r="I1405">
        <v>7.6</v>
      </c>
      <c r="J1405">
        <v>20.65</v>
      </c>
      <c r="K1405">
        <v>31.8</v>
      </c>
      <c r="L1405" t="s">
        <v>5027</v>
      </c>
      <c r="M1405">
        <v>7</v>
      </c>
      <c r="N1405">
        <v>3</v>
      </c>
      <c r="O1405">
        <v>0</v>
      </c>
    </row>
    <row r="1406" spans="1:15" x14ac:dyDescent="0.3">
      <c r="A1406" t="s">
        <v>1419</v>
      </c>
      <c r="B1406">
        <v>4</v>
      </c>
      <c r="C1406">
        <v>65</v>
      </c>
      <c r="D1406" t="s">
        <v>5015</v>
      </c>
      <c r="E1406" t="s">
        <v>5017</v>
      </c>
      <c r="F1406" t="s">
        <v>5020</v>
      </c>
      <c r="G1406">
        <v>9.86</v>
      </c>
      <c r="H1406">
        <v>3</v>
      </c>
      <c r="I1406">
        <v>8.8000000000000007</v>
      </c>
      <c r="J1406">
        <v>4.1900000000000004</v>
      </c>
      <c r="K1406">
        <v>91.8</v>
      </c>
      <c r="L1406" t="s">
        <v>5029</v>
      </c>
      <c r="M1406">
        <v>5</v>
      </c>
      <c r="N1406">
        <v>1</v>
      </c>
      <c r="O1406">
        <v>1</v>
      </c>
    </row>
    <row r="1407" spans="1:15" x14ac:dyDescent="0.3">
      <c r="A1407" t="s">
        <v>1420</v>
      </c>
      <c r="B1407">
        <v>10</v>
      </c>
      <c r="C1407">
        <v>68</v>
      </c>
      <c r="D1407" t="s">
        <v>5016</v>
      </c>
      <c r="E1407" t="s">
        <v>5019</v>
      </c>
      <c r="F1407" t="s">
        <v>5021</v>
      </c>
      <c r="G1407">
        <v>15.08</v>
      </c>
      <c r="H1407">
        <v>4</v>
      </c>
      <c r="I1407">
        <v>9.3000000000000007</v>
      </c>
      <c r="J1407">
        <v>22.97</v>
      </c>
      <c r="K1407">
        <v>65.400000000000006</v>
      </c>
      <c r="L1407" t="s">
        <v>5027</v>
      </c>
      <c r="M1407">
        <v>5</v>
      </c>
      <c r="N1407">
        <v>4</v>
      </c>
      <c r="O1407">
        <v>0</v>
      </c>
    </row>
    <row r="1408" spans="1:15" x14ac:dyDescent="0.3">
      <c r="A1408" t="s">
        <v>1421</v>
      </c>
      <c r="B1408">
        <v>10</v>
      </c>
      <c r="C1408">
        <v>50</v>
      </c>
      <c r="D1408" t="s">
        <v>5015</v>
      </c>
      <c r="E1408" t="s">
        <v>5019</v>
      </c>
      <c r="F1408" t="s">
        <v>5023</v>
      </c>
      <c r="G1408">
        <v>21.35</v>
      </c>
      <c r="H1408">
        <v>1</v>
      </c>
      <c r="I1408">
        <v>8</v>
      </c>
      <c r="J1408">
        <v>22.16</v>
      </c>
      <c r="K1408">
        <v>70.099999999999994</v>
      </c>
      <c r="L1408" t="s">
        <v>5029</v>
      </c>
      <c r="M1408">
        <v>7</v>
      </c>
      <c r="N1408">
        <v>3</v>
      </c>
      <c r="O1408">
        <v>0</v>
      </c>
    </row>
    <row r="1409" spans="1:15" x14ac:dyDescent="0.3">
      <c r="A1409" t="s">
        <v>1422</v>
      </c>
      <c r="B1409">
        <v>2</v>
      </c>
      <c r="C1409">
        <v>20</v>
      </c>
      <c r="D1409" t="s">
        <v>5016</v>
      </c>
      <c r="E1409" t="s">
        <v>5019</v>
      </c>
      <c r="F1409" t="s">
        <v>5022</v>
      </c>
      <c r="G1409">
        <v>12.6</v>
      </c>
      <c r="H1409">
        <v>2</v>
      </c>
      <c r="I1409">
        <v>3.1</v>
      </c>
      <c r="J1409">
        <v>7.58</v>
      </c>
      <c r="K1409">
        <v>19.8</v>
      </c>
      <c r="L1409" t="s">
        <v>5028</v>
      </c>
      <c r="M1409">
        <v>7</v>
      </c>
      <c r="N1409">
        <v>3</v>
      </c>
      <c r="O1409">
        <v>0</v>
      </c>
    </row>
    <row r="1410" spans="1:15" x14ac:dyDescent="0.3">
      <c r="A1410" t="s">
        <v>1423</v>
      </c>
      <c r="B1410">
        <v>7</v>
      </c>
      <c r="C1410">
        <v>52</v>
      </c>
      <c r="D1410" t="s">
        <v>5015</v>
      </c>
      <c r="E1410" t="s">
        <v>5017</v>
      </c>
      <c r="F1410" t="s">
        <v>5023</v>
      </c>
      <c r="G1410">
        <v>7.68</v>
      </c>
      <c r="H1410">
        <v>5</v>
      </c>
      <c r="I1410">
        <v>5.2</v>
      </c>
      <c r="J1410">
        <v>4.57</v>
      </c>
      <c r="K1410">
        <v>15.9</v>
      </c>
      <c r="L1410" t="s">
        <v>5029</v>
      </c>
      <c r="M1410">
        <v>7</v>
      </c>
      <c r="N1410">
        <v>0</v>
      </c>
      <c r="O1410">
        <v>0</v>
      </c>
    </row>
    <row r="1411" spans="1:15" x14ac:dyDescent="0.3">
      <c r="A1411" t="s">
        <v>1424</v>
      </c>
      <c r="B1411">
        <v>5</v>
      </c>
      <c r="C1411">
        <v>22</v>
      </c>
      <c r="D1411" t="s">
        <v>5016</v>
      </c>
      <c r="E1411" t="s">
        <v>5019</v>
      </c>
      <c r="F1411" t="s">
        <v>5022</v>
      </c>
      <c r="G1411">
        <v>13.64</v>
      </c>
      <c r="H1411">
        <v>3</v>
      </c>
      <c r="I1411">
        <v>6.8</v>
      </c>
      <c r="J1411">
        <v>5.32</v>
      </c>
      <c r="K1411">
        <v>97.2</v>
      </c>
      <c r="L1411" t="s">
        <v>5025</v>
      </c>
      <c r="M1411">
        <v>9</v>
      </c>
      <c r="N1411">
        <v>2</v>
      </c>
      <c r="O1411">
        <v>0</v>
      </c>
    </row>
    <row r="1412" spans="1:15" x14ac:dyDescent="0.3">
      <c r="A1412" t="s">
        <v>1425</v>
      </c>
      <c r="B1412">
        <v>11</v>
      </c>
      <c r="C1412">
        <v>44</v>
      </c>
      <c r="D1412" t="s">
        <v>5016</v>
      </c>
      <c r="E1412" t="s">
        <v>5017</v>
      </c>
      <c r="F1412" t="s">
        <v>5023</v>
      </c>
      <c r="G1412">
        <v>17.010000000000002</v>
      </c>
      <c r="H1412">
        <v>4</v>
      </c>
      <c r="I1412">
        <v>5.9</v>
      </c>
      <c r="J1412">
        <v>15.3</v>
      </c>
      <c r="K1412">
        <v>40.299999999999997</v>
      </c>
      <c r="L1412" t="s">
        <v>5028</v>
      </c>
      <c r="M1412">
        <v>1</v>
      </c>
      <c r="N1412">
        <v>1</v>
      </c>
      <c r="O1412">
        <v>0</v>
      </c>
    </row>
    <row r="1413" spans="1:15" x14ac:dyDescent="0.3">
      <c r="A1413" t="s">
        <v>1426</v>
      </c>
      <c r="B1413">
        <v>6</v>
      </c>
      <c r="C1413">
        <v>61</v>
      </c>
      <c r="D1413" t="s">
        <v>5015</v>
      </c>
      <c r="E1413" t="s">
        <v>5019</v>
      </c>
      <c r="F1413" t="s">
        <v>5024</v>
      </c>
      <c r="G1413">
        <v>5.15</v>
      </c>
      <c r="H1413">
        <v>1</v>
      </c>
      <c r="I1413">
        <v>2.4</v>
      </c>
      <c r="J1413">
        <v>16.22</v>
      </c>
      <c r="K1413">
        <v>86</v>
      </c>
      <c r="L1413" t="s">
        <v>5026</v>
      </c>
      <c r="M1413">
        <v>1</v>
      </c>
      <c r="N1413">
        <v>1</v>
      </c>
      <c r="O1413">
        <v>0</v>
      </c>
    </row>
    <row r="1414" spans="1:15" x14ac:dyDescent="0.3">
      <c r="A1414" t="s">
        <v>1427</v>
      </c>
      <c r="B1414">
        <v>2</v>
      </c>
      <c r="C1414">
        <v>29</v>
      </c>
      <c r="D1414" t="s">
        <v>5015</v>
      </c>
      <c r="E1414" t="s">
        <v>5019</v>
      </c>
      <c r="F1414" t="s">
        <v>5022</v>
      </c>
      <c r="G1414">
        <v>11.97</v>
      </c>
      <c r="H1414">
        <v>4</v>
      </c>
      <c r="I1414">
        <v>6.3</v>
      </c>
      <c r="J1414">
        <v>9.94</v>
      </c>
      <c r="K1414">
        <v>73.400000000000006</v>
      </c>
      <c r="L1414" t="s">
        <v>5026</v>
      </c>
      <c r="M1414">
        <v>3</v>
      </c>
      <c r="N1414">
        <v>1</v>
      </c>
      <c r="O1414">
        <v>0</v>
      </c>
    </row>
    <row r="1415" spans="1:15" x14ac:dyDescent="0.3">
      <c r="A1415" t="s">
        <v>1428</v>
      </c>
      <c r="B1415">
        <v>5</v>
      </c>
      <c r="C1415">
        <v>37</v>
      </c>
      <c r="D1415" t="s">
        <v>5015</v>
      </c>
      <c r="E1415" t="s">
        <v>5017</v>
      </c>
      <c r="F1415" t="s">
        <v>5022</v>
      </c>
      <c r="G1415">
        <v>17.149999999999999</v>
      </c>
      <c r="H1415">
        <v>5</v>
      </c>
      <c r="I1415">
        <v>9</v>
      </c>
      <c r="J1415">
        <v>9.5299999999999994</v>
      </c>
      <c r="K1415">
        <v>64.400000000000006</v>
      </c>
      <c r="L1415" t="s">
        <v>5026</v>
      </c>
      <c r="M1415">
        <v>6</v>
      </c>
      <c r="N1415">
        <v>4</v>
      </c>
      <c r="O1415">
        <v>0</v>
      </c>
    </row>
    <row r="1416" spans="1:15" x14ac:dyDescent="0.3">
      <c r="A1416" t="s">
        <v>1429</v>
      </c>
      <c r="B1416">
        <v>10</v>
      </c>
      <c r="C1416">
        <v>62</v>
      </c>
      <c r="D1416" t="s">
        <v>5016</v>
      </c>
      <c r="E1416" t="s">
        <v>5019</v>
      </c>
      <c r="F1416" t="s">
        <v>5023</v>
      </c>
      <c r="G1416">
        <v>24.04</v>
      </c>
      <c r="H1416">
        <v>4</v>
      </c>
      <c r="I1416">
        <v>4.8</v>
      </c>
      <c r="J1416">
        <v>14.69</v>
      </c>
      <c r="K1416">
        <v>71.7</v>
      </c>
      <c r="L1416" t="s">
        <v>5025</v>
      </c>
      <c r="M1416">
        <v>2</v>
      </c>
      <c r="N1416">
        <v>4</v>
      </c>
      <c r="O1416">
        <v>1</v>
      </c>
    </row>
    <row r="1417" spans="1:15" x14ac:dyDescent="0.3">
      <c r="A1417" t="s">
        <v>1430</v>
      </c>
      <c r="B1417">
        <v>4</v>
      </c>
      <c r="C1417">
        <v>37</v>
      </c>
      <c r="D1417" t="s">
        <v>5015</v>
      </c>
      <c r="E1417" t="s">
        <v>5018</v>
      </c>
      <c r="F1417" t="s">
        <v>5020</v>
      </c>
      <c r="G1417">
        <v>13.17</v>
      </c>
      <c r="H1417">
        <v>4</v>
      </c>
      <c r="I1417">
        <v>7</v>
      </c>
      <c r="J1417">
        <v>9.7200000000000006</v>
      </c>
      <c r="K1417">
        <v>18</v>
      </c>
      <c r="L1417" t="s">
        <v>5026</v>
      </c>
      <c r="M1417">
        <v>9</v>
      </c>
      <c r="N1417">
        <v>3</v>
      </c>
      <c r="O1417">
        <v>1</v>
      </c>
    </row>
    <row r="1418" spans="1:15" x14ac:dyDescent="0.3">
      <c r="A1418" t="s">
        <v>1431</v>
      </c>
      <c r="B1418">
        <v>9</v>
      </c>
      <c r="C1418">
        <v>26</v>
      </c>
      <c r="D1418" t="s">
        <v>5015</v>
      </c>
      <c r="E1418" t="s">
        <v>5019</v>
      </c>
      <c r="F1418" t="s">
        <v>5023</v>
      </c>
      <c r="G1418">
        <v>8.26</v>
      </c>
      <c r="H1418">
        <v>1</v>
      </c>
      <c r="I1418">
        <v>6.5</v>
      </c>
      <c r="J1418">
        <v>23.56</v>
      </c>
      <c r="K1418">
        <v>47.1</v>
      </c>
      <c r="L1418" t="s">
        <v>5029</v>
      </c>
      <c r="M1418">
        <v>1</v>
      </c>
      <c r="N1418">
        <v>2</v>
      </c>
      <c r="O1418">
        <v>0</v>
      </c>
    </row>
    <row r="1419" spans="1:15" x14ac:dyDescent="0.3">
      <c r="A1419" t="s">
        <v>1432</v>
      </c>
      <c r="B1419">
        <v>6</v>
      </c>
      <c r="C1419">
        <v>56</v>
      </c>
      <c r="D1419" t="s">
        <v>5016</v>
      </c>
      <c r="E1419" t="s">
        <v>5017</v>
      </c>
      <c r="F1419" t="s">
        <v>5022</v>
      </c>
      <c r="G1419">
        <v>15.68</v>
      </c>
      <c r="H1419">
        <v>5</v>
      </c>
      <c r="I1419">
        <v>4.4000000000000004</v>
      </c>
      <c r="J1419">
        <v>11.42</v>
      </c>
      <c r="K1419">
        <v>64.599999999999994</v>
      </c>
      <c r="L1419" t="s">
        <v>5025</v>
      </c>
      <c r="M1419">
        <v>5</v>
      </c>
      <c r="N1419">
        <v>0</v>
      </c>
      <c r="O1419">
        <v>0</v>
      </c>
    </row>
    <row r="1420" spans="1:15" x14ac:dyDescent="0.3">
      <c r="A1420" t="s">
        <v>1433</v>
      </c>
      <c r="B1420">
        <v>2</v>
      </c>
      <c r="C1420">
        <v>21</v>
      </c>
      <c r="D1420" t="s">
        <v>5015</v>
      </c>
      <c r="E1420" t="s">
        <v>5019</v>
      </c>
      <c r="F1420" t="s">
        <v>5022</v>
      </c>
      <c r="G1420">
        <v>10.72</v>
      </c>
      <c r="H1420">
        <v>3</v>
      </c>
      <c r="I1420">
        <v>6.1</v>
      </c>
      <c r="J1420">
        <v>7.84</v>
      </c>
      <c r="K1420">
        <v>88.1</v>
      </c>
      <c r="L1420" t="s">
        <v>5027</v>
      </c>
      <c r="M1420">
        <v>7</v>
      </c>
      <c r="N1420">
        <v>0</v>
      </c>
      <c r="O1420">
        <v>0</v>
      </c>
    </row>
    <row r="1421" spans="1:15" x14ac:dyDescent="0.3">
      <c r="A1421" t="s">
        <v>1434</v>
      </c>
      <c r="B1421">
        <v>1</v>
      </c>
      <c r="C1421">
        <v>68</v>
      </c>
      <c r="D1421" t="s">
        <v>5015</v>
      </c>
      <c r="E1421" t="s">
        <v>5017</v>
      </c>
      <c r="F1421" t="s">
        <v>5020</v>
      </c>
      <c r="G1421">
        <v>9.3000000000000007</v>
      </c>
      <c r="H1421">
        <v>1</v>
      </c>
      <c r="I1421">
        <v>2.9</v>
      </c>
      <c r="J1421">
        <v>6.21</v>
      </c>
      <c r="K1421">
        <v>74.3</v>
      </c>
      <c r="L1421" t="s">
        <v>5025</v>
      </c>
      <c r="M1421">
        <v>10</v>
      </c>
      <c r="N1421">
        <v>2</v>
      </c>
      <c r="O1421">
        <v>0</v>
      </c>
    </row>
    <row r="1422" spans="1:15" x14ac:dyDescent="0.3">
      <c r="A1422" t="s">
        <v>1435</v>
      </c>
      <c r="B1422">
        <v>5</v>
      </c>
      <c r="C1422">
        <v>36</v>
      </c>
      <c r="D1422" t="s">
        <v>5015</v>
      </c>
      <c r="E1422" t="s">
        <v>5019</v>
      </c>
      <c r="F1422" t="s">
        <v>5021</v>
      </c>
      <c r="G1422">
        <v>16.809999999999999</v>
      </c>
      <c r="H1422">
        <v>5</v>
      </c>
      <c r="I1422">
        <v>5.9</v>
      </c>
      <c r="J1422">
        <v>16.899999999999999</v>
      </c>
      <c r="K1422">
        <v>32.799999999999997</v>
      </c>
      <c r="L1422" t="s">
        <v>5025</v>
      </c>
      <c r="M1422">
        <v>3</v>
      </c>
      <c r="N1422">
        <v>1</v>
      </c>
      <c r="O1422">
        <v>0</v>
      </c>
    </row>
    <row r="1423" spans="1:15" x14ac:dyDescent="0.3">
      <c r="A1423" t="s">
        <v>1436</v>
      </c>
      <c r="B1423">
        <v>9</v>
      </c>
      <c r="C1423">
        <v>55</v>
      </c>
      <c r="D1423" t="s">
        <v>5016</v>
      </c>
      <c r="E1423" t="s">
        <v>5018</v>
      </c>
      <c r="F1423" t="s">
        <v>5020</v>
      </c>
      <c r="G1423">
        <v>23.32</v>
      </c>
      <c r="H1423">
        <v>5</v>
      </c>
      <c r="I1423">
        <v>8.1999999999999993</v>
      </c>
      <c r="J1423">
        <v>10.19</v>
      </c>
      <c r="K1423">
        <v>98.6</v>
      </c>
      <c r="L1423" t="s">
        <v>5027</v>
      </c>
      <c r="M1423">
        <v>2</v>
      </c>
      <c r="N1423">
        <v>2</v>
      </c>
      <c r="O1423">
        <v>0</v>
      </c>
    </row>
    <row r="1424" spans="1:15" x14ac:dyDescent="0.3">
      <c r="A1424" t="s">
        <v>1437</v>
      </c>
      <c r="B1424">
        <v>6</v>
      </c>
      <c r="C1424">
        <v>44</v>
      </c>
      <c r="D1424" t="s">
        <v>5016</v>
      </c>
      <c r="E1424" t="s">
        <v>5018</v>
      </c>
      <c r="F1424" t="s">
        <v>5021</v>
      </c>
      <c r="G1424">
        <v>21.7</v>
      </c>
      <c r="H1424">
        <v>4</v>
      </c>
      <c r="I1424">
        <v>7.8</v>
      </c>
      <c r="J1424">
        <v>7.15</v>
      </c>
      <c r="K1424">
        <v>67.900000000000006</v>
      </c>
      <c r="L1424" t="s">
        <v>5029</v>
      </c>
      <c r="M1424">
        <v>3</v>
      </c>
      <c r="N1424">
        <v>0</v>
      </c>
      <c r="O1424">
        <v>0</v>
      </c>
    </row>
    <row r="1425" spans="1:15" x14ac:dyDescent="0.3">
      <c r="A1425" t="s">
        <v>1438</v>
      </c>
      <c r="B1425">
        <v>10</v>
      </c>
      <c r="C1425">
        <v>62</v>
      </c>
      <c r="D1425" t="s">
        <v>5016</v>
      </c>
      <c r="E1425" t="s">
        <v>5017</v>
      </c>
      <c r="F1425" t="s">
        <v>5022</v>
      </c>
      <c r="G1425">
        <v>8.65</v>
      </c>
      <c r="H1425">
        <v>2</v>
      </c>
      <c r="I1425">
        <v>4.2</v>
      </c>
      <c r="J1425">
        <v>9.07</v>
      </c>
      <c r="K1425">
        <v>55.1</v>
      </c>
      <c r="L1425" t="s">
        <v>5028</v>
      </c>
      <c r="M1425">
        <v>7</v>
      </c>
      <c r="N1425">
        <v>4</v>
      </c>
      <c r="O1425">
        <v>1</v>
      </c>
    </row>
    <row r="1426" spans="1:15" x14ac:dyDescent="0.3">
      <c r="A1426" t="s">
        <v>1439</v>
      </c>
      <c r="B1426">
        <v>12</v>
      </c>
      <c r="C1426">
        <v>60</v>
      </c>
      <c r="D1426" t="s">
        <v>5015</v>
      </c>
      <c r="E1426" t="s">
        <v>5019</v>
      </c>
      <c r="F1426" t="s">
        <v>5024</v>
      </c>
      <c r="G1426">
        <v>20.32</v>
      </c>
      <c r="H1426">
        <v>2</v>
      </c>
      <c r="I1426">
        <v>2</v>
      </c>
      <c r="J1426">
        <v>9.77</v>
      </c>
      <c r="K1426">
        <v>80.3</v>
      </c>
      <c r="L1426" t="s">
        <v>5027</v>
      </c>
      <c r="M1426">
        <v>1</v>
      </c>
      <c r="N1426">
        <v>2</v>
      </c>
      <c r="O1426">
        <v>1</v>
      </c>
    </row>
    <row r="1427" spans="1:15" x14ac:dyDescent="0.3">
      <c r="A1427" t="s">
        <v>1440</v>
      </c>
      <c r="B1427">
        <v>7</v>
      </c>
      <c r="C1427">
        <v>30</v>
      </c>
      <c r="D1427" t="s">
        <v>5016</v>
      </c>
      <c r="E1427" t="s">
        <v>5017</v>
      </c>
      <c r="F1427" t="s">
        <v>5024</v>
      </c>
      <c r="G1427">
        <v>9.6</v>
      </c>
      <c r="H1427">
        <v>3</v>
      </c>
      <c r="I1427">
        <v>8.1999999999999993</v>
      </c>
      <c r="J1427">
        <v>16.77</v>
      </c>
      <c r="K1427">
        <v>64.2</v>
      </c>
      <c r="L1427" t="s">
        <v>5025</v>
      </c>
      <c r="M1427">
        <v>8</v>
      </c>
      <c r="N1427">
        <v>3</v>
      </c>
      <c r="O1427">
        <v>0</v>
      </c>
    </row>
    <row r="1428" spans="1:15" x14ac:dyDescent="0.3">
      <c r="A1428" t="s">
        <v>1441</v>
      </c>
      <c r="B1428">
        <v>5</v>
      </c>
      <c r="C1428">
        <v>30</v>
      </c>
      <c r="D1428" t="s">
        <v>5015</v>
      </c>
      <c r="E1428" t="s">
        <v>5018</v>
      </c>
      <c r="F1428" t="s">
        <v>5023</v>
      </c>
      <c r="G1428">
        <v>10.81</v>
      </c>
      <c r="H1428">
        <v>4</v>
      </c>
      <c r="I1428">
        <v>3.4</v>
      </c>
      <c r="J1428">
        <v>6.84</v>
      </c>
      <c r="K1428">
        <v>73.900000000000006</v>
      </c>
      <c r="L1428" t="s">
        <v>5026</v>
      </c>
      <c r="M1428">
        <v>3</v>
      </c>
      <c r="N1428">
        <v>4</v>
      </c>
      <c r="O1428">
        <v>0</v>
      </c>
    </row>
    <row r="1429" spans="1:15" x14ac:dyDescent="0.3">
      <c r="A1429" t="s">
        <v>1442</v>
      </c>
      <c r="B1429">
        <v>10</v>
      </c>
      <c r="C1429">
        <v>39</v>
      </c>
      <c r="D1429" t="s">
        <v>5015</v>
      </c>
      <c r="E1429" t="s">
        <v>5017</v>
      </c>
      <c r="F1429" t="s">
        <v>5020</v>
      </c>
      <c r="G1429">
        <v>23.4</v>
      </c>
      <c r="H1429">
        <v>2</v>
      </c>
      <c r="I1429">
        <v>1.5</v>
      </c>
      <c r="J1429">
        <v>19.12</v>
      </c>
      <c r="K1429">
        <v>65.5</v>
      </c>
      <c r="L1429" t="s">
        <v>5027</v>
      </c>
      <c r="M1429">
        <v>5</v>
      </c>
      <c r="N1429">
        <v>3</v>
      </c>
      <c r="O1429">
        <v>1</v>
      </c>
    </row>
    <row r="1430" spans="1:15" x14ac:dyDescent="0.3">
      <c r="A1430" t="s">
        <v>1443</v>
      </c>
      <c r="B1430">
        <v>6</v>
      </c>
      <c r="C1430">
        <v>45</v>
      </c>
      <c r="D1430" t="s">
        <v>5015</v>
      </c>
      <c r="E1430" t="s">
        <v>5019</v>
      </c>
      <c r="F1430" t="s">
        <v>5020</v>
      </c>
      <c r="G1430">
        <v>23.22</v>
      </c>
      <c r="H1430">
        <v>1</v>
      </c>
      <c r="I1430">
        <v>5</v>
      </c>
      <c r="J1430">
        <v>9.7100000000000009</v>
      </c>
      <c r="K1430">
        <v>26.1</v>
      </c>
      <c r="L1430" t="s">
        <v>5027</v>
      </c>
      <c r="M1430">
        <v>10</v>
      </c>
      <c r="N1430">
        <v>3</v>
      </c>
      <c r="O1430">
        <v>0</v>
      </c>
    </row>
    <row r="1431" spans="1:15" x14ac:dyDescent="0.3">
      <c r="A1431" t="s">
        <v>1444</v>
      </c>
      <c r="B1431">
        <v>5</v>
      </c>
      <c r="C1431">
        <v>69</v>
      </c>
      <c r="D1431" t="s">
        <v>5016</v>
      </c>
      <c r="E1431" t="s">
        <v>5017</v>
      </c>
      <c r="F1431" t="s">
        <v>5024</v>
      </c>
      <c r="G1431">
        <v>8.3699999999999992</v>
      </c>
      <c r="H1431">
        <v>3</v>
      </c>
      <c r="I1431">
        <v>7.7</v>
      </c>
      <c r="J1431">
        <v>13.74</v>
      </c>
      <c r="K1431">
        <v>58.9</v>
      </c>
      <c r="L1431" t="s">
        <v>5028</v>
      </c>
      <c r="M1431">
        <v>11</v>
      </c>
      <c r="N1431">
        <v>2</v>
      </c>
      <c r="O1431">
        <v>0</v>
      </c>
    </row>
    <row r="1432" spans="1:15" x14ac:dyDescent="0.3">
      <c r="A1432" t="s">
        <v>1445</v>
      </c>
      <c r="B1432">
        <v>11</v>
      </c>
      <c r="C1432">
        <v>64</v>
      </c>
      <c r="D1432" t="s">
        <v>5016</v>
      </c>
      <c r="E1432" t="s">
        <v>5017</v>
      </c>
      <c r="F1432" t="s">
        <v>5021</v>
      </c>
      <c r="G1432">
        <v>6.28</v>
      </c>
      <c r="H1432">
        <v>4</v>
      </c>
      <c r="I1432">
        <v>8.3000000000000007</v>
      </c>
      <c r="J1432">
        <v>17.41</v>
      </c>
      <c r="K1432">
        <v>35.5</v>
      </c>
      <c r="L1432" t="s">
        <v>5025</v>
      </c>
      <c r="M1432">
        <v>5</v>
      </c>
      <c r="N1432">
        <v>3</v>
      </c>
      <c r="O1432">
        <v>1</v>
      </c>
    </row>
    <row r="1433" spans="1:15" x14ac:dyDescent="0.3">
      <c r="A1433" t="s">
        <v>1446</v>
      </c>
      <c r="B1433">
        <v>9</v>
      </c>
      <c r="C1433">
        <v>62</v>
      </c>
      <c r="D1433" t="s">
        <v>5015</v>
      </c>
      <c r="E1433" t="s">
        <v>5017</v>
      </c>
      <c r="F1433" t="s">
        <v>5020</v>
      </c>
      <c r="G1433">
        <v>10.86</v>
      </c>
      <c r="H1433">
        <v>1</v>
      </c>
      <c r="I1433">
        <v>9.8000000000000007</v>
      </c>
      <c r="J1433">
        <v>14.96</v>
      </c>
      <c r="K1433">
        <v>61.3</v>
      </c>
      <c r="L1433" t="s">
        <v>5026</v>
      </c>
      <c r="M1433">
        <v>6</v>
      </c>
      <c r="N1433">
        <v>1</v>
      </c>
      <c r="O1433">
        <v>0</v>
      </c>
    </row>
    <row r="1434" spans="1:15" x14ac:dyDescent="0.3">
      <c r="A1434" t="s">
        <v>1447</v>
      </c>
      <c r="B1434">
        <v>6</v>
      </c>
      <c r="C1434">
        <v>39</v>
      </c>
      <c r="D1434" t="s">
        <v>5015</v>
      </c>
      <c r="E1434" t="s">
        <v>5018</v>
      </c>
      <c r="F1434" t="s">
        <v>5021</v>
      </c>
      <c r="G1434">
        <v>16.64</v>
      </c>
      <c r="H1434">
        <v>2</v>
      </c>
      <c r="I1434">
        <v>2.7</v>
      </c>
      <c r="J1434">
        <v>17.57</v>
      </c>
      <c r="K1434">
        <v>21.3</v>
      </c>
      <c r="L1434" t="s">
        <v>5026</v>
      </c>
      <c r="M1434">
        <v>7</v>
      </c>
      <c r="N1434">
        <v>2</v>
      </c>
      <c r="O1434">
        <v>0</v>
      </c>
    </row>
    <row r="1435" spans="1:15" x14ac:dyDescent="0.3">
      <c r="A1435" t="s">
        <v>1448</v>
      </c>
      <c r="B1435">
        <v>11</v>
      </c>
      <c r="C1435">
        <v>60</v>
      </c>
      <c r="D1435" t="s">
        <v>5016</v>
      </c>
      <c r="E1435" t="s">
        <v>5017</v>
      </c>
      <c r="F1435" t="s">
        <v>5021</v>
      </c>
      <c r="G1435">
        <v>22.54</v>
      </c>
      <c r="H1435">
        <v>2</v>
      </c>
      <c r="I1435">
        <v>3.6</v>
      </c>
      <c r="J1435">
        <v>10.1</v>
      </c>
      <c r="K1435">
        <v>30.9</v>
      </c>
      <c r="L1435" t="s">
        <v>5028</v>
      </c>
      <c r="M1435">
        <v>11</v>
      </c>
      <c r="N1435">
        <v>0</v>
      </c>
      <c r="O1435">
        <v>1</v>
      </c>
    </row>
    <row r="1436" spans="1:15" x14ac:dyDescent="0.3">
      <c r="A1436" t="s">
        <v>1449</v>
      </c>
      <c r="B1436">
        <v>8</v>
      </c>
      <c r="C1436">
        <v>36</v>
      </c>
      <c r="D1436" t="s">
        <v>5016</v>
      </c>
      <c r="E1436" t="s">
        <v>5018</v>
      </c>
      <c r="F1436" t="s">
        <v>5021</v>
      </c>
      <c r="G1436">
        <v>7.38</v>
      </c>
      <c r="H1436">
        <v>2</v>
      </c>
      <c r="I1436">
        <v>6.5</v>
      </c>
      <c r="J1436">
        <v>24.2</v>
      </c>
      <c r="K1436">
        <v>82.8</v>
      </c>
      <c r="L1436" t="s">
        <v>5026</v>
      </c>
      <c r="M1436">
        <v>1</v>
      </c>
      <c r="N1436">
        <v>1</v>
      </c>
      <c r="O1436">
        <v>1</v>
      </c>
    </row>
    <row r="1437" spans="1:15" x14ac:dyDescent="0.3">
      <c r="A1437" t="s">
        <v>1450</v>
      </c>
      <c r="B1437">
        <v>2</v>
      </c>
      <c r="C1437">
        <v>25</v>
      </c>
      <c r="D1437" t="s">
        <v>5016</v>
      </c>
      <c r="E1437" t="s">
        <v>5019</v>
      </c>
      <c r="F1437" t="s">
        <v>5021</v>
      </c>
      <c r="G1437">
        <v>13.3</v>
      </c>
      <c r="H1437">
        <v>2</v>
      </c>
      <c r="I1437">
        <v>8.3000000000000007</v>
      </c>
      <c r="J1437">
        <v>13.1</v>
      </c>
      <c r="K1437">
        <v>46.5</v>
      </c>
      <c r="L1437" t="s">
        <v>5029</v>
      </c>
      <c r="M1437">
        <v>6</v>
      </c>
      <c r="N1437">
        <v>4</v>
      </c>
      <c r="O1437">
        <v>0</v>
      </c>
    </row>
    <row r="1438" spans="1:15" x14ac:dyDescent="0.3">
      <c r="A1438" t="s">
        <v>1451</v>
      </c>
      <c r="B1438">
        <v>12</v>
      </c>
      <c r="C1438">
        <v>69</v>
      </c>
      <c r="D1438" t="s">
        <v>5015</v>
      </c>
      <c r="E1438" t="s">
        <v>5019</v>
      </c>
      <c r="F1438" t="s">
        <v>5023</v>
      </c>
      <c r="G1438">
        <v>10.43</v>
      </c>
      <c r="H1438">
        <v>5</v>
      </c>
      <c r="I1438">
        <v>3.1</v>
      </c>
      <c r="J1438">
        <v>10.08</v>
      </c>
      <c r="K1438">
        <v>70.599999999999994</v>
      </c>
      <c r="L1438" t="s">
        <v>5027</v>
      </c>
      <c r="M1438">
        <v>2</v>
      </c>
      <c r="N1438">
        <v>2</v>
      </c>
      <c r="O1438">
        <v>1</v>
      </c>
    </row>
    <row r="1439" spans="1:15" x14ac:dyDescent="0.3">
      <c r="A1439" t="s">
        <v>1452</v>
      </c>
      <c r="B1439">
        <v>9</v>
      </c>
      <c r="C1439">
        <v>25</v>
      </c>
      <c r="D1439" t="s">
        <v>5016</v>
      </c>
      <c r="E1439" t="s">
        <v>5018</v>
      </c>
      <c r="F1439" t="s">
        <v>5023</v>
      </c>
      <c r="G1439">
        <v>5.3</v>
      </c>
      <c r="H1439">
        <v>3</v>
      </c>
      <c r="I1439">
        <v>4.7</v>
      </c>
      <c r="J1439">
        <v>9.52</v>
      </c>
      <c r="K1439">
        <v>54.8</v>
      </c>
      <c r="L1439" t="s">
        <v>5027</v>
      </c>
      <c r="M1439">
        <v>10</v>
      </c>
      <c r="N1439">
        <v>0</v>
      </c>
      <c r="O1439">
        <v>0</v>
      </c>
    </row>
    <row r="1440" spans="1:15" x14ac:dyDescent="0.3">
      <c r="A1440" t="s">
        <v>1453</v>
      </c>
      <c r="B1440">
        <v>5</v>
      </c>
      <c r="C1440">
        <v>59</v>
      </c>
      <c r="D1440" t="s">
        <v>5016</v>
      </c>
      <c r="E1440" t="s">
        <v>5017</v>
      </c>
      <c r="F1440" t="s">
        <v>5024</v>
      </c>
      <c r="G1440">
        <v>20.77</v>
      </c>
      <c r="H1440">
        <v>3</v>
      </c>
      <c r="I1440">
        <v>4.7</v>
      </c>
      <c r="J1440">
        <v>3.94</v>
      </c>
      <c r="K1440">
        <v>40.700000000000003</v>
      </c>
      <c r="L1440" t="s">
        <v>5026</v>
      </c>
      <c r="M1440">
        <v>3</v>
      </c>
      <c r="N1440">
        <v>0</v>
      </c>
      <c r="O1440">
        <v>0</v>
      </c>
    </row>
    <row r="1441" spans="1:15" x14ac:dyDescent="0.3">
      <c r="A1441" t="s">
        <v>1454</v>
      </c>
      <c r="B1441">
        <v>7</v>
      </c>
      <c r="C1441">
        <v>43</v>
      </c>
      <c r="D1441" t="s">
        <v>5016</v>
      </c>
      <c r="E1441" t="s">
        <v>5018</v>
      </c>
      <c r="F1441" t="s">
        <v>5023</v>
      </c>
      <c r="G1441">
        <v>21.27</v>
      </c>
      <c r="H1441">
        <v>2</v>
      </c>
      <c r="I1441">
        <v>8</v>
      </c>
      <c r="J1441">
        <v>18.07</v>
      </c>
      <c r="K1441">
        <v>54.6</v>
      </c>
      <c r="L1441" t="s">
        <v>5026</v>
      </c>
      <c r="M1441">
        <v>5</v>
      </c>
      <c r="N1441">
        <v>2</v>
      </c>
      <c r="O1441">
        <v>0</v>
      </c>
    </row>
    <row r="1442" spans="1:15" x14ac:dyDescent="0.3">
      <c r="A1442" t="s">
        <v>1455</v>
      </c>
      <c r="B1442">
        <v>10</v>
      </c>
      <c r="C1442">
        <v>65</v>
      </c>
      <c r="D1442" t="s">
        <v>5015</v>
      </c>
      <c r="E1442" t="s">
        <v>5017</v>
      </c>
      <c r="F1442" t="s">
        <v>5020</v>
      </c>
      <c r="G1442">
        <v>9.42</v>
      </c>
      <c r="H1442">
        <v>3</v>
      </c>
      <c r="I1442">
        <v>3.2</v>
      </c>
      <c r="J1442">
        <v>8.7799999999999994</v>
      </c>
      <c r="K1442">
        <v>83.2</v>
      </c>
      <c r="L1442" t="s">
        <v>5026</v>
      </c>
      <c r="M1442">
        <v>1</v>
      </c>
      <c r="N1442">
        <v>1</v>
      </c>
      <c r="O1442">
        <v>1</v>
      </c>
    </row>
    <row r="1443" spans="1:15" x14ac:dyDescent="0.3">
      <c r="A1443" t="s">
        <v>1456</v>
      </c>
      <c r="B1443">
        <v>1</v>
      </c>
      <c r="C1443">
        <v>68</v>
      </c>
      <c r="D1443" t="s">
        <v>5016</v>
      </c>
      <c r="E1443" t="s">
        <v>5019</v>
      </c>
      <c r="F1443" t="s">
        <v>5023</v>
      </c>
      <c r="G1443">
        <v>8.02</v>
      </c>
      <c r="H1443">
        <v>1</v>
      </c>
      <c r="I1443">
        <v>9.6999999999999993</v>
      </c>
      <c r="J1443">
        <v>24.1</v>
      </c>
      <c r="K1443">
        <v>35.299999999999997</v>
      </c>
      <c r="L1443" t="s">
        <v>5027</v>
      </c>
      <c r="M1443">
        <v>7</v>
      </c>
      <c r="N1443">
        <v>0</v>
      </c>
      <c r="O1443">
        <v>1</v>
      </c>
    </row>
    <row r="1444" spans="1:15" x14ac:dyDescent="0.3">
      <c r="A1444" t="s">
        <v>1457</v>
      </c>
      <c r="B1444">
        <v>10</v>
      </c>
      <c r="C1444">
        <v>43</v>
      </c>
      <c r="D1444" t="s">
        <v>5015</v>
      </c>
      <c r="E1444" t="s">
        <v>5017</v>
      </c>
      <c r="F1444" t="s">
        <v>5020</v>
      </c>
      <c r="G1444">
        <v>7.89</v>
      </c>
      <c r="H1444">
        <v>1</v>
      </c>
      <c r="I1444">
        <v>5.6</v>
      </c>
      <c r="J1444">
        <v>7.63</v>
      </c>
      <c r="K1444">
        <v>47.9</v>
      </c>
      <c r="L1444" t="s">
        <v>5026</v>
      </c>
      <c r="M1444">
        <v>1</v>
      </c>
      <c r="N1444">
        <v>2</v>
      </c>
      <c r="O1444">
        <v>0</v>
      </c>
    </row>
    <row r="1445" spans="1:15" x14ac:dyDescent="0.3">
      <c r="A1445" t="s">
        <v>1458</v>
      </c>
      <c r="B1445">
        <v>5</v>
      </c>
      <c r="C1445">
        <v>40</v>
      </c>
      <c r="D1445" t="s">
        <v>5015</v>
      </c>
      <c r="E1445" t="s">
        <v>5018</v>
      </c>
      <c r="F1445" t="s">
        <v>5020</v>
      </c>
      <c r="G1445">
        <v>14.28</v>
      </c>
      <c r="H1445">
        <v>3</v>
      </c>
      <c r="I1445">
        <v>3.5</v>
      </c>
      <c r="J1445">
        <v>14.65</v>
      </c>
      <c r="K1445">
        <v>28.2</v>
      </c>
      <c r="L1445" t="s">
        <v>5029</v>
      </c>
      <c r="M1445">
        <v>8</v>
      </c>
      <c r="N1445">
        <v>2</v>
      </c>
      <c r="O1445">
        <v>1</v>
      </c>
    </row>
    <row r="1446" spans="1:15" x14ac:dyDescent="0.3">
      <c r="A1446" t="s">
        <v>1459</v>
      </c>
      <c r="B1446">
        <v>12</v>
      </c>
      <c r="C1446">
        <v>60</v>
      </c>
      <c r="D1446" t="s">
        <v>5015</v>
      </c>
      <c r="E1446" t="s">
        <v>5018</v>
      </c>
      <c r="F1446" t="s">
        <v>5021</v>
      </c>
      <c r="G1446">
        <v>9.93</v>
      </c>
      <c r="H1446">
        <v>2</v>
      </c>
      <c r="I1446">
        <v>3.6</v>
      </c>
      <c r="J1446">
        <v>19.18</v>
      </c>
      <c r="K1446">
        <v>41.6</v>
      </c>
      <c r="L1446" t="s">
        <v>5029</v>
      </c>
      <c r="M1446">
        <v>11</v>
      </c>
      <c r="N1446">
        <v>3</v>
      </c>
      <c r="O1446">
        <v>1</v>
      </c>
    </row>
    <row r="1447" spans="1:15" x14ac:dyDescent="0.3">
      <c r="A1447" t="s">
        <v>1460</v>
      </c>
      <c r="B1447">
        <v>10</v>
      </c>
      <c r="C1447">
        <v>30</v>
      </c>
      <c r="D1447" t="s">
        <v>5016</v>
      </c>
      <c r="E1447" t="s">
        <v>5019</v>
      </c>
      <c r="F1447" t="s">
        <v>5024</v>
      </c>
      <c r="G1447">
        <v>15.23</v>
      </c>
      <c r="H1447">
        <v>4</v>
      </c>
      <c r="I1447">
        <v>1.2</v>
      </c>
      <c r="J1447">
        <v>22.14</v>
      </c>
      <c r="K1447">
        <v>89.7</v>
      </c>
      <c r="L1447" t="s">
        <v>5027</v>
      </c>
      <c r="M1447">
        <v>6</v>
      </c>
      <c r="N1447">
        <v>2</v>
      </c>
      <c r="O1447">
        <v>0</v>
      </c>
    </row>
    <row r="1448" spans="1:15" x14ac:dyDescent="0.3">
      <c r="A1448" t="s">
        <v>1461</v>
      </c>
      <c r="B1448">
        <v>2</v>
      </c>
      <c r="C1448">
        <v>45</v>
      </c>
      <c r="D1448" t="s">
        <v>5016</v>
      </c>
      <c r="E1448" t="s">
        <v>5017</v>
      </c>
      <c r="F1448" t="s">
        <v>5021</v>
      </c>
      <c r="G1448">
        <v>12.7</v>
      </c>
      <c r="H1448">
        <v>2</v>
      </c>
      <c r="I1448">
        <v>7.2</v>
      </c>
      <c r="J1448">
        <v>6.44</v>
      </c>
      <c r="K1448">
        <v>80.7</v>
      </c>
      <c r="L1448" t="s">
        <v>5025</v>
      </c>
      <c r="M1448">
        <v>11</v>
      </c>
      <c r="N1448">
        <v>0</v>
      </c>
      <c r="O1448">
        <v>1</v>
      </c>
    </row>
    <row r="1449" spans="1:15" x14ac:dyDescent="0.3">
      <c r="A1449" t="s">
        <v>1462</v>
      </c>
      <c r="B1449">
        <v>12</v>
      </c>
      <c r="C1449">
        <v>26</v>
      </c>
      <c r="D1449" t="s">
        <v>5016</v>
      </c>
      <c r="E1449" t="s">
        <v>5018</v>
      </c>
      <c r="F1449" t="s">
        <v>5021</v>
      </c>
      <c r="G1449">
        <v>9.2200000000000006</v>
      </c>
      <c r="H1449">
        <v>5</v>
      </c>
      <c r="I1449">
        <v>8</v>
      </c>
      <c r="J1449">
        <v>24.68</v>
      </c>
      <c r="K1449">
        <v>43.6</v>
      </c>
      <c r="L1449" t="s">
        <v>5025</v>
      </c>
      <c r="M1449">
        <v>1</v>
      </c>
      <c r="N1449">
        <v>3</v>
      </c>
      <c r="O1449">
        <v>1</v>
      </c>
    </row>
    <row r="1450" spans="1:15" x14ac:dyDescent="0.3">
      <c r="A1450" t="s">
        <v>1463</v>
      </c>
      <c r="B1450">
        <v>6</v>
      </c>
      <c r="C1450">
        <v>37</v>
      </c>
      <c r="D1450" t="s">
        <v>5015</v>
      </c>
      <c r="E1450" t="s">
        <v>5017</v>
      </c>
      <c r="F1450" t="s">
        <v>5023</v>
      </c>
      <c r="G1450">
        <v>20.02</v>
      </c>
      <c r="H1450">
        <v>4</v>
      </c>
      <c r="I1450">
        <v>1.3</v>
      </c>
      <c r="J1450">
        <v>22.95</v>
      </c>
      <c r="K1450">
        <v>21.9</v>
      </c>
      <c r="L1450" t="s">
        <v>5025</v>
      </c>
      <c r="M1450">
        <v>7</v>
      </c>
      <c r="N1450">
        <v>0</v>
      </c>
      <c r="O1450">
        <v>0</v>
      </c>
    </row>
    <row r="1451" spans="1:15" x14ac:dyDescent="0.3">
      <c r="A1451" t="s">
        <v>1464</v>
      </c>
      <c r="B1451">
        <v>11</v>
      </c>
      <c r="C1451">
        <v>36</v>
      </c>
      <c r="D1451" t="s">
        <v>5016</v>
      </c>
      <c r="E1451" t="s">
        <v>5019</v>
      </c>
      <c r="F1451" t="s">
        <v>5023</v>
      </c>
      <c r="G1451">
        <v>8.01</v>
      </c>
      <c r="H1451">
        <v>5</v>
      </c>
      <c r="I1451">
        <v>6.3</v>
      </c>
      <c r="J1451">
        <v>24.18</v>
      </c>
      <c r="K1451">
        <v>47.8</v>
      </c>
      <c r="L1451" t="s">
        <v>5029</v>
      </c>
      <c r="M1451">
        <v>10</v>
      </c>
      <c r="N1451">
        <v>1</v>
      </c>
      <c r="O1451">
        <v>0</v>
      </c>
    </row>
    <row r="1452" spans="1:15" x14ac:dyDescent="0.3">
      <c r="A1452" t="s">
        <v>1465</v>
      </c>
      <c r="B1452">
        <v>1</v>
      </c>
      <c r="C1452">
        <v>65</v>
      </c>
      <c r="D1452" t="s">
        <v>5015</v>
      </c>
      <c r="E1452" t="s">
        <v>5019</v>
      </c>
      <c r="F1452" t="s">
        <v>5020</v>
      </c>
      <c r="G1452">
        <v>20.98</v>
      </c>
      <c r="H1452">
        <v>3</v>
      </c>
      <c r="I1452">
        <v>8</v>
      </c>
      <c r="J1452">
        <v>21.76</v>
      </c>
      <c r="K1452">
        <v>79.5</v>
      </c>
      <c r="L1452" t="s">
        <v>5028</v>
      </c>
      <c r="M1452">
        <v>3</v>
      </c>
      <c r="N1452">
        <v>1</v>
      </c>
      <c r="O1452">
        <v>0</v>
      </c>
    </row>
    <row r="1453" spans="1:15" x14ac:dyDescent="0.3">
      <c r="A1453" t="s">
        <v>1466</v>
      </c>
      <c r="B1453">
        <v>3</v>
      </c>
      <c r="C1453">
        <v>56</v>
      </c>
      <c r="D1453" t="s">
        <v>5016</v>
      </c>
      <c r="E1453" t="s">
        <v>5018</v>
      </c>
      <c r="F1453" t="s">
        <v>5023</v>
      </c>
      <c r="G1453">
        <v>16.23</v>
      </c>
      <c r="H1453">
        <v>5</v>
      </c>
      <c r="I1453">
        <v>4.4000000000000004</v>
      </c>
      <c r="J1453">
        <v>22.31</v>
      </c>
      <c r="K1453">
        <v>13.9</v>
      </c>
      <c r="L1453" t="s">
        <v>5025</v>
      </c>
      <c r="M1453">
        <v>7</v>
      </c>
      <c r="N1453">
        <v>0</v>
      </c>
      <c r="O1453">
        <v>0</v>
      </c>
    </row>
    <row r="1454" spans="1:15" x14ac:dyDescent="0.3">
      <c r="A1454" t="s">
        <v>1467</v>
      </c>
      <c r="B1454">
        <v>5</v>
      </c>
      <c r="C1454">
        <v>68</v>
      </c>
      <c r="D1454" t="s">
        <v>5016</v>
      </c>
      <c r="E1454" t="s">
        <v>5018</v>
      </c>
      <c r="F1454" t="s">
        <v>5023</v>
      </c>
      <c r="G1454">
        <v>21.64</v>
      </c>
      <c r="H1454">
        <v>3</v>
      </c>
      <c r="I1454">
        <v>4.9000000000000004</v>
      </c>
      <c r="J1454">
        <v>16.170000000000002</v>
      </c>
      <c r="K1454">
        <v>77.099999999999994</v>
      </c>
      <c r="L1454" t="s">
        <v>5028</v>
      </c>
      <c r="M1454">
        <v>11</v>
      </c>
      <c r="N1454">
        <v>4</v>
      </c>
      <c r="O1454">
        <v>0</v>
      </c>
    </row>
    <row r="1455" spans="1:15" x14ac:dyDescent="0.3">
      <c r="A1455" t="s">
        <v>1468</v>
      </c>
      <c r="B1455">
        <v>4</v>
      </c>
      <c r="C1455">
        <v>29</v>
      </c>
      <c r="D1455" t="s">
        <v>5016</v>
      </c>
      <c r="E1455" t="s">
        <v>5019</v>
      </c>
      <c r="F1455" t="s">
        <v>5022</v>
      </c>
      <c r="G1455">
        <v>5.0999999999999996</v>
      </c>
      <c r="H1455">
        <v>5</v>
      </c>
      <c r="I1455">
        <v>4.3</v>
      </c>
      <c r="J1455">
        <v>21.6</v>
      </c>
      <c r="K1455">
        <v>71.2</v>
      </c>
      <c r="L1455" t="s">
        <v>5027</v>
      </c>
      <c r="M1455">
        <v>8</v>
      </c>
      <c r="N1455">
        <v>4</v>
      </c>
      <c r="O1455">
        <v>0</v>
      </c>
    </row>
    <row r="1456" spans="1:15" x14ac:dyDescent="0.3">
      <c r="A1456" t="s">
        <v>1469</v>
      </c>
      <c r="B1456">
        <v>3</v>
      </c>
      <c r="C1456">
        <v>32</v>
      </c>
      <c r="D1456" t="s">
        <v>5016</v>
      </c>
      <c r="E1456" t="s">
        <v>5018</v>
      </c>
      <c r="F1456" t="s">
        <v>5020</v>
      </c>
      <c r="G1456">
        <v>19.98</v>
      </c>
      <c r="H1456">
        <v>4</v>
      </c>
      <c r="I1456">
        <v>3.8</v>
      </c>
      <c r="J1456">
        <v>14.75</v>
      </c>
      <c r="K1456">
        <v>15.8</v>
      </c>
      <c r="L1456" t="s">
        <v>5029</v>
      </c>
      <c r="M1456">
        <v>10</v>
      </c>
      <c r="N1456">
        <v>4</v>
      </c>
      <c r="O1456">
        <v>1</v>
      </c>
    </row>
    <row r="1457" spans="1:15" x14ac:dyDescent="0.3">
      <c r="A1457" t="s">
        <v>1470</v>
      </c>
      <c r="B1457">
        <v>10</v>
      </c>
      <c r="C1457">
        <v>48</v>
      </c>
      <c r="D1457" t="s">
        <v>5015</v>
      </c>
      <c r="E1457" t="s">
        <v>5018</v>
      </c>
      <c r="F1457" t="s">
        <v>5020</v>
      </c>
      <c r="G1457">
        <v>6.03</v>
      </c>
      <c r="H1457">
        <v>5</v>
      </c>
      <c r="I1457">
        <v>5.4</v>
      </c>
      <c r="J1457">
        <v>14.84</v>
      </c>
      <c r="K1457">
        <v>67.2</v>
      </c>
      <c r="L1457" t="s">
        <v>5025</v>
      </c>
      <c r="M1457">
        <v>3</v>
      </c>
      <c r="N1457">
        <v>0</v>
      </c>
      <c r="O1457">
        <v>0</v>
      </c>
    </row>
    <row r="1458" spans="1:15" x14ac:dyDescent="0.3">
      <c r="A1458" t="s">
        <v>1471</v>
      </c>
      <c r="B1458">
        <v>5</v>
      </c>
      <c r="C1458">
        <v>31</v>
      </c>
      <c r="D1458" t="s">
        <v>5015</v>
      </c>
      <c r="E1458" t="s">
        <v>5018</v>
      </c>
      <c r="F1458" t="s">
        <v>5022</v>
      </c>
      <c r="G1458">
        <v>24</v>
      </c>
      <c r="H1458">
        <v>2</v>
      </c>
      <c r="I1458">
        <v>2.5</v>
      </c>
      <c r="J1458">
        <v>15.38</v>
      </c>
      <c r="K1458">
        <v>36.9</v>
      </c>
      <c r="L1458" t="s">
        <v>5029</v>
      </c>
      <c r="M1458">
        <v>5</v>
      </c>
      <c r="N1458">
        <v>2</v>
      </c>
      <c r="O1458">
        <v>1</v>
      </c>
    </row>
    <row r="1459" spans="1:15" x14ac:dyDescent="0.3">
      <c r="A1459" t="s">
        <v>1472</v>
      </c>
      <c r="B1459">
        <v>11</v>
      </c>
      <c r="C1459">
        <v>28</v>
      </c>
      <c r="D1459" t="s">
        <v>5015</v>
      </c>
      <c r="E1459" t="s">
        <v>5018</v>
      </c>
      <c r="F1459" t="s">
        <v>5020</v>
      </c>
      <c r="G1459">
        <v>19.05</v>
      </c>
      <c r="H1459">
        <v>3</v>
      </c>
      <c r="I1459">
        <v>5</v>
      </c>
      <c r="J1459">
        <v>24.92</v>
      </c>
      <c r="K1459">
        <v>26</v>
      </c>
      <c r="L1459" t="s">
        <v>5027</v>
      </c>
      <c r="M1459">
        <v>10</v>
      </c>
      <c r="N1459">
        <v>3</v>
      </c>
      <c r="O1459">
        <v>1</v>
      </c>
    </row>
    <row r="1460" spans="1:15" x14ac:dyDescent="0.3">
      <c r="A1460" t="s">
        <v>1473</v>
      </c>
      <c r="B1460">
        <v>8</v>
      </c>
      <c r="C1460">
        <v>43</v>
      </c>
      <c r="D1460" t="s">
        <v>5015</v>
      </c>
      <c r="E1460" t="s">
        <v>5017</v>
      </c>
      <c r="F1460" t="s">
        <v>5024</v>
      </c>
      <c r="G1460">
        <v>11.4</v>
      </c>
      <c r="H1460">
        <v>1</v>
      </c>
      <c r="I1460">
        <v>9.5</v>
      </c>
      <c r="J1460">
        <v>5.3</v>
      </c>
      <c r="K1460">
        <v>44.6</v>
      </c>
      <c r="L1460" t="s">
        <v>5029</v>
      </c>
      <c r="M1460">
        <v>2</v>
      </c>
      <c r="N1460">
        <v>2</v>
      </c>
      <c r="O1460">
        <v>0</v>
      </c>
    </row>
    <row r="1461" spans="1:15" x14ac:dyDescent="0.3">
      <c r="A1461" t="s">
        <v>1474</v>
      </c>
      <c r="B1461">
        <v>11</v>
      </c>
      <c r="C1461">
        <v>59</v>
      </c>
      <c r="D1461" t="s">
        <v>5016</v>
      </c>
      <c r="E1461" t="s">
        <v>5019</v>
      </c>
      <c r="F1461" t="s">
        <v>5024</v>
      </c>
      <c r="G1461">
        <v>11.4</v>
      </c>
      <c r="H1461">
        <v>5</v>
      </c>
      <c r="I1461">
        <v>1.2</v>
      </c>
      <c r="J1461">
        <v>20.72</v>
      </c>
      <c r="K1461">
        <v>28.5</v>
      </c>
      <c r="L1461" t="s">
        <v>5026</v>
      </c>
      <c r="M1461">
        <v>2</v>
      </c>
      <c r="N1461">
        <v>0</v>
      </c>
      <c r="O1461">
        <v>0</v>
      </c>
    </row>
    <row r="1462" spans="1:15" x14ac:dyDescent="0.3">
      <c r="A1462" t="s">
        <v>1475</v>
      </c>
      <c r="B1462">
        <v>4</v>
      </c>
      <c r="C1462">
        <v>44</v>
      </c>
      <c r="D1462" t="s">
        <v>5015</v>
      </c>
      <c r="E1462" t="s">
        <v>5018</v>
      </c>
      <c r="F1462" t="s">
        <v>5022</v>
      </c>
      <c r="G1462">
        <v>22.23</v>
      </c>
      <c r="H1462">
        <v>3</v>
      </c>
      <c r="I1462">
        <v>2.5</v>
      </c>
      <c r="J1462">
        <v>9.01</v>
      </c>
      <c r="K1462">
        <v>84.2</v>
      </c>
      <c r="L1462" t="s">
        <v>5025</v>
      </c>
      <c r="M1462">
        <v>1</v>
      </c>
      <c r="N1462">
        <v>2</v>
      </c>
      <c r="O1462">
        <v>0</v>
      </c>
    </row>
    <row r="1463" spans="1:15" x14ac:dyDescent="0.3">
      <c r="A1463" t="s">
        <v>1476</v>
      </c>
      <c r="B1463">
        <v>1</v>
      </c>
      <c r="C1463">
        <v>28</v>
      </c>
      <c r="D1463" t="s">
        <v>5015</v>
      </c>
      <c r="E1463" t="s">
        <v>5017</v>
      </c>
      <c r="F1463" t="s">
        <v>5023</v>
      </c>
      <c r="G1463">
        <v>23.06</v>
      </c>
      <c r="H1463">
        <v>1</v>
      </c>
      <c r="I1463">
        <v>8</v>
      </c>
      <c r="J1463">
        <v>10.95</v>
      </c>
      <c r="K1463">
        <v>76.8</v>
      </c>
      <c r="L1463" t="s">
        <v>5029</v>
      </c>
      <c r="M1463">
        <v>3</v>
      </c>
      <c r="N1463">
        <v>1</v>
      </c>
      <c r="O1463">
        <v>0</v>
      </c>
    </row>
    <row r="1464" spans="1:15" x14ac:dyDescent="0.3">
      <c r="A1464" t="s">
        <v>1477</v>
      </c>
      <c r="B1464">
        <v>11</v>
      </c>
      <c r="C1464">
        <v>55</v>
      </c>
      <c r="D1464" t="s">
        <v>5015</v>
      </c>
      <c r="E1464" t="s">
        <v>5019</v>
      </c>
      <c r="F1464" t="s">
        <v>5024</v>
      </c>
      <c r="G1464">
        <v>22.83</v>
      </c>
      <c r="H1464">
        <v>3</v>
      </c>
      <c r="I1464">
        <v>2.2000000000000002</v>
      </c>
      <c r="J1464">
        <v>4.7699999999999996</v>
      </c>
      <c r="K1464">
        <v>98.3</v>
      </c>
      <c r="L1464" t="s">
        <v>5029</v>
      </c>
      <c r="M1464">
        <v>4</v>
      </c>
      <c r="N1464">
        <v>3</v>
      </c>
      <c r="O1464">
        <v>0</v>
      </c>
    </row>
    <row r="1465" spans="1:15" x14ac:dyDescent="0.3">
      <c r="A1465" t="s">
        <v>1478</v>
      </c>
      <c r="B1465">
        <v>7</v>
      </c>
      <c r="C1465">
        <v>51</v>
      </c>
      <c r="D1465" t="s">
        <v>5016</v>
      </c>
      <c r="E1465" t="s">
        <v>5018</v>
      </c>
      <c r="F1465" t="s">
        <v>5022</v>
      </c>
      <c r="G1465">
        <v>21.17</v>
      </c>
      <c r="H1465">
        <v>3</v>
      </c>
      <c r="I1465">
        <v>3.4</v>
      </c>
      <c r="J1465">
        <v>10.73</v>
      </c>
      <c r="K1465">
        <v>58.1</v>
      </c>
      <c r="L1465" t="s">
        <v>5029</v>
      </c>
      <c r="M1465">
        <v>3</v>
      </c>
      <c r="N1465">
        <v>0</v>
      </c>
      <c r="O1465">
        <v>0</v>
      </c>
    </row>
    <row r="1466" spans="1:15" x14ac:dyDescent="0.3">
      <c r="A1466" t="s">
        <v>1479</v>
      </c>
      <c r="B1466">
        <v>8</v>
      </c>
      <c r="C1466">
        <v>60</v>
      </c>
      <c r="D1466" t="s">
        <v>5015</v>
      </c>
      <c r="E1466" t="s">
        <v>5017</v>
      </c>
      <c r="F1466" t="s">
        <v>5024</v>
      </c>
      <c r="G1466">
        <v>21.38</v>
      </c>
      <c r="H1466">
        <v>1</v>
      </c>
      <c r="I1466">
        <v>5.0999999999999996</v>
      </c>
      <c r="J1466">
        <v>24.8</v>
      </c>
      <c r="K1466">
        <v>18</v>
      </c>
      <c r="L1466" t="s">
        <v>5027</v>
      </c>
      <c r="M1466">
        <v>11</v>
      </c>
      <c r="N1466">
        <v>3</v>
      </c>
      <c r="O1466">
        <v>0</v>
      </c>
    </row>
    <row r="1467" spans="1:15" x14ac:dyDescent="0.3">
      <c r="A1467" t="s">
        <v>1480</v>
      </c>
      <c r="B1467">
        <v>3</v>
      </c>
      <c r="C1467">
        <v>36</v>
      </c>
      <c r="D1467" t="s">
        <v>5015</v>
      </c>
      <c r="E1467" t="s">
        <v>5018</v>
      </c>
      <c r="F1467" t="s">
        <v>5021</v>
      </c>
      <c r="G1467">
        <v>16.46</v>
      </c>
      <c r="H1467">
        <v>1</v>
      </c>
      <c r="I1467">
        <v>9.5</v>
      </c>
      <c r="J1467">
        <v>11.74</v>
      </c>
      <c r="K1467">
        <v>43.1</v>
      </c>
      <c r="L1467" t="s">
        <v>5025</v>
      </c>
      <c r="M1467">
        <v>8</v>
      </c>
      <c r="N1467">
        <v>4</v>
      </c>
      <c r="O1467">
        <v>0</v>
      </c>
    </row>
    <row r="1468" spans="1:15" x14ac:dyDescent="0.3">
      <c r="A1468" t="s">
        <v>1481</v>
      </c>
      <c r="B1468">
        <v>6</v>
      </c>
      <c r="C1468">
        <v>23</v>
      </c>
      <c r="D1468" t="s">
        <v>5016</v>
      </c>
      <c r="E1468" t="s">
        <v>5019</v>
      </c>
      <c r="F1468" t="s">
        <v>5022</v>
      </c>
      <c r="G1468">
        <v>5.56</v>
      </c>
      <c r="H1468">
        <v>4</v>
      </c>
      <c r="I1468">
        <v>2.7</v>
      </c>
      <c r="J1468">
        <v>17.73</v>
      </c>
      <c r="K1468">
        <v>85.5</v>
      </c>
      <c r="L1468" t="s">
        <v>5025</v>
      </c>
      <c r="M1468">
        <v>1</v>
      </c>
      <c r="N1468">
        <v>4</v>
      </c>
      <c r="O1468">
        <v>1</v>
      </c>
    </row>
    <row r="1469" spans="1:15" x14ac:dyDescent="0.3">
      <c r="A1469" t="s">
        <v>1482</v>
      </c>
      <c r="B1469">
        <v>2</v>
      </c>
      <c r="C1469">
        <v>63</v>
      </c>
      <c r="D1469" t="s">
        <v>5016</v>
      </c>
      <c r="E1469" t="s">
        <v>5019</v>
      </c>
      <c r="F1469" t="s">
        <v>5020</v>
      </c>
      <c r="G1469">
        <v>6.74</v>
      </c>
      <c r="H1469">
        <v>5</v>
      </c>
      <c r="I1469">
        <v>9.3000000000000007</v>
      </c>
      <c r="J1469">
        <v>5.66</v>
      </c>
      <c r="K1469">
        <v>45.7</v>
      </c>
      <c r="L1469" t="s">
        <v>5026</v>
      </c>
      <c r="M1469">
        <v>5</v>
      </c>
      <c r="N1469">
        <v>1</v>
      </c>
      <c r="O1469">
        <v>0</v>
      </c>
    </row>
    <row r="1470" spans="1:15" x14ac:dyDescent="0.3">
      <c r="A1470" t="s">
        <v>1483</v>
      </c>
      <c r="B1470">
        <v>7</v>
      </c>
      <c r="C1470">
        <v>69</v>
      </c>
      <c r="D1470" t="s">
        <v>5015</v>
      </c>
      <c r="E1470" t="s">
        <v>5019</v>
      </c>
      <c r="F1470" t="s">
        <v>5024</v>
      </c>
      <c r="G1470">
        <v>17.989999999999998</v>
      </c>
      <c r="H1470">
        <v>5</v>
      </c>
      <c r="I1470">
        <v>7.5</v>
      </c>
      <c r="J1470">
        <v>23.29</v>
      </c>
      <c r="K1470">
        <v>51</v>
      </c>
      <c r="L1470" t="s">
        <v>5026</v>
      </c>
      <c r="M1470">
        <v>7</v>
      </c>
      <c r="N1470">
        <v>0</v>
      </c>
      <c r="O1470">
        <v>0</v>
      </c>
    </row>
    <row r="1471" spans="1:15" x14ac:dyDescent="0.3">
      <c r="A1471" t="s">
        <v>1484</v>
      </c>
      <c r="B1471">
        <v>8</v>
      </c>
      <c r="C1471">
        <v>55</v>
      </c>
      <c r="D1471" t="s">
        <v>5015</v>
      </c>
      <c r="E1471" t="s">
        <v>5019</v>
      </c>
      <c r="F1471" t="s">
        <v>5020</v>
      </c>
      <c r="G1471">
        <v>13.02</v>
      </c>
      <c r="H1471">
        <v>3</v>
      </c>
      <c r="I1471">
        <v>7</v>
      </c>
      <c r="J1471">
        <v>21.21</v>
      </c>
      <c r="K1471">
        <v>47.1</v>
      </c>
      <c r="L1471" t="s">
        <v>5029</v>
      </c>
      <c r="M1471">
        <v>9</v>
      </c>
      <c r="N1471">
        <v>4</v>
      </c>
      <c r="O1471">
        <v>0</v>
      </c>
    </row>
    <row r="1472" spans="1:15" x14ac:dyDescent="0.3">
      <c r="A1472" t="s">
        <v>1485</v>
      </c>
      <c r="B1472">
        <v>6</v>
      </c>
      <c r="C1472">
        <v>66</v>
      </c>
      <c r="D1472" t="s">
        <v>5016</v>
      </c>
      <c r="E1472" t="s">
        <v>5017</v>
      </c>
      <c r="F1472" t="s">
        <v>5022</v>
      </c>
      <c r="G1472">
        <v>16.350000000000001</v>
      </c>
      <c r="H1472">
        <v>2</v>
      </c>
      <c r="I1472">
        <v>7.5</v>
      </c>
      <c r="J1472">
        <v>11.5</v>
      </c>
      <c r="K1472">
        <v>31.2</v>
      </c>
      <c r="L1472" t="s">
        <v>5025</v>
      </c>
      <c r="M1472">
        <v>1</v>
      </c>
      <c r="N1472">
        <v>3</v>
      </c>
      <c r="O1472">
        <v>0</v>
      </c>
    </row>
    <row r="1473" spans="1:15" x14ac:dyDescent="0.3">
      <c r="A1473" t="s">
        <v>1486</v>
      </c>
      <c r="B1473">
        <v>6</v>
      </c>
      <c r="C1473">
        <v>59</v>
      </c>
      <c r="D1473" t="s">
        <v>5015</v>
      </c>
      <c r="E1473" t="s">
        <v>5018</v>
      </c>
      <c r="F1473" t="s">
        <v>5024</v>
      </c>
      <c r="G1473">
        <v>9.6199999999999992</v>
      </c>
      <c r="H1473">
        <v>2</v>
      </c>
      <c r="I1473">
        <v>1.3</v>
      </c>
      <c r="J1473">
        <v>10.67</v>
      </c>
      <c r="K1473">
        <v>16.600000000000001</v>
      </c>
      <c r="L1473" t="s">
        <v>5025</v>
      </c>
      <c r="M1473">
        <v>9</v>
      </c>
      <c r="N1473">
        <v>3</v>
      </c>
      <c r="O1473">
        <v>1</v>
      </c>
    </row>
    <row r="1474" spans="1:15" x14ac:dyDescent="0.3">
      <c r="A1474" t="s">
        <v>1487</v>
      </c>
      <c r="B1474">
        <v>5</v>
      </c>
      <c r="C1474">
        <v>45</v>
      </c>
      <c r="D1474" t="s">
        <v>5016</v>
      </c>
      <c r="E1474" t="s">
        <v>5019</v>
      </c>
      <c r="F1474" t="s">
        <v>5020</v>
      </c>
      <c r="G1474">
        <v>17.989999999999998</v>
      </c>
      <c r="H1474">
        <v>3</v>
      </c>
      <c r="I1474">
        <v>1.9</v>
      </c>
      <c r="J1474">
        <v>12.51</v>
      </c>
      <c r="K1474">
        <v>26.3</v>
      </c>
      <c r="L1474" t="s">
        <v>5029</v>
      </c>
      <c r="M1474">
        <v>11</v>
      </c>
      <c r="N1474">
        <v>1</v>
      </c>
      <c r="O1474">
        <v>0</v>
      </c>
    </row>
    <row r="1475" spans="1:15" x14ac:dyDescent="0.3">
      <c r="A1475" t="s">
        <v>1488</v>
      </c>
      <c r="B1475">
        <v>8</v>
      </c>
      <c r="C1475">
        <v>18</v>
      </c>
      <c r="D1475" t="s">
        <v>5015</v>
      </c>
      <c r="E1475" t="s">
        <v>5018</v>
      </c>
      <c r="F1475" t="s">
        <v>5023</v>
      </c>
      <c r="G1475">
        <v>9.86</v>
      </c>
      <c r="H1475">
        <v>4</v>
      </c>
      <c r="I1475">
        <v>4</v>
      </c>
      <c r="J1475">
        <v>11.83</v>
      </c>
      <c r="K1475">
        <v>42.8</v>
      </c>
      <c r="L1475" t="s">
        <v>5028</v>
      </c>
      <c r="M1475">
        <v>9</v>
      </c>
      <c r="N1475">
        <v>4</v>
      </c>
      <c r="O1475">
        <v>0</v>
      </c>
    </row>
    <row r="1476" spans="1:15" x14ac:dyDescent="0.3">
      <c r="A1476" t="s">
        <v>1489</v>
      </c>
      <c r="B1476">
        <v>1</v>
      </c>
      <c r="C1476">
        <v>52</v>
      </c>
      <c r="D1476" t="s">
        <v>5015</v>
      </c>
      <c r="E1476" t="s">
        <v>5018</v>
      </c>
      <c r="F1476" t="s">
        <v>5023</v>
      </c>
      <c r="G1476">
        <v>14.22</v>
      </c>
      <c r="H1476">
        <v>1</v>
      </c>
      <c r="I1476">
        <v>1.7</v>
      </c>
      <c r="J1476">
        <v>8.68</v>
      </c>
      <c r="K1476">
        <v>32.1</v>
      </c>
      <c r="L1476" t="s">
        <v>5025</v>
      </c>
      <c r="M1476">
        <v>4</v>
      </c>
      <c r="N1476">
        <v>2</v>
      </c>
      <c r="O1476">
        <v>0</v>
      </c>
    </row>
    <row r="1477" spans="1:15" x14ac:dyDescent="0.3">
      <c r="A1477" t="s">
        <v>1490</v>
      </c>
      <c r="B1477">
        <v>10</v>
      </c>
      <c r="C1477">
        <v>57</v>
      </c>
      <c r="D1477" t="s">
        <v>5015</v>
      </c>
      <c r="E1477" t="s">
        <v>5018</v>
      </c>
      <c r="F1477" t="s">
        <v>5021</v>
      </c>
      <c r="G1477">
        <v>14.57</v>
      </c>
      <c r="H1477">
        <v>3</v>
      </c>
      <c r="I1477">
        <v>9.9</v>
      </c>
      <c r="J1477">
        <v>24.8</v>
      </c>
      <c r="K1477">
        <v>61.5</v>
      </c>
      <c r="L1477" t="s">
        <v>5029</v>
      </c>
      <c r="M1477">
        <v>10</v>
      </c>
      <c r="N1477">
        <v>4</v>
      </c>
      <c r="O1477">
        <v>0</v>
      </c>
    </row>
    <row r="1478" spans="1:15" x14ac:dyDescent="0.3">
      <c r="A1478" t="s">
        <v>1491</v>
      </c>
      <c r="B1478">
        <v>4</v>
      </c>
      <c r="C1478">
        <v>25</v>
      </c>
      <c r="D1478" t="s">
        <v>5015</v>
      </c>
      <c r="E1478" t="s">
        <v>5018</v>
      </c>
      <c r="F1478" t="s">
        <v>5022</v>
      </c>
      <c r="G1478">
        <v>8.5500000000000007</v>
      </c>
      <c r="H1478">
        <v>5</v>
      </c>
      <c r="I1478">
        <v>6.2</v>
      </c>
      <c r="J1478">
        <v>20.83</v>
      </c>
      <c r="K1478">
        <v>65.3</v>
      </c>
      <c r="L1478" t="s">
        <v>5029</v>
      </c>
      <c r="M1478">
        <v>5</v>
      </c>
      <c r="N1478">
        <v>1</v>
      </c>
      <c r="O1478">
        <v>0</v>
      </c>
    </row>
    <row r="1479" spans="1:15" x14ac:dyDescent="0.3">
      <c r="A1479" t="s">
        <v>1492</v>
      </c>
      <c r="B1479">
        <v>4</v>
      </c>
      <c r="C1479">
        <v>69</v>
      </c>
      <c r="D1479" t="s">
        <v>5015</v>
      </c>
      <c r="E1479" t="s">
        <v>5019</v>
      </c>
      <c r="F1479" t="s">
        <v>5020</v>
      </c>
      <c r="G1479">
        <v>22.52</v>
      </c>
      <c r="H1479">
        <v>2</v>
      </c>
      <c r="I1479">
        <v>5.4</v>
      </c>
      <c r="J1479">
        <v>8.89</v>
      </c>
      <c r="K1479">
        <v>61.3</v>
      </c>
      <c r="L1479" t="s">
        <v>5028</v>
      </c>
      <c r="M1479">
        <v>6</v>
      </c>
      <c r="N1479">
        <v>4</v>
      </c>
      <c r="O1479">
        <v>0</v>
      </c>
    </row>
    <row r="1480" spans="1:15" x14ac:dyDescent="0.3">
      <c r="A1480" t="s">
        <v>1493</v>
      </c>
      <c r="B1480">
        <v>3</v>
      </c>
      <c r="C1480">
        <v>64</v>
      </c>
      <c r="D1480" t="s">
        <v>5016</v>
      </c>
      <c r="E1480" t="s">
        <v>5018</v>
      </c>
      <c r="F1480" t="s">
        <v>5021</v>
      </c>
      <c r="G1480">
        <v>15.52</v>
      </c>
      <c r="H1480">
        <v>2</v>
      </c>
      <c r="I1480">
        <v>8.1</v>
      </c>
      <c r="J1480">
        <v>24.6</v>
      </c>
      <c r="K1480">
        <v>17.600000000000001</v>
      </c>
      <c r="L1480" t="s">
        <v>5026</v>
      </c>
      <c r="M1480">
        <v>4</v>
      </c>
      <c r="N1480">
        <v>0</v>
      </c>
      <c r="O1480">
        <v>1</v>
      </c>
    </row>
    <row r="1481" spans="1:15" x14ac:dyDescent="0.3">
      <c r="A1481" t="s">
        <v>1494</v>
      </c>
      <c r="B1481">
        <v>3</v>
      </c>
      <c r="C1481">
        <v>24</v>
      </c>
      <c r="D1481" t="s">
        <v>5016</v>
      </c>
      <c r="E1481" t="s">
        <v>5018</v>
      </c>
      <c r="F1481" t="s">
        <v>5022</v>
      </c>
      <c r="G1481">
        <v>22.34</v>
      </c>
      <c r="H1481">
        <v>2</v>
      </c>
      <c r="I1481">
        <v>9.8000000000000007</v>
      </c>
      <c r="J1481">
        <v>3.34</v>
      </c>
      <c r="K1481">
        <v>70</v>
      </c>
      <c r="L1481" t="s">
        <v>5029</v>
      </c>
      <c r="M1481">
        <v>6</v>
      </c>
      <c r="N1481">
        <v>1</v>
      </c>
      <c r="O1481">
        <v>0</v>
      </c>
    </row>
    <row r="1482" spans="1:15" x14ac:dyDescent="0.3">
      <c r="A1482" t="s">
        <v>1495</v>
      </c>
      <c r="B1482">
        <v>4</v>
      </c>
      <c r="C1482">
        <v>28</v>
      </c>
      <c r="D1482" t="s">
        <v>5015</v>
      </c>
      <c r="E1482" t="s">
        <v>5019</v>
      </c>
      <c r="F1482" t="s">
        <v>5023</v>
      </c>
      <c r="G1482">
        <v>10.25</v>
      </c>
      <c r="H1482">
        <v>4</v>
      </c>
      <c r="I1482">
        <v>9.6</v>
      </c>
      <c r="J1482">
        <v>12.63</v>
      </c>
      <c r="K1482">
        <v>44.6</v>
      </c>
      <c r="L1482" t="s">
        <v>5025</v>
      </c>
      <c r="M1482">
        <v>5</v>
      </c>
      <c r="N1482">
        <v>2</v>
      </c>
      <c r="O1482">
        <v>0</v>
      </c>
    </row>
    <row r="1483" spans="1:15" x14ac:dyDescent="0.3">
      <c r="A1483" t="s">
        <v>1496</v>
      </c>
      <c r="B1483">
        <v>11</v>
      </c>
      <c r="C1483">
        <v>56</v>
      </c>
      <c r="D1483" t="s">
        <v>5015</v>
      </c>
      <c r="E1483" t="s">
        <v>5018</v>
      </c>
      <c r="F1483" t="s">
        <v>5020</v>
      </c>
      <c r="G1483">
        <v>8.4499999999999993</v>
      </c>
      <c r="H1483">
        <v>5</v>
      </c>
      <c r="I1483">
        <v>8.1</v>
      </c>
      <c r="J1483">
        <v>15.53</v>
      </c>
      <c r="K1483">
        <v>89</v>
      </c>
      <c r="L1483" t="s">
        <v>5026</v>
      </c>
      <c r="M1483">
        <v>3</v>
      </c>
      <c r="N1483">
        <v>3</v>
      </c>
      <c r="O1483">
        <v>1</v>
      </c>
    </row>
    <row r="1484" spans="1:15" x14ac:dyDescent="0.3">
      <c r="A1484" t="s">
        <v>1497</v>
      </c>
      <c r="B1484">
        <v>1</v>
      </c>
      <c r="C1484">
        <v>21</v>
      </c>
      <c r="D1484" t="s">
        <v>5015</v>
      </c>
      <c r="E1484" t="s">
        <v>5017</v>
      </c>
      <c r="F1484" t="s">
        <v>5024</v>
      </c>
      <c r="G1484">
        <v>5.36</v>
      </c>
      <c r="H1484">
        <v>4</v>
      </c>
      <c r="I1484">
        <v>4.4000000000000004</v>
      </c>
      <c r="J1484">
        <v>3.83</v>
      </c>
      <c r="K1484">
        <v>57.3</v>
      </c>
      <c r="L1484" t="s">
        <v>5026</v>
      </c>
      <c r="M1484">
        <v>3</v>
      </c>
      <c r="N1484">
        <v>4</v>
      </c>
      <c r="O1484">
        <v>0</v>
      </c>
    </row>
    <row r="1485" spans="1:15" x14ac:dyDescent="0.3">
      <c r="A1485" t="s">
        <v>1498</v>
      </c>
      <c r="B1485">
        <v>11</v>
      </c>
      <c r="C1485">
        <v>42</v>
      </c>
      <c r="D1485" t="s">
        <v>5016</v>
      </c>
      <c r="E1485" t="s">
        <v>5018</v>
      </c>
      <c r="F1485" t="s">
        <v>5023</v>
      </c>
      <c r="G1485">
        <v>6.88</v>
      </c>
      <c r="H1485">
        <v>1</v>
      </c>
      <c r="I1485">
        <v>1.6</v>
      </c>
      <c r="J1485">
        <v>6.54</v>
      </c>
      <c r="K1485">
        <v>17.600000000000001</v>
      </c>
      <c r="L1485" t="s">
        <v>5026</v>
      </c>
      <c r="M1485">
        <v>9</v>
      </c>
      <c r="N1485">
        <v>3</v>
      </c>
      <c r="O1485">
        <v>0</v>
      </c>
    </row>
    <row r="1486" spans="1:15" x14ac:dyDescent="0.3">
      <c r="A1486" t="s">
        <v>1499</v>
      </c>
      <c r="B1486">
        <v>11</v>
      </c>
      <c r="C1486">
        <v>29</v>
      </c>
      <c r="D1486" t="s">
        <v>5016</v>
      </c>
      <c r="E1486" t="s">
        <v>5019</v>
      </c>
      <c r="F1486" t="s">
        <v>5024</v>
      </c>
      <c r="G1486">
        <v>7.95</v>
      </c>
      <c r="H1486">
        <v>3</v>
      </c>
      <c r="I1486">
        <v>1.9</v>
      </c>
      <c r="J1486">
        <v>8.68</v>
      </c>
      <c r="K1486">
        <v>10.8</v>
      </c>
      <c r="L1486" t="s">
        <v>5029</v>
      </c>
      <c r="M1486">
        <v>5</v>
      </c>
      <c r="N1486">
        <v>1</v>
      </c>
      <c r="O1486">
        <v>0</v>
      </c>
    </row>
    <row r="1487" spans="1:15" x14ac:dyDescent="0.3">
      <c r="A1487" t="s">
        <v>1500</v>
      </c>
      <c r="B1487">
        <v>2</v>
      </c>
      <c r="C1487">
        <v>43</v>
      </c>
      <c r="D1487" t="s">
        <v>5016</v>
      </c>
      <c r="E1487" t="s">
        <v>5019</v>
      </c>
      <c r="F1487" t="s">
        <v>5024</v>
      </c>
      <c r="G1487">
        <v>6.58</v>
      </c>
      <c r="H1487">
        <v>3</v>
      </c>
      <c r="I1487">
        <v>1</v>
      </c>
      <c r="J1487">
        <v>18.84</v>
      </c>
      <c r="K1487">
        <v>73.2</v>
      </c>
      <c r="L1487" t="s">
        <v>5025</v>
      </c>
      <c r="M1487">
        <v>11</v>
      </c>
      <c r="N1487">
        <v>3</v>
      </c>
      <c r="O1487">
        <v>0</v>
      </c>
    </row>
    <row r="1488" spans="1:15" x14ac:dyDescent="0.3">
      <c r="A1488" t="s">
        <v>1501</v>
      </c>
      <c r="B1488">
        <v>9</v>
      </c>
      <c r="C1488">
        <v>55</v>
      </c>
      <c r="D1488" t="s">
        <v>5016</v>
      </c>
      <c r="E1488" t="s">
        <v>5019</v>
      </c>
      <c r="F1488" t="s">
        <v>5020</v>
      </c>
      <c r="G1488">
        <v>22.94</v>
      </c>
      <c r="H1488">
        <v>2</v>
      </c>
      <c r="I1488">
        <v>1</v>
      </c>
      <c r="J1488">
        <v>23.67</v>
      </c>
      <c r="K1488">
        <v>46</v>
      </c>
      <c r="L1488" t="s">
        <v>5028</v>
      </c>
      <c r="M1488">
        <v>3</v>
      </c>
      <c r="N1488">
        <v>0</v>
      </c>
      <c r="O1488">
        <v>0</v>
      </c>
    </row>
    <row r="1489" spans="1:15" x14ac:dyDescent="0.3">
      <c r="A1489" t="s">
        <v>1502</v>
      </c>
      <c r="B1489">
        <v>10</v>
      </c>
      <c r="C1489">
        <v>63</v>
      </c>
      <c r="D1489" t="s">
        <v>5016</v>
      </c>
      <c r="E1489" t="s">
        <v>5019</v>
      </c>
      <c r="F1489" t="s">
        <v>5020</v>
      </c>
      <c r="G1489">
        <v>23.23</v>
      </c>
      <c r="H1489">
        <v>2</v>
      </c>
      <c r="I1489">
        <v>9.4</v>
      </c>
      <c r="J1489">
        <v>16.739999999999998</v>
      </c>
      <c r="K1489">
        <v>35.9</v>
      </c>
      <c r="L1489" t="s">
        <v>5027</v>
      </c>
      <c r="M1489">
        <v>8</v>
      </c>
      <c r="N1489">
        <v>1</v>
      </c>
      <c r="O1489">
        <v>1</v>
      </c>
    </row>
    <row r="1490" spans="1:15" x14ac:dyDescent="0.3">
      <c r="A1490" t="s">
        <v>1503</v>
      </c>
      <c r="B1490">
        <v>2</v>
      </c>
      <c r="C1490">
        <v>29</v>
      </c>
      <c r="D1490" t="s">
        <v>5016</v>
      </c>
      <c r="E1490" t="s">
        <v>5017</v>
      </c>
      <c r="F1490" t="s">
        <v>5024</v>
      </c>
      <c r="G1490">
        <v>23.75</v>
      </c>
      <c r="H1490">
        <v>1</v>
      </c>
      <c r="I1490">
        <v>9.3000000000000007</v>
      </c>
      <c r="J1490">
        <v>15.38</v>
      </c>
      <c r="K1490">
        <v>50.2</v>
      </c>
      <c r="L1490" t="s">
        <v>5027</v>
      </c>
      <c r="M1490">
        <v>8</v>
      </c>
      <c r="N1490">
        <v>1</v>
      </c>
      <c r="O1490">
        <v>0</v>
      </c>
    </row>
    <row r="1491" spans="1:15" x14ac:dyDescent="0.3">
      <c r="A1491" t="s">
        <v>1504</v>
      </c>
      <c r="B1491">
        <v>5</v>
      </c>
      <c r="C1491">
        <v>60</v>
      </c>
      <c r="D1491" t="s">
        <v>5016</v>
      </c>
      <c r="E1491" t="s">
        <v>5019</v>
      </c>
      <c r="F1491" t="s">
        <v>5021</v>
      </c>
      <c r="G1491">
        <v>24.2</v>
      </c>
      <c r="H1491">
        <v>4</v>
      </c>
      <c r="I1491">
        <v>7</v>
      </c>
      <c r="J1491">
        <v>14.81</v>
      </c>
      <c r="K1491">
        <v>16.5</v>
      </c>
      <c r="L1491" t="s">
        <v>5026</v>
      </c>
      <c r="M1491">
        <v>3</v>
      </c>
      <c r="N1491">
        <v>4</v>
      </c>
      <c r="O1491">
        <v>1</v>
      </c>
    </row>
    <row r="1492" spans="1:15" x14ac:dyDescent="0.3">
      <c r="A1492" t="s">
        <v>1505</v>
      </c>
      <c r="B1492">
        <v>9</v>
      </c>
      <c r="C1492">
        <v>68</v>
      </c>
      <c r="D1492" t="s">
        <v>5016</v>
      </c>
      <c r="E1492" t="s">
        <v>5019</v>
      </c>
      <c r="F1492" t="s">
        <v>5024</v>
      </c>
      <c r="G1492">
        <v>14.84</v>
      </c>
      <c r="H1492">
        <v>5</v>
      </c>
      <c r="I1492">
        <v>7.5</v>
      </c>
      <c r="J1492">
        <v>10.72</v>
      </c>
      <c r="K1492">
        <v>45.3</v>
      </c>
      <c r="L1492" t="s">
        <v>5027</v>
      </c>
      <c r="M1492">
        <v>7</v>
      </c>
      <c r="N1492">
        <v>1</v>
      </c>
      <c r="O1492">
        <v>0</v>
      </c>
    </row>
    <row r="1493" spans="1:15" x14ac:dyDescent="0.3">
      <c r="A1493" t="s">
        <v>1506</v>
      </c>
      <c r="B1493">
        <v>9</v>
      </c>
      <c r="C1493">
        <v>54</v>
      </c>
      <c r="D1493" t="s">
        <v>5015</v>
      </c>
      <c r="E1493" t="s">
        <v>5017</v>
      </c>
      <c r="F1493" t="s">
        <v>5024</v>
      </c>
      <c r="G1493">
        <v>15.6</v>
      </c>
      <c r="H1493">
        <v>1</v>
      </c>
      <c r="I1493">
        <v>5.6</v>
      </c>
      <c r="J1493">
        <v>21.21</v>
      </c>
      <c r="K1493">
        <v>38.299999999999997</v>
      </c>
      <c r="L1493" t="s">
        <v>5027</v>
      </c>
      <c r="M1493">
        <v>9</v>
      </c>
      <c r="N1493">
        <v>0</v>
      </c>
      <c r="O1493">
        <v>0</v>
      </c>
    </row>
    <row r="1494" spans="1:15" x14ac:dyDescent="0.3">
      <c r="A1494" t="s">
        <v>1507</v>
      </c>
      <c r="B1494">
        <v>8</v>
      </c>
      <c r="C1494">
        <v>63</v>
      </c>
      <c r="D1494" t="s">
        <v>5016</v>
      </c>
      <c r="E1494" t="s">
        <v>5017</v>
      </c>
      <c r="F1494" t="s">
        <v>5020</v>
      </c>
      <c r="G1494">
        <v>7.62</v>
      </c>
      <c r="H1494">
        <v>3</v>
      </c>
      <c r="I1494">
        <v>3.1</v>
      </c>
      <c r="J1494">
        <v>14.9</v>
      </c>
      <c r="K1494">
        <v>82</v>
      </c>
      <c r="L1494" t="s">
        <v>5029</v>
      </c>
      <c r="M1494">
        <v>3</v>
      </c>
      <c r="N1494">
        <v>4</v>
      </c>
      <c r="O1494">
        <v>0</v>
      </c>
    </row>
    <row r="1495" spans="1:15" x14ac:dyDescent="0.3">
      <c r="A1495" t="s">
        <v>1508</v>
      </c>
      <c r="B1495">
        <v>1</v>
      </c>
      <c r="C1495">
        <v>41</v>
      </c>
      <c r="D1495" t="s">
        <v>5016</v>
      </c>
      <c r="E1495" t="s">
        <v>5019</v>
      </c>
      <c r="F1495" t="s">
        <v>5022</v>
      </c>
      <c r="G1495">
        <v>7.74</v>
      </c>
      <c r="H1495">
        <v>3</v>
      </c>
      <c r="I1495">
        <v>9.1999999999999993</v>
      </c>
      <c r="J1495">
        <v>8.06</v>
      </c>
      <c r="K1495">
        <v>25.7</v>
      </c>
      <c r="L1495" t="s">
        <v>5028</v>
      </c>
      <c r="M1495">
        <v>8</v>
      </c>
      <c r="N1495">
        <v>0</v>
      </c>
      <c r="O1495">
        <v>0</v>
      </c>
    </row>
    <row r="1496" spans="1:15" x14ac:dyDescent="0.3">
      <c r="A1496" t="s">
        <v>1509</v>
      </c>
      <c r="B1496">
        <v>1</v>
      </c>
      <c r="C1496">
        <v>33</v>
      </c>
      <c r="D1496" t="s">
        <v>5016</v>
      </c>
      <c r="E1496" t="s">
        <v>5019</v>
      </c>
      <c r="F1496" t="s">
        <v>5023</v>
      </c>
      <c r="G1496">
        <v>20.46</v>
      </c>
      <c r="H1496">
        <v>4</v>
      </c>
      <c r="I1496">
        <v>3.5</v>
      </c>
      <c r="J1496">
        <v>6.01</v>
      </c>
      <c r="K1496">
        <v>78.099999999999994</v>
      </c>
      <c r="L1496" t="s">
        <v>5027</v>
      </c>
      <c r="M1496">
        <v>1</v>
      </c>
      <c r="N1496">
        <v>2</v>
      </c>
      <c r="O1496">
        <v>1</v>
      </c>
    </row>
    <row r="1497" spans="1:15" x14ac:dyDescent="0.3">
      <c r="A1497" t="s">
        <v>1510</v>
      </c>
      <c r="B1497">
        <v>9</v>
      </c>
      <c r="C1497">
        <v>30</v>
      </c>
      <c r="D1497" t="s">
        <v>5016</v>
      </c>
      <c r="E1497" t="s">
        <v>5019</v>
      </c>
      <c r="F1497" t="s">
        <v>5020</v>
      </c>
      <c r="G1497">
        <v>22.11</v>
      </c>
      <c r="H1497">
        <v>1</v>
      </c>
      <c r="I1497">
        <v>7.7</v>
      </c>
      <c r="J1497">
        <v>24.68</v>
      </c>
      <c r="K1497">
        <v>55</v>
      </c>
      <c r="L1497" t="s">
        <v>5028</v>
      </c>
      <c r="M1497">
        <v>3</v>
      </c>
      <c r="N1497">
        <v>4</v>
      </c>
      <c r="O1497">
        <v>0</v>
      </c>
    </row>
    <row r="1498" spans="1:15" x14ac:dyDescent="0.3">
      <c r="A1498" t="s">
        <v>1511</v>
      </c>
      <c r="B1498">
        <v>11</v>
      </c>
      <c r="C1498">
        <v>42</v>
      </c>
      <c r="D1498" t="s">
        <v>5015</v>
      </c>
      <c r="E1498" t="s">
        <v>5019</v>
      </c>
      <c r="F1498" t="s">
        <v>5021</v>
      </c>
      <c r="G1498">
        <v>20.69</v>
      </c>
      <c r="H1498">
        <v>5</v>
      </c>
      <c r="I1498">
        <v>3.2</v>
      </c>
      <c r="J1498">
        <v>3.38</v>
      </c>
      <c r="K1498">
        <v>17.399999999999999</v>
      </c>
      <c r="L1498" t="s">
        <v>5027</v>
      </c>
      <c r="M1498">
        <v>4</v>
      </c>
      <c r="N1498">
        <v>1</v>
      </c>
      <c r="O1498">
        <v>0</v>
      </c>
    </row>
    <row r="1499" spans="1:15" x14ac:dyDescent="0.3">
      <c r="A1499" t="s">
        <v>1512</v>
      </c>
      <c r="B1499">
        <v>8</v>
      </c>
      <c r="C1499">
        <v>69</v>
      </c>
      <c r="D1499" t="s">
        <v>5016</v>
      </c>
      <c r="E1499" t="s">
        <v>5018</v>
      </c>
      <c r="F1499" t="s">
        <v>5023</v>
      </c>
      <c r="G1499">
        <v>21.69</v>
      </c>
      <c r="H1499">
        <v>1</v>
      </c>
      <c r="I1499">
        <v>8.8000000000000007</v>
      </c>
      <c r="J1499">
        <v>23.54</v>
      </c>
      <c r="K1499">
        <v>97.3</v>
      </c>
      <c r="L1499" t="s">
        <v>5026</v>
      </c>
      <c r="M1499">
        <v>3</v>
      </c>
      <c r="N1499">
        <v>1</v>
      </c>
      <c r="O1499">
        <v>1</v>
      </c>
    </row>
    <row r="1500" spans="1:15" x14ac:dyDescent="0.3">
      <c r="A1500" t="s">
        <v>1513</v>
      </c>
      <c r="B1500">
        <v>10</v>
      </c>
      <c r="C1500">
        <v>21</v>
      </c>
      <c r="D1500" t="s">
        <v>5015</v>
      </c>
      <c r="E1500" t="s">
        <v>5018</v>
      </c>
      <c r="F1500" t="s">
        <v>5020</v>
      </c>
      <c r="G1500">
        <v>10.53</v>
      </c>
      <c r="H1500">
        <v>1</v>
      </c>
      <c r="I1500">
        <v>6.9</v>
      </c>
      <c r="J1500">
        <v>7.8</v>
      </c>
      <c r="K1500">
        <v>76.099999999999994</v>
      </c>
      <c r="L1500" t="s">
        <v>5026</v>
      </c>
      <c r="M1500">
        <v>9</v>
      </c>
      <c r="N1500">
        <v>1</v>
      </c>
      <c r="O1500">
        <v>0</v>
      </c>
    </row>
    <row r="1501" spans="1:15" x14ac:dyDescent="0.3">
      <c r="A1501" t="s">
        <v>1514</v>
      </c>
      <c r="B1501">
        <v>9</v>
      </c>
      <c r="C1501">
        <v>28</v>
      </c>
      <c r="D1501" t="s">
        <v>5015</v>
      </c>
      <c r="E1501" t="s">
        <v>5018</v>
      </c>
      <c r="F1501" t="s">
        <v>5020</v>
      </c>
      <c r="G1501">
        <v>14.32</v>
      </c>
      <c r="H1501">
        <v>4</v>
      </c>
      <c r="I1501">
        <v>6.8</v>
      </c>
      <c r="J1501">
        <v>17.47</v>
      </c>
      <c r="K1501">
        <v>33.4</v>
      </c>
      <c r="L1501" t="s">
        <v>5028</v>
      </c>
      <c r="M1501">
        <v>10</v>
      </c>
      <c r="N1501">
        <v>2</v>
      </c>
      <c r="O1501">
        <v>0</v>
      </c>
    </row>
    <row r="1502" spans="1:15" x14ac:dyDescent="0.3">
      <c r="A1502" t="s">
        <v>1515</v>
      </c>
      <c r="B1502">
        <v>7</v>
      </c>
      <c r="C1502">
        <v>49</v>
      </c>
      <c r="D1502" t="s">
        <v>5015</v>
      </c>
      <c r="E1502" t="s">
        <v>5017</v>
      </c>
      <c r="F1502" t="s">
        <v>5022</v>
      </c>
      <c r="G1502">
        <v>14.18</v>
      </c>
      <c r="H1502">
        <v>5</v>
      </c>
      <c r="I1502">
        <v>1.9</v>
      </c>
      <c r="J1502">
        <v>9.6300000000000008</v>
      </c>
      <c r="K1502">
        <v>62.4</v>
      </c>
      <c r="L1502" t="s">
        <v>5028</v>
      </c>
      <c r="M1502">
        <v>5</v>
      </c>
      <c r="N1502">
        <v>0</v>
      </c>
      <c r="O1502">
        <v>0</v>
      </c>
    </row>
    <row r="1503" spans="1:15" x14ac:dyDescent="0.3">
      <c r="A1503" t="s">
        <v>1516</v>
      </c>
      <c r="B1503">
        <v>3</v>
      </c>
      <c r="C1503">
        <v>66</v>
      </c>
      <c r="D1503" t="s">
        <v>5016</v>
      </c>
      <c r="E1503" t="s">
        <v>5019</v>
      </c>
      <c r="F1503" t="s">
        <v>5021</v>
      </c>
      <c r="G1503">
        <v>24.91</v>
      </c>
      <c r="H1503">
        <v>3</v>
      </c>
      <c r="I1503">
        <v>4.8</v>
      </c>
      <c r="J1503">
        <v>21.92</v>
      </c>
      <c r="K1503">
        <v>91</v>
      </c>
      <c r="L1503" t="s">
        <v>5028</v>
      </c>
      <c r="M1503">
        <v>3</v>
      </c>
      <c r="N1503">
        <v>1</v>
      </c>
      <c r="O1503">
        <v>0</v>
      </c>
    </row>
    <row r="1504" spans="1:15" x14ac:dyDescent="0.3">
      <c r="A1504" t="s">
        <v>1517</v>
      </c>
      <c r="B1504">
        <v>3</v>
      </c>
      <c r="C1504">
        <v>24</v>
      </c>
      <c r="D1504" t="s">
        <v>5016</v>
      </c>
      <c r="E1504" t="s">
        <v>5018</v>
      </c>
      <c r="F1504" t="s">
        <v>5021</v>
      </c>
      <c r="G1504">
        <v>23.98</v>
      </c>
      <c r="H1504">
        <v>2</v>
      </c>
      <c r="I1504">
        <v>5.7</v>
      </c>
      <c r="J1504">
        <v>14.96</v>
      </c>
      <c r="K1504">
        <v>93.8</v>
      </c>
      <c r="L1504" t="s">
        <v>5028</v>
      </c>
      <c r="M1504">
        <v>3</v>
      </c>
      <c r="N1504">
        <v>3</v>
      </c>
      <c r="O1504">
        <v>1</v>
      </c>
    </row>
    <row r="1505" spans="1:15" x14ac:dyDescent="0.3">
      <c r="A1505" t="s">
        <v>1518</v>
      </c>
      <c r="B1505">
        <v>2</v>
      </c>
      <c r="C1505">
        <v>63</v>
      </c>
      <c r="D1505" t="s">
        <v>5016</v>
      </c>
      <c r="E1505" t="s">
        <v>5018</v>
      </c>
      <c r="F1505" t="s">
        <v>5020</v>
      </c>
      <c r="G1505">
        <v>16.97</v>
      </c>
      <c r="H1505">
        <v>5</v>
      </c>
      <c r="I1505">
        <v>3.6</v>
      </c>
      <c r="J1505">
        <v>6.1</v>
      </c>
      <c r="K1505">
        <v>75.8</v>
      </c>
      <c r="L1505" t="s">
        <v>5025</v>
      </c>
      <c r="M1505">
        <v>11</v>
      </c>
      <c r="N1505">
        <v>1</v>
      </c>
      <c r="O1505">
        <v>1</v>
      </c>
    </row>
    <row r="1506" spans="1:15" x14ac:dyDescent="0.3">
      <c r="A1506" t="s">
        <v>1519</v>
      </c>
      <c r="B1506">
        <v>5</v>
      </c>
      <c r="C1506">
        <v>28</v>
      </c>
      <c r="D1506" t="s">
        <v>5015</v>
      </c>
      <c r="E1506" t="s">
        <v>5018</v>
      </c>
      <c r="F1506" t="s">
        <v>5022</v>
      </c>
      <c r="G1506">
        <v>7.76</v>
      </c>
      <c r="H1506">
        <v>3</v>
      </c>
      <c r="I1506">
        <v>8.9</v>
      </c>
      <c r="J1506">
        <v>8.94</v>
      </c>
      <c r="K1506">
        <v>75.5</v>
      </c>
      <c r="L1506" t="s">
        <v>5026</v>
      </c>
      <c r="M1506">
        <v>2</v>
      </c>
      <c r="N1506">
        <v>4</v>
      </c>
      <c r="O1506">
        <v>0</v>
      </c>
    </row>
    <row r="1507" spans="1:15" x14ac:dyDescent="0.3">
      <c r="A1507" t="s">
        <v>1520</v>
      </c>
      <c r="B1507">
        <v>12</v>
      </c>
      <c r="C1507">
        <v>45</v>
      </c>
      <c r="D1507" t="s">
        <v>5015</v>
      </c>
      <c r="E1507" t="s">
        <v>5018</v>
      </c>
      <c r="F1507" t="s">
        <v>5020</v>
      </c>
      <c r="G1507">
        <v>10.17</v>
      </c>
      <c r="H1507">
        <v>4</v>
      </c>
      <c r="I1507">
        <v>8.5</v>
      </c>
      <c r="J1507">
        <v>10.050000000000001</v>
      </c>
      <c r="K1507">
        <v>35</v>
      </c>
      <c r="L1507" t="s">
        <v>5027</v>
      </c>
      <c r="M1507">
        <v>10</v>
      </c>
      <c r="N1507">
        <v>4</v>
      </c>
      <c r="O1507">
        <v>1</v>
      </c>
    </row>
    <row r="1508" spans="1:15" x14ac:dyDescent="0.3">
      <c r="A1508" t="s">
        <v>1521</v>
      </c>
      <c r="B1508">
        <v>12</v>
      </c>
      <c r="C1508">
        <v>58</v>
      </c>
      <c r="D1508" t="s">
        <v>5015</v>
      </c>
      <c r="E1508" t="s">
        <v>5017</v>
      </c>
      <c r="F1508" t="s">
        <v>5024</v>
      </c>
      <c r="G1508">
        <v>12.28</v>
      </c>
      <c r="H1508">
        <v>5</v>
      </c>
      <c r="I1508">
        <v>5.4</v>
      </c>
      <c r="J1508">
        <v>22.49</v>
      </c>
      <c r="K1508">
        <v>99.1</v>
      </c>
      <c r="L1508" t="s">
        <v>5025</v>
      </c>
      <c r="M1508">
        <v>6</v>
      </c>
      <c r="N1508">
        <v>3</v>
      </c>
      <c r="O1508">
        <v>1</v>
      </c>
    </row>
    <row r="1509" spans="1:15" x14ac:dyDescent="0.3">
      <c r="A1509" t="s">
        <v>1522</v>
      </c>
      <c r="B1509">
        <v>3</v>
      </c>
      <c r="C1509">
        <v>40</v>
      </c>
      <c r="D1509" t="s">
        <v>5015</v>
      </c>
      <c r="E1509" t="s">
        <v>5017</v>
      </c>
      <c r="F1509" t="s">
        <v>5024</v>
      </c>
      <c r="G1509">
        <v>22.46</v>
      </c>
      <c r="H1509">
        <v>5</v>
      </c>
      <c r="I1509">
        <v>4.0999999999999996</v>
      </c>
      <c r="J1509">
        <v>19.87</v>
      </c>
      <c r="K1509">
        <v>31.9</v>
      </c>
      <c r="L1509" t="s">
        <v>5028</v>
      </c>
      <c r="M1509">
        <v>9</v>
      </c>
      <c r="N1509">
        <v>2</v>
      </c>
      <c r="O1509">
        <v>0</v>
      </c>
    </row>
    <row r="1510" spans="1:15" x14ac:dyDescent="0.3">
      <c r="A1510" t="s">
        <v>1523</v>
      </c>
      <c r="B1510">
        <v>6</v>
      </c>
      <c r="C1510">
        <v>62</v>
      </c>
      <c r="D1510" t="s">
        <v>5016</v>
      </c>
      <c r="E1510" t="s">
        <v>5017</v>
      </c>
      <c r="F1510" t="s">
        <v>5022</v>
      </c>
      <c r="G1510">
        <v>8.41</v>
      </c>
      <c r="H1510">
        <v>3</v>
      </c>
      <c r="I1510">
        <v>8.1999999999999993</v>
      </c>
      <c r="J1510">
        <v>21.25</v>
      </c>
      <c r="K1510">
        <v>18</v>
      </c>
      <c r="L1510" t="s">
        <v>5027</v>
      </c>
      <c r="M1510">
        <v>7</v>
      </c>
      <c r="N1510">
        <v>4</v>
      </c>
      <c r="O1510">
        <v>0</v>
      </c>
    </row>
    <row r="1511" spans="1:15" x14ac:dyDescent="0.3">
      <c r="A1511" t="s">
        <v>1524</v>
      </c>
      <c r="B1511">
        <v>2</v>
      </c>
      <c r="C1511">
        <v>40</v>
      </c>
      <c r="D1511" t="s">
        <v>5016</v>
      </c>
      <c r="E1511" t="s">
        <v>5017</v>
      </c>
      <c r="F1511" t="s">
        <v>5020</v>
      </c>
      <c r="G1511">
        <v>9.39</v>
      </c>
      <c r="H1511">
        <v>3</v>
      </c>
      <c r="I1511">
        <v>2.8</v>
      </c>
      <c r="J1511">
        <v>4.1500000000000004</v>
      </c>
      <c r="K1511">
        <v>98</v>
      </c>
      <c r="L1511" t="s">
        <v>5026</v>
      </c>
      <c r="M1511">
        <v>2</v>
      </c>
      <c r="N1511">
        <v>2</v>
      </c>
      <c r="O1511">
        <v>0</v>
      </c>
    </row>
    <row r="1512" spans="1:15" x14ac:dyDescent="0.3">
      <c r="A1512" t="s">
        <v>1525</v>
      </c>
      <c r="B1512">
        <v>12</v>
      </c>
      <c r="C1512">
        <v>67</v>
      </c>
      <c r="D1512" t="s">
        <v>5016</v>
      </c>
      <c r="E1512" t="s">
        <v>5019</v>
      </c>
      <c r="F1512" t="s">
        <v>5022</v>
      </c>
      <c r="G1512">
        <v>11.99</v>
      </c>
      <c r="H1512">
        <v>1</v>
      </c>
      <c r="I1512">
        <v>1.6</v>
      </c>
      <c r="J1512">
        <v>15.73</v>
      </c>
      <c r="K1512">
        <v>23.8</v>
      </c>
      <c r="L1512" t="s">
        <v>5028</v>
      </c>
      <c r="M1512">
        <v>9</v>
      </c>
      <c r="N1512">
        <v>2</v>
      </c>
      <c r="O1512">
        <v>0</v>
      </c>
    </row>
    <row r="1513" spans="1:15" x14ac:dyDescent="0.3">
      <c r="A1513" t="s">
        <v>1526</v>
      </c>
      <c r="B1513">
        <v>3</v>
      </c>
      <c r="C1513">
        <v>45</v>
      </c>
      <c r="D1513" t="s">
        <v>5015</v>
      </c>
      <c r="E1513" t="s">
        <v>5017</v>
      </c>
      <c r="F1513" t="s">
        <v>5020</v>
      </c>
      <c r="G1513">
        <v>23.54</v>
      </c>
      <c r="H1513">
        <v>1</v>
      </c>
      <c r="I1513">
        <v>1.4</v>
      </c>
      <c r="J1513">
        <v>24.98</v>
      </c>
      <c r="K1513">
        <v>56.9</v>
      </c>
      <c r="L1513" t="s">
        <v>5029</v>
      </c>
      <c r="M1513">
        <v>3</v>
      </c>
      <c r="N1513">
        <v>3</v>
      </c>
      <c r="O1513">
        <v>0</v>
      </c>
    </row>
    <row r="1514" spans="1:15" x14ac:dyDescent="0.3">
      <c r="A1514" t="s">
        <v>1527</v>
      </c>
      <c r="B1514">
        <v>5</v>
      </c>
      <c r="C1514">
        <v>60</v>
      </c>
      <c r="D1514" t="s">
        <v>5015</v>
      </c>
      <c r="E1514" t="s">
        <v>5017</v>
      </c>
      <c r="F1514" t="s">
        <v>5020</v>
      </c>
      <c r="G1514">
        <v>15.08</v>
      </c>
      <c r="H1514">
        <v>5</v>
      </c>
      <c r="I1514">
        <v>1.3</v>
      </c>
      <c r="J1514">
        <v>20.27</v>
      </c>
      <c r="K1514">
        <v>52.1</v>
      </c>
      <c r="L1514" t="s">
        <v>5028</v>
      </c>
      <c r="M1514">
        <v>7</v>
      </c>
      <c r="N1514">
        <v>4</v>
      </c>
      <c r="O1514">
        <v>1</v>
      </c>
    </row>
    <row r="1515" spans="1:15" x14ac:dyDescent="0.3">
      <c r="A1515" t="s">
        <v>1528</v>
      </c>
      <c r="B1515">
        <v>12</v>
      </c>
      <c r="C1515">
        <v>64</v>
      </c>
      <c r="D1515" t="s">
        <v>5016</v>
      </c>
      <c r="E1515" t="s">
        <v>5018</v>
      </c>
      <c r="F1515" t="s">
        <v>5024</v>
      </c>
      <c r="G1515">
        <v>17.940000000000001</v>
      </c>
      <c r="H1515">
        <v>2</v>
      </c>
      <c r="I1515">
        <v>5.4</v>
      </c>
      <c r="J1515">
        <v>5.66</v>
      </c>
      <c r="K1515">
        <v>86.3</v>
      </c>
      <c r="L1515" t="s">
        <v>5027</v>
      </c>
      <c r="M1515">
        <v>10</v>
      </c>
      <c r="N1515">
        <v>1</v>
      </c>
      <c r="O1515">
        <v>0</v>
      </c>
    </row>
    <row r="1516" spans="1:15" x14ac:dyDescent="0.3">
      <c r="A1516" t="s">
        <v>1529</v>
      </c>
      <c r="B1516">
        <v>11</v>
      </c>
      <c r="C1516">
        <v>43</v>
      </c>
      <c r="D1516" t="s">
        <v>5016</v>
      </c>
      <c r="E1516" t="s">
        <v>5018</v>
      </c>
      <c r="F1516" t="s">
        <v>5023</v>
      </c>
      <c r="G1516">
        <v>12.74</v>
      </c>
      <c r="H1516">
        <v>4</v>
      </c>
      <c r="I1516">
        <v>3.3</v>
      </c>
      <c r="J1516">
        <v>17.93</v>
      </c>
      <c r="K1516">
        <v>45.7</v>
      </c>
      <c r="L1516" t="s">
        <v>5026</v>
      </c>
      <c r="M1516">
        <v>7</v>
      </c>
      <c r="N1516">
        <v>2</v>
      </c>
      <c r="O1516">
        <v>0</v>
      </c>
    </row>
    <row r="1517" spans="1:15" x14ac:dyDescent="0.3">
      <c r="A1517" t="s">
        <v>1530</v>
      </c>
      <c r="B1517">
        <v>11</v>
      </c>
      <c r="C1517">
        <v>42</v>
      </c>
      <c r="D1517" t="s">
        <v>5015</v>
      </c>
      <c r="E1517" t="s">
        <v>5017</v>
      </c>
      <c r="F1517" t="s">
        <v>5021</v>
      </c>
      <c r="G1517">
        <v>8.77</v>
      </c>
      <c r="H1517">
        <v>3</v>
      </c>
      <c r="I1517">
        <v>7.2</v>
      </c>
      <c r="J1517">
        <v>19.399999999999999</v>
      </c>
      <c r="K1517">
        <v>55.2</v>
      </c>
      <c r="L1517" t="s">
        <v>5028</v>
      </c>
      <c r="M1517">
        <v>4</v>
      </c>
      <c r="N1517">
        <v>2</v>
      </c>
      <c r="O1517">
        <v>0</v>
      </c>
    </row>
    <row r="1518" spans="1:15" x14ac:dyDescent="0.3">
      <c r="A1518" t="s">
        <v>1531</v>
      </c>
      <c r="B1518">
        <v>1</v>
      </c>
      <c r="C1518">
        <v>46</v>
      </c>
      <c r="D1518" t="s">
        <v>5016</v>
      </c>
      <c r="E1518" t="s">
        <v>5019</v>
      </c>
      <c r="F1518" t="s">
        <v>5021</v>
      </c>
      <c r="G1518">
        <v>9.4600000000000009</v>
      </c>
      <c r="H1518">
        <v>1</v>
      </c>
      <c r="I1518">
        <v>6.9</v>
      </c>
      <c r="J1518">
        <v>14.31</v>
      </c>
      <c r="K1518">
        <v>13.9</v>
      </c>
      <c r="L1518" t="s">
        <v>5026</v>
      </c>
      <c r="M1518">
        <v>4</v>
      </c>
      <c r="N1518">
        <v>4</v>
      </c>
      <c r="O1518">
        <v>0</v>
      </c>
    </row>
    <row r="1519" spans="1:15" x14ac:dyDescent="0.3">
      <c r="A1519" t="s">
        <v>1532</v>
      </c>
      <c r="B1519">
        <v>1</v>
      </c>
      <c r="C1519">
        <v>36</v>
      </c>
      <c r="D1519" t="s">
        <v>5016</v>
      </c>
      <c r="E1519" t="s">
        <v>5019</v>
      </c>
      <c r="F1519" t="s">
        <v>5022</v>
      </c>
      <c r="G1519">
        <v>21.05</v>
      </c>
      <c r="H1519">
        <v>4</v>
      </c>
      <c r="I1519">
        <v>5.9</v>
      </c>
      <c r="J1519">
        <v>4.7300000000000004</v>
      </c>
      <c r="K1519">
        <v>28.7</v>
      </c>
      <c r="L1519" t="s">
        <v>5025</v>
      </c>
      <c r="M1519">
        <v>2</v>
      </c>
      <c r="N1519">
        <v>4</v>
      </c>
      <c r="O1519">
        <v>1</v>
      </c>
    </row>
    <row r="1520" spans="1:15" x14ac:dyDescent="0.3">
      <c r="A1520" t="s">
        <v>1533</v>
      </c>
      <c r="B1520">
        <v>10</v>
      </c>
      <c r="C1520">
        <v>50</v>
      </c>
      <c r="D1520" t="s">
        <v>5015</v>
      </c>
      <c r="E1520" t="s">
        <v>5017</v>
      </c>
      <c r="F1520" t="s">
        <v>5021</v>
      </c>
      <c r="G1520">
        <v>22.87</v>
      </c>
      <c r="H1520">
        <v>5</v>
      </c>
      <c r="I1520">
        <v>4.2</v>
      </c>
      <c r="J1520">
        <v>3.76</v>
      </c>
      <c r="K1520">
        <v>85</v>
      </c>
      <c r="L1520" t="s">
        <v>5029</v>
      </c>
      <c r="M1520">
        <v>2</v>
      </c>
      <c r="N1520">
        <v>3</v>
      </c>
      <c r="O1520">
        <v>0</v>
      </c>
    </row>
    <row r="1521" spans="1:15" x14ac:dyDescent="0.3">
      <c r="A1521" t="s">
        <v>1534</v>
      </c>
      <c r="B1521">
        <v>9</v>
      </c>
      <c r="C1521">
        <v>53</v>
      </c>
      <c r="D1521" t="s">
        <v>5015</v>
      </c>
      <c r="E1521" t="s">
        <v>5017</v>
      </c>
      <c r="F1521" t="s">
        <v>5024</v>
      </c>
      <c r="G1521">
        <v>14.86</v>
      </c>
      <c r="H1521">
        <v>3</v>
      </c>
      <c r="I1521">
        <v>8.6999999999999993</v>
      </c>
      <c r="J1521">
        <v>23.63</v>
      </c>
      <c r="K1521">
        <v>53.1</v>
      </c>
      <c r="L1521" t="s">
        <v>5025</v>
      </c>
      <c r="M1521">
        <v>2</v>
      </c>
      <c r="N1521">
        <v>0</v>
      </c>
      <c r="O1521">
        <v>0</v>
      </c>
    </row>
    <row r="1522" spans="1:15" x14ac:dyDescent="0.3">
      <c r="A1522" t="s">
        <v>1535</v>
      </c>
      <c r="B1522">
        <v>7</v>
      </c>
      <c r="C1522">
        <v>31</v>
      </c>
      <c r="D1522" t="s">
        <v>5015</v>
      </c>
      <c r="E1522" t="s">
        <v>5019</v>
      </c>
      <c r="F1522" t="s">
        <v>5023</v>
      </c>
      <c r="G1522">
        <v>12.14</v>
      </c>
      <c r="H1522">
        <v>3</v>
      </c>
      <c r="I1522">
        <v>7.4</v>
      </c>
      <c r="J1522">
        <v>8.67</v>
      </c>
      <c r="K1522">
        <v>30.8</v>
      </c>
      <c r="L1522" t="s">
        <v>5029</v>
      </c>
      <c r="M1522">
        <v>11</v>
      </c>
      <c r="N1522">
        <v>0</v>
      </c>
      <c r="O1522">
        <v>0</v>
      </c>
    </row>
    <row r="1523" spans="1:15" x14ac:dyDescent="0.3">
      <c r="A1523" t="s">
        <v>1536</v>
      </c>
      <c r="B1523">
        <v>1</v>
      </c>
      <c r="C1523">
        <v>31</v>
      </c>
      <c r="D1523" t="s">
        <v>5016</v>
      </c>
      <c r="E1523" t="s">
        <v>5019</v>
      </c>
      <c r="F1523" t="s">
        <v>5020</v>
      </c>
      <c r="G1523">
        <v>21.16</v>
      </c>
      <c r="H1523">
        <v>1</v>
      </c>
      <c r="I1523">
        <v>3.4</v>
      </c>
      <c r="J1523">
        <v>11.34</v>
      </c>
      <c r="K1523">
        <v>43.2</v>
      </c>
      <c r="L1523" t="s">
        <v>5025</v>
      </c>
      <c r="M1523">
        <v>5</v>
      </c>
      <c r="N1523">
        <v>0</v>
      </c>
      <c r="O1523">
        <v>1</v>
      </c>
    </row>
    <row r="1524" spans="1:15" x14ac:dyDescent="0.3">
      <c r="A1524" t="s">
        <v>1537</v>
      </c>
      <c r="B1524">
        <v>12</v>
      </c>
      <c r="C1524">
        <v>52</v>
      </c>
      <c r="D1524" t="s">
        <v>5015</v>
      </c>
      <c r="E1524" t="s">
        <v>5018</v>
      </c>
      <c r="F1524" t="s">
        <v>5020</v>
      </c>
      <c r="G1524">
        <v>18.46</v>
      </c>
      <c r="H1524">
        <v>2</v>
      </c>
      <c r="I1524">
        <v>5.5</v>
      </c>
      <c r="J1524">
        <v>20.5</v>
      </c>
      <c r="K1524">
        <v>35.700000000000003</v>
      </c>
      <c r="L1524" t="s">
        <v>5026</v>
      </c>
      <c r="M1524">
        <v>3</v>
      </c>
      <c r="N1524">
        <v>2</v>
      </c>
      <c r="O1524">
        <v>1</v>
      </c>
    </row>
    <row r="1525" spans="1:15" x14ac:dyDescent="0.3">
      <c r="A1525" t="s">
        <v>1538</v>
      </c>
      <c r="B1525">
        <v>8</v>
      </c>
      <c r="C1525">
        <v>47</v>
      </c>
      <c r="D1525" t="s">
        <v>5016</v>
      </c>
      <c r="E1525" t="s">
        <v>5017</v>
      </c>
      <c r="F1525" t="s">
        <v>5024</v>
      </c>
      <c r="G1525">
        <v>5.82</v>
      </c>
      <c r="H1525">
        <v>3</v>
      </c>
      <c r="I1525">
        <v>2.4</v>
      </c>
      <c r="J1525">
        <v>18.16</v>
      </c>
      <c r="K1525">
        <v>60.1</v>
      </c>
      <c r="L1525" t="s">
        <v>5026</v>
      </c>
      <c r="M1525">
        <v>10</v>
      </c>
      <c r="N1525">
        <v>3</v>
      </c>
      <c r="O1525">
        <v>1</v>
      </c>
    </row>
    <row r="1526" spans="1:15" x14ac:dyDescent="0.3">
      <c r="A1526" t="s">
        <v>1539</v>
      </c>
      <c r="B1526">
        <v>3</v>
      </c>
      <c r="C1526">
        <v>45</v>
      </c>
      <c r="D1526" t="s">
        <v>5016</v>
      </c>
      <c r="E1526" t="s">
        <v>5018</v>
      </c>
      <c r="F1526" t="s">
        <v>5021</v>
      </c>
      <c r="G1526">
        <v>12.01</v>
      </c>
      <c r="H1526">
        <v>2</v>
      </c>
      <c r="I1526">
        <v>4</v>
      </c>
      <c r="J1526">
        <v>24.31</v>
      </c>
      <c r="K1526">
        <v>14.6</v>
      </c>
      <c r="L1526" t="s">
        <v>5025</v>
      </c>
      <c r="M1526">
        <v>7</v>
      </c>
      <c r="N1526">
        <v>0</v>
      </c>
      <c r="O1526">
        <v>0</v>
      </c>
    </row>
    <row r="1527" spans="1:15" x14ac:dyDescent="0.3">
      <c r="A1527" t="s">
        <v>1540</v>
      </c>
      <c r="B1527">
        <v>8</v>
      </c>
      <c r="C1527">
        <v>34</v>
      </c>
      <c r="D1527" t="s">
        <v>5015</v>
      </c>
      <c r="E1527" t="s">
        <v>5018</v>
      </c>
      <c r="F1527" t="s">
        <v>5020</v>
      </c>
      <c r="G1527">
        <v>18.64</v>
      </c>
      <c r="H1527">
        <v>4</v>
      </c>
      <c r="I1527">
        <v>10</v>
      </c>
      <c r="J1527">
        <v>5.04</v>
      </c>
      <c r="K1527">
        <v>30.2</v>
      </c>
      <c r="L1527" t="s">
        <v>5027</v>
      </c>
      <c r="M1527">
        <v>7</v>
      </c>
      <c r="N1527">
        <v>4</v>
      </c>
      <c r="O1527">
        <v>1</v>
      </c>
    </row>
    <row r="1528" spans="1:15" x14ac:dyDescent="0.3">
      <c r="A1528" t="s">
        <v>1541</v>
      </c>
      <c r="B1528">
        <v>5</v>
      </c>
      <c r="C1528">
        <v>20</v>
      </c>
      <c r="D1528" t="s">
        <v>5016</v>
      </c>
      <c r="E1528" t="s">
        <v>5017</v>
      </c>
      <c r="F1528" t="s">
        <v>5021</v>
      </c>
      <c r="G1528">
        <v>16.47</v>
      </c>
      <c r="H1528">
        <v>3</v>
      </c>
      <c r="I1528">
        <v>3</v>
      </c>
      <c r="J1528">
        <v>18.55</v>
      </c>
      <c r="K1528">
        <v>41.9</v>
      </c>
      <c r="L1528" t="s">
        <v>5025</v>
      </c>
      <c r="M1528">
        <v>6</v>
      </c>
      <c r="N1528">
        <v>2</v>
      </c>
      <c r="O1528">
        <v>0</v>
      </c>
    </row>
    <row r="1529" spans="1:15" x14ac:dyDescent="0.3">
      <c r="A1529" t="s">
        <v>1542</v>
      </c>
      <c r="B1529">
        <v>1</v>
      </c>
      <c r="C1529">
        <v>33</v>
      </c>
      <c r="D1529" t="s">
        <v>5015</v>
      </c>
      <c r="E1529" t="s">
        <v>5018</v>
      </c>
      <c r="F1529" t="s">
        <v>5024</v>
      </c>
      <c r="G1529">
        <v>24.56</v>
      </c>
      <c r="H1529">
        <v>3</v>
      </c>
      <c r="I1529">
        <v>7.3</v>
      </c>
      <c r="J1529">
        <v>4.8099999999999996</v>
      </c>
      <c r="K1529">
        <v>93.5</v>
      </c>
      <c r="L1529" t="s">
        <v>5028</v>
      </c>
      <c r="M1529">
        <v>8</v>
      </c>
      <c r="N1529">
        <v>2</v>
      </c>
      <c r="O1529">
        <v>0</v>
      </c>
    </row>
    <row r="1530" spans="1:15" x14ac:dyDescent="0.3">
      <c r="A1530" t="s">
        <v>1543</v>
      </c>
      <c r="B1530">
        <v>7</v>
      </c>
      <c r="C1530">
        <v>63</v>
      </c>
      <c r="D1530" t="s">
        <v>5015</v>
      </c>
      <c r="E1530" t="s">
        <v>5018</v>
      </c>
      <c r="F1530" t="s">
        <v>5020</v>
      </c>
      <c r="G1530">
        <v>22.32</v>
      </c>
      <c r="H1530">
        <v>2</v>
      </c>
      <c r="I1530">
        <v>3.1</v>
      </c>
      <c r="J1530">
        <v>3</v>
      </c>
      <c r="K1530">
        <v>66.099999999999994</v>
      </c>
      <c r="L1530" t="s">
        <v>5027</v>
      </c>
      <c r="M1530">
        <v>11</v>
      </c>
      <c r="N1530">
        <v>4</v>
      </c>
      <c r="O1530">
        <v>0</v>
      </c>
    </row>
    <row r="1531" spans="1:15" x14ac:dyDescent="0.3">
      <c r="A1531" t="s">
        <v>1544</v>
      </c>
      <c r="B1531">
        <v>5</v>
      </c>
      <c r="C1531">
        <v>47</v>
      </c>
      <c r="D1531" t="s">
        <v>5016</v>
      </c>
      <c r="E1531" t="s">
        <v>5018</v>
      </c>
      <c r="F1531" t="s">
        <v>5022</v>
      </c>
      <c r="G1531">
        <v>6.19</v>
      </c>
      <c r="H1531">
        <v>1</v>
      </c>
      <c r="I1531">
        <v>9.4</v>
      </c>
      <c r="J1531">
        <v>5.65</v>
      </c>
      <c r="K1531">
        <v>55.4</v>
      </c>
      <c r="L1531" t="s">
        <v>5026</v>
      </c>
      <c r="M1531">
        <v>4</v>
      </c>
      <c r="N1531">
        <v>3</v>
      </c>
      <c r="O1531">
        <v>0</v>
      </c>
    </row>
    <row r="1532" spans="1:15" x14ac:dyDescent="0.3">
      <c r="A1532" t="s">
        <v>1545</v>
      </c>
      <c r="B1532">
        <v>6</v>
      </c>
      <c r="C1532">
        <v>69</v>
      </c>
      <c r="D1532" t="s">
        <v>5016</v>
      </c>
      <c r="E1532" t="s">
        <v>5019</v>
      </c>
      <c r="F1532" t="s">
        <v>5023</v>
      </c>
      <c r="G1532">
        <v>19.52</v>
      </c>
      <c r="H1532">
        <v>5</v>
      </c>
      <c r="I1532">
        <v>3.8</v>
      </c>
      <c r="J1532">
        <v>16.57</v>
      </c>
      <c r="K1532">
        <v>27.2</v>
      </c>
      <c r="L1532" t="s">
        <v>5025</v>
      </c>
      <c r="M1532">
        <v>9</v>
      </c>
      <c r="N1532">
        <v>3</v>
      </c>
      <c r="O1532">
        <v>0</v>
      </c>
    </row>
    <row r="1533" spans="1:15" x14ac:dyDescent="0.3">
      <c r="A1533" t="s">
        <v>1546</v>
      </c>
      <c r="B1533">
        <v>6</v>
      </c>
      <c r="C1533">
        <v>46</v>
      </c>
      <c r="D1533" t="s">
        <v>5015</v>
      </c>
      <c r="E1533" t="s">
        <v>5019</v>
      </c>
      <c r="F1533" t="s">
        <v>5021</v>
      </c>
      <c r="G1533">
        <v>11.73</v>
      </c>
      <c r="H1533">
        <v>4</v>
      </c>
      <c r="I1533">
        <v>4.0999999999999996</v>
      </c>
      <c r="J1533">
        <v>17.88</v>
      </c>
      <c r="K1533">
        <v>60.2</v>
      </c>
      <c r="L1533" t="s">
        <v>5027</v>
      </c>
      <c r="M1533">
        <v>10</v>
      </c>
      <c r="N1533">
        <v>0</v>
      </c>
      <c r="O1533">
        <v>0</v>
      </c>
    </row>
    <row r="1534" spans="1:15" x14ac:dyDescent="0.3">
      <c r="A1534" t="s">
        <v>1547</v>
      </c>
      <c r="B1534">
        <v>8</v>
      </c>
      <c r="C1534">
        <v>62</v>
      </c>
      <c r="D1534" t="s">
        <v>5015</v>
      </c>
      <c r="E1534" t="s">
        <v>5018</v>
      </c>
      <c r="F1534" t="s">
        <v>5021</v>
      </c>
      <c r="G1534">
        <v>18.64</v>
      </c>
      <c r="H1534">
        <v>3</v>
      </c>
      <c r="I1534">
        <v>6.3</v>
      </c>
      <c r="J1534">
        <v>12.64</v>
      </c>
      <c r="K1534">
        <v>93.6</v>
      </c>
      <c r="L1534" t="s">
        <v>5028</v>
      </c>
      <c r="M1534">
        <v>10</v>
      </c>
      <c r="N1534">
        <v>4</v>
      </c>
      <c r="O1534">
        <v>0</v>
      </c>
    </row>
    <row r="1535" spans="1:15" x14ac:dyDescent="0.3">
      <c r="A1535" t="s">
        <v>1548</v>
      </c>
      <c r="B1535">
        <v>9</v>
      </c>
      <c r="C1535">
        <v>32</v>
      </c>
      <c r="D1535" t="s">
        <v>5015</v>
      </c>
      <c r="E1535" t="s">
        <v>5019</v>
      </c>
      <c r="F1535" t="s">
        <v>5021</v>
      </c>
      <c r="G1535">
        <v>17.34</v>
      </c>
      <c r="H1535">
        <v>1</v>
      </c>
      <c r="I1535">
        <v>6.3</v>
      </c>
      <c r="J1535">
        <v>4.01</v>
      </c>
      <c r="K1535">
        <v>61</v>
      </c>
      <c r="L1535" t="s">
        <v>5029</v>
      </c>
      <c r="M1535">
        <v>5</v>
      </c>
      <c r="N1535">
        <v>1</v>
      </c>
      <c r="O1535">
        <v>1</v>
      </c>
    </row>
    <row r="1536" spans="1:15" x14ac:dyDescent="0.3">
      <c r="A1536" t="s">
        <v>1549</v>
      </c>
      <c r="B1536">
        <v>2</v>
      </c>
      <c r="C1536">
        <v>63</v>
      </c>
      <c r="D1536" t="s">
        <v>5015</v>
      </c>
      <c r="E1536" t="s">
        <v>5017</v>
      </c>
      <c r="F1536" t="s">
        <v>5021</v>
      </c>
      <c r="G1536">
        <v>15.06</v>
      </c>
      <c r="H1536">
        <v>3</v>
      </c>
      <c r="I1536">
        <v>6.2</v>
      </c>
      <c r="J1536">
        <v>16.95</v>
      </c>
      <c r="K1536">
        <v>24.8</v>
      </c>
      <c r="L1536" t="s">
        <v>5026</v>
      </c>
      <c r="M1536">
        <v>4</v>
      </c>
      <c r="N1536">
        <v>3</v>
      </c>
      <c r="O1536">
        <v>0</v>
      </c>
    </row>
    <row r="1537" spans="1:15" x14ac:dyDescent="0.3">
      <c r="A1537" t="s">
        <v>1550</v>
      </c>
      <c r="B1537">
        <v>9</v>
      </c>
      <c r="C1537">
        <v>42</v>
      </c>
      <c r="D1537" t="s">
        <v>5015</v>
      </c>
      <c r="E1537" t="s">
        <v>5019</v>
      </c>
      <c r="F1537" t="s">
        <v>5024</v>
      </c>
      <c r="G1537">
        <v>22.06</v>
      </c>
      <c r="H1537">
        <v>4</v>
      </c>
      <c r="I1537">
        <v>6.2</v>
      </c>
      <c r="J1537">
        <v>4.8899999999999997</v>
      </c>
      <c r="K1537">
        <v>99.7</v>
      </c>
      <c r="L1537" t="s">
        <v>5027</v>
      </c>
      <c r="M1537">
        <v>3</v>
      </c>
      <c r="N1537">
        <v>0</v>
      </c>
      <c r="O1537">
        <v>1</v>
      </c>
    </row>
    <row r="1538" spans="1:15" x14ac:dyDescent="0.3">
      <c r="A1538" t="s">
        <v>1551</v>
      </c>
      <c r="B1538">
        <v>12</v>
      </c>
      <c r="C1538">
        <v>68</v>
      </c>
      <c r="D1538" t="s">
        <v>5015</v>
      </c>
      <c r="E1538" t="s">
        <v>5017</v>
      </c>
      <c r="F1538" t="s">
        <v>5024</v>
      </c>
      <c r="G1538">
        <v>19.170000000000002</v>
      </c>
      <c r="H1538">
        <v>5</v>
      </c>
      <c r="I1538">
        <v>3.8</v>
      </c>
      <c r="J1538">
        <v>6.12</v>
      </c>
      <c r="K1538">
        <v>54.9</v>
      </c>
      <c r="L1538" t="s">
        <v>5027</v>
      </c>
      <c r="M1538">
        <v>9</v>
      </c>
      <c r="N1538">
        <v>2</v>
      </c>
      <c r="O1538">
        <v>0</v>
      </c>
    </row>
    <row r="1539" spans="1:15" x14ac:dyDescent="0.3">
      <c r="A1539" t="s">
        <v>1552</v>
      </c>
      <c r="B1539">
        <v>11</v>
      </c>
      <c r="C1539">
        <v>55</v>
      </c>
      <c r="D1539" t="s">
        <v>5016</v>
      </c>
      <c r="E1539" t="s">
        <v>5017</v>
      </c>
      <c r="F1539" t="s">
        <v>5024</v>
      </c>
      <c r="G1539">
        <v>22.79</v>
      </c>
      <c r="H1539">
        <v>3</v>
      </c>
      <c r="I1539">
        <v>4.9000000000000004</v>
      </c>
      <c r="J1539">
        <v>14.28</v>
      </c>
      <c r="K1539">
        <v>38.799999999999997</v>
      </c>
      <c r="L1539" t="s">
        <v>5027</v>
      </c>
      <c r="M1539">
        <v>4</v>
      </c>
      <c r="N1539">
        <v>3</v>
      </c>
      <c r="O1539">
        <v>0</v>
      </c>
    </row>
    <row r="1540" spans="1:15" x14ac:dyDescent="0.3">
      <c r="A1540" t="s">
        <v>1553</v>
      </c>
      <c r="B1540">
        <v>10</v>
      </c>
      <c r="C1540">
        <v>59</v>
      </c>
      <c r="D1540" t="s">
        <v>5016</v>
      </c>
      <c r="E1540" t="s">
        <v>5018</v>
      </c>
      <c r="F1540" t="s">
        <v>5024</v>
      </c>
      <c r="G1540">
        <v>10.63</v>
      </c>
      <c r="H1540">
        <v>2</v>
      </c>
      <c r="I1540">
        <v>6.3</v>
      </c>
      <c r="J1540">
        <v>10.49</v>
      </c>
      <c r="K1540">
        <v>55.3</v>
      </c>
      <c r="L1540" t="s">
        <v>5025</v>
      </c>
      <c r="M1540">
        <v>9</v>
      </c>
      <c r="N1540">
        <v>1</v>
      </c>
      <c r="O1540">
        <v>0</v>
      </c>
    </row>
    <row r="1541" spans="1:15" x14ac:dyDescent="0.3">
      <c r="A1541" t="s">
        <v>1554</v>
      </c>
      <c r="B1541">
        <v>9</v>
      </c>
      <c r="C1541">
        <v>64</v>
      </c>
      <c r="D1541" t="s">
        <v>5016</v>
      </c>
      <c r="E1541" t="s">
        <v>5018</v>
      </c>
      <c r="F1541" t="s">
        <v>5020</v>
      </c>
      <c r="G1541">
        <v>11.96</v>
      </c>
      <c r="H1541">
        <v>1</v>
      </c>
      <c r="I1541">
        <v>7</v>
      </c>
      <c r="J1541">
        <v>13.22</v>
      </c>
      <c r="K1541">
        <v>33.700000000000003</v>
      </c>
      <c r="L1541" t="s">
        <v>5026</v>
      </c>
      <c r="M1541">
        <v>11</v>
      </c>
      <c r="N1541">
        <v>2</v>
      </c>
      <c r="O1541">
        <v>0</v>
      </c>
    </row>
    <row r="1542" spans="1:15" x14ac:dyDescent="0.3">
      <c r="A1542" t="s">
        <v>1555</v>
      </c>
      <c r="B1542">
        <v>10</v>
      </c>
      <c r="C1542">
        <v>69</v>
      </c>
      <c r="D1542" t="s">
        <v>5016</v>
      </c>
      <c r="E1542" t="s">
        <v>5019</v>
      </c>
      <c r="F1542" t="s">
        <v>5024</v>
      </c>
      <c r="G1542">
        <v>17.440000000000001</v>
      </c>
      <c r="H1542">
        <v>5</v>
      </c>
      <c r="I1542">
        <v>3.3</v>
      </c>
      <c r="J1542">
        <v>16.97</v>
      </c>
      <c r="K1542">
        <v>12.7</v>
      </c>
      <c r="L1542" t="s">
        <v>5026</v>
      </c>
      <c r="M1542">
        <v>1</v>
      </c>
      <c r="N1542">
        <v>2</v>
      </c>
      <c r="O1542">
        <v>1</v>
      </c>
    </row>
    <row r="1543" spans="1:15" x14ac:dyDescent="0.3">
      <c r="A1543" t="s">
        <v>1556</v>
      </c>
      <c r="B1543">
        <v>10</v>
      </c>
      <c r="C1543">
        <v>55</v>
      </c>
      <c r="D1543" t="s">
        <v>5015</v>
      </c>
      <c r="E1543" t="s">
        <v>5018</v>
      </c>
      <c r="F1543" t="s">
        <v>5020</v>
      </c>
      <c r="G1543">
        <v>24.33</v>
      </c>
      <c r="H1543">
        <v>3</v>
      </c>
      <c r="I1543">
        <v>7.3</v>
      </c>
      <c r="J1543">
        <v>6.52</v>
      </c>
      <c r="K1543">
        <v>90.1</v>
      </c>
      <c r="L1543" t="s">
        <v>5025</v>
      </c>
      <c r="M1543">
        <v>5</v>
      </c>
      <c r="N1543">
        <v>4</v>
      </c>
      <c r="O1543">
        <v>0</v>
      </c>
    </row>
    <row r="1544" spans="1:15" x14ac:dyDescent="0.3">
      <c r="A1544" t="s">
        <v>1557</v>
      </c>
      <c r="B1544">
        <v>7</v>
      </c>
      <c r="C1544">
        <v>40</v>
      </c>
      <c r="D1544" t="s">
        <v>5016</v>
      </c>
      <c r="E1544" t="s">
        <v>5017</v>
      </c>
      <c r="F1544" t="s">
        <v>5022</v>
      </c>
      <c r="G1544">
        <v>12.43</v>
      </c>
      <c r="H1544">
        <v>5</v>
      </c>
      <c r="I1544">
        <v>9.3000000000000007</v>
      </c>
      <c r="J1544">
        <v>22.65</v>
      </c>
      <c r="K1544">
        <v>48.6</v>
      </c>
      <c r="L1544" t="s">
        <v>5025</v>
      </c>
      <c r="M1544">
        <v>1</v>
      </c>
      <c r="N1544">
        <v>4</v>
      </c>
      <c r="O1544">
        <v>0</v>
      </c>
    </row>
    <row r="1545" spans="1:15" x14ac:dyDescent="0.3">
      <c r="A1545" t="s">
        <v>1558</v>
      </c>
      <c r="B1545">
        <v>1</v>
      </c>
      <c r="C1545">
        <v>42</v>
      </c>
      <c r="D1545" t="s">
        <v>5016</v>
      </c>
      <c r="E1545" t="s">
        <v>5018</v>
      </c>
      <c r="F1545" t="s">
        <v>5024</v>
      </c>
      <c r="G1545">
        <v>5.65</v>
      </c>
      <c r="H1545">
        <v>2</v>
      </c>
      <c r="I1545">
        <v>7.8</v>
      </c>
      <c r="J1545">
        <v>15.31</v>
      </c>
      <c r="K1545">
        <v>77.8</v>
      </c>
      <c r="L1545" t="s">
        <v>5025</v>
      </c>
      <c r="M1545">
        <v>9</v>
      </c>
      <c r="N1545">
        <v>3</v>
      </c>
      <c r="O1545">
        <v>0</v>
      </c>
    </row>
    <row r="1546" spans="1:15" x14ac:dyDescent="0.3">
      <c r="A1546" t="s">
        <v>1559</v>
      </c>
      <c r="B1546">
        <v>7</v>
      </c>
      <c r="C1546">
        <v>59</v>
      </c>
      <c r="D1546" t="s">
        <v>5015</v>
      </c>
      <c r="E1546" t="s">
        <v>5018</v>
      </c>
      <c r="F1546" t="s">
        <v>5022</v>
      </c>
      <c r="G1546">
        <v>13.92</v>
      </c>
      <c r="H1546">
        <v>3</v>
      </c>
      <c r="I1546">
        <v>1.8</v>
      </c>
      <c r="J1546">
        <v>3.49</v>
      </c>
      <c r="K1546">
        <v>97.4</v>
      </c>
      <c r="L1546" t="s">
        <v>5028</v>
      </c>
      <c r="M1546">
        <v>7</v>
      </c>
      <c r="N1546">
        <v>1</v>
      </c>
      <c r="O1546">
        <v>0</v>
      </c>
    </row>
    <row r="1547" spans="1:15" x14ac:dyDescent="0.3">
      <c r="A1547" t="s">
        <v>1560</v>
      </c>
      <c r="B1547">
        <v>10</v>
      </c>
      <c r="C1547">
        <v>24</v>
      </c>
      <c r="D1547" t="s">
        <v>5016</v>
      </c>
      <c r="E1547" t="s">
        <v>5018</v>
      </c>
      <c r="F1547" t="s">
        <v>5024</v>
      </c>
      <c r="G1547">
        <v>15.88</v>
      </c>
      <c r="H1547">
        <v>5</v>
      </c>
      <c r="I1547">
        <v>5.2</v>
      </c>
      <c r="J1547">
        <v>16.829999999999998</v>
      </c>
      <c r="K1547">
        <v>66.900000000000006</v>
      </c>
      <c r="L1547" t="s">
        <v>5027</v>
      </c>
      <c r="M1547">
        <v>10</v>
      </c>
      <c r="N1547">
        <v>4</v>
      </c>
      <c r="O1547">
        <v>0</v>
      </c>
    </row>
    <row r="1548" spans="1:15" x14ac:dyDescent="0.3">
      <c r="A1548" t="s">
        <v>1561</v>
      </c>
      <c r="B1548">
        <v>5</v>
      </c>
      <c r="C1548">
        <v>39</v>
      </c>
      <c r="D1548" t="s">
        <v>5015</v>
      </c>
      <c r="E1548" t="s">
        <v>5018</v>
      </c>
      <c r="F1548" t="s">
        <v>5022</v>
      </c>
      <c r="G1548">
        <v>21.02</v>
      </c>
      <c r="H1548">
        <v>3</v>
      </c>
      <c r="I1548">
        <v>4.9000000000000004</v>
      </c>
      <c r="J1548">
        <v>13.19</v>
      </c>
      <c r="K1548">
        <v>72.2</v>
      </c>
      <c r="L1548" t="s">
        <v>5028</v>
      </c>
      <c r="M1548">
        <v>9</v>
      </c>
      <c r="N1548">
        <v>0</v>
      </c>
      <c r="O1548">
        <v>1</v>
      </c>
    </row>
    <row r="1549" spans="1:15" x14ac:dyDescent="0.3">
      <c r="A1549" t="s">
        <v>1562</v>
      </c>
      <c r="B1549">
        <v>6</v>
      </c>
      <c r="C1549">
        <v>34</v>
      </c>
      <c r="D1549" t="s">
        <v>5015</v>
      </c>
      <c r="E1549" t="s">
        <v>5019</v>
      </c>
      <c r="F1549" t="s">
        <v>5023</v>
      </c>
      <c r="G1549">
        <v>19.57</v>
      </c>
      <c r="H1549">
        <v>3</v>
      </c>
      <c r="I1549">
        <v>4</v>
      </c>
      <c r="J1549">
        <v>18.440000000000001</v>
      </c>
      <c r="K1549">
        <v>94.9</v>
      </c>
      <c r="L1549" t="s">
        <v>5026</v>
      </c>
      <c r="M1549">
        <v>5</v>
      </c>
      <c r="N1549">
        <v>2</v>
      </c>
      <c r="O1549">
        <v>0</v>
      </c>
    </row>
    <row r="1550" spans="1:15" x14ac:dyDescent="0.3">
      <c r="A1550" t="s">
        <v>1563</v>
      </c>
      <c r="B1550">
        <v>10</v>
      </c>
      <c r="C1550">
        <v>35</v>
      </c>
      <c r="D1550" t="s">
        <v>5015</v>
      </c>
      <c r="E1550" t="s">
        <v>5019</v>
      </c>
      <c r="F1550" t="s">
        <v>5022</v>
      </c>
      <c r="G1550">
        <v>24.29</v>
      </c>
      <c r="H1550">
        <v>5</v>
      </c>
      <c r="I1550">
        <v>5.4</v>
      </c>
      <c r="J1550">
        <v>20.25</v>
      </c>
      <c r="K1550">
        <v>56.5</v>
      </c>
      <c r="L1550" t="s">
        <v>5025</v>
      </c>
      <c r="M1550">
        <v>10</v>
      </c>
      <c r="N1550">
        <v>0</v>
      </c>
      <c r="O1550">
        <v>0</v>
      </c>
    </row>
    <row r="1551" spans="1:15" x14ac:dyDescent="0.3">
      <c r="A1551" t="s">
        <v>1564</v>
      </c>
      <c r="B1551">
        <v>7</v>
      </c>
      <c r="C1551">
        <v>66</v>
      </c>
      <c r="D1551" t="s">
        <v>5015</v>
      </c>
      <c r="E1551" t="s">
        <v>5019</v>
      </c>
      <c r="F1551" t="s">
        <v>5020</v>
      </c>
      <c r="G1551">
        <v>20.65</v>
      </c>
      <c r="H1551">
        <v>3</v>
      </c>
      <c r="I1551">
        <v>5</v>
      </c>
      <c r="J1551">
        <v>23.65</v>
      </c>
      <c r="K1551">
        <v>38.799999999999997</v>
      </c>
      <c r="L1551" t="s">
        <v>5027</v>
      </c>
      <c r="M1551">
        <v>9</v>
      </c>
      <c r="N1551">
        <v>2</v>
      </c>
      <c r="O1551">
        <v>0</v>
      </c>
    </row>
    <row r="1552" spans="1:15" x14ac:dyDescent="0.3">
      <c r="A1552" t="s">
        <v>1565</v>
      </c>
      <c r="B1552">
        <v>5</v>
      </c>
      <c r="C1552">
        <v>58</v>
      </c>
      <c r="D1552" t="s">
        <v>5015</v>
      </c>
      <c r="E1552" t="s">
        <v>5017</v>
      </c>
      <c r="F1552" t="s">
        <v>5021</v>
      </c>
      <c r="G1552">
        <v>10.97</v>
      </c>
      <c r="H1552">
        <v>2</v>
      </c>
      <c r="I1552">
        <v>1.1000000000000001</v>
      </c>
      <c r="J1552">
        <v>24.96</v>
      </c>
      <c r="K1552">
        <v>92.9</v>
      </c>
      <c r="L1552" t="s">
        <v>5029</v>
      </c>
      <c r="M1552">
        <v>4</v>
      </c>
      <c r="N1552">
        <v>0</v>
      </c>
      <c r="O1552">
        <v>0</v>
      </c>
    </row>
    <row r="1553" spans="1:15" x14ac:dyDescent="0.3">
      <c r="A1553" t="s">
        <v>1566</v>
      </c>
      <c r="B1553">
        <v>7</v>
      </c>
      <c r="C1553">
        <v>27</v>
      </c>
      <c r="D1553" t="s">
        <v>5016</v>
      </c>
      <c r="E1553" t="s">
        <v>5019</v>
      </c>
      <c r="F1553" t="s">
        <v>5022</v>
      </c>
      <c r="G1553">
        <v>17.829999999999998</v>
      </c>
      <c r="H1553">
        <v>5</v>
      </c>
      <c r="I1553">
        <v>3.1</v>
      </c>
      <c r="J1553">
        <v>15.09</v>
      </c>
      <c r="K1553">
        <v>16.2</v>
      </c>
      <c r="L1553" t="s">
        <v>5027</v>
      </c>
      <c r="M1553">
        <v>3</v>
      </c>
      <c r="N1553">
        <v>2</v>
      </c>
      <c r="O1553">
        <v>1</v>
      </c>
    </row>
    <row r="1554" spans="1:15" x14ac:dyDescent="0.3">
      <c r="A1554" t="s">
        <v>1567</v>
      </c>
      <c r="B1554">
        <v>9</v>
      </c>
      <c r="C1554">
        <v>27</v>
      </c>
      <c r="D1554" t="s">
        <v>5016</v>
      </c>
      <c r="E1554" t="s">
        <v>5018</v>
      </c>
      <c r="F1554" t="s">
        <v>5021</v>
      </c>
      <c r="G1554">
        <v>18.440000000000001</v>
      </c>
      <c r="H1554">
        <v>5</v>
      </c>
      <c r="I1554">
        <v>2.9</v>
      </c>
      <c r="J1554">
        <v>15.35</v>
      </c>
      <c r="K1554">
        <v>29.3</v>
      </c>
      <c r="L1554" t="s">
        <v>5029</v>
      </c>
      <c r="M1554">
        <v>2</v>
      </c>
      <c r="N1554">
        <v>4</v>
      </c>
      <c r="O1554">
        <v>0</v>
      </c>
    </row>
    <row r="1555" spans="1:15" x14ac:dyDescent="0.3">
      <c r="A1555" t="s">
        <v>1568</v>
      </c>
      <c r="B1555">
        <v>3</v>
      </c>
      <c r="C1555">
        <v>24</v>
      </c>
      <c r="D1555" t="s">
        <v>5016</v>
      </c>
      <c r="E1555" t="s">
        <v>5018</v>
      </c>
      <c r="F1555" t="s">
        <v>5023</v>
      </c>
      <c r="G1555">
        <v>24.96</v>
      </c>
      <c r="H1555">
        <v>2</v>
      </c>
      <c r="I1555">
        <v>4.0999999999999996</v>
      </c>
      <c r="J1555">
        <v>3.49</v>
      </c>
      <c r="K1555">
        <v>40.700000000000003</v>
      </c>
      <c r="L1555" t="s">
        <v>5027</v>
      </c>
      <c r="M1555">
        <v>4</v>
      </c>
      <c r="N1555">
        <v>0</v>
      </c>
      <c r="O1555">
        <v>0</v>
      </c>
    </row>
    <row r="1556" spans="1:15" x14ac:dyDescent="0.3">
      <c r="A1556" t="s">
        <v>1569</v>
      </c>
      <c r="B1556">
        <v>8</v>
      </c>
      <c r="C1556">
        <v>65</v>
      </c>
      <c r="D1556" t="s">
        <v>5015</v>
      </c>
      <c r="E1556" t="s">
        <v>5018</v>
      </c>
      <c r="F1556" t="s">
        <v>5023</v>
      </c>
      <c r="G1556">
        <v>7.77</v>
      </c>
      <c r="H1556">
        <v>2</v>
      </c>
      <c r="I1556">
        <v>2.6</v>
      </c>
      <c r="J1556">
        <v>22.03</v>
      </c>
      <c r="K1556">
        <v>80.400000000000006</v>
      </c>
      <c r="L1556" t="s">
        <v>5025</v>
      </c>
      <c r="M1556">
        <v>3</v>
      </c>
      <c r="N1556">
        <v>3</v>
      </c>
      <c r="O1556">
        <v>0</v>
      </c>
    </row>
    <row r="1557" spans="1:15" x14ac:dyDescent="0.3">
      <c r="A1557" t="s">
        <v>1570</v>
      </c>
      <c r="B1557">
        <v>2</v>
      </c>
      <c r="C1557">
        <v>67</v>
      </c>
      <c r="D1557" t="s">
        <v>5016</v>
      </c>
      <c r="E1557" t="s">
        <v>5019</v>
      </c>
      <c r="F1557" t="s">
        <v>5020</v>
      </c>
      <c r="G1557">
        <v>8.83</v>
      </c>
      <c r="H1557">
        <v>2</v>
      </c>
      <c r="I1557">
        <v>1.6</v>
      </c>
      <c r="J1557">
        <v>3.63</v>
      </c>
      <c r="K1557">
        <v>91.4</v>
      </c>
      <c r="L1557" t="s">
        <v>5029</v>
      </c>
      <c r="M1557">
        <v>9</v>
      </c>
      <c r="N1557">
        <v>3</v>
      </c>
      <c r="O1557">
        <v>0</v>
      </c>
    </row>
    <row r="1558" spans="1:15" x14ac:dyDescent="0.3">
      <c r="A1558" t="s">
        <v>1571</v>
      </c>
      <c r="B1558">
        <v>11</v>
      </c>
      <c r="C1558">
        <v>55</v>
      </c>
      <c r="D1558" t="s">
        <v>5016</v>
      </c>
      <c r="E1558" t="s">
        <v>5019</v>
      </c>
      <c r="F1558" t="s">
        <v>5020</v>
      </c>
      <c r="G1558">
        <v>8.11</v>
      </c>
      <c r="H1558">
        <v>3</v>
      </c>
      <c r="I1558">
        <v>2.8</v>
      </c>
      <c r="J1558">
        <v>16.920000000000002</v>
      </c>
      <c r="K1558">
        <v>50.7</v>
      </c>
      <c r="L1558" t="s">
        <v>5029</v>
      </c>
      <c r="M1558">
        <v>8</v>
      </c>
      <c r="N1558">
        <v>1</v>
      </c>
      <c r="O1558">
        <v>0</v>
      </c>
    </row>
    <row r="1559" spans="1:15" x14ac:dyDescent="0.3">
      <c r="A1559" t="s">
        <v>1572</v>
      </c>
      <c r="B1559">
        <v>7</v>
      </c>
      <c r="C1559">
        <v>44</v>
      </c>
      <c r="D1559" t="s">
        <v>5016</v>
      </c>
      <c r="E1559" t="s">
        <v>5019</v>
      </c>
      <c r="F1559" t="s">
        <v>5022</v>
      </c>
      <c r="G1559">
        <v>16.78</v>
      </c>
      <c r="H1559">
        <v>3</v>
      </c>
      <c r="I1559">
        <v>8.6999999999999993</v>
      </c>
      <c r="J1559">
        <v>5.17</v>
      </c>
      <c r="K1559">
        <v>35.799999999999997</v>
      </c>
      <c r="L1559" t="s">
        <v>5026</v>
      </c>
      <c r="M1559">
        <v>1</v>
      </c>
      <c r="N1559">
        <v>1</v>
      </c>
      <c r="O1559">
        <v>0</v>
      </c>
    </row>
    <row r="1560" spans="1:15" x14ac:dyDescent="0.3">
      <c r="A1560" t="s">
        <v>1573</v>
      </c>
      <c r="B1560">
        <v>2</v>
      </c>
      <c r="C1560">
        <v>69</v>
      </c>
      <c r="D1560" t="s">
        <v>5016</v>
      </c>
      <c r="E1560" t="s">
        <v>5019</v>
      </c>
      <c r="F1560" t="s">
        <v>5024</v>
      </c>
      <c r="G1560">
        <v>7.71</v>
      </c>
      <c r="H1560">
        <v>4</v>
      </c>
      <c r="I1560">
        <v>8.1999999999999993</v>
      </c>
      <c r="J1560">
        <v>9.2899999999999991</v>
      </c>
      <c r="K1560">
        <v>41.8</v>
      </c>
      <c r="L1560" t="s">
        <v>5027</v>
      </c>
      <c r="M1560">
        <v>2</v>
      </c>
      <c r="N1560">
        <v>1</v>
      </c>
      <c r="O1560">
        <v>1</v>
      </c>
    </row>
    <row r="1561" spans="1:15" x14ac:dyDescent="0.3">
      <c r="A1561" t="s">
        <v>1574</v>
      </c>
      <c r="B1561">
        <v>4</v>
      </c>
      <c r="C1561">
        <v>50</v>
      </c>
      <c r="D1561" t="s">
        <v>5015</v>
      </c>
      <c r="E1561" t="s">
        <v>5019</v>
      </c>
      <c r="F1561" t="s">
        <v>5023</v>
      </c>
      <c r="G1561">
        <v>18.12</v>
      </c>
      <c r="H1561">
        <v>3</v>
      </c>
      <c r="I1561">
        <v>5</v>
      </c>
      <c r="J1561">
        <v>6.09</v>
      </c>
      <c r="K1561">
        <v>69.099999999999994</v>
      </c>
      <c r="L1561" t="s">
        <v>5028</v>
      </c>
      <c r="M1561">
        <v>3</v>
      </c>
      <c r="N1561">
        <v>0</v>
      </c>
      <c r="O1561">
        <v>1</v>
      </c>
    </row>
    <row r="1562" spans="1:15" x14ac:dyDescent="0.3">
      <c r="A1562" t="s">
        <v>1575</v>
      </c>
      <c r="B1562">
        <v>7</v>
      </c>
      <c r="C1562">
        <v>18</v>
      </c>
      <c r="D1562" t="s">
        <v>5016</v>
      </c>
      <c r="E1562" t="s">
        <v>5019</v>
      </c>
      <c r="F1562" t="s">
        <v>5021</v>
      </c>
      <c r="G1562">
        <v>21.08</v>
      </c>
      <c r="H1562">
        <v>2</v>
      </c>
      <c r="I1562">
        <v>8.9</v>
      </c>
      <c r="J1562">
        <v>6.02</v>
      </c>
      <c r="K1562">
        <v>24.2</v>
      </c>
      <c r="L1562" t="s">
        <v>5028</v>
      </c>
      <c r="M1562">
        <v>6</v>
      </c>
      <c r="N1562">
        <v>2</v>
      </c>
      <c r="O1562">
        <v>1</v>
      </c>
    </row>
    <row r="1563" spans="1:15" x14ac:dyDescent="0.3">
      <c r="A1563" t="s">
        <v>1576</v>
      </c>
      <c r="B1563">
        <v>3</v>
      </c>
      <c r="C1563">
        <v>61</v>
      </c>
      <c r="D1563" t="s">
        <v>5015</v>
      </c>
      <c r="E1563" t="s">
        <v>5018</v>
      </c>
      <c r="F1563" t="s">
        <v>5024</v>
      </c>
      <c r="G1563">
        <v>13.66</v>
      </c>
      <c r="H1563">
        <v>4</v>
      </c>
      <c r="I1563">
        <v>3.1</v>
      </c>
      <c r="J1563">
        <v>4.6399999999999997</v>
      </c>
      <c r="K1563">
        <v>59.3</v>
      </c>
      <c r="L1563" t="s">
        <v>5026</v>
      </c>
      <c r="M1563">
        <v>5</v>
      </c>
      <c r="N1563">
        <v>1</v>
      </c>
      <c r="O1563">
        <v>0</v>
      </c>
    </row>
    <row r="1564" spans="1:15" x14ac:dyDescent="0.3">
      <c r="A1564" t="s">
        <v>1577</v>
      </c>
      <c r="B1564">
        <v>2</v>
      </c>
      <c r="C1564">
        <v>51</v>
      </c>
      <c r="D1564" t="s">
        <v>5015</v>
      </c>
      <c r="E1564" t="s">
        <v>5017</v>
      </c>
      <c r="F1564" t="s">
        <v>5023</v>
      </c>
      <c r="G1564">
        <v>16.21</v>
      </c>
      <c r="H1564">
        <v>2</v>
      </c>
      <c r="I1564">
        <v>6.3</v>
      </c>
      <c r="J1564">
        <v>9.99</v>
      </c>
      <c r="K1564">
        <v>63</v>
      </c>
      <c r="L1564" t="s">
        <v>5026</v>
      </c>
      <c r="M1564">
        <v>11</v>
      </c>
      <c r="N1564">
        <v>4</v>
      </c>
      <c r="O1564">
        <v>0</v>
      </c>
    </row>
    <row r="1565" spans="1:15" x14ac:dyDescent="0.3">
      <c r="A1565" t="s">
        <v>1578</v>
      </c>
      <c r="B1565">
        <v>11</v>
      </c>
      <c r="C1565">
        <v>21</v>
      </c>
      <c r="D1565" t="s">
        <v>5016</v>
      </c>
      <c r="E1565" t="s">
        <v>5018</v>
      </c>
      <c r="F1565" t="s">
        <v>5022</v>
      </c>
      <c r="G1565">
        <v>23.25</v>
      </c>
      <c r="H1565">
        <v>1</v>
      </c>
      <c r="I1565">
        <v>2.2999999999999998</v>
      </c>
      <c r="J1565">
        <v>12.32</v>
      </c>
      <c r="K1565">
        <v>73.7</v>
      </c>
      <c r="L1565" t="s">
        <v>5026</v>
      </c>
      <c r="M1565">
        <v>5</v>
      </c>
      <c r="N1565">
        <v>3</v>
      </c>
      <c r="O1565">
        <v>0</v>
      </c>
    </row>
    <row r="1566" spans="1:15" x14ac:dyDescent="0.3">
      <c r="A1566" t="s">
        <v>1579</v>
      </c>
      <c r="B1566">
        <v>10</v>
      </c>
      <c r="C1566">
        <v>34</v>
      </c>
      <c r="D1566" t="s">
        <v>5015</v>
      </c>
      <c r="E1566" t="s">
        <v>5017</v>
      </c>
      <c r="F1566" t="s">
        <v>5023</v>
      </c>
      <c r="G1566">
        <v>16.39</v>
      </c>
      <c r="H1566">
        <v>5</v>
      </c>
      <c r="I1566">
        <v>8.5</v>
      </c>
      <c r="J1566">
        <v>13.22</v>
      </c>
      <c r="K1566">
        <v>64.400000000000006</v>
      </c>
      <c r="L1566" t="s">
        <v>5025</v>
      </c>
      <c r="M1566">
        <v>6</v>
      </c>
      <c r="N1566">
        <v>3</v>
      </c>
      <c r="O1566">
        <v>1</v>
      </c>
    </row>
    <row r="1567" spans="1:15" x14ac:dyDescent="0.3">
      <c r="A1567" t="s">
        <v>1580</v>
      </c>
      <c r="B1567">
        <v>7</v>
      </c>
      <c r="C1567">
        <v>21</v>
      </c>
      <c r="D1567" t="s">
        <v>5015</v>
      </c>
      <c r="E1567" t="s">
        <v>5018</v>
      </c>
      <c r="F1567" t="s">
        <v>5020</v>
      </c>
      <c r="G1567">
        <v>9.17</v>
      </c>
      <c r="H1567">
        <v>1</v>
      </c>
      <c r="I1567">
        <v>2.2000000000000002</v>
      </c>
      <c r="J1567">
        <v>12.67</v>
      </c>
      <c r="K1567">
        <v>18.7</v>
      </c>
      <c r="L1567" t="s">
        <v>5025</v>
      </c>
      <c r="M1567">
        <v>8</v>
      </c>
      <c r="N1567">
        <v>4</v>
      </c>
      <c r="O1567">
        <v>0</v>
      </c>
    </row>
    <row r="1568" spans="1:15" x14ac:dyDescent="0.3">
      <c r="A1568" t="s">
        <v>1581</v>
      </c>
      <c r="B1568">
        <v>1</v>
      </c>
      <c r="C1568">
        <v>60</v>
      </c>
      <c r="D1568" t="s">
        <v>5015</v>
      </c>
      <c r="E1568" t="s">
        <v>5018</v>
      </c>
      <c r="F1568" t="s">
        <v>5021</v>
      </c>
      <c r="G1568">
        <v>11.86</v>
      </c>
      <c r="H1568">
        <v>2</v>
      </c>
      <c r="I1568">
        <v>1.3</v>
      </c>
      <c r="J1568">
        <v>14.52</v>
      </c>
      <c r="K1568">
        <v>72</v>
      </c>
      <c r="L1568" t="s">
        <v>5025</v>
      </c>
      <c r="M1568">
        <v>1</v>
      </c>
      <c r="N1568">
        <v>3</v>
      </c>
      <c r="O1568">
        <v>0</v>
      </c>
    </row>
    <row r="1569" spans="1:15" x14ac:dyDescent="0.3">
      <c r="A1569" t="s">
        <v>1582</v>
      </c>
      <c r="B1569">
        <v>8</v>
      </c>
      <c r="C1569">
        <v>43</v>
      </c>
      <c r="D1569" t="s">
        <v>5015</v>
      </c>
      <c r="E1569" t="s">
        <v>5018</v>
      </c>
      <c r="F1569" t="s">
        <v>5021</v>
      </c>
      <c r="G1569">
        <v>15.6</v>
      </c>
      <c r="H1569">
        <v>3</v>
      </c>
      <c r="I1569">
        <v>3.5</v>
      </c>
      <c r="J1569">
        <v>21.92</v>
      </c>
      <c r="K1569">
        <v>12</v>
      </c>
      <c r="L1569" t="s">
        <v>5025</v>
      </c>
      <c r="M1569">
        <v>5</v>
      </c>
      <c r="N1569">
        <v>0</v>
      </c>
      <c r="O1569">
        <v>1</v>
      </c>
    </row>
    <row r="1570" spans="1:15" x14ac:dyDescent="0.3">
      <c r="A1570" t="s">
        <v>1583</v>
      </c>
      <c r="B1570">
        <v>3</v>
      </c>
      <c r="C1570">
        <v>21</v>
      </c>
      <c r="D1570" t="s">
        <v>5015</v>
      </c>
      <c r="E1570" t="s">
        <v>5019</v>
      </c>
      <c r="F1570" t="s">
        <v>5020</v>
      </c>
      <c r="G1570">
        <v>8.1</v>
      </c>
      <c r="H1570">
        <v>5</v>
      </c>
      <c r="I1570">
        <v>9.1</v>
      </c>
      <c r="J1570">
        <v>16.899999999999999</v>
      </c>
      <c r="K1570">
        <v>45.1</v>
      </c>
      <c r="L1570" t="s">
        <v>5026</v>
      </c>
      <c r="M1570">
        <v>6</v>
      </c>
      <c r="N1570">
        <v>4</v>
      </c>
      <c r="O1570">
        <v>0</v>
      </c>
    </row>
    <row r="1571" spans="1:15" x14ac:dyDescent="0.3">
      <c r="A1571" t="s">
        <v>1584</v>
      </c>
      <c r="B1571">
        <v>12</v>
      </c>
      <c r="C1571">
        <v>18</v>
      </c>
      <c r="D1571" t="s">
        <v>5015</v>
      </c>
      <c r="E1571" t="s">
        <v>5019</v>
      </c>
      <c r="F1571" t="s">
        <v>5024</v>
      </c>
      <c r="G1571">
        <v>17.25</v>
      </c>
      <c r="H1571">
        <v>3</v>
      </c>
      <c r="I1571">
        <v>2.2000000000000002</v>
      </c>
      <c r="J1571">
        <v>3.38</v>
      </c>
      <c r="K1571">
        <v>47.5</v>
      </c>
      <c r="L1571" t="s">
        <v>5026</v>
      </c>
      <c r="M1571">
        <v>11</v>
      </c>
      <c r="N1571">
        <v>0</v>
      </c>
      <c r="O1571">
        <v>0</v>
      </c>
    </row>
    <row r="1572" spans="1:15" x14ac:dyDescent="0.3">
      <c r="A1572" t="s">
        <v>1585</v>
      </c>
      <c r="B1572">
        <v>12</v>
      </c>
      <c r="C1572">
        <v>24</v>
      </c>
      <c r="D1572" t="s">
        <v>5015</v>
      </c>
      <c r="E1572" t="s">
        <v>5017</v>
      </c>
      <c r="F1572" t="s">
        <v>5020</v>
      </c>
      <c r="G1572">
        <v>24.98</v>
      </c>
      <c r="H1572">
        <v>3</v>
      </c>
      <c r="I1572">
        <v>4</v>
      </c>
      <c r="J1572">
        <v>6.8</v>
      </c>
      <c r="K1572">
        <v>20.5</v>
      </c>
      <c r="L1572" t="s">
        <v>5025</v>
      </c>
      <c r="M1572">
        <v>10</v>
      </c>
      <c r="N1572">
        <v>3</v>
      </c>
      <c r="O1572">
        <v>1</v>
      </c>
    </row>
    <row r="1573" spans="1:15" x14ac:dyDescent="0.3">
      <c r="A1573" t="s">
        <v>1586</v>
      </c>
      <c r="B1573">
        <v>2</v>
      </c>
      <c r="C1573">
        <v>47</v>
      </c>
      <c r="D1573" t="s">
        <v>5016</v>
      </c>
      <c r="E1573" t="s">
        <v>5018</v>
      </c>
      <c r="F1573" t="s">
        <v>5021</v>
      </c>
      <c r="G1573">
        <v>18.05</v>
      </c>
      <c r="H1573">
        <v>5</v>
      </c>
      <c r="I1573">
        <v>3.8</v>
      </c>
      <c r="J1573">
        <v>10.68</v>
      </c>
      <c r="K1573">
        <v>10.9</v>
      </c>
      <c r="L1573" t="s">
        <v>5025</v>
      </c>
      <c r="M1573">
        <v>11</v>
      </c>
      <c r="N1573">
        <v>4</v>
      </c>
      <c r="O1573">
        <v>0</v>
      </c>
    </row>
    <row r="1574" spans="1:15" x14ac:dyDescent="0.3">
      <c r="A1574" t="s">
        <v>1587</v>
      </c>
      <c r="B1574">
        <v>3</v>
      </c>
      <c r="C1574">
        <v>67</v>
      </c>
      <c r="D1574" t="s">
        <v>5016</v>
      </c>
      <c r="E1574" t="s">
        <v>5018</v>
      </c>
      <c r="F1574" t="s">
        <v>5022</v>
      </c>
      <c r="G1574">
        <v>12.45</v>
      </c>
      <c r="H1574">
        <v>5</v>
      </c>
      <c r="I1574">
        <v>8.1999999999999993</v>
      </c>
      <c r="J1574">
        <v>23.88</v>
      </c>
      <c r="K1574">
        <v>16.399999999999999</v>
      </c>
      <c r="L1574" t="s">
        <v>5029</v>
      </c>
      <c r="M1574">
        <v>6</v>
      </c>
      <c r="N1574">
        <v>4</v>
      </c>
      <c r="O1574">
        <v>0</v>
      </c>
    </row>
    <row r="1575" spans="1:15" x14ac:dyDescent="0.3">
      <c r="A1575" t="s">
        <v>1588</v>
      </c>
      <c r="B1575">
        <v>5</v>
      </c>
      <c r="C1575">
        <v>26</v>
      </c>
      <c r="D1575" t="s">
        <v>5015</v>
      </c>
      <c r="E1575" t="s">
        <v>5018</v>
      </c>
      <c r="F1575" t="s">
        <v>5024</v>
      </c>
      <c r="G1575">
        <v>11.63</v>
      </c>
      <c r="H1575">
        <v>1</v>
      </c>
      <c r="I1575">
        <v>4.8</v>
      </c>
      <c r="J1575">
        <v>4.72</v>
      </c>
      <c r="K1575">
        <v>50.2</v>
      </c>
      <c r="L1575" t="s">
        <v>5027</v>
      </c>
      <c r="M1575">
        <v>9</v>
      </c>
      <c r="N1575">
        <v>4</v>
      </c>
      <c r="O1575">
        <v>0</v>
      </c>
    </row>
    <row r="1576" spans="1:15" x14ac:dyDescent="0.3">
      <c r="A1576" t="s">
        <v>1589</v>
      </c>
      <c r="B1576">
        <v>11</v>
      </c>
      <c r="C1576">
        <v>52</v>
      </c>
      <c r="D1576" t="s">
        <v>5015</v>
      </c>
      <c r="E1576" t="s">
        <v>5019</v>
      </c>
      <c r="F1576" t="s">
        <v>5023</v>
      </c>
      <c r="G1576">
        <v>23.63</v>
      </c>
      <c r="H1576">
        <v>2</v>
      </c>
      <c r="I1576">
        <v>6.5</v>
      </c>
      <c r="J1576">
        <v>18.62</v>
      </c>
      <c r="K1576">
        <v>31.6</v>
      </c>
      <c r="L1576" t="s">
        <v>5029</v>
      </c>
      <c r="M1576">
        <v>10</v>
      </c>
      <c r="N1576">
        <v>3</v>
      </c>
      <c r="O1576">
        <v>0</v>
      </c>
    </row>
    <row r="1577" spans="1:15" x14ac:dyDescent="0.3">
      <c r="A1577" t="s">
        <v>1590</v>
      </c>
      <c r="B1577">
        <v>8</v>
      </c>
      <c r="C1577">
        <v>25</v>
      </c>
      <c r="D1577" t="s">
        <v>5016</v>
      </c>
      <c r="E1577" t="s">
        <v>5018</v>
      </c>
      <c r="F1577" t="s">
        <v>5022</v>
      </c>
      <c r="G1577">
        <v>22.43</v>
      </c>
      <c r="H1577">
        <v>3</v>
      </c>
      <c r="I1577">
        <v>4.5999999999999996</v>
      </c>
      <c r="J1577">
        <v>3.73</v>
      </c>
      <c r="K1577">
        <v>16.2</v>
      </c>
      <c r="L1577" t="s">
        <v>5027</v>
      </c>
      <c r="M1577">
        <v>7</v>
      </c>
      <c r="N1577">
        <v>3</v>
      </c>
      <c r="O1577">
        <v>0</v>
      </c>
    </row>
    <row r="1578" spans="1:15" x14ac:dyDescent="0.3">
      <c r="A1578" t="s">
        <v>1591</v>
      </c>
      <c r="B1578">
        <v>10</v>
      </c>
      <c r="C1578">
        <v>41</v>
      </c>
      <c r="D1578" t="s">
        <v>5016</v>
      </c>
      <c r="E1578" t="s">
        <v>5018</v>
      </c>
      <c r="F1578" t="s">
        <v>5024</v>
      </c>
      <c r="G1578">
        <v>14.45</v>
      </c>
      <c r="H1578">
        <v>2</v>
      </c>
      <c r="I1578">
        <v>6</v>
      </c>
      <c r="J1578">
        <v>10.98</v>
      </c>
      <c r="K1578">
        <v>33.1</v>
      </c>
      <c r="L1578" t="s">
        <v>5025</v>
      </c>
      <c r="M1578">
        <v>4</v>
      </c>
      <c r="N1578">
        <v>3</v>
      </c>
      <c r="O1578">
        <v>0</v>
      </c>
    </row>
    <row r="1579" spans="1:15" x14ac:dyDescent="0.3">
      <c r="A1579" t="s">
        <v>1592</v>
      </c>
      <c r="B1579">
        <v>7</v>
      </c>
      <c r="C1579">
        <v>36</v>
      </c>
      <c r="D1579" t="s">
        <v>5016</v>
      </c>
      <c r="E1579" t="s">
        <v>5019</v>
      </c>
      <c r="F1579" t="s">
        <v>5021</v>
      </c>
      <c r="G1579">
        <v>12.07</v>
      </c>
      <c r="H1579">
        <v>2</v>
      </c>
      <c r="I1579">
        <v>1.6</v>
      </c>
      <c r="J1579">
        <v>19.940000000000001</v>
      </c>
      <c r="K1579">
        <v>57.6</v>
      </c>
      <c r="L1579" t="s">
        <v>5025</v>
      </c>
      <c r="M1579">
        <v>7</v>
      </c>
      <c r="N1579">
        <v>1</v>
      </c>
      <c r="O1579">
        <v>1</v>
      </c>
    </row>
    <row r="1580" spans="1:15" x14ac:dyDescent="0.3">
      <c r="A1580" t="s">
        <v>1593</v>
      </c>
      <c r="B1580">
        <v>7</v>
      </c>
      <c r="C1580">
        <v>53</v>
      </c>
      <c r="D1580" t="s">
        <v>5016</v>
      </c>
      <c r="E1580" t="s">
        <v>5019</v>
      </c>
      <c r="F1580" t="s">
        <v>5021</v>
      </c>
      <c r="G1580">
        <v>19.21</v>
      </c>
      <c r="H1580">
        <v>4</v>
      </c>
      <c r="I1580">
        <v>4.4000000000000004</v>
      </c>
      <c r="J1580">
        <v>10.57</v>
      </c>
      <c r="K1580">
        <v>76.8</v>
      </c>
      <c r="L1580" t="s">
        <v>5025</v>
      </c>
      <c r="M1580">
        <v>7</v>
      </c>
      <c r="N1580">
        <v>1</v>
      </c>
      <c r="O1580">
        <v>0</v>
      </c>
    </row>
    <row r="1581" spans="1:15" x14ac:dyDescent="0.3">
      <c r="A1581" t="s">
        <v>1594</v>
      </c>
      <c r="B1581">
        <v>12</v>
      </c>
      <c r="C1581">
        <v>67</v>
      </c>
      <c r="D1581" t="s">
        <v>5015</v>
      </c>
      <c r="E1581" t="s">
        <v>5017</v>
      </c>
      <c r="F1581" t="s">
        <v>5022</v>
      </c>
      <c r="G1581">
        <v>11.29</v>
      </c>
      <c r="H1581">
        <v>1</v>
      </c>
      <c r="I1581">
        <v>8.6999999999999993</v>
      </c>
      <c r="J1581">
        <v>12.47</v>
      </c>
      <c r="K1581">
        <v>47.1</v>
      </c>
      <c r="L1581" t="s">
        <v>5029</v>
      </c>
      <c r="M1581">
        <v>11</v>
      </c>
      <c r="N1581">
        <v>2</v>
      </c>
      <c r="O1581">
        <v>1</v>
      </c>
    </row>
    <row r="1582" spans="1:15" x14ac:dyDescent="0.3">
      <c r="A1582" t="s">
        <v>1595</v>
      </c>
      <c r="B1582">
        <v>7</v>
      </c>
      <c r="C1582">
        <v>69</v>
      </c>
      <c r="D1582" t="s">
        <v>5015</v>
      </c>
      <c r="E1582" t="s">
        <v>5019</v>
      </c>
      <c r="F1582" t="s">
        <v>5024</v>
      </c>
      <c r="G1582">
        <v>7.39</v>
      </c>
      <c r="H1582">
        <v>3</v>
      </c>
      <c r="I1582">
        <v>7.2</v>
      </c>
      <c r="J1582">
        <v>22.92</v>
      </c>
      <c r="K1582">
        <v>65.2</v>
      </c>
      <c r="L1582" t="s">
        <v>5026</v>
      </c>
      <c r="M1582">
        <v>11</v>
      </c>
      <c r="N1582">
        <v>4</v>
      </c>
      <c r="O1582">
        <v>0</v>
      </c>
    </row>
    <row r="1583" spans="1:15" x14ac:dyDescent="0.3">
      <c r="A1583" t="s">
        <v>1596</v>
      </c>
      <c r="B1583">
        <v>8</v>
      </c>
      <c r="C1583">
        <v>60</v>
      </c>
      <c r="D1583" t="s">
        <v>5016</v>
      </c>
      <c r="E1583" t="s">
        <v>5018</v>
      </c>
      <c r="F1583" t="s">
        <v>5023</v>
      </c>
      <c r="G1583">
        <v>11.2</v>
      </c>
      <c r="H1583">
        <v>5</v>
      </c>
      <c r="I1583">
        <v>9.8000000000000007</v>
      </c>
      <c r="J1583">
        <v>4.46</v>
      </c>
      <c r="K1583">
        <v>63.7</v>
      </c>
      <c r="L1583" t="s">
        <v>5027</v>
      </c>
      <c r="M1583">
        <v>6</v>
      </c>
      <c r="N1583">
        <v>3</v>
      </c>
      <c r="O1583">
        <v>0</v>
      </c>
    </row>
    <row r="1584" spans="1:15" x14ac:dyDescent="0.3">
      <c r="A1584" t="s">
        <v>1597</v>
      </c>
      <c r="B1584">
        <v>1</v>
      </c>
      <c r="C1584">
        <v>44</v>
      </c>
      <c r="D1584" t="s">
        <v>5016</v>
      </c>
      <c r="E1584" t="s">
        <v>5017</v>
      </c>
      <c r="F1584" t="s">
        <v>5023</v>
      </c>
      <c r="G1584">
        <v>13.69</v>
      </c>
      <c r="H1584">
        <v>5</v>
      </c>
      <c r="I1584">
        <v>8.1</v>
      </c>
      <c r="J1584">
        <v>14.61</v>
      </c>
      <c r="K1584">
        <v>90.7</v>
      </c>
      <c r="L1584" t="s">
        <v>5029</v>
      </c>
      <c r="M1584">
        <v>8</v>
      </c>
      <c r="N1584">
        <v>4</v>
      </c>
      <c r="O1584">
        <v>0</v>
      </c>
    </row>
    <row r="1585" spans="1:15" x14ac:dyDescent="0.3">
      <c r="A1585" t="s">
        <v>1598</v>
      </c>
      <c r="B1585">
        <v>4</v>
      </c>
      <c r="C1585">
        <v>49</v>
      </c>
      <c r="D1585" t="s">
        <v>5016</v>
      </c>
      <c r="E1585" t="s">
        <v>5017</v>
      </c>
      <c r="F1585" t="s">
        <v>5020</v>
      </c>
      <c r="G1585">
        <v>10.11</v>
      </c>
      <c r="H1585">
        <v>2</v>
      </c>
      <c r="I1585">
        <v>5.0999999999999996</v>
      </c>
      <c r="J1585">
        <v>11.06</v>
      </c>
      <c r="K1585">
        <v>26.1</v>
      </c>
      <c r="L1585" t="s">
        <v>5025</v>
      </c>
      <c r="M1585">
        <v>8</v>
      </c>
      <c r="N1585">
        <v>0</v>
      </c>
      <c r="O1585">
        <v>0</v>
      </c>
    </row>
    <row r="1586" spans="1:15" x14ac:dyDescent="0.3">
      <c r="A1586" t="s">
        <v>1599</v>
      </c>
      <c r="B1586">
        <v>6</v>
      </c>
      <c r="C1586">
        <v>31</v>
      </c>
      <c r="D1586" t="s">
        <v>5016</v>
      </c>
      <c r="E1586" t="s">
        <v>5018</v>
      </c>
      <c r="F1586" t="s">
        <v>5022</v>
      </c>
      <c r="G1586">
        <v>9.34</v>
      </c>
      <c r="H1586">
        <v>1</v>
      </c>
      <c r="I1586">
        <v>7.1</v>
      </c>
      <c r="J1586">
        <v>24.2</v>
      </c>
      <c r="K1586">
        <v>52.9</v>
      </c>
      <c r="L1586" t="s">
        <v>5026</v>
      </c>
      <c r="M1586">
        <v>10</v>
      </c>
      <c r="N1586">
        <v>0</v>
      </c>
      <c r="O1586">
        <v>0</v>
      </c>
    </row>
    <row r="1587" spans="1:15" x14ac:dyDescent="0.3">
      <c r="A1587" t="s">
        <v>1600</v>
      </c>
      <c r="B1587">
        <v>9</v>
      </c>
      <c r="C1587">
        <v>35</v>
      </c>
      <c r="D1587" t="s">
        <v>5015</v>
      </c>
      <c r="E1587" t="s">
        <v>5018</v>
      </c>
      <c r="F1587" t="s">
        <v>5024</v>
      </c>
      <c r="G1587">
        <v>5.12</v>
      </c>
      <c r="H1587">
        <v>1</v>
      </c>
      <c r="I1587">
        <v>8</v>
      </c>
      <c r="J1587">
        <v>20.46</v>
      </c>
      <c r="K1587">
        <v>66.900000000000006</v>
      </c>
      <c r="L1587" t="s">
        <v>5029</v>
      </c>
      <c r="M1587">
        <v>6</v>
      </c>
      <c r="N1587">
        <v>3</v>
      </c>
      <c r="O1587">
        <v>1</v>
      </c>
    </row>
    <row r="1588" spans="1:15" x14ac:dyDescent="0.3">
      <c r="A1588" t="s">
        <v>1601</v>
      </c>
      <c r="B1588">
        <v>2</v>
      </c>
      <c r="C1588">
        <v>45</v>
      </c>
      <c r="D1588" t="s">
        <v>5016</v>
      </c>
      <c r="E1588" t="s">
        <v>5017</v>
      </c>
      <c r="F1588" t="s">
        <v>5022</v>
      </c>
      <c r="G1588">
        <v>17.62</v>
      </c>
      <c r="H1588">
        <v>3</v>
      </c>
      <c r="I1588">
        <v>3.4</v>
      </c>
      <c r="J1588">
        <v>5.69</v>
      </c>
      <c r="K1588">
        <v>56.8</v>
      </c>
      <c r="L1588" t="s">
        <v>5027</v>
      </c>
      <c r="M1588">
        <v>11</v>
      </c>
      <c r="N1588">
        <v>1</v>
      </c>
      <c r="O1588">
        <v>0</v>
      </c>
    </row>
    <row r="1589" spans="1:15" x14ac:dyDescent="0.3">
      <c r="A1589" t="s">
        <v>1602</v>
      </c>
      <c r="B1589">
        <v>1</v>
      </c>
      <c r="C1589">
        <v>46</v>
      </c>
      <c r="D1589" t="s">
        <v>5016</v>
      </c>
      <c r="E1589" t="s">
        <v>5018</v>
      </c>
      <c r="F1589" t="s">
        <v>5023</v>
      </c>
      <c r="G1589">
        <v>17.29</v>
      </c>
      <c r="H1589">
        <v>3</v>
      </c>
      <c r="I1589">
        <v>1.5</v>
      </c>
      <c r="J1589">
        <v>23.4</v>
      </c>
      <c r="K1589">
        <v>50.5</v>
      </c>
      <c r="L1589" t="s">
        <v>5025</v>
      </c>
      <c r="M1589">
        <v>2</v>
      </c>
      <c r="N1589">
        <v>2</v>
      </c>
      <c r="O1589">
        <v>1</v>
      </c>
    </row>
    <row r="1590" spans="1:15" x14ac:dyDescent="0.3">
      <c r="A1590" t="s">
        <v>1603</v>
      </c>
      <c r="B1590">
        <v>10</v>
      </c>
      <c r="C1590">
        <v>33</v>
      </c>
      <c r="D1590" t="s">
        <v>5016</v>
      </c>
      <c r="E1590" t="s">
        <v>5019</v>
      </c>
      <c r="F1590" t="s">
        <v>5024</v>
      </c>
      <c r="G1590">
        <v>8.76</v>
      </c>
      <c r="H1590">
        <v>2</v>
      </c>
      <c r="I1590">
        <v>4.7</v>
      </c>
      <c r="J1590">
        <v>7.65</v>
      </c>
      <c r="K1590">
        <v>97.6</v>
      </c>
      <c r="L1590" t="s">
        <v>5027</v>
      </c>
      <c r="M1590">
        <v>5</v>
      </c>
      <c r="N1590">
        <v>1</v>
      </c>
      <c r="O1590">
        <v>0</v>
      </c>
    </row>
    <row r="1591" spans="1:15" x14ac:dyDescent="0.3">
      <c r="A1591" t="s">
        <v>1604</v>
      </c>
      <c r="B1591">
        <v>12</v>
      </c>
      <c r="C1591">
        <v>52</v>
      </c>
      <c r="D1591" t="s">
        <v>5015</v>
      </c>
      <c r="E1591" t="s">
        <v>5017</v>
      </c>
      <c r="F1591" t="s">
        <v>5021</v>
      </c>
      <c r="G1591">
        <v>23.87</v>
      </c>
      <c r="H1591">
        <v>2</v>
      </c>
      <c r="I1591">
        <v>2.2999999999999998</v>
      </c>
      <c r="J1591">
        <v>4.87</v>
      </c>
      <c r="K1591">
        <v>94.8</v>
      </c>
      <c r="L1591" t="s">
        <v>5025</v>
      </c>
      <c r="M1591">
        <v>1</v>
      </c>
      <c r="N1591">
        <v>4</v>
      </c>
      <c r="O1591">
        <v>1</v>
      </c>
    </row>
    <row r="1592" spans="1:15" x14ac:dyDescent="0.3">
      <c r="A1592" t="s">
        <v>1605</v>
      </c>
      <c r="B1592">
        <v>2</v>
      </c>
      <c r="C1592">
        <v>64</v>
      </c>
      <c r="D1592" t="s">
        <v>5015</v>
      </c>
      <c r="E1592" t="s">
        <v>5017</v>
      </c>
      <c r="F1592" t="s">
        <v>5021</v>
      </c>
      <c r="G1592">
        <v>13.19</v>
      </c>
      <c r="H1592">
        <v>2</v>
      </c>
      <c r="I1592">
        <v>3.5</v>
      </c>
      <c r="J1592">
        <v>14.92</v>
      </c>
      <c r="K1592">
        <v>65</v>
      </c>
      <c r="L1592" t="s">
        <v>5025</v>
      </c>
      <c r="M1592">
        <v>10</v>
      </c>
      <c r="N1592">
        <v>1</v>
      </c>
      <c r="O1592">
        <v>0</v>
      </c>
    </row>
    <row r="1593" spans="1:15" x14ac:dyDescent="0.3">
      <c r="A1593" t="s">
        <v>1606</v>
      </c>
      <c r="B1593">
        <v>7</v>
      </c>
      <c r="C1593">
        <v>48</v>
      </c>
      <c r="D1593" t="s">
        <v>5015</v>
      </c>
      <c r="E1593" t="s">
        <v>5019</v>
      </c>
      <c r="F1593" t="s">
        <v>5024</v>
      </c>
      <c r="G1593">
        <v>5.51</v>
      </c>
      <c r="H1593">
        <v>4</v>
      </c>
      <c r="I1593">
        <v>9.5</v>
      </c>
      <c r="J1593">
        <v>19.21</v>
      </c>
      <c r="K1593">
        <v>49.6</v>
      </c>
      <c r="L1593" t="s">
        <v>5028</v>
      </c>
      <c r="M1593">
        <v>10</v>
      </c>
      <c r="N1593">
        <v>3</v>
      </c>
      <c r="O1593">
        <v>1</v>
      </c>
    </row>
    <row r="1594" spans="1:15" x14ac:dyDescent="0.3">
      <c r="A1594" t="s">
        <v>1607</v>
      </c>
      <c r="B1594">
        <v>3</v>
      </c>
      <c r="C1594">
        <v>21</v>
      </c>
      <c r="D1594" t="s">
        <v>5016</v>
      </c>
      <c r="E1594" t="s">
        <v>5017</v>
      </c>
      <c r="F1594" t="s">
        <v>5022</v>
      </c>
      <c r="G1594">
        <v>9.4</v>
      </c>
      <c r="H1594">
        <v>1</v>
      </c>
      <c r="I1594">
        <v>8.6</v>
      </c>
      <c r="J1594">
        <v>18.75</v>
      </c>
      <c r="K1594">
        <v>78</v>
      </c>
      <c r="L1594" t="s">
        <v>5027</v>
      </c>
      <c r="M1594">
        <v>10</v>
      </c>
      <c r="N1594">
        <v>1</v>
      </c>
      <c r="O1594">
        <v>1</v>
      </c>
    </row>
    <row r="1595" spans="1:15" x14ac:dyDescent="0.3">
      <c r="A1595" t="s">
        <v>1608</v>
      </c>
      <c r="B1595">
        <v>10</v>
      </c>
      <c r="C1595">
        <v>54</v>
      </c>
      <c r="D1595" t="s">
        <v>5016</v>
      </c>
      <c r="E1595" t="s">
        <v>5019</v>
      </c>
      <c r="F1595" t="s">
        <v>5022</v>
      </c>
      <c r="G1595">
        <v>18.84</v>
      </c>
      <c r="H1595">
        <v>2</v>
      </c>
      <c r="I1595">
        <v>6.3</v>
      </c>
      <c r="J1595">
        <v>14.75</v>
      </c>
      <c r="K1595">
        <v>56.2</v>
      </c>
      <c r="L1595" t="s">
        <v>5026</v>
      </c>
      <c r="M1595">
        <v>11</v>
      </c>
      <c r="N1595">
        <v>0</v>
      </c>
      <c r="O1595">
        <v>1</v>
      </c>
    </row>
    <row r="1596" spans="1:15" x14ac:dyDescent="0.3">
      <c r="A1596" t="s">
        <v>1609</v>
      </c>
      <c r="B1596">
        <v>2</v>
      </c>
      <c r="C1596">
        <v>34</v>
      </c>
      <c r="D1596" t="s">
        <v>5016</v>
      </c>
      <c r="E1596" t="s">
        <v>5018</v>
      </c>
      <c r="F1596" t="s">
        <v>5021</v>
      </c>
      <c r="G1596">
        <v>9.0299999999999994</v>
      </c>
      <c r="H1596">
        <v>1</v>
      </c>
      <c r="I1596">
        <v>4.5999999999999996</v>
      </c>
      <c r="J1596">
        <v>13.84</v>
      </c>
      <c r="K1596">
        <v>99.6</v>
      </c>
      <c r="L1596" t="s">
        <v>5025</v>
      </c>
      <c r="M1596">
        <v>9</v>
      </c>
      <c r="N1596">
        <v>3</v>
      </c>
      <c r="O1596">
        <v>1</v>
      </c>
    </row>
    <row r="1597" spans="1:15" x14ac:dyDescent="0.3">
      <c r="A1597" t="s">
        <v>1610</v>
      </c>
      <c r="B1597">
        <v>11</v>
      </c>
      <c r="C1597">
        <v>56</v>
      </c>
      <c r="D1597" t="s">
        <v>5015</v>
      </c>
      <c r="E1597" t="s">
        <v>5018</v>
      </c>
      <c r="F1597" t="s">
        <v>5021</v>
      </c>
      <c r="G1597">
        <v>6.08</v>
      </c>
      <c r="H1597">
        <v>5</v>
      </c>
      <c r="I1597">
        <v>3.4</v>
      </c>
      <c r="J1597">
        <v>24.33</v>
      </c>
      <c r="K1597">
        <v>71.7</v>
      </c>
      <c r="L1597" t="s">
        <v>5026</v>
      </c>
      <c r="M1597">
        <v>4</v>
      </c>
      <c r="N1597">
        <v>3</v>
      </c>
      <c r="O1597">
        <v>0</v>
      </c>
    </row>
    <row r="1598" spans="1:15" x14ac:dyDescent="0.3">
      <c r="A1598" t="s">
        <v>1611</v>
      </c>
      <c r="B1598">
        <v>7</v>
      </c>
      <c r="C1598">
        <v>65</v>
      </c>
      <c r="D1598" t="s">
        <v>5015</v>
      </c>
      <c r="E1598" t="s">
        <v>5017</v>
      </c>
      <c r="F1598" t="s">
        <v>5023</v>
      </c>
      <c r="G1598">
        <v>17.350000000000001</v>
      </c>
      <c r="H1598">
        <v>5</v>
      </c>
      <c r="I1598">
        <v>6.1</v>
      </c>
      <c r="J1598">
        <v>21.05</v>
      </c>
      <c r="K1598">
        <v>16.100000000000001</v>
      </c>
      <c r="L1598" t="s">
        <v>5029</v>
      </c>
      <c r="M1598">
        <v>1</v>
      </c>
      <c r="N1598">
        <v>3</v>
      </c>
      <c r="O1598">
        <v>0</v>
      </c>
    </row>
    <row r="1599" spans="1:15" x14ac:dyDescent="0.3">
      <c r="A1599" t="s">
        <v>1612</v>
      </c>
      <c r="B1599">
        <v>2</v>
      </c>
      <c r="C1599">
        <v>63</v>
      </c>
      <c r="D1599" t="s">
        <v>5016</v>
      </c>
      <c r="E1599" t="s">
        <v>5017</v>
      </c>
      <c r="F1599" t="s">
        <v>5024</v>
      </c>
      <c r="G1599">
        <v>15.37</v>
      </c>
      <c r="H1599">
        <v>1</v>
      </c>
      <c r="I1599">
        <v>5.8</v>
      </c>
      <c r="J1599">
        <v>18.37</v>
      </c>
      <c r="K1599">
        <v>46.2</v>
      </c>
      <c r="L1599" t="s">
        <v>5025</v>
      </c>
      <c r="M1599">
        <v>3</v>
      </c>
      <c r="N1599">
        <v>1</v>
      </c>
      <c r="O1599">
        <v>0</v>
      </c>
    </row>
    <row r="1600" spans="1:15" x14ac:dyDescent="0.3">
      <c r="A1600" t="s">
        <v>1613</v>
      </c>
      <c r="B1600">
        <v>3</v>
      </c>
      <c r="C1600">
        <v>43</v>
      </c>
      <c r="D1600" t="s">
        <v>5016</v>
      </c>
      <c r="E1600" t="s">
        <v>5017</v>
      </c>
      <c r="F1600" t="s">
        <v>5022</v>
      </c>
      <c r="G1600">
        <v>20.23</v>
      </c>
      <c r="H1600">
        <v>5</v>
      </c>
      <c r="I1600">
        <v>8</v>
      </c>
      <c r="J1600">
        <v>7.29</v>
      </c>
      <c r="K1600">
        <v>75.7</v>
      </c>
      <c r="L1600" t="s">
        <v>5025</v>
      </c>
      <c r="M1600">
        <v>10</v>
      </c>
      <c r="N1600">
        <v>0</v>
      </c>
      <c r="O1600">
        <v>0</v>
      </c>
    </row>
    <row r="1601" spans="1:15" x14ac:dyDescent="0.3">
      <c r="A1601" t="s">
        <v>1614</v>
      </c>
      <c r="B1601">
        <v>11</v>
      </c>
      <c r="C1601">
        <v>65</v>
      </c>
      <c r="D1601" t="s">
        <v>5015</v>
      </c>
      <c r="E1601" t="s">
        <v>5017</v>
      </c>
      <c r="F1601" t="s">
        <v>5023</v>
      </c>
      <c r="G1601">
        <v>20.45</v>
      </c>
      <c r="H1601">
        <v>5</v>
      </c>
      <c r="I1601">
        <v>9.4</v>
      </c>
      <c r="J1601">
        <v>21.03</v>
      </c>
      <c r="K1601">
        <v>85.8</v>
      </c>
      <c r="L1601" t="s">
        <v>5025</v>
      </c>
      <c r="M1601">
        <v>2</v>
      </c>
      <c r="N1601">
        <v>1</v>
      </c>
      <c r="O1601">
        <v>0</v>
      </c>
    </row>
    <row r="1602" spans="1:15" x14ac:dyDescent="0.3">
      <c r="A1602" t="s">
        <v>1615</v>
      </c>
      <c r="B1602">
        <v>7</v>
      </c>
      <c r="C1602">
        <v>56</v>
      </c>
      <c r="D1602" t="s">
        <v>5016</v>
      </c>
      <c r="E1602" t="s">
        <v>5018</v>
      </c>
      <c r="F1602" t="s">
        <v>5022</v>
      </c>
      <c r="G1602">
        <v>24.2</v>
      </c>
      <c r="H1602">
        <v>5</v>
      </c>
      <c r="I1602">
        <v>4</v>
      </c>
      <c r="J1602">
        <v>19.5</v>
      </c>
      <c r="K1602">
        <v>83.2</v>
      </c>
      <c r="L1602" t="s">
        <v>5026</v>
      </c>
      <c r="M1602">
        <v>9</v>
      </c>
      <c r="N1602">
        <v>4</v>
      </c>
      <c r="O1602">
        <v>0</v>
      </c>
    </row>
    <row r="1603" spans="1:15" x14ac:dyDescent="0.3">
      <c r="A1603" t="s">
        <v>1616</v>
      </c>
      <c r="B1603">
        <v>4</v>
      </c>
      <c r="C1603">
        <v>58</v>
      </c>
      <c r="D1603" t="s">
        <v>5016</v>
      </c>
      <c r="E1603" t="s">
        <v>5017</v>
      </c>
      <c r="F1603" t="s">
        <v>5021</v>
      </c>
      <c r="G1603">
        <v>6.14</v>
      </c>
      <c r="H1603">
        <v>3</v>
      </c>
      <c r="I1603">
        <v>2.9</v>
      </c>
      <c r="J1603">
        <v>24.82</v>
      </c>
      <c r="K1603">
        <v>98</v>
      </c>
      <c r="L1603" t="s">
        <v>5028</v>
      </c>
      <c r="M1603">
        <v>7</v>
      </c>
      <c r="N1603">
        <v>2</v>
      </c>
      <c r="O1603">
        <v>0</v>
      </c>
    </row>
    <row r="1604" spans="1:15" x14ac:dyDescent="0.3">
      <c r="A1604" t="s">
        <v>1617</v>
      </c>
      <c r="B1604">
        <v>1</v>
      </c>
      <c r="C1604">
        <v>21</v>
      </c>
      <c r="D1604" t="s">
        <v>5016</v>
      </c>
      <c r="E1604" t="s">
        <v>5018</v>
      </c>
      <c r="F1604" t="s">
        <v>5024</v>
      </c>
      <c r="G1604">
        <v>5.78</v>
      </c>
      <c r="H1604">
        <v>3</v>
      </c>
      <c r="I1604">
        <v>4.5999999999999996</v>
      </c>
      <c r="J1604">
        <v>5.93</v>
      </c>
      <c r="K1604">
        <v>54</v>
      </c>
      <c r="L1604" t="s">
        <v>5027</v>
      </c>
      <c r="M1604">
        <v>10</v>
      </c>
      <c r="N1604">
        <v>2</v>
      </c>
      <c r="O1604">
        <v>0</v>
      </c>
    </row>
    <row r="1605" spans="1:15" x14ac:dyDescent="0.3">
      <c r="A1605" t="s">
        <v>1618</v>
      </c>
      <c r="B1605">
        <v>5</v>
      </c>
      <c r="C1605">
        <v>47</v>
      </c>
      <c r="D1605" t="s">
        <v>5015</v>
      </c>
      <c r="E1605" t="s">
        <v>5018</v>
      </c>
      <c r="F1605" t="s">
        <v>5020</v>
      </c>
      <c r="G1605">
        <v>24.74</v>
      </c>
      <c r="H1605">
        <v>1</v>
      </c>
      <c r="I1605">
        <v>4.9000000000000004</v>
      </c>
      <c r="J1605">
        <v>18.739999999999998</v>
      </c>
      <c r="K1605">
        <v>22.6</v>
      </c>
      <c r="L1605" t="s">
        <v>5025</v>
      </c>
      <c r="M1605">
        <v>10</v>
      </c>
      <c r="N1605">
        <v>2</v>
      </c>
      <c r="O1605">
        <v>0</v>
      </c>
    </row>
    <row r="1606" spans="1:15" x14ac:dyDescent="0.3">
      <c r="A1606" t="s">
        <v>1619</v>
      </c>
      <c r="B1606">
        <v>12</v>
      </c>
      <c r="C1606">
        <v>47</v>
      </c>
      <c r="D1606" t="s">
        <v>5016</v>
      </c>
      <c r="E1606" t="s">
        <v>5017</v>
      </c>
      <c r="F1606" t="s">
        <v>5024</v>
      </c>
      <c r="G1606">
        <v>17.899999999999999</v>
      </c>
      <c r="H1606">
        <v>1</v>
      </c>
      <c r="I1606">
        <v>1.4</v>
      </c>
      <c r="J1606">
        <v>24.54</v>
      </c>
      <c r="K1606">
        <v>68.7</v>
      </c>
      <c r="L1606" t="s">
        <v>5027</v>
      </c>
      <c r="M1606">
        <v>6</v>
      </c>
      <c r="N1606">
        <v>4</v>
      </c>
      <c r="O1606">
        <v>0</v>
      </c>
    </row>
    <row r="1607" spans="1:15" x14ac:dyDescent="0.3">
      <c r="A1607" t="s">
        <v>1620</v>
      </c>
      <c r="B1607">
        <v>9</v>
      </c>
      <c r="C1607">
        <v>39</v>
      </c>
      <c r="D1607" t="s">
        <v>5016</v>
      </c>
      <c r="E1607" t="s">
        <v>5017</v>
      </c>
      <c r="F1607" t="s">
        <v>5020</v>
      </c>
      <c r="G1607">
        <v>19.309999999999999</v>
      </c>
      <c r="H1607">
        <v>4</v>
      </c>
      <c r="I1607">
        <v>8.8000000000000007</v>
      </c>
      <c r="J1607">
        <v>13.18</v>
      </c>
      <c r="K1607">
        <v>16.399999999999999</v>
      </c>
      <c r="L1607" t="s">
        <v>5027</v>
      </c>
      <c r="M1607">
        <v>4</v>
      </c>
      <c r="N1607">
        <v>4</v>
      </c>
      <c r="O1607">
        <v>0</v>
      </c>
    </row>
    <row r="1608" spans="1:15" x14ac:dyDescent="0.3">
      <c r="A1608" t="s">
        <v>1621</v>
      </c>
      <c r="B1608">
        <v>8</v>
      </c>
      <c r="C1608">
        <v>28</v>
      </c>
      <c r="D1608" t="s">
        <v>5016</v>
      </c>
      <c r="E1608" t="s">
        <v>5017</v>
      </c>
      <c r="F1608" t="s">
        <v>5023</v>
      </c>
      <c r="G1608">
        <v>6.93</v>
      </c>
      <c r="H1608">
        <v>3</v>
      </c>
      <c r="I1608">
        <v>10</v>
      </c>
      <c r="J1608">
        <v>19.14</v>
      </c>
      <c r="K1608">
        <v>97.6</v>
      </c>
      <c r="L1608" t="s">
        <v>5027</v>
      </c>
      <c r="M1608">
        <v>11</v>
      </c>
      <c r="N1608">
        <v>4</v>
      </c>
      <c r="O1608">
        <v>0</v>
      </c>
    </row>
    <row r="1609" spans="1:15" x14ac:dyDescent="0.3">
      <c r="A1609" t="s">
        <v>1622</v>
      </c>
      <c r="B1609">
        <v>12</v>
      </c>
      <c r="C1609">
        <v>19</v>
      </c>
      <c r="D1609" t="s">
        <v>5016</v>
      </c>
      <c r="E1609" t="s">
        <v>5017</v>
      </c>
      <c r="F1609" t="s">
        <v>5020</v>
      </c>
      <c r="G1609">
        <v>6.4</v>
      </c>
      <c r="H1609">
        <v>1</v>
      </c>
      <c r="I1609">
        <v>9.3000000000000007</v>
      </c>
      <c r="J1609">
        <v>24.46</v>
      </c>
      <c r="K1609">
        <v>78.3</v>
      </c>
      <c r="L1609" t="s">
        <v>5026</v>
      </c>
      <c r="M1609">
        <v>4</v>
      </c>
      <c r="N1609">
        <v>0</v>
      </c>
      <c r="O1609">
        <v>0</v>
      </c>
    </row>
    <row r="1610" spans="1:15" x14ac:dyDescent="0.3">
      <c r="A1610" t="s">
        <v>1623</v>
      </c>
      <c r="B1610">
        <v>9</v>
      </c>
      <c r="C1610">
        <v>61</v>
      </c>
      <c r="D1610" t="s">
        <v>5015</v>
      </c>
      <c r="E1610" t="s">
        <v>5019</v>
      </c>
      <c r="F1610" t="s">
        <v>5020</v>
      </c>
      <c r="G1610">
        <v>8.2100000000000009</v>
      </c>
      <c r="H1610">
        <v>3</v>
      </c>
      <c r="I1610">
        <v>8.6999999999999993</v>
      </c>
      <c r="J1610">
        <v>15.04</v>
      </c>
      <c r="K1610">
        <v>98.4</v>
      </c>
      <c r="L1610" t="s">
        <v>5027</v>
      </c>
      <c r="M1610">
        <v>7</v>
      </c>
      <c r="N1610">
        <v>3</v>
      </c>
      <c r="O1610">
        <v>0</v>
      </c>
    </row>
    <row r="1611" spans="1:15" x14ac:dyDescent="0.3">
      <c r="A1611" t="s">
        <v>1624</v>
      </c>
      <c r="B1611">
        <v>10</v>
      </c>
      <c r="C1611">
        <v>29</v>
      </c>
      <c r="D1611" t="s">
        <v>5015</v>
      </c>
      <c r="E1611" t="s">
        <v>5018</v>
      </c>
      <c r="F1611" t="s">
        <v>5023</v>
      </c>
      <c r="G1611">
        <v>13.54</v>
      </c>
      <c r="H1611">
        <v>4</v>
      </c>
      <c r="I1611">
        <v>9.9</v>
      </c>
      <c r="J1611">
        <v>18.38</v>
      </c>
      <c r="K1611">
        <v>44</v>
      </c>
      <c r="L1611" t="s">
        <v>5029</v>
      </c>
      <c r="M1611">
        <v>8</v>
      </c>
      <c r="N1611">
        <v>4</v>
      </c>
      <c r="O1611">
        <v>0</v>
      </c>
    </row>
    <row r="1612" spans="1:15" x14ac:dyDescent="0.3">
      <c r="A1612" t="s">
        <v>1625</v>
      </c>
      <c r="B1612">
        <v>9</v>
      </c>
      <c r="C1612">
        <v>47</v>
      </c>
      <c r="D1612" t="s">
        <v>5015</v>
      </c>
      <c r="E1612" t="s">
        <v>5019</v>
      </c>
      <c r="F1612" t="s">
        <v>5024</v>
      </c>
      <c r="G1612">
        <v>7.2</v>
      </c>
      <c r="H1612">
        <v>1</v>
      </c>
      <c r="I1612">
        <v>9.1999999999999993</v>
      </c>
      <c r="J1612">
        <v>3.44</v>
      </c>
      <c r="K1612">
        <v>11.4</v>
      </c>
      <c r="L1612" t="s">
        <v>5026</v>
      </c>
      <c r="M1612">
        <v>4</v>
      </c>
      <c r="N1612">
        <v>2</v>
      </c>
      <c r="O1612">
        <v>0</v>
      </c>
    </row>
    <row r="1613" spans="1:15" x14ac:dyDescent="0.3">
      <c r="A1613" t="s">
        <v>1626</v>
      </c>
      <c r="B1613">
        <v>7</v>
      </c>
      <c r="C1613">
        <v>53</v>
      </c>
      <c r="D1613" t="s">
        <v>5016</v>
      </c>
      <c r="E1613" t="s">
        <v>5018</v>
      </c>
      <c r="F1613" t="s">
        <v>5023</v>
      </c>
      <c r="G1613">
        <v>13.93</v>
      </c>
      <c r="H1613">
        <v>1</v>
      </c>
      <c r="I1613">
        <v>7.2</v>
      </c>
      <c r="J1613">
        <v>14.43</v>
      </c>
      <c r="K1613">
        <v>56.9</v>
      </c>
      <c r="L1613" t="s">
        <v>5026</v>
      </c>
      <c r="M1613">
        <v>7</v>
      </c>
      <c r="N1613">
        <v>2</v>
      </c>
      <c r="O1613">
        <v>0</v>
      </c>
    </row>
    <row r="1614" spans="1:15" x14ac:dyDescent="0.3">
      <c r="A1614" t="s">
        <v>1627</v>
      </c>
      <c r="B1614">
        <v>4</v>
      </c>
      <c r="C1614">
        <v>35</v>
      </c>
      <c r="D1614" t="s">
        <v>5015</v>
      </c>
      <c r="E1614" t="s">
        <v>5018</v>
      </c>
      <c r="F1614" t="s">
        <v>5021</v>
      </c>
      <c r="G1614">
        <v>16.23</v>
      </c>
      <c r="H1614">
        <v>1</v>
      </c>
      <c r="I1614">
        <v>2.5</v>
      </c>
      <c r="J1614">
        <v>8.6300000000000008</v>
      </c>
      <c r="K1614">
        <v>20.9</v>
      </c>
      <c r="L1614" t="s">
        <v>5029</v>
      </c>
      <c r="M1614">
        <v>3</v>
      </c>
      <c r="N1614">
        <v>1</v>
      </c>
      <c r="O1614">
        <v>0</v>
      </c>
    </row>
    <row r="1615" spans="1:15" x14ac:dyDescent="0.3">
      <c r="A1615" t="s">
        <v>1628</v>
      </c>
      <c r="B1615">
        <v>5</v>
      </c>
      <c r="C1615">
        <v>43</v>
      </c>
      <c r="D1615" t="s">
        <v>5016</v>
      </c>
      <c r="E1615" t="s">
        <v>5018</v>
      </c>
      <c r="F1615" t="s">
        <v>5021</v>
      </c>
      <c r="G1615">
        <v>5.01</v>
      </c>
      <c r="H1615">
        <v>1</v>
      </c>
      <c r="I1615">
        <v>2.4</v>
      </c>
      <c r="J1615">
        <v>5.89</v>
      </c>
      <c r="K1615">
        <v>71.2</v>
      </c>
      <c r="L1615" t="s">
        <v>5028</v>
      </c>
      <c r="M1615">
        <v>9</v>
      </c>
      <c r="N1615">
        <v>3</v>
      </c>
      <c r="O1615">
        <v>0</v>
      </c>
    </row>
    <row r="1616" spans="1:15" x14ac:dyDescent="0.3">
      <c r="A1616" t="s">
        <v>1629</v>
      </c>
      <c r="B1616">
        <v>1</v>
      </c>
      <c r="C1616">
        <v>24</v>
      </c>
      <c r="D1616" t="s">
        <v>5015</v>
      </c>
      <c r="E1616" t="s">
        <v>5019</v>
      </c>
      <c r="F1616" t="s">
        <v>5020</v>
      </c>
      <c r="G1616">
        <v>7.28</v>
      </c>
      <c r="H1616">
        <v>2</v>
      </c>
      <c r="I1616">
        <v>1.4</v>
      </c>
      <c r="J1616">
        <v>18.59</v>
      </c>
      <c r="K1616">
        <v>54.8</v>
      </c>
      <c r="L1616" t="s">
        <v>5028</v>
      </c>
      <c r="M1616">
        <v>3</v>
      </c>
      <c r="N1616">
        <v>4</v>
      </c>
      <c r="O1616">
        <v>0</v>
      </c>
    </row>
    <row r="1617" spans="1:15" x14ac:dyDescent="0.3">
      <c r="A1617" t="s">
        <v>1630</v>
      </c>
      <c r="B1617">
        <v>1</v>
      </c>
      <c r="C1617">
        <v>18</v>
      </c>
      <c r="D1617" t="s">
        <v>5016</v>
      </c>
      <c r="E1617" t="s">
        <v>5017</v>
      </c>
      <c r="F1617" t="s">
        <v>5023</v>
      </c>
      <c r="G1617">
        <v>12.5</v>
      </c>
      <c r="H1617">
        <v>3</v>
      </c>
      <c r="I1617">
        <v>4.7</v>
      </c>
      <c r="J1617">
        <v>3.86</v>
      </c>
      <c r="K1617">
        <v>77.8</v>
      </c>
      <c r="L1617" t="s">
        <v>5025</v>
      </c>
      <c r="M1617">
        <v>3</v>
      </c>
      <c r="N1617">
        <v>3</v>
      </c>
      <c r="O1617">
        <v>1</v>
      </c>
    </row>
    <row r="1618" spans="1:15" x14ac:dyDescent="0.3">
      <c r="A1618" t="s">
        <v>1631</v>
      </c>
      <c r="B1618">
        <v>3</v>
      </c>
      <c r="C1618">
        <v>43</v>
      </c>
      <c r="D1618" t="s">
        <v>5015</v>
      </c>
      <c r="E1618" t="s">
        <v>5017</v>
      </c>
      <c r="F1618" t="s">
        <v>5023</v>
      </c>
      <c r="G1618">
        <v>6.07</v>
      </c>
      <c r="H1618">
        <v>3</v>
      </c>
      <c r="I1618">
        <v>8.3000000000000007</v>
      </c>
      <c r="J1618">
        <v>22.91</v>
      </c>
      <c r="K1618">
        <v>36.200000000000003</v>
      </c>
      <c r="L1618" t="s">
        <v>5028</v>
      </c>
      <c r="M1618">
        <v>10</v>
      </c>
      <c r="N1618">
        <v>4</v>
      </c>
      <c r="O1618">
        <v>0</v>
      </c>
    </row>
    <row r="1619" spans="1:15" x14ac:dyDescent="0.3">
      <c r="A1619" t="s">
        <v>1632</v>
      </c>
      <c r="B1619">
        <v>8</v>
      </c>
      <c r="C1619">
        <v>40</v>
      </c>
      <c r="D1619" t="s">
        <v>5015</v>
      </c>
      <c r="E1619" t="s">
        <v>5018</v>
      </c>
      <c r="F1619" t="s">
        <v>5023</v>
      </c>
      <c r="G1619">
        <v>7.67</v>
      </c>
      <c r="H1619">
        <v>3</v>
      </c>
      <c r="I1619">
        <v>5.4</v>
      </c>
      <c r="J1619">
        <v>14.39</v>
      </c>
      <c r="K1619">
        <v>84.6</v>
      </c>
      <c r="L1619" t="s">
        <v>5025</v>
      </c>
      <c r="M1619">
        <v>2</v>
      </c>
      <c r="N1619">
        <v>2</v>
      </c>
      <c r="O1619">
        <v>0</v>
      </c>
    </row>
    <row r="1620" spans="1:15" x14ac:dyDescent="0.3">
      <c r="A1620" t="s">
        <v>1633</v>
      </c>
      <c r="B1620">
        <v>2</v>
      </c>
      <c r="C1620">
        <v>43</v>
      </c>
      <c r="D1620" t="s">
        <v>5015</v>
      </c>
      <c r="E1620" t="s">
        <v>5018</v>
      </c>
      <c r="F1620" t="s">
        <v>5024</v>
      </c>
      <c r="G1620">
        <v>9.64</v>
      </c>
      <c r="H1620">
        <v>4</v>
      </c>
      <c r="I1620">
        <v>4.3</v>
      </c>
      <c r="J1620">
        <v>17.260000000000002</v>
      </c>
      <c r="K1620">
        <v>68.599999999999994</v>
      </c>
      <c r="L1620" t="s">
        <v>5027</v>
      </c>
      <c r="M1620">
        <v>3</v>
      </c>
      <c r="N1620">
        <v>3</v>
      </c>
      <c r="O1620">
        <v>0</v>
      </c>
    </row>
    <row r="1621" spans="1:15" x14ac:dyDescent="0.3">
      <c r="A1621" t="s">
        <v>1634</v>
      </c>
      <c r="B1621">
        <v>4</v>
      </c>
      <c r="C1621">
        <v>62</v>
      </c>
      <c r="D1621" t="s">
        <v>5016</v>
      </c>
      <c r="E1621" t="s">
        <v>5018</v>
      </c>
      <c r="F1621" t="s">
        <v>5022</v>
      </c>
      <c r="G1621">
        <v>13.59</v>
      </c>
      <c r="H1621">
        <v>2</v>
      </c>
      <c r="I1621">
        <v>2</v>
      </c>
      <c r="J1621">
        <v>8.58</v>
      </c>
      <c r="K1621">
        <v>98.9</v>
      </c>
      <c r="L1621" t="s">
        <v>5025</v>
      </c>
      <c r="M1621">
        <v>8</v>
      </c>
      <c r="N1621">
        <v>3</v>
      </c>
      <c r="O1621">
        <v>0</v>
      </c>
    </row>
    <row r="1622" spans="1:15" x14ac:dyDescent="0.3">
      <c r="A1622" t="s">
        <v>1635</v>
      </c>
      <c r="B1622">
        <v>2</v>
      </c>
      <c r="C1622">
        <v>23</v>
      </c>
      <c r="D1622" t="s">
        <v>5016</v>
      </c>
      <c r="E1622" t="s">
        <v>5018</v>
      </c>
      <c r="F1622" t="s">
        <v>5022</v>
      </c>
      <c r="G1622">
        <v>19.3</v>
      </c>
      <c r="H1622">
        <v>3</v>
      </c>
      <c r="I1622">
        <v>1.5</v>
      </c>
      <c r="J1622">
        <v>7.01</v>
      </c>
      <c r="K1622">
        <v>26.1</v>
      </c>
      <c r="L1622" t="s">
        <v>5028</v>
      </c>
      <c r="M1622">
        <v>2</v>
      </c>
      <c r="N1622">
        <v>4</v>
      </c>
      <c r="O1622">
        <v>0</v>
      </c>
    </row>
    <row r="1623" spans="1:15" x14ac:dyDescent="0.3">
      <c r="A1623" t="s">
        <v>1636</v>
      </c>
      <c r="B1623">
        <v>5</v>
      </c>
      <c r="C1623">
        <v>23</v>
      </c>
      <c r="D1623" t="s">
        <v>5016</v>
      </c>
      <c r="E1623" t="s">
        <v>5018</v>
      </c>
      <c r="F1623" t="s">
        <v>5022</v>
      </c>
      <c r="G1623">
        <v>7.65</v>
      </c>
      <c r="H1623">
        <v>3</v>
      </c>
      <c r="I1623">
        <v>4.5999999999999996</v>
      </c>
      <c r="J1623">
        <v>8.36</v>
      </c>
      <c r="K1623">
        <v>14.6</v>
      </c>
      <c r="L1623" t="s">
        <v>5025</v>
      </c>
      <c r="M1623">
        <v>1</v>
      </c>
      <c r="N1623">
        <v>4</v>
      </c>
      <c r="O1623">
        <v>0</v>
      </c>
    </row>
    <row r="1624" spans="1:15" x14ac:dyDescent="0.3">
      <c r="A1624" t="s">
        <v>1637</v>
      </c>
      <c r="B1624">
        <v>9</v>
      </c>
      <c r="C1624">
        <v>61</v>
      </c>
      <c r="D1624" t="s">
        <v>5015</v>
      </c>
      <c r="E1624" t="s">
        <v>5018</v>
      </c>
      <c r="F1624" t="s">
        <v>5024</v>
      </c>
      <c r="G1624">
        <v>19.760000000000002</v>
      </c>
      <c r="H1624">
        <v>1</v>
      </c>
      <c r="I1624">
        <v>1.9</v>
      </c>
      <c r="J1624">
        <v>8.11</v>
      </c>
      <c r="K1624">
        <v>86.6</v>
      </c>
      <c r="L1624" t="s">
        <v>5026</v>
      </c>
      <c r="M1624">
        <v>5</v>
      </c>
      <c r="N1624">
        <v>3</v>
      </c>
      <c r="O1624">
        <v>1</v>
      </c>
    </row>
    <row r="1625" spans="1:15" x14ac:dyDescent="0.3">
      <c r="A1625" t="s">
        <v>1638</v>
      </c>
      <c r="B1625">
        <v>1</v>
      </c>
      <c r="C1625">
        <v>25</v>
      </c>
      <c r="D1625" t="s">
        <v>5016</v>
      </c>
      <c r="E1625" t="s">
        <v>5018</v>
      </c>
      <c r="F1625" t="s">
        <v>5023</v>
      </c>
      <c r="G1625">
        <v>22.1</v>
      </c>
      <c r="H1625">
        <v>1</v>
      </c>
      <c r="I1625">
        <v>1.9</v>
      </c>
      <c r="J1625">
        <v>22.02</v>
      </c>
      <c r="K1625">
        <v>40.5</v>
      </c>
      <c r="L1625" t="s">
        <v>5028</v>
      </c>
      <c r="M1625">
        <v>8</v>
      </c>
      <c r="N1625">
        <v>4</v>
      </c>
      <c r="O1625">
        <v>0</v>
      </c>
    </row>
    <row r="1626" spans="1:15" x14ac:dyDescent="0.3">
      <c r="A1626" t="s">
        <v>1639</v>
      </c>
      <c r="B1626">
        <v>5</v>
      </c>
      <c r="C1626">
        <v>41</v>
      </c>
      <c r="D1626" t="s">
        <v>5016</v>
      </c>
      <c r="E1626" t="s">
        <v>5019</v>
      </c>
      <c r="F1626" t="s">
        <v>5022</v>
      </c>
      <c r="G1626">
        <v>18.03</v>
      </c>
      <c r="H1626">
        <v>1</v>
      </c>
      <c r="I1626">
        <v>4.5999999999999996</v>
      </c>
      <c r="J1626">
        <v>20.32</v>
      </c>
      <c r="K1626">
        <v>48.8</v>
      </c>
      <c r="L1626" t="s">
        <v>5025</v>
      </c>
      <c r="M1626">
        <v>6</v>
      </c>
      <c r="N1626">
        <v>3</v>
      </c>
      <c r="O1626">
        <v>0</v>
      </c>
    </row>
    <row r="1627" spans="1:15" x14ac:dyDescent="0.3">
      <c r="A1627" t="s">
        <v>1640</v>
      </c>
      <c r="B1627">
        <v>9</v>
      </c>
      <c r="C1627">
        <v>39</v>
      </c>
      <c r="D1627" t="s">
        <v>5016</v>
      </c>
      <c r="E1627" t="s">
        <v>5019</v>
      </c>
      <c r="F1627" t="s">
        <v>5023</v>
      </c>
      <c r="G1627">
        <v>5.87</v>
      </c>
      <c r="H1627">
        <v>3</v>
      </c>
      <c r="I1627">
        <v>5.5</v>
      </c>
      <c r="J1627">
        <v>21.76</v>
      </c>
      <c r="K1627">
        <v>93.3</v>
      </c>
      <c r="L1627" t="s">
        <v>5028</v>
      </c>
      <c r="M1627">
        <v>2</v>
      </c>
      <c r="N1627">
        <v>1</v>
      </c>
      <c r="O1627">
        <v>1</v>
      </c>
    </row>
    <row r="1628" spans="1:15" x14ac:dyDescent="0.3">
      <c r="A1628" t="s">
        <v>1641</v>
      </c>
      <c r="B1628">
        <v>1</v>
      </c>
      <c r="C1628">
        <v>36</v>
      </c>
      <c r="D1628" t="s">
        <v>5016</v>
      </c>
      <c r="E1628" t="s">
        <v>5018</v>
      </c>
      <c r="F1628" t="s">
        <v>5020</v>
      </c>
      <c r="G1628">
        <v>13.81</v>
      </c>
      <c r="H1628">
        <v>1</v>
      </c>
      <c r="I1628">
        <v>2.7</v>
      </c>
      <c r="J1628">
        <v>19.170000000000002</v>
      </c>
      <c r="K1628">
        <v>49.7</v>
      </c>
      <c r="L1628" t="s">
        <v>5029</v>
      </c>
      <c r="M1628">
        <v>9</v>
      </c>
      <c r="N1628">
        <v>3</v>
      </c>
      <c r="O1628">
        <v>0</v>
      </c>
    </row>
    <row r="1629" spans="1:15" x14ac:dyDescent="0.3">
      <c r="A1629" t="s">
        <v>1642</v>
      </c>
      <c r="B1629">
        <v>9</v>
      </c>
      <c r="C1629">
        <v>54</v>
      </c>
      <c r="D1629" t="s">
        <v>5016</v>
      </c>
      <c r="E1629" t="s">
        <v>5018</v>
      </c>
      <c r="F1629" t="s">
        <v>5022</v>
      </c>
      <c r="G1629">
        <v>18.2</v>
      </c>
      <c r="H1629">
        <v>3</v>
      </c>
      <c r="I1629">
        <v>7.2</v>
      </c>
      <c r="J1629">
        <v>17.16</v>
      </c>
      <c r="K1629">
        <v>36.799999999999997</v>
      </c>
      <c r="L1629" t="s">
        <v>5028</v>
      </c>
      <c r="M1629">
        <v>4</v>
      </c>
      <c r="N1629">
        <v>0</v>
      </c>
      <c r="O1629">
        <v>0</v>
      </c>
    </row>
    <row r="1630" spans="1:15" x14ac:dyDescent="0.3">
      <c r="A1630" t="s">
        <v>1643</v>
      </c>
      <c r="B1630">
        <v>8</v>
      </c>
      <c r="C1630">
        <v>35</v>
      </c>
      <c r="D1630" t="s">
        <v>5016</v>
      </c>
      <c r="E1630" t="s">
        <v>5019</v>
      </c>
      <c r="F1630" t="s">
        <v>5020</v>
      </c>
      <c r="G1630">
        <v>24.57</v>
      </c>
      <c r="H1630">
        <v>4</v>
      </c>
      <c r="I1630">
        <v>4.8</v>
      </c>
      <c r="J1630">
        <v>14.61</v>
      </c>
      <c r="K1630">
        <v>15.4</v>
      </c>
      <c r="L1630" t="s">
        <v>5029</v>
      </c>
      <c r="M1630">
        <v>3</v>
      </c>
      <c r="N1630">
        <v>3</v>
      </c>
      <c r="O1630">
        <v>0</v>
      </c>
    </row>
    <row r="1631" spans="1:15" x14ac:dyDescent="0.3">
      <c r="A1631" t="s">
        <v>1644</v>
      </c>
      <c r="B1631">
        <v>4</v>
      </c>
      <c r="C1631">
        <v>48</v>
      </c>
      <c r="D1631" t="s">
        <v>5015</v>
      </c>
      <c r="E1631" t="s">
        <v>5018</v>
      </c>
      <c r="F1631" t="s">
        <v>5024</v>
      </c>
      <c r="G1631">
        <v>24.04</v>
      </c>
      <c r="H1631">
        <v>4</v>
      </c>
      <c r="I1631">
        <v>1.8</v>
      </c>
      <c r="J1631">
        <v>8.84</v>
      </c>
      <c r="K1631">
        <v>49.9</v>
      </c>
      <c r="L1631" t="s">
        <v>5025</v>
      </c>
      <c r="M1631">
        <v>4</v>
      </c>
      <c r="N1631">
        <v>1</v>
      </c>
      <c r="O1631">
        <v>1</v>
      </c>
    </row>
    <row r="1632" spans="1:15" x14ac:dyDescent="0.3">
      <c r="A1632" t="s">
        <v>1645</v>
      </c>
      <c r="B1632">
        <v>12</v>
      </c>
      <c r="C1632">
        <v>54</v>
      </c>
      <c r="D1632" t="s">
        <v>5015</v>
      </c>
      <c r="E1632" t="s">
        <v>5018</v>
      </c>
      <c r="F1632" t="s">
        <v>5021</v>
      </c>
      <c r="G1632">
        <v>12.91</v>
      </c>
      <c r="H1632">
        <v>5</v>
      </c>
      <c r="I1632">
        <v>6.7</v>
      </c>
      <c r="J1632">
        <v>18.52</v>
      </c>
      <c r="K1632">
        <v>68.900000000000006</v>
      </c>
      <c r="L1632" t="s">
        <v>5029</v>
      </c>
      <c r="M1632">
        <v>3</v>
      </c>
      <c r="N1632">
        <v>1</v>
      </c>
      <c r="O1632">
        <v>1</v>
      </c>
    </row>
    <row r="1633" spans="1:15" x14ac:dyDescent="0.3">
      <c r="A1633" t="s">
        <v>1646</v>
      </c>
      <c r="B1633">
        <v>11</v>
      </c>
      <c r="C1633">
        <v>47</v>
      </c>
      <c r="D1633" t="s">
        <v>5016</v>
      </c>
      <c r="E1633" t="s">
        <v>5019</v>
      </c>
      <c r="F1633" t="s">
        <v>5024</v>
      </c>
      <c r="G1633">
        <v>17.32</v>
      </c>
      <c r="H1633">
        <v>2</v>
      </c>
      <c r="I1633">
        <v>4.2</v>
      </c>
      <c r="J1633">
        <v>6</v>
      </c>
      <c r="K1633">
        <v>34.200000000000003</v>
      </c>
      <c r="L1633" t="s">
        <v>5028</v>
      </c>
      <c r="M1633">
        <v>8</v>
      </c>
      <c r="N1633">
        <v>2</v>
      </c>
      <c r="O1633">
        <v>0</v>
      </c>
    </row>
    <row r="1634" spans="1:15" x14ac:dyDescent="0.3">
      <c r="A1634" t="s">
        <v>1647</v>
      </c>
      <c r="B1634">
        <v>10</v>
      </c>
      <c r="C1634">
        <v>59</v>
      </c>
      <c r="D1634" t="s">
        <v>5015</v>
      </c>
      <c r="E1634" t="s">
        <v>5018</v>
      </c>
      <c r="F1634" t="s">
        <v>5024</v>
      </c>
      <c r="G1634">
        <v>22.82</v>
      </c>
      <c r="H1634">
        <v>1</v>
      </c>
      <c r="I1634">
        <v>1.5</v>
      </c>
      <c r="J1634">
        <v>14.24</v>
      </c>
      <c r="K1634">
        <v>74.599999999999994</v>
      </c>
      <c r="L1634" t="s">
        <v>5026</v>
      </c>
      <c r="M1634">
        <v>1</v>
      </c>
      <c r="N1634">
        <v>2</v>
      </c>
      <c r="O1634">
        <v>0</v>
      </c>
    </row>
    <row r="1635" spans="1:15" x14ac:dyDescent="0.3">
      <c r="A1635" t="s">
        <v>1648</v>
      </c>
      <c r="B1635">
        <v>5</v>
      </c>
      <c r="C1635">
        <v>50</v>
      </c>
      <c r="D1635" t="s">
        <v>5015</v>
      </c>
      <c r="E1635" t="s">
        <v>5017</v>
      </c>
      <c r="F1635" t="s">
        <v>5024</v>
      </c>
      <c r="G1635">
        <v>21.62</v>
      </c>
      <c r="H1635">
        <v>1</v>
      </c>
      <c r="I1635">
        <v>9.5</v>
      </c>
      <c r="J1635">
        <v>7.3</v>
      </c>
      <c r="K1635">
        <v>53</v>
      </c>
      <c r="L1635" t="s">
        <v>5029</v>
      </c>
      <c r="M1635">
        <v>1</v>
      </c>
      <c r="N1635">
        <v>0</v>
      </c>
      <c r="O1635">
        <v>0</v>
      </c>
    </row>
    <row r="1636" spans="1:15" x14ac:dyDescent="0.3">
      <c r="A1636" t="s">
        <v>1649</v>
      </c>
      <c r="B1636">
        <v>5</v>
      </c>
      <c r="C1636">
        <v>27</v>
      </c>
      <c r="D1636" t="s">
        <v>5016</v>
      </c>
      <c r="E1636" t="s">
        <v>5019</v>
      </c>
      <c r="F1636" t="s">
        <v>5022</v>
      </c>
      <c r="G1636">
        <v>14.59</v>
      </c>
      <c r="H1636">
        <v>2</v>
      </c>
      <c r="I1636">
        <v>6.1</v>
      </c>
      <c r="J1636">
        <v>14.1</v>
      </c>
      <c r="K1636">
        <v>87.2</v>
      </c>
      <c r="L1636" t="s">
        <v>5028</v>
      </c>
      <c r="M1636">
        <v>9</v>
      </c>
      <c r="N1636">
        <v>4</v>
      </c>
      <c r="O1636">
        <v>1</v>
      </c>
    </row>
    <row r="1637" spans="1:15" x14ac:dyDescent="0.3">
      <c r="A1637" t="s">
        <v>1650</v>
      </c>
      <c r="B1637">
        <v>11</v>
      </c>
      <c r="C1637">
        <v>54</v>
      </c>
      <c r="D1637" t="s">
        <v>5016</v>
      </c>
      <c r="E1637" t="s">
        <v>5017</v>
      </c>
      <c r="F1637" t="s">
        <v>5020</v>
      </c>
      <c r="G1637">
        <v>10.220000000000001</v>
      </c>
      <c r="H1637">
        <v>2</v>
      </c>
      <c r="I1637">
        <v>5.3</v>
      </c>
      <c r="J1637">
        <v>9.4700000000000006</v>
      </c>
      <c r="K1637">
        <v>24.6</v>
      </c>
      <c r="L1637" t="s">
        <v>5026</v>
      </c>
      <c r="M1637">
        <v>7</v>
      </c>
      <c r="N1637">
        <v>4</v>
      </c>
      <c r="O1637">
        <v>0</v>
      </c>
    </row>
    <row r="1638" spans="1:15" x14ac:dyDescent="0.3">
      <c r="A1638" t="s">
        <v>1651</v>
      </c>
      <c r="B1638">
        <v>12</v>
      </c>
      <c r="C1638">
        <v>29</v>
      </c>
      <c r="D1638" t="s">
        <v>5015</v>
      </c>
      <c r="E1638" t="s">
        <v>5019</v>
      </c>
      <c r="F1638" t="s">
        <v>5022</v>
      </c>
      <c r="G1638">
        <v>7.74</v>
      </c>
      <c r="H1638">
        <v>5</v>
      </c>
      <c r="I1638">
        <v>8.6999999999999993</v>
      </c>
      <c r="J1638">
        <v>4.18</v>
      </c>
      <c r="K1638">
        <v>78.099999999999994</v>
      </c>
      <c r="L1638" t="s">
        <v>5027</v>
      </c>
      <c r="M1638">
        <v>9</v>
      </c>
      <c r="N1638">
        <v>1</v>
      </c>
      <c r="O1638">
        <v>1</v>
      </c>
    </row>
    <row r="1639" spans="1:15" x14ac:dyDescent="0.3">
      <c r="A1639" t="s">
        <v>1652</v>
      </c>
      <c r="B1639">
        <v>6</v>
      </c>
      <c r="C1639">
        <v>47</v>
      </c>
      <c r="D1639" t="s">
        <v>5016</v>
      </c>
      <c r="E1639" t="s">
        <v>5019</v>
      </c>
      <c r="F1639" t="s">
        <v>5021</v>
      </c>
      <c r="G1639">
        <v>14.76</v>
      </c>
      <c r="H1639">
        <v>2</v>
      </c>
      <c r="I1639">
        <v>9.4</v>
      </c>
      <c r="J1639">
        <v>14.08</v>
      </c>
      <c r="K1639">
        <v>93.9</v>
      </c>
      <c r="L1639" t="s">
        <v>5029</v>
      </c>
      <c r="M1639">
        <v>3</v>
      </c>
      <c r="N1639">
        <v>1</v>
      </c>
      <c r="O1639">
        <v>1</v>
      </c>
    </row>
    <row r="1640" spans="1:15" x14ac:dyDescent="0.3">
      <c r="A1640" t="s">
        <v>1653</v>
      </c>
      <c r="B1640">
        <v>7</v>
      </c>
      <c r="C1640">
        <v>44</v>
      </c>
      <c r="D1640" t="s">
        <v>5015</v>
      </c>
      <c r="E1640" t="s">
        <v>5019</v>
      </c>
      <c r="F1640" t="s">
        <v>5024</v>
      </c>
      <c r="G1640">
        <v>19.46</v>
      </c>
      <c r="H1640">
        <v>3</v>
      </c>
      <c r="I1640">
        <v>3</v>
      </c>
      <c r="J1640">
        <v>7</v>
      </c>
      <c r="K1640">
        <v>76.7</v>
      </c>
      <c r="L1640" t="s">
        <v>5029</v>
      </c>
      <c r="M1640">
        <v>3</v>
      </c>
      <c r="N1640">
        <v>2</v>
      </c>
      <c r="O1640">
        <v>0</v>
      </c>
    </row>
    <row r="1641" spans="1:15" x14ac:dyDescent="0.3">
      <c r="A1641" t="s">
        <v>1654</v>
      </c>
      <c r="B1641">
        <v>8</v>
      </c>
      <c r="C1641">
        <v>56</v>
      </c>
      <c r="D1641" t="s">
        <v>5015</v>
      </c>
      <c r="E1641" t="s">
        <v>5017</v>
      </c>
      <c r="F1641" t="s">
        <v>5023</v>
      </c>
      <c r="G1641">
        <v>24.4</v>
      </c>
      <c r="H1641">
        <v>1</v>
      </c>
      <c r="I1641">
        <v>8.3000000000000007</v>
      </c>
      <c r="J1641">
        <v>6.55</v>
      </c>
      <c r="K1641">
        <v>46.5</v>
      </c>
      <c r="L1641" t="s">
        <v>5025</v>
      </c>
      <c r="M1641">
        <v>2</v>
      </c>
      <c r="N1641">
        <v>1</v>
      </c>
      <c r="O1641">
        <v>1</v>
      </c>
    </row>
    <row r="1642" spans="1:15" x14ac:dyDescent="0.3">
      <c r="A1642" t="s">
        <v>1655</v>
      </c>
      <c r="B1642">
        <v>8</v>
      </c>
      <c r="C1642">
        <v>26</v>
      </c>
      <c r="D1642" t="s">
        <v>5015</v>
      </c>
      <c r="E1642" t="s">
        <v>5018</v>
      </c>
      <c r="F1642" t="s">
        <v>5021</v>
      </c>
      <c r="G1642">
        <v>22.24</v>
      </c>
      <c r="H1642">
        <v>2</v>
      </c>
      <c r="I1642">
        <v>8.5</v>
      </c>
      <c r="J1642">
        <v>11.46</v>
      </c>
      <c r="K1642">
        <v>30.7</v>
      </c>
      <c r="L1642" t="s">
        <v>5027</v>
      </c>
      <c r="M1642">
        <v>2</v>
      </c>
      <c r="N1642">
        <v>3</v>
      </c>
      <c r="O1642">
        <v>0</v>
      </c>
    </row>
    <row r="1643" spans="1:15" x14ac:dyDescent="0.3">
      <c r="A1643" t="s">
        <v>1656</v>
      </c>
      <c r="B1643">
        <v>11</v>
      </c>
      <c r="C1643">
        <v>38</v>
      </c>
      <c r="D1643" t="s">
        <v>5016</v>
      </c>
      <c r="E1643" t="s">
        <v>5018</v>
      </c>
      <c r="F1643" t="s">
        <v>5020</v>
      </c>
      <c r="G1643">
        <v>9.08</v>
      </c>
      <c r="H1643">
        <v>3</v>
      </c>
      <c r="I1643">
        <v>1.5</v>
      </c>
      <c r="J1643">
        <v>10.96</v>
      </c>
      <c r="K1643">
        <v>18.899999999999999</v>
      </c>
      <c r="L1643" t="s">
        <v>5025</v>
      </c>
      <c r="M1643">
        <v>11</v>
      </c>
      <c r="N1643">
        <v>3</v>
      </c>
      <c r="O1643">
        <v>0</v>
      </c>
    </row>
    <row r="1644" spans="1:15" x14ac:dyDescent="0.3">
      <c r="A1644" t="s">
        <v>1657</v>
      </c>
      <c r="B1644">
        <v>2</v>
      </c>
      <c r="C1644">
        <v>29</v>
      </c>
      <c r="D1644" t="s">
        <v>5015</v>
      </c>
      <c r="E1644" t="s">
        <v>5018</v>
      </c>
      <c r="F1644" t="s">
        <v>5021</v>
      </c>
      <c r="G1644">
        <v>19.399999999999999</v>
      </c>
      <c r="H1644">
        <v>2</v>
      </c>
      <c r="I1644">
        <v>7.4</v>
      </c>
      <c r="J1644">
        <v>22.07</v>
      </c>
      <c r="K1644">
        <v>67.8</v>
      </c>
      <c r="L1644" t="s">
        <v>5025</v>
      </c>
      <c r="M1644">
        <v>9</v>
      </c>
      <c r="N1644">
        <v>0</v>
      </c>
      <c r="O1644">
        <v>0</v>
      </c>
    </row>
    <row r="1645" spans="1:15" x14ac:dyDescent="0.3">
      <c r="A1645" t="s">
        <v>1658</v>
      </c>
      <c r="B1645">
        <v>9</v>
      </c>
      <c r="C1645">
        <v>46</v>
      </c>
      <c r="D1645" t="s">
        <v>5016</v>
      </c>
      <c r="E1645" t="s">
        <v>5017</v>
      </c>
      <c r="F1645" t="s">
        <v>5022</v>
      </c>
      <c r="G1645">
        <v>10.78</v>
      </c>
      <c r="H1645">
        <v>3</v>
      </c>
      <c r="I1645">
        <v>1.6</v>
      </c>
      <c r="J1645">
        <v>15.42</v>
      </c>
      <c r="K1645">
        <v>22.9</v>
      </c>
      <c r="L1645" t="s">
        <v>5028</v>
      </c>
      <c r="M1645">
        <v>2</v>
      </c>
      <c r="N1645">
        <v>3</v>
      </c>
      <c r="O1645">
        <v>0</v>
      </c>
    </row>
    <row r="1646" spans="1:15" x14ac:dyDescent="0.3">
      <c r="A1646" t="s">
        <v>1659</v>
      </c>
      <c r="B1646">
        <v>7</v>
      </c>
      <c r="C1646">
        <v>50</v>
      </c>
      <c r="D1646" t="s">
        <v>5016</v>
      </c>
      <c r="E1646" t="s">
        <v>5018</v>
      </c>
      <c r="F1646" t="s">
        <v>5023</v>
      </c>
      <c r="G1646">
        <v>18.670000000000002</v>
      </c>
      <c r="H1646">
        <v>4</v>
      </c>
      <c r="I1646">
        <v>6.4</v>
      </c>
      <c r="J1646">
        <v>21.8</v>
      </c>
      <c r="K1646">
        <v>85.4</v>
      </c>
      <c r="L1646" t="s">
        <v>5025</v>
      </c>
      <c r="M1646">
        <v>4</v>
      </c>
      <c r="N1646">
        <v>0</v>
      </c>
      <c r="O1646">
        <v>0</v>
      </c>
    </row>
    <row r="1647" spans="1:15" x14ac:dyDescent="0.3">
      <c r="A1647" t="s">
        <v>1660</v>
      </c>
      <c r="B1647">
        <v>4</v>
      </c>
      <c r="C1647">
        <v>60</v>
      </c>
      <c r="D1647" t="s">
        <v>5016</v>
      </c>
      <c r="E1647" t="s">
        <v>5018</v>
      </c>
      <c r="F1647" t="s">
        <v>5022</v>
      </c>
      <c r="G1647">
        <v>18.32</v>
      </c>
      <c r="H1647">
        <v>3</v>
      </c>
      <c r="I1647">
        <v>7</v>
      </c>
      <c r="J1647">
        <v>6.23</v>
      </c>
      <c r="K1647">
        <v>96.5</v>
      </c>
      <c r="L1647" t="s">
        <v>5029</v>
      </c>
      <c r="M1647">
        <v>11</v>
      </c>
      <c r="N1647">
        <v>2</v>
      </c>
      <c r="O1647">
        <v>0</v>
      </c>
    </row>
    <row r="1648" spans="1:15" x14ac:dyDescent="0.3">
      <c r="A1648" t="s">
        <v>1661</v>
      </c>
      <c r="B1648">
        <v>4</v>
      </c>
      <c r="C1648">
        <v>32</v>
      </c>
      <c r="D1648" t="s">
        <v>5016</v>
      </c>
      <c r="E1648" t="s">
        <v>5017</v>
      </c>
      <c r="F1648" t="s">
        <v>5024</v>
      </c>
      <c r="G1648">
        <v>10.45</v>
      </c>
      <c r="H1648">
        <v>5</v>
      </c>
      <c r="I1648">
        <v>4.3</v>
      </c>
      <c r="J1648">
        <v>10.86</v>
      </c>
      <c r="K1648">
        <v>22.2</v>
      </c>
      <c r="L1648" t="s">
        <v>5025</v>
      </c>
      <c r="M1648">
        <v>4</v>
      </c>
      <c r="N1648">
        <v>3</v>
      </c>
      <c r="O1648">
        <v>0</v>
      </c>
    </row>
    <row r="1649" spans="1:15" x14ac:dyDescent="0.3">
      <c r="A1649" t="s">
        <v>1662</v>
      </c>
      <c r="B1649">
        <v>11</v>
      </c>
      <c r="C1649">
        <v>19</v>
      </c>
      <c r="D1649" t="s">
        <v>5016</v>
      </c>
      <c r="E1649" t="s">
        <v>5018</v>
      </c>
      <c r="F1649" t="s">
        <v>5024</v>
      </c>
      <c r="G1649">
        <v>9.69</v>
      </c>
      <c r="H1649">
        <v>3</v>
      </c>
      <c r="I1649">
        <v>8.9</v>
      </c>
      <c r="J1649">
        <v>15.22</v>
      </c>
      <c r="K1649">
        <v>43.8</v>
      </c>
      <c r="L1649" t="s">
        <v>5026</v>
      </c>
      <c r="M1649">
        <v>9</v>
      </c>
      <c r="N1649">
        <v>0</v>
      </c>
      <c r="O1649">
        <v>0</v>
      </c>
    </row>
    <row r="1650" spans="1:15" x14ac:dyDescent="0.3">
      <c r="A1650" t="s">
        <v>1663</v>
      </c>
      <c r="B1650">
        <v>8</v>
      </c>
      <c r="C1650">
        <v>69</v>
      </c>
      <c r="D1650" t="s">
        <v>5015</v>
      </c>
      <c r="E1650" t="s">
        <v>5019</v>
      </c>
      <c r="F1650" t="s">
        <v>5021</v>
      </c>
      <c r="G1650">
        <v>7.08</v>
      </c>
      <c r="H1650">
        <v>2</v>
      </c>
      <c r="I1650">
        <v>8.1999999999999993</v>
      </c>
      <c r="J1650">
        <v>6.37</v>
      </c>
      <c r="K1650">
        <v>94.4</v>
      </c>
      <c r="L1650" t="s">
        <v>5029</v>
      </c>
      <c r="M1650">
        <v>3</v>
      </c>
      <c r="N1650">
        <v>4</v>
      </c>
      <c r="O1650">
        <v>1</v>
      </c>
    </row>
    <row r="1651" spans="1:15" x14ac:dyDescent="0.3">
      <c r="A1651" t="s">
        <v>1664</v>
      </c>
      <c r="B1651">
        <v>4</v>
      </c>
      <c r="C1651">
        <v>56</v>
      </c>
      <c r="D1651" t="s">
        <v>5016</v>
      </c>
      <c r="E1651" t="s">
        <v>5019</v>
      </c>
      <c r="F1651" t="s">
        <v>5024</v>
      </c>
      <c r="G1651">
        <v>6.01</v>
      </c>
      <c r="H1651">
        <v>4</v>
      </c>
      <c r="I1651">
        <v>9.3000000000000007</v>
      </c>
      <c r="J1651">
        <v>5.82</v>
      </c>
      <c r="K1651">
        <v>52.4</v>
      </c>
      <c r="L1651" t="s">
        <v>5028</v>
      </c>
      <c r="M1651">
        <v>10</v>
      </c>
      <c r="N1651">
        <v>0</v>
      </c>
      <c r="O1651">
        <v>1</v>
      </c>
    </row>
    <row r="1652" spans="1:15" x14ac:dyDescent="0.3">
      <c r="A1652" t="s">
        <v>1665</v>
      </c>
      <c r="B1652">
        <v>6</v>
      </c>
      <c r="C1652">
        <v>61</v>
      </c>
      <c r="D1652" t="s">
        <v>5016</v>
      </c>
      <c r="E1652" t="s">
        <v>5019</v>
      </c>
      <c r="F1652" t="s">
        <v>5024</v>
      </c>
      <c r="G1652">
        <v>22.17</v>
      </c>
      <c r="H1652">
        <v>4</v>
      </c>
      <c r="I1652">
        <v>3.8</v>
      </c>
      <c r="J1652">
        <v>17.55</v>
      </c>
      <c r="K1652">
        <v>58.2</v>
      </c>
      <c r="L1652" t="s">
        <v>5025</v>
      </c>
      <c r="M1652">
        <v>2</v>
      </c>
      <c r="N1652">
        <v>3</v>
      </c>
      <c r="O1652">
        <v>0</v>
      </c>
    </row>
    <row r="1653" spans="1:15" x14ac:dyDescent="0.3">
      <c r="A1653" t="s">
        <v>1666</v>
      </c>
      <c r="B1653">
        <v>5</v>
      </c>
      <c r="C1653">
        <v>35</v>
      </c>
      <c r="D1653" t="s">
        <v>5016</v>
      </c>
      <c r="E1653" t="s">
        <v>5018</v>
      </c>
      <c r="F1653" t="s">
        <v>5020</v>
      </c>
      <c r="G1653">
        <v>6</v>
      </c>
      <c r="H1653">
        <v>3</v>
      </c>
      <c r="I1653">
        <v>1.2</v>
      </c>
      <c r="J1653">
        <v>17.38</v>
      </c>
      <c r="K1653">
        <v>77.3</v>
      </c>
      <c r="L1653" t="s">
        <v>5026</v>
      </c>
      <c r="M1653">
        <v>3</v>
      </c>
      <c r="N1653">
        <v>0</v>
      </c>
      <c r="O1653">
        <v>0</v>
      </c>
    </row>
    <row r="1654" spans="1:15" x14ac:dyDescent="0.3">
      <c r="A1654" t="s">
        <v>1667</v>
      </c>
      <c r="B1654">
        <v>3</v>
      </c>
      <c r="C1654">
        <v>20</v>
      </c>
      <c r="D1654" t="s">
        <v>5016</v>
      </c>
      <c r="E1654" t="s">
        <v>5019</v>
      </c>
      <c r="F1654" t="s">
        <v>5020</v>
      </c>
      <c r="G1654">
        <v>6.77</v>
      </c>
      <c r="H1654">
        <v>2</v>
      </c>
      <c r="I1654">
        <v>8.3000000000000007</v>
      </c>
      <c r="J1654">
        <v>8.15</v>
      </c>
      <c r="K1654">
        <v>28.9</v>
      </c>
      <c r="L1654" t="s">
        <v>5026</v>
      </c>
      <c r="M1654">
        <v>9</v>
      </c>
      <c r="N1654">
        <v>2</v>
      </c>
      <c r="O1654">
        <v>0</v>
      </c>
    </row>
    <row r="1655" spans="1:15" x14ac:dyDescent="0.3">
      <c r="A1655" t="s">
        <v>1668</v>
      </c>
      <c r="B1655">
        <v>10</v>
      </c>
      <c r="C1655">
        <v>24</v>
      </c>
      <c r="D1655" t="s">
        <v>5016</v>
      </c>
      <c r="E1655" t="s">
        <v>5019</v>
      </c>
      <c r="F1655" t="s">
        <v>5022</v>
      </c>
      <c r="G1655">
        <v>9.7799999999999994</v>
      </c>
      <c r="H1655">
        <v>4</v>
      </c>
      <c r="I1655">
        <v>3</v>
      </c>
      <c r="J1655">
        <v>8</v>
      </c>
      <c r="K1655">
        <v>98.1</v>
      </c>
      <c r="L1655" t="s">
        <v>5029</v>
      </c>
      <c r="M1655">
        <v>5</v>
      </c>
      <c r="N1655">
        <v>1</v>
      </c>
      <c r="O1655">
        <v>0</v>
      </c>
    </row>
    <row r="1656" spans="1:15" x14ac:dyDescent="0.3">
      <c r="A1656" t="s">
        <v>1669</v>
      </c>
      <c r="B1656">
        <v>11</v>
      </c>
      <c r="C1656">
        <v>60</v>
      </c>
      <c r="D1656" t="s">
        <v>5015</v>
      </c>
      <c r="E1656" t="s">
        <v>5017</v>
      </c>
      <c r="F1656" t="s">
        <v>5022</v>
      </c>
      <c r="G1656">
        <v>22.75</v>
      </c>
      <c r="H1656">
        <v>3</v>
      </c>
      <c r="I1656">
        <v>5.2</v>
      </c>
      <c r="J1656">
        <v>19.399999999999999</v>
      </c>
      <c r="K1656">
        <v>80.3</v>
      </c>
      <c r="L1656" t="s">
        <v>5025</v>
      </c>
      <c r="M1656">
        <v>5</v>
      </c>
      <c r="N1656">
        <v>4</v>
      </c>
      <c r="O1656">
        <v>0</v>
      </c>
    </row>
    <row r="1657" spans="1:15" x14ac:dyDescent="0.3">
      <c r="A1657" t="s">
        <v>1670</v>
      </c>
      <c r="B1657">
        <v>2</v>
      </c>
      <c r="C1657">
        <v>35</v>
      </c>
      <c r="D1657" t="s">
        <v>5016</v>
      </c>
      <c r="E1657" t="s">
        <v>5017</v>
      </c>
      <c r="F1657" t="s">
        <v>5020</v>
      </c>
      <c r="G1657">
        <v>11.66</v>
      </c>
      <c r="H1657">
        <v>3</v>
      </c>
      <c r="I1657">
        <v>8.4</v>
      </c>
      <c r="J1657">
        <v>5.57</v>
      </c>
      <c r="K1657">
        <v>24.5</v>
      </c>
      <c r="L1657" t="s">
        <v>5026</v>
      </c>
      <c r="M1657">
        <v>7</v>
      </c>
      <c r="N1657">
        <v>2</v>
      </c>
      <c r="O1657">
        <v>0</v>
      </c>
    </row>
    <row r="1658" spans="1:15" x14ac:dyDescent="0.3">
      <c r="A1658" t="s">
        <v>1671</v>
      </c>
      <c r="B1658">
        <v>9</v>
      </c>
      <c r="C1658">
        <v>61</v>
      </c>
      <c r="D1658" t="s">
        <v>5016</v>
      </c>
      <c r="E1658" t="s">
        <v>5018</v>
      </c>
      <c r="F1658" t="s">
        <v>5021</v>
      </c>
      <c r="G1658">
        <v>8.84</v>
      </c>
      <c r="H1658">
        <v>3</v>
      </c>
      <c r="I1658">
        <v>2.9</v>
      </c>
      <c r="J1658">
        <v>23.31</v>
      </c>
      <c r="K1658">
        <v>20</v>
      </c>
      <c r="L1658" t="s">
        <v>5025</v>
      </c>
      <c r="M1658">
        <v>1</v>
      </c>
      <c r="N1658">
        <v>4</v>
      </c>
      <c r="O1658">
        <v>0</v>
      </c>
    </row>
    <row r="1659" spans="1:15" x14ac:dyDescent="0.3">
      <c r="A1659" t="s">
        <v>1672</v>
      </c>
      <c r="B1659">
        <v>10</v>
      </c>
      <c r="C1659">
        <v>55</v>
      </c>
      <c r="D1659" t="s">
        <v>5015</v>
      </c>
      <c r="E1659" t="s">
        <v>5018</v>
      </c>
      <c r="F1659" t="s">
        <v>5020</v>
      </c>
      <c r="G1659">
        <v>19.309999999999999</v>
      </c>
      <c r="H1659">
        <v>4</v>
      </c>
      <c r="I1659">
        <v>3.8</v>
      </c>
      <c r="J1659">
        <v>23.76</v>
      </c>
      <c r="K1659">
        <v>94.1</v>
      </c>
      <c r="L1659" t="s">
        <v>5029</v>
      </c>
      <c r="M1659">
        <v>10</v>
      </c>
      <c r="N1659">
        <v>4</v>
      </c>
      <c r="O1659">
        <v>1</v>
      </c>
    </row>
    <row r="1660" spans="1:15" x14ac:dyDescent="0.3">
      <c r="A1660" t="s">
        <v>1673</v>
      </c>
      <c r="B1660">
        <v>9</v>
      </c>
      <c r="C1660">
        <v>54</v>
      </c>
      <c r="D1660" t="s">
        <v>5016</v>
      </c>
      <c r="E1660" t="s">
        <v>5018</v>
      </c>
      <c r="F1660" t="s">
        <v>5022</v>
      </c>
      <c r="G1660">
        <v>11.38</v>
      </c>
      <c r="H1660">
        <v>1</v>
      </c>
      <c r="I1660">
        <v>5</v>
      </c>
      <c r="J1660">
        <v>22.16</v>
      </c>
      <c r="K1660">
        <v>71.7</v>
      </c>
      <c r="L1660" t="s">
        <v>5027</v>
      </c>
      <c r="M1660">
        <v>5</v>
      </c>
      <c r="N1660">
        <v>0</v>
      </c>
      <c r="O1660">
        <v>0</v>
      </c>
    </row>
    <row r="1661" spans="1:15" x14ac:dyDescent="0.3">
      <c r="A1661" t="s">
        <v>1674</v>
      </c>
      <c r="B1661">
        <v>1</v>
      </c>
      <c r="C1661">
        <v>50</v>
      </c>
      <c r="D1661" t="s">
        <v>5015</v>
      </c>
      <c r="E1661" t="s">
        <v>5018</v>
      </c>
      <c r="F1661" t="s">
        <v>5023</v>
      </c>
      <c r="G1661">
        <v>11.67</v>
      </c>
      <c r="H1661">
        <v>2</v>
      </c>
      <c r="I1661">
        <v>3.4</v>
      </c>
      <c r="J1661">
        <v>7.63</v>
      </c>
      <c r="K1661">
        <v>13.5</v>
      </c>
      <c r="L1661" t="s">
        <v>5026</v>
      </c>
      <c r="M1661">
        <v>9</v>
      </c>
      <c r="N1661">
        <v>1</v>
      </c>
      <c r="O1661">
        <v>0</v>
      </c>
    </row>
    <row r="1662" spans="1:15" x14ac:dyDescent="0.3">
      <c r="A1662" t="s">
        <v>1675</v>
      </c>
      <c r="B1662">
        <v>10</v>
      </c>
      <c r="C1662">
        <v>61</v>
      </c>
      <c r="D1662" t="s">
        <v>5015</v>
      </c>
      <c r="E1662" t="s">
        <v>5019</v>
      </c>
      <c r="F1662" t="s">
        <v>5024</v>
      </c>
      <c r="G1662">
        <v>19.78</v>
      </c>
      <c r="H1662">
        <v>5</v>
      </c>
      <c r="I1662">
        <v>5.2</v>
      </c>
      <c r="J1662">
        <v>3.37</v>
      </c>
      <c r="K1662">
        <v>22.8</v>
      </c>
      <c r="L1662" t="s">
        <v>5028</v>
      </c>
      <c r="M1662">
        <v>6</v>
      </c>
      <c r="N1662">
        <v>0</v>
      </c>
      <c r="O1662">
        <v>1</v>
      </c>
    </row>
    <row r="1663" spans="1:15" x14ac:dyDescent="0.3">
      <c r="A1663" t="s">
        <v>1676</v>
      </c>
      <c r="B1663">
        <v>3</v>
      </c>
      <c r="C1663">
        <v>48</v>
      </c>
      <c r="D1663" t="s">
        <v>5015</v>
      </c>
      <c r="E1663" t="s">
        <v>5018</v>
      </c>
      <c r="F1663" t="s">
        <v>5023</v>
      </c>
      <c r="G1663">
        <v>10.029999999999999</v>
      </c>
      <c r="H1663">
        <v>5</v>
      </c>
      <c r="I1663">
        <v>1.1000000000000001</v>
      </c>
      <c r="J1663">
        <v>23.61</v>
      </c>
      <c r="K1663">
        <v>14.3</v>
      </c>
      <c r="L1663" t="s">
        <v>5025</v>
      </c>
      <c r="M1663">
        <v>8</v>
      </c>
      <c r="N1663">
        <v>0</v>
      </c>
      <c r="O1663">
        <v>0</v>
      </c>
    </row>
    <row r="1664" spans="1:15" x14ac:dyDescent="0.3">
      <c r="A1664" t="s">
        <v>1677</v>
      </c>
      <c r="B1664">
        <v>8</v>
      </c>
      <c r="C1664">
        <v>28</v>
      </c>
      <c r="D1664" t="s">
        <v>5015</v>
      </c>
      <c r="E1664" t="s">
        <v>5017</v>
      </c>
      <c r="F1664" t="s">
        <v>5023</v>
      </c>
      <c r="G1664">
        <v>22.94</v>
      </c>
      <c r="H1664">
        <v>2</v>
      </c>
      <c r="I1664">
        <v>2.9</v>
      </c>
      <c r="J1664">
        <v>10.57</v>
      </c>
      <c r="K1664">
        <v>97.7</v>
      </c>
      <c r="L1664" t="s">
        <v>5029</v>
      </c>
      <c r="M1664">
        <v>10</v>
      </c>
      <c r="N1664">
        <v>3</v>
      </c>
      <c r="O1664">
        <v>0</v>
      </c>
    </row>
    <row r="1665" spans="1:15" x14ac:dyDescent="0.3">
      <c r="A1665" t="s">
        <v>1678</v>
      </c>
      <c r="B1665">
        <v>6</v>
      </c>
      <c r="C1665">
        <v>21</v>
      </c>
      <c r="D1665" t="s">
        <v>5016</v>
      </c>
      <c r="E1665" t="s">
        <v>5019</v>
      </c>
      <c r="F1665" t="s">
        <v>5024</v>
      </c>
      <c r="G1665">
        <v>16.23</v>
      </c>
      <c r="H1665">
        <v>1</v>
      </c>
      <c r="I1665">
        <v>8.5</v>
      </c>
      <c r="J1665">
        <v>9.83</v>
      </c>
      <c r="K1665">
        <v>54.8</v>
      </c>
      <c r="L1665" t="s">
        <v>5029</v>
      </c>
      <c r="M1665">
        <v>8</v>
      </c>
      <c r="N1665">
        <v>0</v>
      </c>
      <c r="O1665">
        <v>1</v>
      </c>
    </row>
    <row r="1666" spans="1:15" x14ac:dyDescent="0.3">
      <c r="A1666" t="s">
        <v>1679</v>
      </c>
      <c r="B1666">
        <v>5</v>
      </c>
      <c r="C1666">
        <v>35</v>
      </c>
      <c r="D1666" t="s">
        <v>5016</v>
      </c>
      <c r="E1666" t="s">
        <v>5018</v>
      </c>
      <c r="F1666" t="s">
        <v>5020</v>
      </c>
      <c r="G1666">
        <v>15.76</v>
      </c>
      <c r="H1666">
        <v>2</v>
      </c>
      <c r="I1666">
        <v>4.7</v>
      </c>
      <c r="J1666">
        <v>8.76</v>
      </c>
      <c r="K1666">
        <v>51.6</v>
      </c>
      <c r="L1666" t="s">
        <v>5028</v>
      </c>
      <c r="M1666">
        <v>1</v>
      </c>
      <c r="N1666">
        <v>1</v>
      </c>
      <c r="O1666">
        <v>0</v>
      </c>
    </row>
    <row r="1667" spans="1:15" x14ac:dyDescent="0.3">
      <c r="A1667" t="s">
        <v>1680</v>
      </c>
      <c r="B1667">
        <v>5</v>
      </c>
      <c r="C1667">
        <v>21</v>
      </c>
      <c r="D1667" t="s">
        <v>5015</v>
      </c>
      <c r="E1667" t="s">
        <v>5019</v>
      </c>
      <c r="F1667" t="s">
        <v>5021</v>
      </c>
      <c r="G1667">
        <v>10.3</v>
      </c>
      <c r="H1667">
        <v>3</v>
      </c>
      <c r="I1667">
        <v>6.7</v>
      </c>
      <c r="J1667">
        <v>8.3800000000000008</v>
      </c>
      <c r="K1667">
        <v>96</v>
      </c>
      <c r="L1667" t="s">
        <v>5027</v>
      </c>
      <c r="M1667">
        <v>8</v>
      </c>
      <c r="N1667">
        <v>2</v>
      </c>
      <c r="O1667">
        <v>1</v>
      </c>
    </row>
    <row r="1668" spans="1:15" x14ac:dyDescent="0.3">
      <c r="A1668" t="s">
        <v>1681</v>
      </c>
      <c r="B1668">
        <v>6</v>
      </c>
      <c r="C1668">
        <v>66</v>
      </c>
      <c r="D1668" t="s">
        <v>5015</v>
      </c>
      <c r="E1668" t="s">
        <v>5017</v>
      </c>
      <c r="F1668" t="s">
        <v>5023</v>
      </c>
      <c r="G1668">
        <v>21.7</v>
      </c>
      <c r="H1668">
        <v>2</v>
      </c>
      <c r="I1668">
        <v>3.1</v>
      </c>
      <c r="J1668">
        <v>19.16</v>
      </c>
      <c r="K1668">
        <v>55.4</v>
      </c>
      <c r="L1668" t="s">
        <v>5025</v>
      </c>
      <c r="M1668">
        <v>6</v>
      </c>
      <c r="N1668">
        <v>0</v>
      </c>
      <c r="O1668">
        <v>1</v>
      </c>
    </row>
    <row r="1669" spans="1:15" x14ac:dyDescent="0.3">
      <c r="A1669" t="s">
        <v>1682</v>
      </c>
      <c r="B1669">
        <v>7</v>
      </c>
      <c r="C1669">
        <v>51</v>
      </c>
      <c r="D1669" t="s">
        <v>5016</v>
      </c>
      <c r="E1669" t="s">
        <v>5019</v>
      </c>
      <c r="F1669" t="s">
        <v>5021</v>
      </c>
      <c r="G1669">
        <v>16.45</v>
      </c>
      <c r="H1669">
        <v>2</v>
      </c>
      <c r="I1669">
        <v>6.8</v>
      </c>
      <c r="J1669">
        <v>22.97</v>
      </c>
      <c r="K1669">
        <v>56.6</v>
      </c>
      <c r="L1669" t="s">
        <v>5027</v>
      </c>
      <c r="M1669">
        <v>4</v>
      </c>
      <c r="N1669">
        <v>1</v>
      </c>
      <c r="O1669">
        <v>0</v>
      </c>
    </row>
    <row r="1670" spans="1:15" x14ac:dyDescent="0.3">
      <c r="A1670" t="s">
        <v>1683</v>
      </c>
      <c r="B1670">
        <v>1</v>
      </c>
      <c r="C1670">
        <v>46</v>
      </c>
      <c r="D1670" t="s">
        <v>5015</v>
      </c>
      <c r="E1670" t="s">
        <v>5017</v>
      </c>
      <c r="F1670" t="s">
        <v>5022</v>
      </c>
      <c r="G1670">
        <v>8.11</v>
      </c>
      <c r="H1670">
        <v>4</v>
      </c>
      <c r="I1670">
        <v>10</v>
      </c>
      <c r="J1670">
        <v>20.29</v>
      </c>
      <c r="K1670">
        <v>98.6</v>
      </c>
      <c r="L1670" t="s">
        <v>5029</v>
      </c>
      <c r="M1670">
        <v>3</v>
      </c>
      <c r="N1670">
        <v>0</v>
      </c>
      <c r="O1670">
        <v>0</v>
      </c>
    </row>
    <row r="1671" spans="1:15" x14ac:dyDescent="0.3">
      <c r="A1671" t="s">
        <v>1684</v>
      </c>
      <c r="B1671">
        <v>9</v>
      </c>
      <c r="C1671">
        <v>41</v>
      </c>
      <c r="D1671" t="s">
        <v>5015</v>
      </c>
      <c r="E1671" t="s">
        <v>5017</v>
      </c>
      <c r="F1671" t="s">
        <v>5023</v>
      </c>
      <c r="G1671">
        <v>9.1300000000000008</v>
      </c>
      <c r="H1671">
        <v>5</v>
      </c>
      <c r="I1671">
        <v>6.4</v>
      </c>
      <c r="J1671">
        <v>17.829999999999998</v>
      </c>
      <c r="K1671">
        <v>20</v>
      </c>
      <c r="L1671" t="s">
        <v>5026</v>
      </c>
      <c r="M1671">
        <v>5</v>
      </c>
      <c r="N1671">
        <v>4</v>
      </c>
      <c r="O1671">
        <v>1</v>
      </c>
    </row>
    <row r="1672" spans="1:15" x14ac:dyDescent="0.3">
      <c r="A1672" t="s">
        <v>1685</v>
      </c>
      <c r="B1672">
        <v>3</v>
      </c>
      <c r="C1672">
        <v>39</v>
      </c>
      <c r="D1672" t="s">
        <v>5015</v>
      </c>
      <c r="E1672" t="s">
        <v>5017</v>
      </c>
      <c r="F1672" t="s">
        <v>5022</v>
      </c>
      <c r="G1672">
        <v>14.37</v>
      </c>
      <c r="H1672">
        <v>5</v>
      </c>
      <c r="I1672">
        <v>6.7</v>
      </c>
      <c r="J1672">
        <v>9.33</v>
      </c>
      <c r="K1672">
        <v>98.7</v>
      </c>
      <c r="L1672" t="s">
        <v>5027</v>
      </c>
      <c r="M1672">
        <v>5</v>
      </c>
      <c r="N1672">
        <v>0</v>
      </c>
      <c r="O1672">
        <v>1</v>
      </c>
    </row>
    <row r="1673" spans="1:15" x14ac:dyDescent="0.3">
      <c r="A1673" t="s">
        <v>1686</v>
      </c>
      <c r="B1673">
        <v>4</v>
      </c>
      <c r="C1673">
        <v>19</v>
      </c>
      <c r="D1673" t="s">
        <v>5016</v>
      </c>
      <c r="E1673" t="s">
        <v>5019</v>
      </c>
      <c r="F1673" t="s">
        <v>5020</v>
      </c>
      <c r="G1673">
        <v>20.59</v>
      </c>
      <c r="H1673">
        <v>3</v>
      </c>
      <c r="I1673">
        <v>2</v>
      </c>
      <c r="J1673">
        <v>15.03</v>
      </c>
      <c r="K1673">
        <v>24.9</v>
      </c>
      <c r="L1673" t="s">
        <v>5026</v>
      </c>
      <c r="M1673">
        <v>7</v>
      </c>
      <c r="N1673">
        <v>3</v>
      </c>
      <c r="O1673">
        <v>0</v>
      </c>
    </row>
    <row r="1674" spans="1:15" x14ac:dyDescent="0.3">
      <c r="A1674" t="s">
        <v>1687</v>
      </c>
      <c r="B1674">
        <v>10</v>
      </c>
      <c r="C1674">
        <v>61</v>
      </c>
      <c r="D1674" t="s">
        <v>5015</v>
      </c>
      <c r="E1674" t="s">
        <v>5019</v>
      </c>
      <c r="F1674" t="s">
        <v>5023</v>
      </c>
      <c r="G1674">
        <v>23.79</v>
      </c>
      <c r="H1674">
        <v>3</v>
      </c>
      <c r="I1674">
        <v>4.5999999999999996</v>
      </c>
      <c r="J1674">
        <v>8.2100000000000009</v>
      </c>
      <c r="K1674">
        <v>52.6</v>
      </c>
      <c r="L1674" t="s">
        <v>5028</v>
      </c>
      <c r="M1674">
        <v>9</v>
      </c>
      <c r="N1674">
        <v>4</v>
      </c>
      <c r="O1674">
        <v>0</v>
      </c>
    </row>
    <row r="1675" spans="1:15" x14ac:dyDescent="0.3">
      <c r="A1675" t="s">
        <v>1688</v>
      </c>
      <c r="B1675">
        <v>1</v>
      </c>
      <c r="C1675">
        <v>23</v>
      </c>
      <c r="D1675" t="s">
        <v>5016</v>
      </c>
      <c r="E1675" t="s">
        <v>5018</v>
      </c>
      <c r="F1675" t="s">
        <v>5022</v>
      </c>
      <c r="G1675">
        <v>18.27</v>
      </c>
      <c r="H1675">
        <v>4</v>
      </c>
      <c r="I1675">
        <v>8.6999999999999993</v>
      </c>
      <c r="J1675">
        <v>5.45</v>
      </c>
      <c r="K1675">
        <v>40.4</v>
      </c>
      <c r="L1675" t="s">
        <v>5029</v>
      </c>
      <c r="M1675">
        <v>11</v>
      </c>
      <c r="N1675">
        <v>1</v>
      </c>
      <c r="O1675">
        <v>0</v>
      </c>
    </row>
    <row r="1676" spans="1:15" x14ac:dyDescent="0.3">
      <c r="A1676" t="s">
        <v>1689</v>
      </c>
      <c r="B1676">
        <v>11</v>
      </c>
      <c r="C1676">
        <v>59</v>
      </c>
      <c r="D1676" t="s">
        <v>5016</v>
      </c>
      <c r="E1676" t="s">
        <v>5019</v>
      </c>
      <c r="F1676" t="s">
        <v>5022</v>
      </c>
      <c r="G1676">
        <v>15.12</v>
      </c>
      <c r="H1676">
        <v>3</v>
      </c>
      <c r="I1676">
        <v>8.5</v>
      </c>
      <c r="J1676">
        <v>5.65</v>
      </c>
      <c r="K1676">
        <v>96</v>
      </c>
      <c r="L1676" t="s">
        <v>5026</v>
      </c>
      <c r="M1676">
        <v>1</v>
      </c>
      <c r="N1676">
        <v>0</v>
      </c>
      <c r="O1676">
        <v>1</v>
      </c>
    </row>
    <row r="1677" spans="1:15" x14ac:dyDescent="0.3">
      <c r="A1677" t="s">
        <v>1690</v>
      </c>
      <c r="B1677">
        <v>10</v>
      </c>
      <c r="C1677">
        <v>42</v>
      </c>
      <c r="D1677" t="s">
        <v>5016</v>
      </c>
      <c r="E1677" t="s">
        <v>5018</v>
      </c>
      <c r="F1677" t="s">
        <v>5020</v>
      </c>
      <c r="G1677">
        <v>10.01</v>
      </c>
      <c r="H1677">
        <v>1</v>
      </c>
      <c r="I1677">
        <v>5.7</v>
      </c>
      <c r="J1677">
        <v>16.28</v>
      </c>
      <c r="K1677">
        <v>53.7</v>
      </c>
      <c r="L1677" t="s">
        <v>5025</v>
      </c>
      <c r="M1677">
        <v>9</v>
      </c>
      <c r="N1677">
        <v>4</v>
      </c>
      <c r="O1677">
        <v>0</v>
      </c>
    </row>
    <row r="1678" spans="1:15" x14ac:dyDescent="0.3">
      <c r="A1678" t="s">
        <v>1691</v>
      </c>
      <c r="B1678">
        <v>3</v>
      </c>
      <c r="C1678">
        <v>38</v>
      </c>
      <c r="D1678" t="s">
        <v>5015</v>
      </c>
      <c r="E1678" t="s">
        <v>5018</v>
      </c>
      <c r="F1678" t="s">
        <v>5021</v>
      </c>
      <c r="G1678">
        <v>18.46</v>
      </c>
      <c r="H1678">
        <v>4</v>
      </c>
      <c r="I1678">
        <v>9.1</v>
      </c>
      <c r="J1678">
        <v>3.85</v>
      </c>
      <c r="K1678">
        <v>12.1</v>
      </c>
      <c r="L1678" t="s">
        <v>5029</v>
      </c>
      <c r="M1678">
        <v>3</v>
      </c>
      <c r="N1678">
        <v>4</v>
      </c>
      <c r="O1678">
        <v>0</v>
      </c>
    </row>
    <row r="1679" spans="1:15" x14ac:dyDescent="0.3">
      <c r="A1679" t="s">
        <v>1692</v>
      </c>
      <c r="B1679">
        <v>2</v>
      </c>
      <c r="C1679">
        <v>33</v>
      </c>
      <c r="D1679" t="s">
        <v>5015</v>
      </c>
      <c r="E1679" t="s">
        <v>5019</v>
      </c>
      <c r="F1679" t="s">
        <v>5021</v>
      </c>
      <c r="G1679">
        <v>24.64</v>
      </c>
      <c r="H1679">
        <v>4</v>
      </c>
      <c r="I1679">
        <v>2.2999999999999998</v>
      </c>
      <c r="J1679">
        <v>24.41</v>
      </c>
      <c r="K1679">
        <v>30</v>
      </c>
      <c r="L1679" t="s">
        <v>5028</v>
      </c>
      <c r="M1679">
        <v>6</v>
      </c>
      <c r="N1679">
        <v>2</v>
      </c>
      <c r="O1679">
        <v>0</v>
      </c>
    </row>
    <row r="1680" spans="1:15" x14ac:dyDescent="0.3">
      <c r="A1680" t="s">
        <v>1693</v>
      </c>
      <c r="B1680">
        <v>2</v>
      </c>
      <c r="C1680">
        <v>48</v>
      </c>
      <c r="D1680" t="s">
        <v>5016</v>
      </c>
      <c r="E1680" t="s">
        <v>5017</v>
      </c>
      <c r="F1680" t="s">
        <v>5023</v>
      </c>
      <c r="G1680">
        <v>14.52</v>
      </c>
      <c r="H1680">
        <v>2</v>
      </c>
      <c r="I1680">
        <v>6.9</v>
      </c>
      <c r="J1680">
        <v>24.9</v>
      </c>
      <c r="K1680">
        <v>48.8</v>
      </c>
      <c r="L1680" t="s">
        <v>5025</v>
      </c>
      <c r="M1680">
        <v>6</v>
      </c>
      <c r="N1680">
        <v>4</v>
      </c>
      <c r="O1680">
        <v>0</v>
      </c>
    </row>
    <row r="1681" spans="1:15" x14ac:dyDescent="0.3">
      <c r="A1681" t="s">
        <v>1694</v>
      </c>
      <c r="B1681">
        <v>1</v>
      </c>
      <c r="C1681">
        <v>31</v>
      </c>
      <c r="D1681" t="s">
        <v>5016</v>
      </c>
      <c r="E1681" t="s">
        <v>5018</v>
      </c>
      <c r="F1681" t="s">
        <v>5020</v>
      </c>
      <c r="G1681">
        <v>8.24</v>
      </c>
      <c r="H1681">
        <v>2</v>
      </c>
      <c r="I1681">
        <v>3.2</v>
      </c>
      <c r="J1681">
        <v>6.29</v>
      </c>
      <c r="K1681">
        <v>70.900000000000006</v>
      </c>
      <c r="L1681" t="s">
        <v>5029</v>
      </c>
      <c r="M1681">
        <v>4</v>
      </c>
      <c r="N1681">
        <v>1</v>
      </c>
      <c r="O1681">
        <v>1</v>
      </c>
    </row>
    <row r="1682" spans="1:15" x14ac:dyDescent="0.3">
      <c r="A1682" t="s">
        <v>1695</v>
      </c>
      <c r="B1682">
        <v>8</v>
      </c>
      <c r="C1682">
        <v>56</v>
      </c>
      <c r="D1682" t="s">
        <v>5016</v>
      </c>
      <c r="E1682" t="s">
        <v>5019</v>
      </c>
      <c r="F1682" t="s">
        <v>5023</v>
      </c>
      <c r="G1682">
        <v>7.07</v>
      </c>
      <c r="H1682">
        <v>1</v>
      </c>
      <c r="I1682">
        <v>6.8</v>
      </c>
      <c r="J1682">
        <v>12.4</v>
      </c>
      <c r="K1682">
        <v>60.6</v>
      </c>
      <c r="L1682" t="s">
        <v>5027</v>
      </c>
      <c r="M1682">
        <v>2</v>
      </c>
      <c r="N1682">
        <v>0</v>
      </c>
      <c r="O1682">
        <v>1</v>
      </c>
    </row>
    <row r="1683" spans="1:15" x14ac:dyDescent="0.3">
      <c r="A1683" t="s">
        <v>1696</v>
      </c>
      <c r="B1683">
        <v>3</v>
      </c>
      <c r="C1683">
        <v>45</v>
      </c>
      <c r="D1683" t="s">
        <v>5015</v>
      </c>
      <c r="E1683" t="s">
        <v>5019</v>
      </c>
      <c r="F1683" t="s">
        <v>5021</v>
      </c>
      <c r="G1683">
        <v>10.39</v>
      </c>
      <c r="H1683">
        <v>4</v>
      </c>
      <c r="I1683">
        <v>1.8</v>
      </c>
      <c r="J1683">
        <v>19.899999999999999</v>
      </c>
      <c r="K1683">
        <v>86.5</v>
      </c>
      <c r="L1683" t="s">
        <v>5029</v>
      </c>
      <c r="M1683">
        <v>5</v>
      </c>
      <c r="N1683">
        <v>4</v>
      </c>
      <c r="O1683">
        <v>0</v>
      </c>
    </row>
    <row r="1684" spans="1:15" x14ac:dyDescent="0.3">
      <c r="A1684" t="s">
        <v>1697</v>
      </c>
      <c r="B1684">
        <v>3</v>
      </c>
      <c r="C1684">
        <v>49</v>
      </c>
      <c r="D1684" t="s">
        <v>5015</v>
      </c>
      <c r="E1684" t="s">
        <v>5019</v>
      </c>
      <c r="F1684" t="s">
        <v>5020</v>
      </c>
      <c r="G1684">
        <v>16.39</v>
      </c>
      <c r="H1684">
        <v>4</v>
      </c>
      <c r="I1684">
        <v>9.5</v>
      </c>
      <c r="J1684">
        <v>24.01</v>
      </c>
      <c r="K1684">
        <v>84.6</v>
      </c>
      <c r="L1684" t="s">
        <v>5025</v>
      </c>
      <c r="M1684">
        <v>3</v>
      </c>
      <c r="N1684">
        <v>1</v>
      </c>
      <c r="O1684">
        <v>0</v>
      </c>
    </row>
    <row r="1685" spans="1:15" x14ac:dyDescent="0.3">
      <c r="A1685" t="s">
        <v>1698</v>
      </c>
      <c r="B1685">
        <v>6</v>
      </c>
      <c r="C1685">
        <v>45</v>
      </c>
      <c r="D1685" t="s">
        <v>5016</v>
      </c>
      <c r="E1685" t="s">
        <v>5019</v>
      </c>
      <c r="F1685" t="s">
        <v>5024</v>
      </c>
      <c r="G1685">
        <v>23.94</v>
      </c>
      <c r="H1685">
        <v>2</v>
      </c>
      <c r="I1685">
        <v>8.1</v>
      </c>
      <c r="J1685">
        <v>22.61</v>
      </c>
      <c r="K1685">
        <v>63.1</v>
      </c>
      <c r="L1685" t="s">
        <v>5026</v>
      </c>
      <c r="M1685">
        <v>4</v>
      </c>
      <c r="N1685">
        <v>2</v>
      </c>
      <c r="O1685">
        <v>0</v>
      </c>
    </row>
    <row r="1686" spans="1:15" x14ac:dyDescent="0.3">
      <c r="A1686" t="s">
        <v>1699</v>
      </c>
      <c r="B1686">
        <v>8</v>
      </c>
      <c r="C1686">
        <v>68</v>
      </c>
      <c r="D1686" t="s">
        <v>5016</v>
      </c>
      <c r="E1686" t="s">
        <v>5017</v>
      </c>
      <c r="F1686" t="s">
        <v>5020</v>
      </c>
      <c r="G1686">
        <v>10.98</v>
      </c>
      <c r="H1686">
        <v>5</v>
      </c>
      <c r="I1686">
        <v>2.8</v>
      </c>
      <c r="J1686">
        <v>8.6</v>
      </c>
      <c r="K1686">
        <v>61.4</v>
      </c>
      <c r="L1686" t="s">
        <v>5026</v>
      </c>
      <c r="M1686">
        <v>6</v>
      </c>
      <c r="N1686">
        <v>0</v>
      </c>
      <c r="O1686">
        <v>0</v>
      </c>
    </row>
    <row r="1687" spans="1:15" x14ac:dyDescent="0.3">
      <c r="A1687" t="s">
        <v>1700</v>
      </c>
      <c r="B1687">
        <v>9</v>
      </c>
      <c r="C1687">
        <v>66</v>
      </c>
      <c r="D1687" t="s">
        <v>5015</v>
      </c>
      <c r="E1687" t="s">
        <v>5019</v>
      </c>
      <c r="F1687" t="s">
        <v>5020</v>
      </c>
      <c r="G1687">
        <v>11.11</v>
      </c>
      <c r="H1687">
        <v>5</v>
      </c>
      <c r="I1687">
        <v>6.7</v>
      </c>
      <c r="J1687">
        <v>4.87</v>
      </c>
      <c r="K1687">
        <v>35</v>
      </c>
      <c r="L1687" t="s">
        <v>5029</v>
      </c>
      <c r="M1687">
        <v>11</v>
      </c>
      <c r="N1687">
        <v>3</v>
      </c>
      <c r="O1687">
        <v>0</v>
      </c>
    </row>
    <row r="1688" spans="1:15" x14ac:dyDescent="0.3">
      <c r="A1688" t="s">
        <v>1701</v>
      </c>
      <c r="B1688">
        <v>9</v>
      </c>
      <c r="C1688">
        <v>26</v>
      </c>
      <c r="D1688" t="s">
        <v>5016</v>
      </c>
      <c r="E1688" t="s">
        <v>5018</v>
      </c>
      <c r="F1688" t="s">
        <v>5024</v>
      </c>
      <c r="G1688">
        <v>14.62</v>
      </c>
      <c r="H1688">
        <v>2</v>
      </c>
      <c r="I1688">
        <v>7.8</v>
      </c>
      <c r="J1688">
        <v>9.35</v>
      </c>
      <c r="K1688">
        <v>96.2</v>
      </c>
      <c r="L1688" t="s">
        <v>5029</v>
      </c>
      <c r="M1688">
        <v>7</v>
      </c>
      <c r="N1688">
        <v>4</v>
      </c>
      <c r="O1688">
        <v>0</v>
      </c>
    </row>
    <row r="1689" spans="1:15" x14ac:dyDescent="0.3">
      <c r="A1689" t="s">
        <v>1702</v>
      </c>
      <c r="B1689">
        <v>4</v>
      </c>
      <c r="C1689">
        <v>62</v>
      </c>
      <c r="D1689" t="s">
        <v>5015</v>
      </c>
      <c r="E1689" t="s">
        <v>5019</v>
      </c>
      <c r="F1689" t="s">
        <v>5022</v>
      </c>
      <c r="G1689">
        <v>23.37</v>
      </c>
      <c r="H1689">
        <v>3</v>
      </c>
      <c r="I1689">
        <v>2.9</v>
      </c>
      <c r="J1689">
        <v>12.62</v>
      </c>
      <c r="K1689">
        <v>16.899999999999999</v>
      </c>
      <c r="L1689" t="s">
        <v>5028</v>
      </c>
      <c r="M1689">
        <v>2</v>
      </c>
      <c r="N1689">
        <v>4</v>
      </c>
      <c r="O1689">
        <v>0</v>
      </c>
    </row>
    <row r="1690" spans="1:15" x14ac:dyDescent="0.3">
      <c r="A1690" t="s">
        <v>1703</v>
      </c>
      <c r="B1690">
        <v>5</v>
      </c>
      <c r="C1690">
        <v>39</v>
      </c>
      <c r="D1690" t="s">
        <v>5015</v>
      </c>
      <c r="E1690" t="s">
        <v>5018</v>
      </c>
      <c r="F1690" t="s">
        <v>5022</v>
      </c>
      <c r="G1690">
        <v>13.38</v>
      </c>
      <c r="H1690">
        <v>4</v>
      </c>
      <c r="I1690">
        <v>1.8</v>
      </c>
      <c r="J1690">
        <v>10.92</v>
      </c>
      <c r="K1690">
        <v>45.7</v>
      </c>
      <c r="L1690" t="s">
        <v>5027</v>
      </c>
      <c r="M1690">
        <v>11</v>
      </c>
      <c r="N1690">
        <v>2</v>
      </c>
      <c r="O1690">
        <v>0</v>
      </c>
    </row>
    <row r="1691" spans="1:15" x14ac:dyDescent="0.3">
      <c r="A1691" t="s">
        <v>1704</v>
      </c>
      <c r="B1691">
        <v>2</v>
      </c>
      <c r="C1691">
        <v>49</v>
      </c>
      <c r="D1691" t="s">
        <v>5016</v>
      </c>
      <c r="E1691" t="s">
        <v>5018</v>
      </c>
      <c r="F1691" t="s">
        <v>5022</v>
      </c>
      <c r="G1691">
        <v>9.4600000000000009</v>
      </c>
      <c r="H1691">
        <v>1</v>
      </c>
      <c r="I1691">
        <v>4.2</v>
      </c>
      <c r="J1691">
        <v>20.03</v>
      </c>
      <c r="K1691">
        <v>69.5</v>
      </c>
      <c r="L1691" t="s">
        <v>5028</v>
      </c>
      <c r="M1691">
        <v>3</v>
      </c>
      <c r="N1691">
        <v>1</v>
      </c>
      <c r="O1691">
        <v>0</v>
      </c>
    </row>
    <row r="1692" spans="1:15" x14ac:dyDescent="0.3">
      <c r="A1692" t="s">
        <v>1705</v>
      </c>
      <c r="B1692">
        <v>11</v>
      </c>
      <c r="C1692">
        <v>22</v>
      </c>
      <c r="D1692" t="s">
        <v>5016</v>
      </c>
      <c r="E1692" t="s">
        <v>5018</v>
      </c>
      <c r="F1692" t="s">
        <v>5021</v>
      </c>
      <c r="G1692">
        <v>8.26</v>
      </c>
      <c r="H1692">
        <v>5</v>
      </c>
      <c r="I1692">
        <v>2.2000000000000002</v>
      </c>
      <c r="J1692">
        <v>8.67</v>
      </c>
      <c r="K1692">
        <v>95.1</v>
      </c>
      <c r="L1692" t="s">
        <v>5028</v>
      </c>
      <c r="M1692">
        <v>7</v>
      </c>
      <c r="N1692">
        <v>2</v>
      </c>
      <c r="O1692">
        <v>0</v>
      </c>
    </row>
    <row r="1693" spans="1:15" x14ac:dyDescent="0.3">
      <c r="A1693" t="s">
        <v>1706</v>
      </c>
      <c r="B1693">
        <v>9</v>
      </c>
      <c r="C1693">
        <v>40</v>
      </c>
      <c r="D1693" t="s">
        <v>5015</v>
      </c>
      <c r="E1693" t="s">
        <v>5018</v>
      </c>
      <c r="F1693" t="s">
        <v>5020</v>
      </c>
      <c r="G1693">
        <v>14.14</v>
      </c>
      <c r="H1693">
        <v>3</v>
      </c>
      <c r="I1693">
        <v>6.1</v>
      </c>
      <c r="J1693">
        <v>21.89</v>
      </c>
      <c r="K1693">
        <v>55.1</v>
      </c>
      <c r="L1693" t="s">
        <v>5026</v>
      </c>
      <c r="M1693">
        <v>5</v>
      </c>
      <c r="N1693">
        <v>1</v>
      </c>
      <c r="O1693">
        <v>0</v>
      </c>
    </row>
    <row r="1694" spans="1:15" x14ac:dyDescent="0.3">
      <c r="A1694" t="s">
        <v>1707</v>
      </c>
      <c r="B1694">
        <v>8</v>
      </c>
      <c r="C1694">
        <v>22</v>
      </c>
      <c r="D1694" t="s">
        <v>5015</v>
      </c>
      <c r="E1694" t="s">
        <v>5017</v>
      </c>
      <c r="F1694" t="s">
        <v>5024</v>
      </c>
      <c r="G1694">
        <v>21.01</v>
      </c>
      <c r="H1694">
        <v>4</v>
      </c>
      <c r="I1694">
        <v>4.8</v>
      </c>
      <c r="J1694">
        <v>7.96</v>
      </c>
      <c r="K1694">
        <v>90.6</v>
      </c>
      <c r="L1694" t="s">
        <v>5026</v>
      </c>
      <c r="M1694">
        <v>4</v>
      </c>
      <c r="N1694">
        <v>0</v>
      </c>
      <c r="O1694">
        <v>0</v>
      </c>
    </row>
    <row r="1695" spans="1:15" x14ac:dyDescent="0.3">
      <c r="A1695" t="s">
        <v>1708</v>
      </c>
      <c r="B1695">
        <v>3</v>
      </c>
      <c r="C1695">
        <v>59</v>
      </c>
      <c r="D1695" t="s">
        <v>5015</v>
      </c>
      <c r="E1695" t="s">
        <v>5019</v>
      </c>
      <c r="F1695" t="s">
        <v>5021</v>
      </c>
      <c r="G1695">
        <v>10.83</v>
      </c>
      <c r="H1695">
        <v>3</v>
      </c>
      <c r="I1695">
        <v>5.2</v>
      </c>
      <c r="J1695">
        <v>10.95</v>
      </c>
      <c r="K1695">
        <v>19.399999999999999</v>
      </c>
      <c r="L1695" t="s">
        <v>5025</v>
      </c>
      <c r="M1695">
        <v>4</v>
      </c>
      <c r="N1695">
        <v>4</v>
      </c>
      <c r="O1695">
        <v>0</v>
      </c>
    </row>
    <row r="1696" spans="1:15" x14ac:dyDescent="0.3">
      <c r="A1696" t="s">
        <v>1709</v>
      </c>
      <c r="B1696">
        <v>11</v>
      </c>
      <c r="C1696">
        <v>49</v>
      </c>
      <c r="D1696" t="s">
        <v>5015</v>
      </c>
      <c r="E1696" t="s">
        <v>5019</v>
      </c>
      <c r="F1696" t="s">
        <v>5024</v>
      </c>
      <c r="G1696">
        <v>15.25</v>
      </c>
      <c r="H1696">
        <v>4</v>
      </c>
      <c r="I1696">
        <v>5.9</v>
      </c>
      <c r="J1696">
        <v>12.85</v>
      </c>
      <c r="K1696">
        <v>57.8</v>
      </c>
      <c r="L1696" t="s">
        <v>5028</v>
      </c>
      <c r="M1696">
        <v>9</v>
      </c>
      <c r="N1696">
        <v>3</v>
      </c>
      <c r="O1696">
        <v>1</v>
      </c>
    </row>
    <row r="1697" spans="1:15" x14ac:dyDescent="0.3">
      <c r="A1697" t="s">
        <v>1710</v>
      </c>
      <c r="B1697">
        <v>12</v>
      </c>
      <c r="C1697">
        <v>27</v>
      </c>
      <c r="D1697" t="s">
        <v>5015</v>
      </c>
      <c r="E1697" t="s">
        <v>5017</v>
      </c>
      <c r="F1697" t="s">
        <v>5021</v>
      </c>
      <c r="G1697">
        <v>17.059999999999999</v>
      </c>
      <c r="H1697">
        <v>4</v>
      </c>
      <c r="I1697">
        <v>9.8000000000000007</v>
      </c>
      <c r="J1697">
        <v>9.41</v>
      </c>
      <c r="K1697">
        <v>38.4</v>
      </c>
      <c r="L1697" t="s">
        <v>5025</v>
      </c>
      <c r="M1697">
        <v>9</v>
      </c>
      <c r="N1697">
        <v>2</v>
      </c>
      <c r="O1697">
        <v>1</v>
      </c>
    </row>
    <row r="1698" spans="1:15" x14ac:dyDescent="0.3">
      <c r="A1698" t="s">
        <v>1711</v>
      </c>
      <c r="B1698">
        <v>9</v>
      </c>
      <c r="C1698">
        <v>56</v>
      </c>
      <c r="D1698" t="s">
        <v>5016</v>
      </c>
      <c r="E1698" t="s">
        <v>5019</v>
      </c>
      <c r="F1698" t="s">
        <v>5021</v>
      </c>
      <c r="G1698">
        <v>14.01</v>
      </c>
      <c r="H1698">
        <v>2</v>
      </c>
      <c r="I1698">
        <v>8.1</v>
      </c>
      <c r="J1698">
        <v>19.86</v>
      </c>
      <c r="K1698">
        <v>81.599999999999994</v>
      </c>
      <c r="L1698" t="s">
        <v>5029</v>
      </c>
      <c r="M1698">
        <v>10</v>
      </c>
      <c r="N1698">
        <v>3</v>
      </c>
      <c r="O1698">
        <v>0</v>
      </c>
    </row>
    <row r="1699" spans="1:15" x14ac:dyDescent="0.3">
      <c r="A1699" t="s">
        <v>1712</v>
      </c>
      <c r="B1699">
        <v>3</v>
      </c>
      <c r="C1699">
        <v>32</v>
      </c>
      <c r="D1699" t="s">
        <v>5015</v>
      </c>
      <c r="E1699" t="s">
        <v>5018</v>
      </c>
      <c r="F1699" t="s">
        <v>5021</v>
      </c>
      <c r="G1699">
        <v>8.83</v>
      </c>
      <c r="H1699">
        <v>2</v>
      </c>
      <c r="I1699">
        <v>6.7</v>
      </c>
      <c r="J1699">
        <v>12.01</v>
      </c>
      <c r="K1699">
        <v>50</v>
      </c>
      <c r="L1699" t="s">
        <v>5025</v>
      </c>
      <c r="M1699">
        <v>7</v>
      </c>
      <c r="N1699">
        <v>3</v>
      </c>
      <c r="O1699">
        <v>0</v>
      </c>
    </row>
    <row r="1700" spans="1:15" x14ac:dyDescent="0.3">
      <c r="A1700" t="s">
        <v>1713</v>
      </c>
      <c r="B1700">
        <v>9</v>
      </c>
      <c r="C1700">
        <v>24</v>
      </c>
      <c r="D1700" t="s">
        <v>5015</v>
      </c>
      <c r="E1700" t="s">
        <v>5018</v>
      </c>
      <c r="F1700" t="s">
        <v>5024</v>
      </c>
      <c r="G1700">
        <v>23.43</v>
      </c>
      <c r="H1700">
        <v>1</v>
      </c>
      <c r="I1700">
        <v>4.3</v>
      </c>
      <c r="J1700">
        <v>22.51</v>
      </c>
      <c r="K1700">
        <v>52.8</v>
      </c>
      <c r="L1700" t="s">
        <v>5026</v>
      </c>
      <c r="M1700">
        <v>1</v>
      </c>
      <c r="N1700">
        <v>4</v>
      </c>
      <c r="O1700">
        <v>0</v>
      </c>
    </row>
    <row r="1701" spans="1:15" x14ac:dyDescent="0.3">
      <c r="A1701" t="s">
        <v>1714</v>
      </c>
      <c r="B1701">
        <v>2</v>
      </c>
      <c r="C1701">
        <v>46</v>
      </c>
      <c r="D1701" t="s">
        <v>5015</v>
      </c>
      <c r="E1701" t="s">
        <v>5017</v>
      </c>
      <c r="F1701" t="s">
        <v>5023</v>
      </c>
      <c r="G1701">
        <v>16.309999999999999</v>
      </c>
      <c r="H1701">
        <v>1</v>
      </c>
      <c r="I1701">
        <v>1.2</v>
      </c>
      <c r="J1701">
        <v>24.2</v>
      </c>
      <c r="K1701">
        <v>15.8</v>
      </c>
      <c r="L1701" t="s">
        <v>5028</v>
      </c>
      <c r="M1701">
        <v>1</v>
      </c>
      <c r="N1701">
        <v>4</v>
      </c>
      <c r="O1701">
        <v>0</v>
      </c>
    </row>
    <row r="1702" spans="1:15" x14ac:dyDescent="0.3">
      <c r="A1702" t="s">
        <v>1715</v>
      </c>
      <c r="B1702">
        <v>12</v>
      </c>
      <c r="C1702">
        <v>64</v>
      </c>
      <c r="D1702" t="s">
        <v>5016</v>
      </c>
      <c r="E1702" t="s">
        <v>5019</v>
      </c>
      <c r="F1702" t="s">
        <v>5021</v>
      </c>
      <c r="G1702">
        <v>19.579999999999998</v>
      </c>
      <c r="H1702">
        <v>3</v>
      </c>
      <c r="I1702">
        <v>2</v>
      </c>
      <c r="J1702">
        <v>21.92</v>
      </c>
      <c r="K1702">
        <v>49.4</v>
      </c>
      <c r="L1702" t="s">
        <v>5026</v>
      </c>
      <c r="M1702">
        <v>3</v>
      </c>
      <c r="N1702">
        <v>3</v>
      </c>
      <c r="O1702">
        <v>1</v>
      </c>
    </row>
    <row r="1703" spans="1:15" x14ac:dyDescent="0.3">
      <c r="A1703" t="s">
        <v>1716</v>
      </c>
      <c r="B1703">
        <v>10</v>
      </c>
      <c r="C1703">
        <v>20</v>
      </c>
      <c r="D1703" t="s">
        <v>5016</v>
      </c>
      <c r="E1703" t="s">
        <v>5019</v>
      </c>
      <c r="F1703" t="s">
        <v>5022</v>
      </c>
      <c r="G1703">
        <v>17.72</v>
      </c>
      <c r="H1703">
        <v>2</v>
      </c>
      <c r="I1703">
        <v>7.6</v>
      </c>
      <c r="J1703">
        <v>14.5</v>
      </c>
      <c r="K1703">
        <v>17.3</v>
      </c>
      <c r="L1703" t="s">
        <v>5029</v>
      </c>
      <c r="M1703">
        <v>3</v>
      </c>
      <c r="N1703">
        <v>0</v>
      </c>
      <c r="O1703">
        <v>0</v>
      </c>
    </row>
    <row r="1704" spans="1:15" x14ac:dyDescent="0.3">
      <c r="A1704" t="s">
        <v>1717</v>
      </c>
      <c r="B1704">
        <v>9</v>
      </c>
      <c r="C1704">
        <v>36</v>
      </c>
      <c r="D1704" t="s">
        <v>5015</v>
      </c>
      <c r="E1704" t="s">
        <v>5018</v>
      </c>
      <c r="F1704" t="s">
        <v>5020</v>
      </c>
      <c r="G1704">
        <v>24.96</v>
      </c>
      <c r="H1704">
        <v>4</v>
      </c>
      <c r="I1704">
        <v>4.3</v>
      </c>
      <c r="J1704">
        <v>14.22</v>
      </c>
      <c r="K1704">
        <v>37</v>
      </c>
      <c r="L1704" t="s">
        <v>5027</v>
      </c>
      <c r="M1704">
        <v>7</v>
      </c>
      <c r="N1704">
        <v>3</v>
      </c>
      <c r="O1704">
        <v>0</v>
      </c>
    </row>
    <row r="1705" spans="1:15" x14ac:dyDescent="0.3">
      <c r="A1705" t="s">
        <v>1718</v>
      </c>
      <c r="B1705">
        <v>8</v>
      </c>
      <c r="C1705">
        <v>27</v>
      </c>
      <c r="D1705" t="s">
        <v>5015</v>
      </c>
      <c r="E1705" t="s">
        <v>5018</v>
      </c>
      <c r="F1705" t="s">
        <v>5023</v>
      </c>
      <c r="G1705">
        <v>14.13</v>
      </c>
      <c r="H1705">
        <v>2</v>
      </c>
      <c r="I1705">
        <v>4</v>
      </c>
      <c r="J1705">
        <v>7.75</v>
      </c>
      <c r="K1705">
        <v>21.4</v>
      </c>
      <c r="L1705" t="s">
        <v>5028</v>
      </c>
      <c r="M1705">
        <v>2</v>
      </c>
      <c r="N1705">
        <v>1</v>
      </c>
      <c r="O1705">
        <v>1</v>
      </c>
    </row>
    <row r="1706" spans="1:15" x14ac:dyDescent="0.3">
      <c r="A1706" t="s">
        <v>1719</v>
      </c>
      <c r="B1706">
        <v>9</v>
      </c>
      <c r="C1706">
        <v>45</v>
      </c>
      <c r="D1706" t="s">
        <v>5016</v>
      </c>
      <c r="E1706" t="s">
        <v>5017</v>
      </c>
      <c r="F1706" t="s">
        <v>5023</v>
      </c>
      <c r="G1706">
        <v>13.5</v>
      </c>
      <c r="H1706">
        <v>4</v>
      </c>
      <c r="I1706">
        <v>9</v>
      </c>
      <c r="J1706">
        <v>16.03</v>
      </c>
      <c r="K1706">
        <v>40.1</v>
      </c>
      <c r="L1706" t="s">
        <v>5026</v>
      </c>
      <c r="M1706">
        <v>8</v>
      </c>
      <c r="N1706">
        <v>1</v>
      </c>
      <c r="O1706">
        <v>0</v>
      </c>
    </row>
    <row r="1707" spans="1:15" x14ac:dyDescent="0.3">
      <c r="A1707" t="s">
        <v>1720</v>
      </c>
      <c r="B1707">
        <v>5</v>
      </c>
      <c r="C1707">
        <v>46</v>
      </c>
      <c r="D1707" t="s">
        <v>5016</v>
      </c>
      <c r="E1707" t="s">
        <v>5018</v>
      </c>
      <c r="F1707" t="s">
        <v>5024</v>
      </c>
      <c r="G1707">
        <v>12.2</v>
      </c>
      <c r="H1707">
        <v>2</v>
      </c>
      <c r="I1707">
        <v>5.4</v>
      </c>
      <c r="J1707">
        <v>23.96</v>
      </c>
      <c r="K1707">
        <v>30.5</v>
      </c>
      <c r="L1707" t="s">
        <v>5027</v>
      </c>
      <c r="M1707">
        <v>1</v>
      </c>
      <c r="N1707">
        <v>1</v>
      </c>
      <c r="O1707">
        <v>0</v>
      </c>
    </row>
    <row r="1708" spans="1:15" x14ac:dyDescent="0.3">
      <c r="A1708" t="s">
        <v>1721</v>
      </c>
      <c r="B1708">
        <v>11</v>
      </c>
      <c r="C1708">
        <v>32</v>
      </c>
      <c r="D1708" t="s">
        <v>5016</v>
      </c>
      <c r="E1708" t="s">
        <v>5017</v>
      </c>
      <c r="F1708" t="s">
        <v>5023</v>
      </c>
      <c r="G1708">
        <v>12.23</v>
      </c>
      <c r="H1708">
        <v>4</v>
      </c>
      <c r="I1708">
        <v>9.1</v>
      </c>
      <c r="J1708">
        <v>4.7699999999999996</v>
      </c>
      <c r="K1708">
        <v>35.700000000000003</v>
      </c>
      <c r="L1708" t="s">
        <v>5029</v>
      </c>
      <c r="M1708">
        <v>11</v>
      </c>
      <c r="N1708">
        <v>1</v>
      </c>
      <c r="O1708">
        <v>0</v>
      </c>
    </row>
    <row r="1709" spans="1:15" x14ac:dyDescent="0.3">
      <c r="A1709" t="s">
        <v>1722</v>
      </c>
      <c r="B1709">
        <v>11</v>
      </c>
      <c r="C1709">
        <v>52</v>
      </c>
      <c r="D1709" t="s">
        <v>5016</v>
      </c>
      <c r="E1709" t="s">
        <v>5017</v>
      </c>
      <c r="F1709" t="s">
        <v>5024</v>
      </c>
      <c r="G1709">
        <v>10.52</v>
      </c>
      <c r="H1709">
        <v>3</v>
      </c>
      <c r="I1709">
        <v>9</v>
      </c>
      <c r="J1709">
        <v>19.55</v>
      </c>
      <c r="K1709">
        <v>23.4</v>
      </c>
      <c r="L1709" t="s">
        <v>5027</v>
      </c>
      <c r="M1709">
        <v>8</v>
      </c>
      <c r="N1709">
        <v>2</v>
      </c>
      <c r="O1709">
        <v>0</v>
      </c>
    </row>
    <row r="1710" spans="1:15" x14ac:dyDescent="0.3">
      <c r="A1710" t="s">
        <v>1723</v>
      </c>
      <c r="B1710">
        <v>2</v>
      </c>
      <c r="C1710">
        <v>23</v>
      </c>
      <c r="D1710" t="s">
        <v>5015</v>
      </c>
      <c r="E1710" t="s">
        <v>5018</v>
      </c>
      <c r="F1710" t="s">
        <v>5024</v>
      </c>
      <c r="G1710">
        <v>24.61</v>
      </c>
      <c r="H1710">
        <v>2</v>
      </c>
      <c r="I1710">
        <v>1.7</v>
      </c>
      <c r="J1710">
        <v>22.13</v>
      </c>
      <c r="K1710">
        <v>49.6</v>
      </c>
      <c r="L1710" t="s">
        <v>5026</v>
      </c>
      <c r="M1710">
        <v>9</v>
      </c>
      <c r="N1710">
        <v>0</v>
      </c>
      <c r="O1710">
        <v>1</v>
      </c>
    </row>
    <row r="1711" spans="1:15" x14ac:dyDescent="0.3">
      <c r="A1711" t="s">
        <v>1724</v>
      </c>
      <c r="B1711">
        <v>8</v>
      </c>
      <c r="C1711">
        <v>29</v>
      </c>
      <c r="D1711" t="s">
        <v>5016</v>
      </c>
      <c r="E1711" t="s">
        <v>5019</v>
      </c>
      <c r="F1711" t="s">
        <v>5022</v>
      </c>
      <c r="G1711">
        <v>22.42</v>
      </c>
      <c r="H1711">
        <v>5</v>
      </c>
      <c r="I1711">
        <v>9.5</v>
      </c>
      <c r="J1711">
        <v>24.71</v>
      </c>
      <c r="K1711">
        <v>54.8</v>
      </c>
      <c r="L1711" t="s">
        <v>5026</v>
      </c>
      <c r="M1711">
        <v>5</v>
      </c>
      <c r="N1711">
        <v>2</v>
      </c>
      <c r="O1711">
        <v>0</v>
      </c>
    </row>
    <row r="1712" spans="1:15" x14ac:dyDescent="0.3">
      <c r="A1712" t="s">
        <v>1725</v>
      </c>
      <c r="B1712">
        <v>12</v>
      </c>
      <c r="C1712">
        <v>64</v>
      </c>
      <c r="D1712" t="s">
        <v>5015</v>
      </c>
      <c r="E1712" t="s">
        <v>5018</v>
      </c>
      <c r="F1712" t="s">
        <v>5021</v>
      </c>
      <c r="G1712">
        <v>11.33</v>
      </c>
      <c r="H1712">
        <v>5</v>
      </c>
      <c r="I1712">
        <v>1.7</v>
      </c>
      <c r="J1712">
        <v>10.36</v>
      </c>
      <c r="K1712">
        <v>85.3</v>
      </c>
      <c r="L1712" t="s">
        <v>5029</v>
      </c>
      <c r="M1712">
        <v>11</v>
      </c>
      <c r="N1712">
        <v>2</v>
      </c>
      <c r="O1712">
        <v>0</v>
      </c>
    </row>
    <row r="1713" spans="1:15" x14ac:dyDescent="0.3">
      <c r="A1713" t="s">
        <v>1726</v>
      </c>
      <c r="B1713">
        <v>6</v>
      </c>
      <c r="C1713">
        <v>55</v>
      </c>
      <c r="D1713" t="s">
        <v>5015</v>
      </c>
      <c r="E1713" t="s">
        <v>5017</v>
      </c>
      <c r="F1713" t="s">
        <v>5023</v>
      </c>
      <c r="G1713">
        <v>11.1</v>
      </c>
      <c r="H1713">
        <v>4</v>
      </c>
      <c r="I1713">
        <v>9.6999999999999993</v>
      </c>
      <c r="J1713">
        <v>10.82</v>
      </c>
      <c r="K1713">
        <v>58.5</v>
      </c>
      <c r="L1713" t="s">
        <v>5029</v>
      </c>
      <c r="M1713">
        <v>4</v>
      </c>
      <c r="N1713">
        <v>1</v>
      </c>
      <c r="O1713">
        <v>0</v>
      </c>
    </row>
    <row r="1714" spans="1:15" x14ac:dyDescent="0.3">
      <c r="A1714" t="s">
        <v>1727</v>
      </c>
      <c r="B1714">
        <v>8</v>
      </c>
      <c r="C1714">
        <v>30</v>
      </c>
      <c r="D1714" t="s">
        <v>5016</v>
      </c>
      <c r="E1714" t="s">
        <v>5018</v>
      </c>
      <c r="F1714" t="s">
        <v>5021</v>
      </c>
      <c r="G1714">
        <v>7.07</v>
      </c>
      <c r="H1714">
        <v>3</v>
      </c>
      <c r="I1714">
        <v>5.0999999999999996</v>
      </c>
      <c r="J1714">
        <v>8.06</v>
      </c>
      <c r="K1714">
        <v>30.6</v>
      </c>
      <c r="L1714" t="s">
        <v>5027</v>
      </c>
      <c r="M1714">
        <v>6</v>
      </c>
      <c r="N1714">
        <v>0</v>
      </c>
      <c r="O1714">
        <v>0</v>
      </c>
    </row>
    <row r="1715" spans="1:15" x14ac:dyDescent="0.3">
      <c r="A1715" t="s">
        <v>1728</v>
      </c>
      <c r="B1715">
        <v>11</v>
      </c>
      <c r="C1715">
        <v>46</v>
      </c>
      <c r="D1715" t="s">
        <v>5016</v>
      </c>
      <c r="E1715" t="s">
        <v>5019</v>
      </c>
      <c r="F1715" t="s">
        <v>5021</v>
      </c>
      <c r="G1715">
        <v>22.54</v>
      </c>
      <c r="H1715">
        <v>4</v>
      </c>
      <c r="I1715">
        <v>7.8</v>
      </c>
      <c r="J1715">
        <v>20.36</v>
      </c>
      <c r="K1715">
        <v>76.2</v>
      </c>
      <c r="L1715" t="s">
        <v>5027</v>
      </c>
      <c r="M1715">
        <v>6</v>
      </c>
      <c r="N1715">
        <v>0</v>
      </c>
      <c r="O1715">
        <v>0</v>
      </c>
    </row>
    <row r="1716" spans="1:15" x14ac:dyDescent="0.3">
      <c r="A1716" t="s">
        <v>1729</v>
      </c>
      <c r="B1716">
        <v>5</v>
      </c>
      <c r="C1716">
        <v>36</v>
      </c>
      <c r="D1716" t="s">
        <v>5016</v>
      </c>
      <c r="E1716" t="s">
        <v>5019</v>
      </c>
      <c r="F1716" t="s">
        <v>5021</v>
      </c>
      <c r="G1716">
        <v>12.44</v>
      </c>
      <c r="H1716">
        <v>3</v>
      </c>
      <c r="I1716">
        <v>7.4</v>
      </c>
      <c r="J1716">
        <v>6.08</v>
      </c>
      <c r="K1716">
        <v>36.799999999999997</v>
      </c>
      <c r="L1716" t="s">
        <v>5026</v>
      </c>
      <c r="M1716">
        <v>8</v>
      </c>
      <c r="N1716">
        <v>3</v>
      </c>
      <c r="O1716">
        <v>1</v>
      </c>
    </row>
    <row r="1717" spans="1:15" x14ac:dyDescent="0.3">
      <c r="A1717" t="s">
        <v>1730</v>
      </c>
      <c r="B1717">
        <v>10</v>
      </c>
      <c r="C1717">
        <v>20</v>
      </c>
      <c r="D1717" t="s">
        <v>5016</v>
      </c>
      <c r="E1717" t="s">
        <v>5019</v>
      </c>
      <c r="F1717" t="s">
        <v>5024</v>
      </c>
      <c r="G1717">
        <v>16.45</v>
      </c>
      <c r="H1717">
        <v>1</v>
      </c>
      <c r="I1717">
        <v>5.7</v>
      </c>
      <c r="J1717">
        <v>8.89</v>
      </c>
      <c r="K1717">
        <v>78.099999999999994</v>
      </c>
      <c r="L1717" t="s">
        <v>5029</v>
      </c>
      <c r="M1717">
        <v>8</v>
      </c>
      <c r="N1717">
        <v>2</v>
      </c>
      <c r="O1717">
        <v>1</v>
      </c>
    </row>
    <row r="1718" spans="1:15" x14ac:dyDescent="0.3">
      <c r="A1718" t="s">
        <v>1731</v>
      </c>
      <c r="B1718">
        <v>2</v>
      </c>
      <c r="C1718">
        <v>25</v>
      </c>
      <c r="D1718" t="s">
        <v>5015</v>
      </c>
      <c r="E1718" t="s">
        <v>5018</v>
      </c>
      <c r="F1718" t="s">
        <v>5021</v>
      </c>
      <c r="G1718">
        <v>23.01</v>
      </c>
      <c r="H1718">
        <v>2</v>
      </c>
      <c r="I1718">
        <v>6.6</v>
      </c>
      <c r="J1718">
        <v>9.5</v>
      </c>
      <c r="K1718">
        <v>44.8</v>
      </c>
      <c r="L1718" t="s">
        <v>5025</v>
      </c>
      <c r="M1718">
        <v>1</v>
      </c>
      <c r="N1718">
        <v>0</v>
      </c>
      <c r="O1718">
        <v>0</v>
      </c>
    </row>
    <row r="1719" spans="1:15" x14ac:dyDescent="0.3">
      <c r="A1719" t="s">
        <v>1732</v>
      </c>
      <c r="B1719">
        <v>6</v>
      </c>
      <c r="C1719">
        <v>25</v>
      </c>
      <c r="D1719" t="s">
        <v>5015</v>
      </c>
      <c r="E1719" t="s">
        <v>5019</v>
      </c>
      <c r="F1719" t="s">
        <v>5023</v>
      </c>
      <c r="G1719">
        <v>13.16</v>
      </c>
      <c r="H1719">
        <v>3</v>
      </c>
      <c r="I1719">
        <v>9.5</v>
      </c>
      <c r="J1719">
        <v>11.25</v>
      </c>
      <c r="K1719">
        <v>56.2</v>
      </c>
      <c r="L1719" t="s">
        <v>5029</v>
      </c>
      <c r="M1719">
        <v>9</v>
      </c>
      <c r="N1719">
        <v>4</v>
      </c>
      <c r="O1719">
        <v>0</v>
      </c>
    </row>
    <row r="1720" spans="1:15" x14ac:dyDescent="0.3">
      <c r="A1720" t="s">
        <v>1733</v>
      </c>
      <c r="B1720">
        <v>5</v>
      </c>
      <c r="C1720">
        <v>37</v>
      </c>
      <c r="D1720" t="s">
        <v>5015</v>
      </c>
      <c r="E1720" t="s">
        <v>5017</v>
      </c>
      <c r="F1720" t="s">
        <v>5024</v>
      </c>
      <c r="G1720">
        <v>21.14</v>
      </c>
      <c r="H1720">
        <v>4</v>
      </c>
      <c r="I1720">
        <v>9.3000000000000007</v>
      </c>
      <c r="J1720">
        <v>12.28</v>
      </c>
      <c r="K1720">
        <v>55.3</v>
      </c>
      <c r="L1720" t="s">
        <v>5028</v>
      </c>
      <c r="M1720">
        <v>10</v>
      </c>
      <c r="N1720">
        <v>2</v>
      </c>
      <c r="O1720">
        <v>0</v>
      </c>
    </row>
    <row r="1721" spans="1:15" x14ac:dyDescent="0.3">
      <c r="A1721" t="s">
        <v>1734</v>
      </c>
      <c r="B1721">
        <v>12</v>
      </c>
      <c r="C1721">
        <v>64</v>
      </c>
      <c r="D1721" t="s">
        <v>5016</v>
      </c>
      <c r="E1721" t="s">
        <v>5018</v>
      </c>
      <c r="F1721" t="s">
        <v>5023</v>
      </c>
      <c r="G1721">
        <v>13.61</v>
      </c>
      <c r="H1721">
        <v>1</v>
      </c>
      <c r="I1721">
        <v>6.9</v>
      </c>
      <c r="J1721">
        <v>15.3</v>
      </c>
      <c r="K1721">
        <v>96</v>
      </c>
      <c r="L1721" t="s">
        <v>5028</v>
      </c>
      <c r="M1721">
        <v>1</v>
      </c>
      <c r="N1721">
        <v>0</v>
      </c>
      <c r="O1721">
        <v>0</v>
      </c>
    </row>
    <row r="1722" spans="1:15" x14ac:dyDescent="0.3">
      <c r="A1722" t="s">
        <v>1735</v>
      </c>
      <c r="B1722">
        <v>12</v>
      </c>
      <c r="C1722">
        <v>21</v>
      </c>
      <c r="D1722" t="s">
        <v>5015</v>
      </c>
      <c r="E1722" t="s">
        <v>5018</v>
      </c>
      <c r="F1722" t="s">
        <v>5024</v>
      </c>
      <c r="G1722">
        <v>19.02</v>
      </c>
      <c r="H1722">
        <v>4</v>
      </c>
      <c r="I1722">
        <v>6.9</v>
      </c>
      <c r="J1722">
        <v>23.86</v>
      </c>
      <c r="K1722">
        <v>23.8</v>
      </c>
      <c r="L1722" t="s">
        <v>5029</v>
      </c>
      <c r="M1722">
        <v>3</v>
      </c>
      <c r="N1722">
        <v>4</v>
      </c>
      <c r="O1722">
        <v>0</v>
      </c>
    </row>
    <row r="1723" spans="1:15" x14ac:dyDescent="0.3">
      <c r="A1723" t="s">
        <v>1736</v>
      </c>
      <c r="B1723">
        <v>5</v>
      </c>
      <c r="C1723">
        <v>68</v>
      </c>
      <c r="D1723" t="s">
        <v>5016</v>
      </c>
      <c r="E1723" t="s">
        <v>5018</v>
      </c>
      <c r="F1723" t="s">
        <v>5020</v>
      </c>
      <c r="G1723">
        <v>13.62</v>
      </c>
      <c r="H1723">
        <v>5</v>
      </c>
      <c r="I1723">
        <v>3.2</v>
      </c>
      <c r="J1723">
        <v>8.44</v>
      </c>
      <c r="K1723">
        <v>94.5</v>
      </c>
      <c r="L1723" t="s">
        <v>5027</v>
      </c>
      <c r="M1723">
        <v>7</v>
      </c>
      <c r="N1723">
        <v>4</v>
      </c>
      <c r="O1723">
        <v>0</v>
      </c>
    </row>
    <row r="1724" spans="1:15" x14ac:dyDescent="0.3">
      <c r="A1724" t="s">
        <v>1737</v>
      </c>
      <c r="B1724">
        <v>1</v>
      </c>
      <c r="C1724">
        <v>38</v>
      </c>
      <c r="D1724" t="s">
        <v>5015</v>
      </c>
      <c r="E1724" t="s">
        <v>5019</v>
      </c>
      <c r="F1724" t="s">
        <v>5020</v>
      </c>
      <c r="G1724">
        <v>12.86</v>
      </c>
      <c r="H1724">
        <v>5</v>
      </c>
      <c r="I1724">
        <v>8.5</v>
      </c>
      <c r="J1724">
        <v>20.14</v>
      </c>
      <c r="K1724">
        <v>60.6</v>
      </c>
      <c r="L1724" t="s">
        <v>5028</v>
      </c>
      <c r="M1724">
        <v>5</v>
      </c>
      <c r="N1724">
        <v>4</v>
      </c>
      <c r="O1724">
        <v>1</v>
      </c>
    </row>
    <row r="1725" spans="1:15" x14ac:dyDescent="0.3">
      <c r="A1725" t="s">
        <v>1738</v>
      </c>
      <c r="B1725">
        <v>2</v>
      </c>
      <c r="C1725">
        <v>20</v>
      </c>
      <c r="D1725" t="s">
        <v>5016</v>
      </c>
      <c r="E1725" t="s">
        <v>5019</v>
      </c>
      <c r="F1725" t="s">
        <v>5020</v>
      </c>
      <c r="G1725">
        <v>24.81</v>
      </c>
      <c r="H1725">
        <v>2</v>
      </c>
      <c r="I1725">
        <v>6.7</v>
      </c>
      <c r="J1725">
        <v>17.88</v>
      </c>
      <c r="K1725">
        <v>99.4</v>
      </c>
      <c r="L1725" t="s">
        <v>5026</v>
      </c>
      <c r="M1725">
        <v>6</v>
      </c>
      <c r="N1725">
        <v>1</v>
      </c>
      <c r="O1725">
        <v>0</v>
      </c>
    </row>
    <row r="1726" spans="1:15" x14ac:dyDescent="0.3">
      <c r="A1726" t="s">
        <v>1739</v>
      </c>
      <c r="B1726">
        <v>8</v>
      </c>
      <c r="C1726">
        <v>62</v>
      </c>
      <c r="D1726" t="s">
        <v>5015</v>
      </c>
      <c r="E1726" t="s">
        <v>5017</v>
      </c>
      <c r="F1726" t="s">
        <v>5020</v>
      </c>
      <c r="G1726">
        <v>17.25</v>
      </c>
      <c r="H1726">
        <v>2</v>
      </c>
      <c r="I1726">
        <v>8.4</v>
      </c>
      <c r="J1726">
        <v>5.55</v>
      </c>
      <c r="K1726">
        <v>61.6</v>
      </c>
      <c r="L1726" t="s">
        <v>5026</v>
      </c>
      <c r="M1726">
        <v>8</v>
      </c>
      <c r="N1726">
        <v>3</v>
      </c>
      <c r="O1726">
        <v>1</v>
      </c>
    </row>
    <row r="1727" spans="1:15" x14ac:dyDescent="0.3">
      <c r="A1727" t="s">
        <v>1740</v>
      </c>
      <c r="B1727">
        <v>3</v>
      </c>
      <c r="C1727">
        <v>25</v>
      </c>
      <c r="D1727" t="s">
        <v>5015</v>
      </c>
      <c r="E1727" t="s">
        <v>5017</v>
      </c>
      <c r="F1727" t="s">
        <v>5024</v>
      </c>
      <c r="G1727">
        <v>12.35</v>
      </c>
      <c r="H1727">
        <v>1</v>
      </c>
      <c r="I1727">
        <v>6.9</v>
      </c>
      <c r="J1727">
        <v>20.83</v>
      </c>
      <c r="K1727">
        <v>69.099999999999994</v>
      </c>
      <c r="L1727" t="s">
        <v>5026</v>
      </c>
      <c r="M1727">
        <v>4</v>
      </c>
      <c r="N1727">
        <v>3</v>
      </c>
      <c r="O1727">
        <v>0</v>
      </c>
    </row>
    <row r="1728" spans="1:15" x14ac:dyDescent="0.3">
      <c r="A1728" t="s">
        <v>1741</v>
      </c>
      <c r="B1728">
        <v>10</v>
      </c>
      <c r="C1728">
        <v>40</v>
      </c>
      <c r="D1728" t="s">
        <v>5016</v>
      </c>
      <c r="E1728" t="s">
        <v>5018</v>
      </c>
      <c r="F1728" t="s">
        <v>5021</v>
      </c>
      <c r="G1728">
        <v>10.16</v>
      </c>
      <c r="H1728">
        <v>5</v>
      </c>
      <c r="I1728">
        <v>3.7</v>
      </c>
      <c r="J1728">
        <v>4.99</v>
      </c>
      <c r="K1728">
        <v>77.5</v>
      </c>
      <c r="L1728" t="s">
        <v>5029</v>
      </c>
      <c r="M1728">
        <v>4</v>
      </c>
      <c r="N1728">
        <v>0</v>
      </c>
      <c r="O1728">
        <v>0</v>
      </c>
    </row>
    <row r="1729" spans="1:15" x14ac:dyDescent="0.3">
      <c r="A1729" t="s">
        <v>1742</v>
      </c>
      <c r="B1729">
        <v>3</v>
      </c>
      <c r="C1729">
        <v>33</v>
      </c>
      <c r="D1729" t="s">
        <v>5015</v>
      </c>
      <c r="E1729" t="s">
        <v>5017</v>
      </c>
      <c r="F1729" t="s">
        <v>5022</v>
      </c>
      <c r="G1729">
        <v>5.8</v>
      </c>
      <c r="H1729">
        <v>3</v>
      </c>
      <c r="I1729">
        <v>2.7</v>
      </c>
      <c r="J1729">
        <v>19.260000000000002</v>
      </c>
      <c r="K1729">
        <v>84</v>
      </c>
      <c r="L1729" t="s">
        <v>5028</v>
      </c>
      <c r="M1729">
        <v>8</v>
      </c>
      <c r="N1729">
        <v>0</v>
      </c>
      <c r="O1729">
        <v>1</v>
      </c>
    </row>
    <row r="1730" spans="1:15" x14ac:dyDescent="0.3">
      <c r="A1730" t="s">
        <v>1743</v>
      </c>
      <c r="B1730">
        <v>8</v>
      </c>
      <c r="C1730">
        <v>30</v>
      </c>
      <c r="D1730" t="s">
        <v>5015</v>
      </c>
      <c r="E1730" t="s">
        <v>5018</v>
      </c>
      <c r="F1730" t="s">
        <v>5022</v>
      </c>
      <c r="G1730">
        <v>19.13</v>
      </c>
      <c r="H1730">
        <v>5</v>
      </c>
      <c r="I1730">
        <v>1.7</v>
      </c>
      <c r="J1730">
        <v>18.75</v>
      </c>
      <c r="K1730">
        <v>53</v>
      </c>
      <c r="L1730" t="s">
        <v>5027</v>
      </c>
      <c r="M1730">
        <v>3</v>
      </c>
      <c r="N1730">
        <v>3</v>
      </c>
      <c r="O1730">
        <v>0</v>
      </c>
    </row>
    <row r="1731" spans="1:15" x14ac:dyDescent="0.3">
      <c r="A1731" t="s">
        <v>1744</v>
      </c>
      <c r="B1731">
        <v>8</v>
      </c>
      <c r="C1731">
        <v>20</v>
      </c>
      <c r="D1731" t="s">
        <v>5016</v>
      </c>
      <c r="E1731" t="s">
        <v>5019</v>
      </c>
      <c r="F1731" t="s">
        <v>5020</v>
      </c>
      <c r="G1731">
        <v>12.44</v>
      </c>
      <c r="H1731">
        <v>2</v>
      </c>
      <c r="I1731">
        <v>6.3</v>
      </c>
      <c r="J1731">
        <v>18.170000000000002</v>
      </c>
      <c r="K1731">
        <v>71.099999999999994</v>
      </c>
      <c r="L1731" t="s">
        <v>5026</v>
      </c>
      <c r="M1731">
        <v>6</v>
      </c>
      <c r="N1731">
        <v>4</v>
      </c>
      <c r="O1731">
        <v>0</v>
      </c>
    </row>
    <row r="1732" spans="1:15" x14ac:dyDescent="0.3">
      <c r="A1732" t="s">
        <v>1745</v>
      </c>
      <c r="B1732">
        <v>2</v>
      </c>
      <c r="C1732">
        <v>65</v>
      </c>
      <c r="D1732" t="s">
        <v>5016</v>
      </c>
      <c r="E1732" t="s">
        <v>5019</v>
      </c>
      <c r="F1732" t="s">
        <v>5021</v>
      </c>
      <c r="G1732">
        <v>21.43</v>
      </c>
      <c r="H1732">
        <v>4</v>
      </c>
      <c r="I1732">
        <v>3.6</v>
      </c>
      <c r="J1732">
        <v>9.09</v>
      </c>
      <c r="K1732">
        <v>65.3</v>
      </c>
      <c r="L1732" t="s">
        <v>5027</v>
      </c>
      <c r="M1732">
        <v>4</v>
      </c>
      <c r="N1732">
        <v>0</v>
      </c>
      <c r="O1732">
        <v>0</v>
      </c>
    </row>
    <row r="1733" spans="1:15" x14ac:dyDescent="0.3">
      <c r="A1733" t="s">
        <v>1746</v>
      </c>
      <c r="B1733">
        <v>8</v>
      </c>
      <c r="C1733">
        <v>26</v>
      </c>
      <c r="D1733" t="s">
        <v>5016</v>
      </c>
      <c r="E1733" t="s">
        <v>5018</v>
      </c>
      <c r="F1733" t="s">
        <v>5023</v>
      </c>
      <c r="G1733">
        <v>12.28</v>
      </c>
      <c r="H1733">
        <v>1</v>
      </c>
      <c r="I1733">
        <v>6.7</v>
      </c>
      <c r="J1733">
        <v>15.61</v>
      </c>
      <c r="K1733">
        <v>46.6</v>
      </c>
      <c r="L1733" t="s">
        <v>5026</v>
      </c>
      <c r="M1733">
        <v>6</v>
      </c>
      <c r="N1733">
        <v>1</v>
      </c>
      <c r="O1733">
        <v>0</v>
      </c>
    </row>
    <row r="1734" spans="1:15" x14ac:dyDescent="0.3">
      <c r="A1734" t="s">
        <v>1747</v>
      </c>
      <c r="B1734">
        <v>11</v>
      </c>
      <c r="C1734">
        <v>31</v>
      </c>
      <c r="D1734" t="s">
        <v>5016</v>
      </c>
      <c r="E1734" t="s">
        <v>5019</v>
      </c>
      <c r="F1734" t="s">
        <v>5021</v>
      </c>
      <c r="G1734">
        <v>12.47</v>
      </c>
      <c r="H1734">
        <v>5</v>
      </c>
      <c r="I1734">
        <v>1.5</v>
      </c>
      <c r="J1734">
        <v>19.75</v>
      </c>
      <c r="K1734">
        <v>83.9</v>
      </c>
      <c r="L1734" t="s">
        <v>5029</v>
      </c>
      <c r="M1734">
        <v>4</v>
      </c>
      <c r="N1734">
        <v>1</v>
      </c>
      <c r="O1734">
        <v>1</v>
      </c>
    </row>
    <row r="1735" spans="1:15" x14ac:dyDescent="0.3">
      <c r="A1735" t="s">
        <v>1748</v>
      </c>
      <c r="B1735">
        <v>1</v>
      </c>
      <c r="C1735">
        <v>30</v>
      </c>
      <c r="D1735" t="s">
        <v>5016</v>
      </c>
      <c r="E1735" t="s">
        <v>5018</v>
      </c>
      <c r="F1735" t="s">
        <v>5023</v>
      </c>
      <c r="G1735">
        <v>20.58</v>
      </c>
      <c r="H1735">
        <v>3</v>
      </c>
      <c r="I1735">
        <v>4.4000000000000004</v>
      </c>
      <c r="J1735">
        <v>17.03</v>
      </c>
      <c r="K1735">
        <v>27.3</v>
      </c>
      <c r="L1735" t="s">
        <v>5026</v>
      </c>
      <c r="M1735">
        <v>2</v>
      </c>
      <c r="N1735">
        <v>3</v>
      </c>
      <c r="O1735">
        <v>0</v>
      </c>
    </row>
    <row r="1736" spans="1:15" x14ac:dyDescent="0.3">
      <c r="A1736" t="s">
        <v>1749</v>
      </c>
      <c r="B1736">
        <v>6</v>
      </c>
      <c r="C1736">
        <v>24</v>
      </c>
      <c r="D1736" t="s">
        <v>5015</v>
      </c>
      <c r="E1736" t="s">
        <v>5017</v>
      </c>
      <c r="F1736" t="s">
        <v>5022</v>
      </c>
      <c r="G1736">
        <v>14.79</v>
      </c>
      <c r="H1736">
        <v>3</v>
      </c>
      <c r="I1736">
        <v>3.3</v>
      </c>
      <c r="J1736">
        <v>20.69</v>
      </c>
      <c r="K1736">
        <v>25</v>
      </c>
      <c r="L1736" t="s">
        <v>5029</v>
      </c>
      <c r="M1736">
        <v>10</v>
      </c>
      <c r="N1736">
        <v>0</v>
      </c>
      <c r="O1736">
        <v>0</v>
      </c>
    </row>
    <row r="1737" spans="1:15" x14ac:dyDescent="0.3">
      <c r="A1737" t="s">
        <v>1750</v>
      </c>
      <c r="B1737">
        <v>8</v>
      </c>
      <c r="C1737">
        <v>32</v>
      </c>
      <c r="D1737" t="s">
        <v>5016</v>
      </c>
      <c r="E1737" t="s">
        <v>5018</v>
      </c>
      <c r="F1737" t="s">
        <v>5021</v>
      </c>
      <c r="G1737">
        <v>22.7</v>
      </c>
      <c r="H1737">
        <v>3</v>
      </c>
      <c r="I1737">
        <v>4.3</v>
      </c>
      <c r="J1737">
        <v>18.13</v>
      </c>
      <c r="K1737">
        <v>76.3</v>
      </c>
      <c r="L1737" t="s">
        <v>5028</v>
      </c>
      <c r="M1737">
        <v>11</v>
      </c>
      <c r="N1737">
        <v>0</v>
      </c>
      <c r="O1737">
        <v>0</v>
      </c>
    </row>
    <row r="1738" spans="1:15" x14ac:dyDescent="0.3">
      <c r="A1738" t="s">
        <v>1751</v>
      </c>
      <c r="B1738">
        <v>3</v>
      </c>
      <c r="C1738">
        <v>24</v>
      </c>
      <c r="D1738" t="s">
        <v>5015</v>
      </c>
      <c r="E1738" t="s">
        <v>5018</v>
      </c>
      <c r="F1738" t="s">
        <v>5021</v>
      </c>
      <c r="G1738">
        <v>16.8</v>
      </c>
      <c r="H1738">
        <v>1</v>
      </c>
      <c r="I1738">
        <v>1.5</v>
      </c>
      <c r="J1738">
        <v>9.0399999999999991</v>
      </c>
      <c r="K1738">
        <v>67.400000000000006</v>
      </c>
      <c r="L1738" t="s">
        <v>5028</v>
      </c>
      <c r="M1738">
        <v>11</v>
      </c>
      <c r="N1738">
        <v>4</v>
      </c>
      <c r="O1738">
        <v>0</v>
      </c>
    </row>
    <row r="1739" spans="1:15" x14ac:dyDescent="0.3">
      <c r="A1739" t="s">
        <v>1752</v>
      </c>
      <c r="B1739">
        <v>8</v>
      </c>
      <c r="C1739">
        <v>55</v>
      </c>
      <c r="D1739" t="s">
        <v>5015</v>
      </c>
      <c r="E1739" t="s">
        <v>5019</v>
      </c>
      <c r="F1739" t="s">
        <v>5022</v>
      </c>
      <c r="G1739">
        <v>9.81</v>
      </c>
      <c r="H1739">
        <v>3</v>
      </c>
      <c r="I1739">
        <v>7.5</v>
      </c>
      <c r="J1739">
        <v>6.37</v>
      </c>
      <c r="K1739">
        <v>38.6</v>
      </c>
      <c r="L1739" t="s">
        <v>5027</v>
      </c>
      <c r="M1739">
        <v>3</v>
      </c>
      <c r="N1739">
        <v>0</v>
      </c>
      <c r="O1739">
        <v>0</v>
      </c>
    </row>
    <row r="1740" spans="1:15" x14ac:dyDescent="0.3">
      <c r="A1740" t="s">
        <v>1753</v>
      </c>
      <c r="B1740">
        <v>12</v>
      </c>
      <c r="C1740">
        <v>51</v>
      </c>
      <c r="D1740" t="s">
        <v>5016</v>
      </c>
      <c r="E1740" t="s">
        <v>5017</v>
      </c>
      <c r="F1740" t="s">
        <v>5021</v>
      </c>
      <c r="G1740">
        <v>16.37</v>
      </c>
      <c r="H1740">
        <v>3</v>
      </c>
      <c r="I1740">
        <v>2.1</v>
      </c>
      <c r="J1740">
        <v>16.899999999999999</v>
      </c>
      <c r="K1740">
        <v>67.2</v>
      </c>
      <c r="L1740" t="s">
        <v>5026</v>
      </c>
      <c r="M1740">
        <v>11</v>
      </c>
      <c r="N1740">
        <v>3</v>
      </c>
      <c r="O1740">
        <v>0</v>
      </c>
    </row>
    <row r="1741" spans="1:15" x14ac:dyDescent="0.3">
      <c r="A1741" t="s">
        <v>1754</v>
      </c>
      <c r="B1741">
        <v>1</v>
      </c>
      <c r="C1741">
        <v>58</v>
      </c>
      <c r="D1741" t="s">
        <v>5015</v>
      </c>
      <c r="E1741" t="s">
        <v>5018</v>
      </c>
      <c r="F1741" t="s">
        <v>5023</v>
      </c>
      <c r="G1741">
        <v>5.08</v>
      </c>
      <c r="H1741">
        <v>5</v>
      </c>
      <c r="I1741">
        <v>1.1000000000000001</v>
      </c>
      <c r="J1741">
        <v>19.71</v>
      </c>
      <c r="K1741">
        <v>79.400000000000006</v>
      </c>
      <c r="L1741" t="s">
        <v>5028</v>
      </c>
      <c r="M1741">
        <v>8</v>
      </c>
      <c r="N1741">
        <v>0</v>
      </c>
      <c r="O1741">
        <v>0</v>
      </c>
    </row>
    <row r="1742" spans="1:15" x14ac:dyDescent="0.3">
      <c r="A1742" t="s">
        <v>1755</v>
      </c>
      <c r="B1742">
        <v>11</v>
      </c>
      <c r="C1742">
        <v>39</v>
      </c>
      <c r="D1742" t="s">
        <v>5015</v>
      </c>
      <c r="E1742" t="s">
        <v>5018</v>
      </c>
      <c r="F1742" t="s">
        <v>5021</v>
      </c>
      <c r="G1742">
        <v>11.25</v>
      </c>
      <c r="H1742">
        <v>1</v>
      </c>
      <c r="I1742">
        <v>9.5</v>
      </c>
      <c r="J1742">
        <v>6.13</v>
      </c>
      <c r="K1742">
        <v>29.5</v>
      </c>
      <c r="L1742" t="s">
        <v>5025</v>
      </c>
      <c r="M1742">
        <v>1</v>
      </c>
      <c r="N1742">
        <v>0</v>
      </c>
      <c r="O1742">
        <v>0</v>
      </c>
    </row>
    <row r="1743" spans="1:15" x14ac:dyDescent="0.3">
      <c r="A1743" t="s">
        <v>1756</v>
      </c>
      <c r="B1743">
        <v>11</v>
      </c>
      <c r="C1743">
        <v>41</v>
      </c>
      <c r="D1743" t="s">
        <v>5016</v>
      </c>
      <c r="E1743" t="s">
        <v>5019</v>
      </c>
      <c r="F1743" t="s">
        <v>5023</v>
      </c>
      <c r="G1743">
        <v>9.16</v>
      </c>
      <c r="H1743">
        <v>4</v>
      </c>
      <c r="I1743">
        <v>2.7</v>
      </c>
      <c r="J1743">
        <v>6.85</v>
      </c>
      <c r="K1743">
        <v>62.3</v>
      </c>
      <c r="L1743" t="s">
        <v>5025</v>
      </c>
      <c r="M1743">
        <v>11</v>
      </c>
      <c r="N1743">
        <v>1</v>
      </c>
      <c r="O1743">
        <v>0</v>
      </c>
    </row>
    <row r="1744" spans="1:15" x14ac:dyDescent="0.3">
      <c r="A1744" t="s">
        <v>1757</v>
      </c>
      <c r="B1744">
        <v>9</v>
      </c>
      <c r="C1744">
        <v>66</v>
      </c>
      <c r="D1744" t="s">
        <v>5015</v>
      </c>
      <c r="E1744" t="s">
        <v>5018</v>
      </c>
      <c r="F1744" t="s">
        <v>5020</v>
      </c>
      <c r="G1744">
        <v>18.079999999999998</v>
      </c>
      <c r="H1744">
        <v>4</v>
      </c>
      <c r="I1744">
        <v>8.5</v>
      </c>
      <c r="J1744">
        <v>3.27</v>
      </c>
      <c r="K1744">
        <v>84.2</v>
      </c>
      <c r="L1744" t="s">
        <v>5027</v>
      </c>
      <c r="M1744">
        <v>10</v>
      </c>
      <c r="N1744">
        <v>3</v>
      </c>
      <c r="O1744">
        <v>1</v>
      </c>
    </row>
    <row r="1745" spans="1:15" x14ac:dyDescent="0.3">
      <c r="A1745" t="s">
        <v>1758</v>
      </c>
      <c r="B1745">
        <v>11</v>
      </c>
      <c r="C1745">
        <v>54</v>
      </c>
      <c r="D1745" t="s">
        <v>5016</v>
      </c>
      <c r="E1745" t="s">
        <v>5019</v>
      </c>
      <c r="F1745" t="s">
        <v>5021</v>
      </c>
      <c r="G1745">
        <v>7.72</v>
      </c>
      <c r="H1745">
        <v>3</v>
      </c>
      <c r="I1745">
        <v>9.6999999999999993</v>
      </c>
      <c r="J1745">
        <v>14.7</v>
      </c>
      <c r="K1745">
        <v>47</v>
      </c>
      <c r="L1745" t="s">
        <v>5028</v>
      </c>
      <c r="M1745">
        <v>6</v>
      </c>
      <c r="N1745">
        <v>2</v>
      </c>
      <c r="O1745">
        <v>1</v>
      </c>
    </row>
    <row r="1746" spans="1:15" x14ac:dyDescent="0.3">
      <c r="A1746" t="s">
        <v>1759</v>
      </c>
      <c r="B1746">
        <v>9</v>
      </c>
      <c r="C1746">
        <v>61</v>
      </c>
      <c r="D1746" t="s">
        <v>5016</v>
      </c>
      <c r="E1746" t="s">
        <v>5019</v>
      </c>
      <c r="F1746" t="s">
        <v>5023</v>
      </c>
      <c r="G1746">
        <v>10.8</v>
      </c>
      <c r="H1746">
        <v>2</v>
      </c>
      <c r="I1746">
        <v>5.8</v>
      </c>
      <c r="J1746">
        <v>14.93</v>
      </c>
      <c r="K1746">
        <v>61.5</v>
      </c>
      <c r="L1746" t="s">
        <v>5029</v>
      </c>
      <c r="M1746">
        <v>9</v>
      </c>
      <c r="N1746">
        <v>3</v>
      </c>
      <c r="O1746">
        <v>0</v>
      </c>
    </row>
    <row r="1747" spans="1:15" x14ac:dyDescent="0.3">
      <c r="A1747" t="s">
        <v>1760</v>
      </c>
      <c r="B1747">
        <v>5</v>
      </c>
      <c r="C1747">
        <v>18</v>
      </c>
      <c r="D1747" t="s">
        <v>5016</v>
      </c>
      <c r="E1747" t="s">
        <v>5017</v>
      </c>
      <c r="F1747" t="s">
        <v>5022</v>
      </c>
      <c r="G1747">
        <v>11.63</v>
      </c>
      <c r="H1747">
        <v>1</v>
      </c>
      <c r="I1747">
        <v>5.7</v>
      </c>
      <c r="J1747">
        <v>14</v>
      </c>
      <c r="K1747">
        <v>17.100000000000001</v>
      </c>
      <c r="L1747" t="s">
        <v>5025</v>
      </c>
      <c r="M1747">
        <v>1</v>
      </c>
      <c r="N1747">
        <v>3</v>
      </c>
      <c r="O1747">
        <v>0</v>
      </c>
    </row>
    <row r="1748" spans="1:15" x14ac:dyDescent="0.3">
      <c r="A1748" t="s">
        <v>1761</v>
      </c>
      <c r="B1748">
        <v>10</v>
      </c>
      <c r="C1748">
        <v>27</v>
      </c>
      <c r="D1748" t="s">
        <v>5015</v>
      </c>
      <c r="E1748" t="s">
        <v>5018</v>
      </c>
      <c r="F1748" t="s">
        <v>5020</v>
      </c>
      <c r="G1748">
        <v>5.07</v>
      </c>
      <c r="H1748">
        <v>2</v>
      </c>
      <c r="I1748">
        <v>4.3</v>
      </c>
      <c r="J1748">
        <v>9.9499999999999993</v>
      </c>
      <c r="K1748">
        <v>84.7</v>
      </c>
      <c r="L1748" t="s">
        <v>5028</v>
      </c>
      <c r="M1748">
        <v>4</v>
      </c>
      <c r="N1748">
        <v>2</v>
      </c>
      <c r="O1748">
        <v>0</v>
      </c>
    </row>
    <row r="1749" spans="1:15" x14ac:dyDescent="0.3">
      <c r="A1749" t="s">
        <v>1762</v>
      </c>
      <c r="B1749">
        <v>4</v>
      </c>
      <c r="C1749">
        <v>60</v>
      </c>
      <c r="D1749" t="s">
        <v>5015</v>
      </c>
      <c r="E1749" t="s">
        <v>5019</v>
      </c>
      <c r="F1749" t="s">
        <v>5021</v>
      </c>
      <c r="G1749">
        <v>5.94</v>
      </c>
      <c r="H1749">
        <v>1</v>
      </c>
      <c r="I1749">
        <v>4.8</v>
      </c>
      <c r="J1749">
        <v>12.41</v>
      </c>
      <c r="K1749">
        <v>81.7</v>
      </c>
      <c r="L1749" t="s">
        <v>5029</v>
      </c>
      <c r="M1749">
        <v>7</v>
      </c>
      <c r="N1749">
        <v>2</v>
      </c>
      <c r="O1749">
        <v>1</v>
      </c>
    </row>
    <row r="1750" spans="1:15" x14ac:dyDescent="0.3">
      <c r="A1750" t="s">
        <v>1763</v>
      </c>
      <c r="B1750">
        <v>11</v>
      </c>
      <c r="C1750">
        <v>33</v>
      </c>
      <c r="D1750" t="s">
        <v>5015</v>
      </c>
      <c r="E1750" t="s">
        <v>5018</v>
      </c>
      <c r="F1750" t="s">
        <v>5023</v>
      </c>
      <c r="G1750">
        <v>11.22</v>
      </c>
      <c r="H1750">
        <v>1</v>
      </c>
      <c r="I1750">
        <v>5.3</v>
      </c>
      <c r="J1750">
        <v>19.86</v>
      </c>
      <c r="K1750">
        <v>51.1</v>
      </c>
      <c r="L1750" t="s">
        <v>5026</v>
      </c>
      <c r="M1750">
        <v>6</v>
      </c>
      <c r="N1750">
        <v>1</v>
      </c>
      <c r="O1750">
        <v>1</v>
      </c>
    </row>
    <row r="1751" spans="1:15" x14ac:dyDescent="0.3">
      <c r="A1751" t="s">
        <v>1764</v>
      </c>
      <c r="B1751">
        <v>6</v>
      </c>
      <c r="C1751">
        <v>63</v>
      </c>
      <c r="D1751" t="s">
        <v>5015</v>
      </c>
      <c r="E1751" t="s">
        <v>5019</v>
      </c>
      <c r="F1751" t="s">
        <v>5021</v>
      </c>
      <c r="G1751">
        <v>9.4499999999999993</v>
      </c>
      <c r="H1751">
        <v>5</v>
      </c>
      <c r="I1751">
        <v>2.4</v>
      </c>
      <c r="J1751">
        <v>7</v>
      </c>
      <c r="K1751">
        <v>20.7</v>
      </c>
      <c r="L1751" t="s">
        <v>5028</v>
      </c>
      <c r="M1751">
        <v>6</v>
      </c>
      <c r="N1751">
        <v>4</v>
      </c>
      <c r="O1751">
        <v>0</v>
      </c>
    </row>
    <row r="1752" spans="1:15" x14ac:dyDescent="0.3">
      <c r="A1752" t="s">
        <v>1765</v>
      </c>
      <c r="B1752">
        <v>12</v>
      </c>
      <c r="C1752">
        <v>25</v>
      </c>
      <c r="D1752" t="s">
        <v>5016</v>
      </c>
      <c r="E1752" t="s">
        <v>5017</v>
      </c>
      <c r="F1752" t="s">
        <v>5023</v>
      </c>
      <c r="G1752">
        <v>7.34</v>
      </c>
      <c r="H1752">
        <v>3</v>
      </c>
      <c r="I1752">
        <v>4.3</v>
      </c>
      <c r="J1752">
        <v>7.43</v>
      </c>
      <c r="K1752">
        <v>69.400000000000006</v>
      </c>
      <c r="L1752" t="s">
        <v>5026</v>
      </c>
      <c r="M1752">
        <v>9</v>
      </c>
      <c r="N1752">
        <v>3</v>
      </c>
      <c r="O1752">
        <v>0</v>
      </c>
    </row>
    <row r="1753" spans="1:15" x14ac:dyDescent="0.3">
      <c r="A1753" t="s">
        <v>1766</v>
      </c>
      <c r="B1753">
        <v>7</v>
      </c>
      <c r="C1753">
        <v>66</v>
      </c>
      <c r="D1753" t="s">
        <v>5015</v>
      </c>
      <c r="E1753" t="s">
        <v>5017</v>
      </c>
      <c r="F1753" t="s">
        <v>5021</v>
      </c>
      <c r="G1753">
        <v>8.08</v>
      </c>
      <c r="H1753">
        <v>5</v>
      </c>
      <c r="I1753">
        <v>8.3000000000000007</v>
      </c>
      <c r="J1753">
        <v>17.670000000000002</v>
      </c>
      <c r="K1753">
        <v>61.6</v>
      </c>
      <c r="L1753" t="s">
        <v>5025</v>
      </c>
      <c r="M1753">
        <v>8</v>
      </c>
      <c r="N1753">
        <v>3</v>
      </c>
      <c r="O1753">
        <v>0</v>
      </c>
    </row>
    <row r="1754" spans="1:15" x14ac:dyDescent="0.3">
      <c r="A1754" t="s">
        <v>1767</v>
      </c>
      <c r="B1754">
        <v>5</v>
      </c>
      <c r="C1754">
        <v>42</v>
      </c>
      <c r="D1754" t="s">
        <v>5016</v>
      </c>
      <c r="E1754" t="s">
        <v>5019</v>
      </c>
      <c r="F1754" t="s">
        <v>5020</v>
      </c>
      <c r="G1754">
        <v>21.71</v>
      </c>
      <c r="H1754">
        <v>2</v>
      </c>
      <c r="I1754">
        <v>2.6</v>
      </c>
      <c r="J1754">
        <v>22.07</v>
      </c>
      <c r="K1754">
        <v>92.8</v>
      </c>
      <c r="L1754" t="s">
        <v>5026</v>
      </c>
      <c r="M1754">
        <v>5</v>
      </c>
      <c r="N1754">
        <v>3</v>
      </c>
      <c r="O1754">
        <v>0</v>
      </c>
    </row>
    <row r="1755" spans="1:15" x14ac:dyDescent="0.3">
      <c r="A1755" t="s">
        <v>1768</v>
      </c>
      <c r="B1755">
        <v>11</v>
      </c>
      <c r="C1755">
        <v>67</v>
      </c>
      <c r="D1755" t="s">
        <v>5015</v>
      </c>
      <c r="E1755" t="s">
        <v>5019</v>
      </c>
      <c r="F1755" t="s">
        <v>5020</v>
      </c>
      <c r="G1755">
        <v>18.670000000000002</v>
      </c>
      <c r="H1755">
        <v>2</v>
      </c>
      <c r="I1755">
        <v>7.6</v>
      </c>
      <c r="J1755">
        <v>10.49</v>
      </c>
      <c r="K1755">
        <v>35.200000000000003</v>
      </c>
      <c r="L1755" t="s">
        <v>5025</v>
      </c>
      <c r="M1755">
        <v>11</v>
      </c>
      <c r="N1755">
        <v>3</v>
      </c>
      <c r="O1755">
        <v>0</v>
      </c>
    </row>
    <row r="1756" spans="1:15" x14ac:dyDescent="0.3">
      <c r="A1756" t="s">
        <v>1769</v>
      </c>
      <c r="B1756">
        <v>10</v>
      </c>
      <c r="C1756">
        <v>29</v>
      </c>
      <c r="D1756" t="s">
        <v>5015</v>
      </c>
      <c r="E1756" t="s">
        <v>5019</v>
      </c>
      <c r="F1756" t="s">
        <v>5021</v>
      </c>
      <c r="G1756">
        <v>14.68</v>
      </c>
      <c r="H1756">
        <v>4</v>
      </c>
      <c r="I1756">
        <v>6.9</v>
      </c>
      <c r="J1756">
        <v>23.52</v>
      </c>
      <c r="K1756">
        <v>12.9</v>
      </c>
      <c r="L1756" t="s">
        <v>5027</v>
      </c>
      <c r="M1756">
        <v>11</v>
      </c>
      <c r="N1756">
        <v>1</v>
      </c>
      <c r="O1756">
        <v>0</v>
      </c>
    </row>
    <row r="1757" spans="1:15" x14ac:dyDescent="0.3">
      <c r="A1757" t="s">
        <v>1770</v>
      </c>
      <c r="B1757">
        <v>9</v>
      </c>
      <c r="C1757">
        <v>42</v>
      </c>
      <c r="D1757" t="s">
        <v>5015</v>
      </c>
      <c r="E1757" t="s">
        <v>5018</v>
      </c>
      <c r="F1757" t="s">
        <v>5021</v>
      </c>
      <c r="G1757">
        <v>23.18</v>
      </c>
      <c r="H1757">
        <v>5</v>
      </c>
      <c r="I1757">
        <v>1.5</v>
      </c>
      <c r="J1757">
        <v>4.2699999999999996</v>
      </c>
      <c r="K1757">
        <v>32.9</v>
      </c>
      <c r="L1757" t="s">
        <v>5027</v>
      </c>
      <c r="M1757">
        <v>2</v>
      </c>
      <c r="N1757">
        <v>3</v>
      </c>
      <c r="O1757">
        <v>0</v>
      </c>
    </row>
    <row r="1758" spans="1:15" x14ac:dyDescent="0.3">
      <c r="A1758" t="s">
        <v>1771</v>
      </c>
      <c r="B1758">
        <v>3</v>
      </c>
      <c r="C1758">
        <v>34</v>
      </c>
      <c r="D1758" t="s">
        <v>5015</v>
      </c>
      <c r="E1758" t="s">
        <v>5019</v>
      </c>
      <c r="F1758" t="s">
        <v>5024</v>
      </c>
      <c r="G1758">
        <v>5.59</v>
      </c>
      <c r="H1758">
        <v>5</v>
      </c>
      <c r="I1758">
        <v>1.2</v>
      </c>
      <c r="J1758">
        <v>5.61</v>
      </c>
      <c r="K1758">
        <v>48.5</v>
      </c>
      <c r="L1758" t="s">
        <v>5025</v>
      </c>
      <c r="M1758">
        <v>3</v>
      </c>
      <c r="N1758">
        <v>2</v>
      </c>
      <c r="O1758">
        <v>0</v>
      </c>
    </row>
    <row r="1759" spans="1:15" x14ac:dyDescent="0.3">
      <c r="A1759" t="s">
        <v>1772</v>
      </c>
      <c r="B1759">
        <v>7</v>
      </c>
      <c r="C1759">
        <v>43</v>
      </c>
      <c r="D1759" t="s">
        <v>5015</v>
      </c>
      <c r="E1759" t="s">
        <v>5019</v>
      </c>
      <c r="F1759" t="s">
        <v>5021</v>
      </c>
      <c r="G1759">
        <v>11.9</v>
      </c>
      <c r="H1759">
        <v>5</v>
      </c>
      <c r="I1759">
        <v>4.2</v>
      </c>
      <c r="J1759">
        <v>13.12</v>
      </c>
      <c r="K1759">
        <v>24</v>
      </c>
      <c r="L1759" t="s">
        <v>5029</v>
      </c>
      <c r="M1759">
        <v>10</v>
      </c>
      <c r="N1759">
        <v>2</v>
      </c>
      <c r="O1759">
        <v>0</v>
      </c>
    </row>
    <row r="1760" spans="1:15" x14ac:dyDescent="0.3">
      <c r="A1760" t="s">
        <v>1773</v>
      </c>
      <c r="B1760">
        <v>10</v>
      </c>
      <c r="C1760">
        <v>63</v>
      </c>
      <c r="D1760" t="s">
        <v>5016</v>
      </c>
      <c r="E1760" t="s">
        <v>5019</v>
      </c>
      <c r="F1760" t="s">
        <v>5021</v>
      </c>
      <c r="G1760">
        <v>21.47</v>
      </c>
      <c r="H1760">
        <v>4</v>
      </c>
      <c r="I1760">
        <v>7.2</v>
      </c>
      <c r="J1760">
        <v>18.920000000000002</v>
      </c>
      <c r="K1760">
        <v>98.2</v>
      </c>
      <c r="L1760" t="s">
        <v>5027</v>
      </c>
      <c r="M1760">
        <v>3</v>
      </c>
      <c r="N1760">
        <v>0</v>
      </c>
      <c r="O1760">
        <v>0</v>
      </c>
    </row>
    <row r="1761" spans="1:15" x14ac:dyDescent="0.3">
      <c r="A1761" t="s">
        <v>1774</v>
      </c>
      <c r="B1761">
        <v>10</v>
      </c>
      <c r="C1761">
        <v>65</v>
      </c>
      <c r="D1761" t="s">
        <v>5015</v>
      </c>
      <c r="E1761" t="s">
        <v>5018</v>
      </c>
      <c r="F1761" t="s">
        <v>5020</v>
      </c>
      <c r="G1761">
        <v>17.57</v>
      </c>
      <c r="H1761">
        <v>5</v>
      </c>
      <c r="I1761">
        <v>4</v>
      </c>
      <c r="J1761">
        <v>11.16</v>
      </c>
      <c r="K1761">
        <v>30</v>
      </c>
      <c r="L1761" t="s">
        <v>5029</v>
      </c>
      <c r="M1761">
        <v>4</v>
      </c>
      <c r="N1761">
        <v>1</v>
      </c>
      <c r="O1761">
        <v>1</v>
      </c>
    </row>
    <row r="1762" spans="1:15" x14ac:dyDescent="0.3">
      <c r="A1762" t="s">
        <v>1775</v>
      </c>
      <c r="B1762">
        <v>11</v>
      </c>
      <c r="C1762">
        <v>31</v>
      </c>
      <c r="D1762" t="s">
        <v>5015</v>
      </c>
      <c r="E1762" t="s">
        <v>5018</v>
      </c>
      <c r="F1762" t="s">
        <v>5021</v>
      </c>
      <c r="G1762">
        <v>24.63</v>
      </c>
      <c r="H1762">
        <v>5</v>
      </c>
      <c r="I1762">
        <v>7</v>
      </c>
      <c r="J1762">
        <v>15.2</v>
      </c>
      <c r="K1762">
        <v>71</v>
      </c>
      <c r="L1762" t="s">
        <v>5029</v>
      </c>
      <c r="M1762">
        <v>2</v>
      </c>
      <c r="N1762">
        <v>0</v>
      </c>
      <c r="O1762">
        <v>0</v>
      </c>
    </row>
    <row r="1763" spans="1:15" x14ac:dyDescent="0.3">
      <c r="A1763" t="s">
        <v>1776</v>
      </c>
      <c r="B1763">
        <v>5</v>
      </c>
      <c r="C1763">
        <v>58</v>
      </c>
      <c r="D1763" t="s">
        <v>5015</v>
      </c>
      <c r="E1763" t="s">
        <v>5019</v>
      </c>
      <c r="F1763" t="s">
        <v>5022</v>
      </c>
      <c r="G1763">
        <v>23.89</v>
      </c>
      <c r="H1763">
        <v>5</v>
      </c>
      <c r="I1763">
        <v>7</v>
      </c>
      <c r="J1763">
        <v>3.63</v>
      </c>
      <c r="K1763">
        <v>50.9</v>
      </c>
      <c r="L1763" t="s">
        <v>5029</v>
      </c>
      <c r="M1763">
        <v>8</v>
      </c>
      <c r="N1763">
        <v>3</v>
      </c>
      <c r="O1763">
        <v>0</v>
      </c>
    </row>
    <row r="1764" spans="1:15" x14ac:dyDescent="0.3">
      <c r="A1764" t="s">
        <v>1777</v>
      </c>
      <c r="B1764">
        <v>7</v>
      </c>
      <c r="C1764">
        <v>53</v>
      </c>
      <c r="D1764" t="s">
        <v>5015</v>
      </c>
      <c r="E1764" t="s">
        <v>5018</v>
      </c>
      <c r="F1764" t="s">
        <v>5021</v>
      </c>
      <c r="G1764">
        <v>8.4</v>
      </c>
      <c r="H1764">
        <v>5</v>
      </c>
      <c r="I1764">
        <v>8.3000000000000007</v>
      </c>
      <c r="J1764">
        <v>13.16</v>
      </c>
      <c r="K1764">
        <v>60</v>
      </c>
      <c r="L1764" t="s">
        <v>5028</v>
      </c>
      <c r="M1764">
        <v>8</v>
      </c>
      <c r="N1764">
        <v>1</v>
      </c>
      <c r="O1764">
        <v>0</v>
      </c>
    </row>
    <row r="1765" spans="1:15" x14ac:dyDescent="0.3">
      <c r="A1765" t="s">
        <v>1778</v>
      </c>
      <c r="B1765">
        <v>2</v>
      </c>
      <c r="C1765">
        <v>40</v>
      </c>
      <c r="D1765" t="s">
        <v>5016</v>
      </c>
      <c r="E1765" t="s">
        <v>5018</v>
      </c>
      <c r="F1765" t="s">
        <v>5024</v>
      </c>
      <c r="G1765">
        <v>24.44</v>
      </c>
      <c r="H1765">
        <v>2</v>
      </c>
      <c r="I1765">
        <v>1.9</v>
      </c>
      <c r="J1765">
        <v>8.34</v>
      </c>
      <c r="K1765">
        <v>93.9</v>
      </c>
      <c r="L1765" t="s">
        <v>5028</v>
      </c>
      <c r="M1765">
        <v>8</v>
      </c>
      <c r="N1765">
        <v>1</v>
      </c>
      <c r="O1765">
        <v>0</v>
      </c>
    </row>
    <row r="1766" spans="1:15" x14ac:dyDescent="0.3">
      <c r="A1766" t="s">
        <v>1779</v>
      </c>
      <c r="B1766">
        <v>4</v>
      </c>
      <c r="C1766">
        <v>60</v>
      </c>
      <c r="D1766" t="s">
        <v>5015</v>
      </c>
      <c r="E1766" t="s">
        <v>5018</v>
      </c>
      <c r="F1766" t="s">
        <v>5023</v>
      </c>
      <c r="G1766">
        <v>23.91</v>
      </c>
      <c r="H1766">
        <v>3</v>
      </c>
      <c r="I1766">
        <v>6.2</v>
      </c>
      <c r="J1766">
        <v>14.36</v>
      </c>
      <c r="K1766">
        <v>57.8</v>
      </c>
      <c r="L1766" t="s">
        <v>5029</v>
      </c>
      <c r="M1766">
        <v>10</v>
      </c>
      <c r="N1766">
        <v>4</v>
      </c>
      <c r="O1766">
        <v>1</v>
      </c>
    </row>
    <row r="1767" spans="1:15" x14ac:dyDescent="0.3">
      <c r="A1767" t="s">
        <v>1780</v>
      </c>
      <c r="B1767">
        <v>2</v>
      </c>
      <c r="C1767">
        <v>23</v>
      </c>
      <c r="D1767" t="s">
        <v>5016</v>
      </c>
      <c r="E1767" t="s">
        <v>5018</v>
      </c>
      <c r="F1767" t="s">
        <v>5020</v>
      </c>
      <c r="G1767">
        <v>12.47</v>
      </c>
      <c r="H1767">
        <v>2</v>
      </c>
      <c r="I1767">
        <v>1.6</v>
      </c>
      <c r="J1767">
        <v>14.57</v>
      </c>
      <c r="K1767">
        <v>37.5</v>
      </c>
      <c r="L1767" t="s">
        <v>5025</v>
      </c>
      <c r="M1767">
        <v>5</v>
      </c>
      <c r="N1767">
        <v>4</v>
      </c>
      <c r="O1767">
        <v>0</v>
      </c>
    </row>
    <row r="1768" spans="1:15" x14ac:dyDescent="0.3">
      <c r="A1768" t="s">
        <v>1781</v>
      </c>
      <c r="B1768">
        <v>12</v>
      </c>
      <c r="C1768">
        <v>64</v>
      </c>
      <c r="D1768" t="s">
        <v>5015</v>
      </c>
      <c r="E1768" t="s">
        <v>5018</v>
      </c>
      <c r="F1768" t="s">
        <v>5022</v>
      </c>
      <c r="G1768">
        <v>24.66</v>
      </c>
      <c r="H1768">
        <v>5</v>
      </c>
      <c r="I1768">
        <v>2.6</v>
      </c>
      <c r="J1768">
        <v>19.57</v>
      </c>
      <c r="K1768">
        <v>29.9</v>
      </c>
      <c r="L1768" t="s">
        <v>5027</v>
      </c>
      <c r="M1768">
        <v>10</v>
      </c>
      <c r="N1768">
        <v>0</v>
      </c>
      <c r="O1768">
        <v>0</v>
      </c>
    </row>
    <row r="1769" spans="1:15" x14ac:dyDescent="0.3">
      <c r="A1769" t="s">
        <v>1782</v>
      </c>
      <c r="B1769">
        <v>7</v>
      </c>
      <c r="C1769">
        <v>22</v>
      </c>
      <c r="D1769" t="s">
        <v>5016</v>
      </c>
      <c r="E1769" t="s">
        <v>5017</v>
      </c>
      <c r="F1769" t="s">
        <v>5023</v>
      </c>
      <c r="G1769">
        <v>5.72</v>
      </c>
      <c r="H1769">
        <v>1</v>
      </c>
      <c r="I1769">
        <v>3.9</v>
      </c>
      <c r="J1769">
        <v>14.88</v>
      </c>
      <c r="K1769">
        <v>90.3</v>
      </c>
      <c r="L1769" t="s">
        <v>5026</v>
      </c>
      <c r="M1769">
        <v>6</v>
      </c>
      <c r="N1769">
        <v>0</v>
      </c>
      <c r="O1769">
        <v>0</v>
      </c>
    </row>
    <row r="1770" spans="1:15" x14ac:dyDescent="0.3">
      <c r="A1770" t="s">
        <v>1783</v>
      </c>
      <c r="B1770">
        <v>2</v>
      </c>
      <c r="C1770">
        <v>60</v>
      </c>
      <c r="D1770" t="s">
        <v>5016</v>
      </c>
      <c r="E1770" t="s">
        <v>5019</v>
      </c>
      <c r="F1770" t="s">
        <v>5022</v>
      </c>
      <c r="G1770">
        <v>18.22</v>
      </c>
      <c r="H1770">
        <v>1</v>
      </c>
      <c r="I1770">
        <v>7.4</v>
      </c>
      <c r="J1770">
        <v>16.510000000000002</v>
      </c>
      <c r="K1770">
        <v>98.8</v>
      </c>
      <c r="L1770" t="s">
        <v>5028</v>
      </c>
      <c r="M1770">
        <v>6</v>
      </c>
      <c r="N1770">
        <v>2</v>
      </c>
      <c r="O1770">
        <v>0</v>
      </c>
    </row>
    <row r="1771" spans="1:15" x14ac:dyDescent="0.3">
      <c r="A1771" t="s">
        <v>1784</v>
      </c>
      <c r="B1771">
        <v>11</v>
      </c>
      <c r="C1771">
        <v>42</v>
      </c>
      <c r="D1771" t="s">
        <v>5016</v>
      </c>
      <c r="E1771" t="s">
        <v>5018</v>
      </c>
      <c r="F1771" t="s">
        <v>5020</v>
      </c>
      <c r="G1771">
        <v>10.32</v>
      </c>
      <c r="H1771">
        <v>4</v>
      </c>
      <c r="I1771">
        <v>9.8000000000000007</v>
      </c>
      <c r="J1771">
        <v>14.65</v>
      </c>
      <c r="K1771">
        <v>32.700000000000003</v>
      </c>
      <c r="L1771" t="s">
        <v>5028</v>
      </c>
      <c r="M1771">
        <v>7</v>
      </c>
      <c r="N1771">
        <v>2</v>
      </c>
      <c r="O1771">
        <v>0</v>
      </c>
    </row>
    <row r="1772" spans="1:15" x14ac:dyDescent="0.3">
      <c r="A1772" t="s">
        <v>1785</v>
      </c>
      <c r="B1772">
        <v>1</v>
      </c>
      <c r="C1772">
        <v>35</v>
      </c>
      <c r="D1772" t="s">
        <v>5016</v>
      </c>
      <c r="E1772" t="s">
        <v>5018</v>
      </c>
      <c r="F1772" t="s">
        <v>5024</v>
      </c>
      <c r="G1772">
        <v>7.59</v>
      </c>
      <c r="H1772">
        <v>2</v>
      </c>
      <c r="I1772">
        <v>4.0999999999999996</v>
      </c>
      <c r="J1772">
        <v>24.79</v>
      </c>
      <c r="K1772">
        <v>75</v>
      </c>
      <c r="L1772" t="s">
        <v>5026</v>
      </c>
      <c r="M1772">
        <v>1</v>
      </c>
      <c r="N1772">
        <v>2</v>
      </c>
      <c r="O1772">
        <v>0</v>
      </c>
    </row>
    <row r="1773" spans="1:15" x14ac:dyDescent="0.3">
      <c r="A1773" t="s">
        <v>1786</v>
      </c>
      <c r="B1773">
        <v>9</v>
      </c>
      <c r="C1773">
        <v>30</v>
      </c>
      <c r="D1773" t="s">
        <v>5016</v>
      </c>
      <c r="E1773" t="s">
        <v>5017</v>
      </c>
      <c r="F1773" t="s">
        <v>5020</v>
      </c>
      <c r="G1773">
        <v>16.55</v>
      </c>
      <c r="H1773">
        <v>4</v>
      </c>
      <c r="I1773">
        <v>5.7</v>
      </c>
      <c r="J1773">
        <v>20.420000000000002</v>
      </c>
      <c r="K1773">
        <v>55.5</v>
      </c>
      <c r="L1773" t="s">
        <v>5029</v>
      </c>
      <c r="M1773">
        <v>10</v>
      </c>
      <c r="N1773">
        <v>1</v>
      </c>
      <c r="O1773">
        <v>0</v>
      </c>
    </row>
    <row r="1774" spans="1:15" x14ac:dyDescent="0.3">
      <c r="A1774" t="s">
        <v>1787</v>
      </c>
      <c r="B1774">
        <v>1</v>
      </c>
      <c r="C1774">
        <v>60</v>
      </c>
      <c r="D1774" t="s">
        <v>5015</v>
      </c>
      <c r="E1774" t="s">
        <v>5017</v>
      </c>
      <c r="F1774" t="s">
        <v>5022</v>
      </c>
      <c r="G1774">
        <v>11.13</v>
      </c>
      <c r="H1774">
        <v>4</v>
      </c>
      <c r="I1774">
        <v>3.3</v>
      </c>
      <c r="J1774">
        <v>19.62</v>
      </c>
      <c r="K1774">
        <v>72.900000000000006</v>
      </c>
      <c r="L1774" t="s">
        <v>5026</v>
      </c>
      <c r="M1774">
        <v>3</v>
      </c>
      <c r="N1774">
        <v>3</v>
      </c>
      <c r="O1774">
        <v>0</v>
      </c>
    </row>
    <row r="1775" spans="1:15" x14ac:dyDescent="0.3">
      <c r="A1775" t="s">
        <v>1788</v>
      </c>
      <c r="B1775">
        <v>8</v>
      </c>
      <c r="C1775">
        <v>31</v>
      </c>
      <c r="D1775" t="s">
        <v>5016</v>
      </c>
      <c r="E1775" t="s">
        <v>5017</v>
      </c>
      <c r="F1775" t="s">
        <v>5022</v>
      </c>
      <c r="G1775">
        <v>18.34</v>
      </c>
      <c r="H1775">
        <v>1</v>
      </c>
      <c r="I1775">
        <v>7.1</v>
      </c>
      <c r="J1775">
        <v>16.8</v>
      </c>
      <c r="K1775">
        <v>96.8</v>
      </c>
      <c r="L1775" t="s">
        <v>5029</v>
      </c>
      <c r="M1775">
        <v>11</v>
      </c>
      <c r="N1775">
        <v>0</v>
      </c>
      <c r="O1775">
        <v>0</v>
      </c>
    </row>
    <row r="1776" spans="1:15" x14ac:dyDescent="0.3">
      <c r="A1776" t="s">
        <v>1789</v>
      </c>
      <c r="B1776">
        <v>2</v>
      </c>
      <c r="C1776">
        <v>45</v>
      </c>
      <c r="D1776" t="s">
        <v>5015</v>
      </c>
      <c r="E1776" t="s">
        <v>5019</v>
      </c>
      <c r="F1776" t="s">
        <v>5020</v>
      </c>
      <c r="G1776">
        <v>15.8</v>
      </c>
      <c r="H1776">
        <v>2</v>
      </c>
      <c r="I1776">
        <v>4.3</v>
      </c>
      <c r="J1776">
        <v>14.62</v>
      </c>
      <c r="K1776">
        <v>34.799999999999997</v>
      </c>
      <c r="L1776" t="s">
        <v>5028</v>
      </c>
      <c r="M1776">
        <v>3</v>
      </c>
      <c r="N1776">
        <v>2</v>
      </c>
      <c r="O1776">
        <v>0</v>
      </c>
    </row>
    <row r="1777" spans="1:15" x14ac:dyDescent="0.3">
      <c r="A1777" t="s">
        <v>1790</v>
      </c>
      <c r="B1777">
        <v>12</v>
      </c>
      <c r="C1777">
        <v>35</v>
      </c>
      <c r="D1777" t="s">
        <v>5016</v>
      </c>
      <c r="E1777" t="s">
        <v>5017</v>
      </c>
      <c r="F1777" t="s">
        <v>5021</v>
      </c>
      <c r="G1777">
        <v>12.85</v>
      </c>
      <c r="H1777">
        <v>3</v>
      </c>
      <c r="I1777">
        <v>5.3</v>
      </c>
      <c r="J1777">
        <v>10.58</v>
      </c>
      <c r="K1777">
        <v>76.599999999999994</v>
      </c>
      <c r="L1777" t="s">
        <v>5026</v>
      </c>
      <c r="M1777">
        <v>11</v>
      </c>
      <c r="N1777">
        <v>1</v>
      </c>
      <c r="O1777">
        <v>0</v>
      </c>
    </row>
    <row r="1778" spans="1:15" x14ac:dyDescent="0.3">
      <c r="A1778" t="s">
        <v>1791</v>
      </c>
      <c r="B1778">
        <v>8</v>
      </c>
      <c r="C1778">
        <v>45</v>
      </c>
      <c r="D1778" t="s">
        <v>5016</v>
      </c>
      <c r="E1778" t="s">
        <v>5019</v>
      </c>
      <c r="F1778" t="s">
        <v>5020</v>
      </c>
      <c r="G1778">
        <v>8.64</v>
      </c>
      <c r="H1778">
        <v>2</v>
      </c>
      <c r="I1778">
        <v>6.1</v>
      </c>
      <c r="J1778">
        <v>20.25</v>
      </c>
      <c r="K1778">
        <v>49.4</v>
      </c>
      <c r="L1778" t="s">
        <v>5025</v>
      </c>
      <c r="M1778">
        <v>7</v>
      </c>
      <c r="N1778">
        <v>4</v>
      </c>
      <c r="O1778">
        <v>0</v>
      </c>
    </row>
    <row r="1779" spans="1:15" x14ac:dyDescent="0.3">
      <c r="A1779" t="s">
        <v>1792</v>
      </c>
      <c r="B1779">
        <v>3</v>
      </c>
      <c r="C1779">
        <v>68</v>
      </c>
      <c r="D1779" t="s">
        <v>5015</v>
      </c>
      <c r="E1779" t="s">
        <v>5017</v>
      </c>
      <c r="F1779" t="s">
        <v>5024</v>
      </c>
      <c r="G1779">
        <v>17.03</v>
      </c>
      <c r="H1779">
        <v>4</v>
      </c>
      <c r="I1779">
        <v>7.2</v>
      </c>
      <c r="J1779">
        <v>7.17</v>
      </c>
      <c r="K1779">
        <v>68.7</v>
      </c>
      <c r="L1779" t="s">
        <v>5027</v>
      </c>
      <c r="M1779">
        <v>6</v>
      </c>
      <c r="N1779">
        <v>3</v>
      </c>
      <c r="O1779">
        <v>0</v>
      </c>
    </row>
    <row r="1780" spans="1:15" x14ac:dyDescent="0.3">
      <c r="A1780" t="s">
        <v>1793</v>
      </c>
      <c r="B1780">
        <v>6</v>
      </c>
      <c r="C1780">
        <v>44</v>
      </c>
      <c r="D1780" t="s">
        <v>5016</v>
      </c>
      <c r="E1780" t="s">
        <v>5017</v>
      </c>
      <c r="F1780" t="s">
        <v>5020</v>
      </c>
      <c r="G1780">
        <v>21.58</v>
      </c>
      <c r="H1780">
        <v>5</v>
      </c>
      <c r="I1780">
        <v>1.5</v>
      </c>
      <c r="J1780">
        <v>3.8</v>
      </c>
      <c r="K1780">
        <v>46.6</v>
      </c>
      <c r="L1780" t="s">
        <v>5027</v>
      </c>
      <c r="M1780">
        <v>9</v>
      </c>
      <c r="N1780">
        <v>4</v>
      </c>
      <c r="O1780">
        <v>0</v>
      </c>
    </row>
    <row r="1781" spans="1:15" x14ac:dyDescent="0.3">
      <c r="A1781" t="s">
        <v>1794</v>
      </c>
      <c r="B1781">
        <v>3</v>
      </c>
      <c r="C1781">
        <v>49</v>
      </c>
      <c r="D1781" t="s">
        <v>5016</v>
      </c>
      <c r="E1781" t="s">
        <v>5017</v>
      </c>
      <c r="F1781" t="s">
        <v>5023</v>
      </c>
      <c r="G1781">
        <v>17</v>
      </c>
      <c r="H1781">
        <v>4</v>
      </c>
      <c r="I1781">
        <v>6</v>
      </c>
      <c r="J1781">
        <v>18.36</v>
      </c>
      <c r="K1781">
        <v>73.8</v>
      </c>
      <c r="L1781" t="s">
        <v>5027</v>
      </c>
      <c r="M1781">
        <v>9</v>
      </c>
      <c r="N1781">
        <v>4</v>
      </c>
      <c r="O1781">
        <v>0</v>
      </c>
    </row>
    <row r="1782" spans="1:15" x14ac:dyDescent="0.3">
      <c r="A1782" t="s">
        <v>1795</v>
      </c>
      <c r="B1782">
        <v>7</v>
      </c>
      <c r="C1782">
        <v>64</v>
      </c>
      <c r="D1782" t="s">
        <v>5016</v>
      </c>
      <c r="E1782" t="s">
        <v>5017</v>
      </c>
      <c r="F1782" t="s">
        <v>5021</v>
      </c>
      <c r="G1782">
        <v>17.21</v>
      </c>
      <c r="H1782">
        <v>2</v>
      </c>
      <c r="I1782">
        <v>4.9000000000000004</v>
      </c>
      <c r="J1782">
        <v>6.19</v>
      </c>
      <c r="K1782">
        <v>40.4</v>
      </c>
      <c r="L1782" t="s">
        <v>5026</v>
      </c>
      <c r="M1782">
        <v>9</v>
      </c>
      <c r="N1782">
        <v>3</v>
      </c>
      <c r="O1782">
        <v>0</v>
      </c>
    </row>
    <row r="1783" spans="1:15" x14ac:dyDescent="0.3">
      <c r="A1783" t="s">
        <v>1796</v>
      </c>
      <c r="B1783">
        <v>10</v>
      </c>
      <c r="C1783">
        <v>26</v>
      </c>
      <c r="D1783" t="s">
        <v>5016</v>
      </c>
      <c r="E1783" t="s">
        <v>5019</v>
      </c>
      <c r="F1783" t="s">
        <v>5023</v>
      </c>
      <c r="G1783">
        <v>15.24</v>
      </c>
      <c r="H1783">
        <v>1</v>
      </c>
      <c r="I1783">
        <v>2.2000000000000002</v>
      </c>
      <c r="J1783">
        <v>22.88</v>
      </c>
      <c r="K1783">
        <v>54</v>
      </c>
      <c r="L1783" t="s">
        <v>5029</v>
      </c>
      <c r="M1783">
        <v>4</v>
      </c>
      <c r="N1783">
        <v>1</v>
      </c>
      <c r="O1783">
        <v>1</v>
      </c>
    </row>
    <row r="1784" spans="1:15" x14ac:dyDescent="0.3">
      <c r="A1784" t="s">
        <v>1797</v>
      </c>
      <c r="B1784">
        <v>9</v>
      </c>
      <c r="C1784">
        <v>57</v>
      </c>
      <c r="D1784" t="s">
        <v>5015</v>
      </c>
      <c r="E1784" t="s">
        <v>5019</v>
      </c>
      <c r="F1784" t="s">
        <v>5020</v>
      </c>
      <c r="G1784">
        <v>12.76</v>
      </c>
      <c r="H1784">
        <v>2</v>
      </c>
      <c r="I1784">
        <v>2.9</v>
      </c>
      <c r="J1784">
        <v>19.95</v>
      </c>
      <c r="K1784">
        <v>73.8</v>
      </c>
      <c r="L1784" t="s">
        <v>5028</v>
      </c>
      <c r="M1784">
        <v>3</v>
      </c>
      <c r="N1784">
        <v>4</v>
      </c>
      <c r="O1784">
        <v>0</v>
      </c>
    </row>
    <row r="1785" spans="1:15" x14ac:dyDescent="0.3">
      <c r="A1785" t="s">
        <v>1798</v>
      </c>
      <c r="B1785">
        <v>2</v>
      </c>
      <c r="C1785">
        <v>49</v>
      </c>
      <c r="D1785" t="s">
        <v>5016</v>
      </c>
      <c r="E1785" t="s">
        <v>5018</v>
      </c>
      <c r="F1785" t="s">
        <v>5021</v>
      </c>
      <c r="G1785">
        <v>14.15</v>
      </c>
      <c r="H1785">
        <v>3</v>
      </c>
      <c r="I1785">
        <v>9</v>
      </c>
      <c r="J1785">
        <v>16.25</v>
      </c>
      <c r="K1785">
        <v>13.8</v>
      </c>
      <c r="L1785" t="s">
        <v>5027</v>
      </c>
      <c r="M1785">
        <v>4</v>
      </c>
      <c r="N1785">
        <v>1</v>
      </c>
      <c r="O1785">
        <v>1</v>
      </c>
    </row>
    <row r="1786" spans="1:15" x14ac:dyDescent="0.3">
      <c r="A1786" t="s">
        <v>1799</v>
      </c>
      <c r="B1786">
        <v>12</v>
      </c>
      <c r="C1786">
        <v>37</v>
      </c>
      <c r="D1786" t="s">
        <v>5016</v>
      </c>
      <c r="E1786" t="s">
        <v>5017</v>
      </c>
      <c r="F1786" t="s">
        <v>5023</v>
      </c>
      <c r="G1786">
        <v>24.79</v>
      </c>
      <c r="H1786">
        <v>5</v>
      </c>
      <c r="I1786">
        <v>8.8000000000000007</v>
      </c>
      <c r="J1786">
        <v>9.91</v>
      </c>
      <c r="K1786">
        <v>39.5</v>
      </c>
      <c r="L1786" t="s">
        <v>5026</v>
      </c>
      <c r="M1786">
        <v>3</v>
      </c>
      <c r="N1786">
        <v>4</v>
      </c>
      <c r="O1786">
        <v>0</v>
      </c>
    </row>
    <row r="1787" spans="1:15" x14ac:dyDescent="0.3">
      <c r="A1787" t="s">
        <v>1800</v>
      </c>
      <c r="B1787">
        <v>12</v>
      </c>
      <c r="C1787">
        <v>45</v>
      </c>
      <c r="D1787" t="s">
        <v>5015</v>
      </c>
      <c r="E1787" t="s">
        <v>5017</v>
      </c>
      <c r="F1787" t="s">
        <v>5023</v>
      </c>
      <c r="G1787">
        <v>19.989999999999998</v>
      </c>
      <c r="H1787">
        <v>5</v>
      </c>
      <c r="I1787">
        <v>1.3</v>
      </c>
      <c r="J1787">
        <v>17.03</v>
      </c>
      <c r="K1787">
        <v>59.2</v>
      </c>
      <c r="L1787" t="s">
        <v>5027</v>
      </c>
      <c r="M1787">
        <v>7</v>
      </c>
      <c r="N1787">
        <v>2</v>
      </c>
      <c r="O1787">
        <v>1</v>
      </c>
    </row>
    <row r="1788" spans="1:15" x14ac:dyDescent="0.3">
      <c r="A1788" t="s">
        <v>1801</v>
      </c>
      <c r="B1788">
        <v>5</v>
      </c>
      <c r="C1788">
        <v>50</v>
      </c>
      <c r="D1788" t="s">
        <v>5015</v>
      </c>
      <c r="E1788" t="s">
        <v>5018</v>
      </c>
      <c r="F1788" t="s">
        <v>5021</v>
      </c>
      <c r="G1788">
        <v>13.61</v>
      </c>
      <c r="H1788">
        <v>4</v>
      </c>
      <c r="I1788">
        <v>7.2</v>
      </c>
      <c r="J1788">
        <v>13.49</v>
      </c>
      <c r="K1788">
        <v>16.7</v>
      </c>
      <c r="L1788" t="s">
        <v>5029</v>
      </c>
      <c r="M1788">
        <v>11</v>
      </c>
      <c r="N1788">
        <v>3</v>
      </c>
      <c r="O1788">
        <v>0</v>
      </c>
    </row>
    <row r="1789" spans="1:15" x14ac:dyDescent="0.3">
      <c r="A1789" t="s">
        <v>1802</v>
      </c>
      <c r="B1789">
        <v>6</v>
      </c>
      <c r="C1789">
        <v>21</v>
      </c>
      <c r="D1789" t="s">
        <v>5016</v>
      </c>
      <c r="E1789" t="s">
        <v>5019</v>
      </c>
      <c r="F1789" t="s">
        <v>5021</v>
      </c>
      <c r="G1789">
        <v>14.15</v>
      </c>
      <c r="H1789">
        <v>2</v>
      </c>
      <c r="I1789">
        <v>6</v>
      </c>
      <c r="J1789">
        <v>9.41</v>
      </c>
      <c r="K1789">
        <v>73.3</v>
      </c>
      <c r="L1789" t="s">
        <v>5025</v>
      </c>
      <c r="M1789">
        <v>3</v>
      </c>
      <c r="N1789">
        <v>0</v>
      </c>
      <c r="O1789">
        <v>1</v>
      </c>
    </row>
    <row r="1790" spans="1:15" x14ac:dyDescent="0.3">
      <c r="A1790" t="s">
        <v>1803</v>
      </c>
      <c r="B1790">
        <v>4</v>
      </c>
      <c r="C1790">
        <v>63</v>
      </c>
      <c r="D1790" t="s">
        <v>5016</v>
      </c>
      <c r="E1790" t="s">
        <v>5017</v>
      </c>
      <c r="F1790" t="s">
        <v>5022</v>
      </c>
      <c r="G1790">
        <v>14.99</v>
      </c>
      <c r="H1790">
        <v>1</v>
      </c>
      <c r="I1790">
        <v>9.5</v>
      </c>
      <c r="J1790">
        <v>23.79</v>
      </c>
      <c r="K1790">
        <v>83.2</v>
      </c>
      <c r="L1790" t="s">
        <v>5025</v>
      </c>
      <c r="M1790">
        <v>1</v>
      </c>
      <c r="N1790">
        <v>3</v>
      </c>
      <c r="O1790">
        <v>1</v>
      </c>
    </row>
    <row r="1791" spans="1:15" x14ac:dyDescent="0.3">
      <c r="A1791" t="s">
        <v>1804</v>
      </c>
      <c r="B1791">
        <v>4</v>
      </c>
      <c r="C1791">
        <v>51</v>
      </c>
      <c r="D1791" t="s">
        <v>5015</v>
      </c>
      <c r="E1791" t="s">
        <v>5019</v>
      </c>
      <c r="F1791" t="s">
        <v>5021</v>
      </c>
      <c r="G1791">
        <v>18.190000000000001</v>
      </c>
      <c r="H1791">
        <v>3</v>
      </c>
      <c r="I1791">
        <v>9.1999999999999993</v>
      </c>
      <c r="J1791">
        <v>6.56</v>
      </c>
      <c r="K1791">
        <v>24.7</v>
      </c>
      <c r="L1791" t="s">
        <v>5028</v>
      </c>
      <c r="M1791">
        <v>8</v>
      </c>
      <c r="N1791">
        <v>4</v>
      </c>
      <c r="O1791">
        <v>1</v>
      </c>
    </row>
    <row r="1792" spans="1:15" x14ac:dyDescent="0.3">
      <c r="A1792" t="s">
        <v>1805</v>
      </c>
      <c r="B1792">
        <v>4</v>
      </c>
      <c r="C1792">
        <v>65</v>
      </c>
      <c r="D1792" t="s">
        <v>5016</v>
      </c>
      <c r="E1792" t="s">
        <v>5018</v>
      </c>
      <c r="F1792" t="s">
        <v>5020</v>
      </c>
      <c r="G1792">
        <v>14.32</v>
      </c>
      <c r="H1792">
        <v>4</v>
      </c>
      <c r="I1792">
        <v>6.2</v>
      </c>
      <c r="J1792">
        <v>19.57</v>
      </c>
      <c r="K1792">
        <v>76</v>
      </c>
      <c r="L1792" t="s">
        <v>5025</v>
      </c>
      <c r="M1792">
        <v>6</v>
      </c>
      <c r="N1792">
        <v>4</v>
      </c>
      <c r="O1792">
        <v>1</v>
      </c>
    </row>
    <row r="1793" spans="1:15" x14ac:dyDescent="0.3">
      <c r="A1793" t="s">
        <v>1806</v>
      </c>
      <c r="B1793">
        <v>2</v>
      </c>
      <c r="C1793">
        <v>20</v>
      </c>
      <c r="D1793" t="s">
        <v>5015</v>
      </c>
      <c r="E1793" t="s">
        <v>5017</v>
      </c>
      <c r="F1793" t="s">
        <v>5024</v>
      </c>
      <c r="G1793">
        <v>18.72</v>
      </c>
      <c r="H1793">
        <v>2</v>
      </c>
      <c r="I1793">
        <v>2.2999999999999998</v>
      </c>
      <c r="J1793">
        <v>20.6</v>
      </c>
      <c r="K1793">
        <v>68.2</v>
      </c>
      <c r="L1793" t="s">
        <v>5025</v>
      </c>
      <c r="M1793">
        <v>5</v>
      </c>
      <c r="N1793">
        <v>2</v>
      </c>
      <c r="O1793">
        <v>0</v>
      </c>
    </row>
    <row r="1794" spans="1:15" x14ac:dyDescent="0.3">
      <c r="A1794" t="s">
        <v>1807</v>
      </c>
      <c r="B1794">
        <v>4</v>
      </c>
      <c r="C1794">
        <v>43</v>
      </c>
      <c r="D1794" t="s">
        <v>5016</v>
      </c>
      <c r="E1794" t="s">
        <v>5018</v>
      </c>
      <c r="F1794" t="s">
        <v>5022</v>
      </c>
      <c r="G1794">
        <v>11.58</v>
      </c>
      <c r="H1794">
        <v>1</v>
      </c>
      <c r="I1794">
        <v>5.0999999999999996</v>
      </c>
      <c r="J1794">
        <v>23.94</v>
      </c>
      <c r="K1794">
        <v>47</v>
      </c>
      <c r="L1794" t="s">
        <v>5026</v>
      </c>
      <c r="M1794">
        <v>8</v>
      </c>
      <c r="N1794">
        <v>2</v>
      </c>
      <c r="O1794">
        <v>0</v>
      </c>
    </row>
    <row r="1795" spans="1:15" x14ac:dyDescent="0.3">
      <c r="A1795" t="s">
        <v>1808</v>
      </c>
      <c r="B1795">
        <v>11</v>
      </c>
      <c r="C1795">
        <v>25</v>
      </c>
      <c r="D1795" t="s">
        <v>5015</v>
      </c>
      <c r="E1795" t="s">
        <v>5017</v>
      </c>
      <c r="F1795" t="s">
        <v>5021</v>
      </c>
      <c r="G1795">
        <v>13.21</v>
      </c>
      <c r="H1795">
        <v>2</v>
      </c>
      <c r="I1795">
        <v>7.5</v>
      </c>
      <c r="J1795">
        <v>15.09</v>
      </c>
      <c r="K1795">
        <v>24.8</v>
      </c>
      <c r="L1795" t="s">
        <v>5026</v>
      </c>
      <c r="M1795">
        <v>11</v>
      </c>
      <c r="N1795">
        <v>3</v>
      </c>
      <c r="O1795">
        <v>1</v>
      </c>
    </row>
    <row r="1796" spans="1:15" x14ac:dyDescent="0.3">
      <c r="A1796" t="s">
        <v>1809</v>
      </c>
      <c r="B1796">
        <v>1</v>
      </c>
      <c r="C1796">
        <v>23</v>
      </c>
      <c r="D1796" t="s">
        <v>5015</v>
      </c>
      <c r="E1796" t="s">
        <v>5019</v>
      </c>
      <c r="F1796" t="s">
        <v>5024</v>
      </c>
      <c r="G1796">
        <v>22.28</v>
      </c>
      <c r="H1796">
        <v>1</v>
      </c>
      <c r="I1796">
        <v>9.6</v>
      </c>
      <c r="J1796">
        <v>14.77</v>
      </c>
      <c r="K1796">
        <v>95.9</v>
      </c>
      <c r="L1796" t="s">
        <v>5028</v>
      </c>
      <c r="M1796">
        <v>8</v>
      </c>
      <c r="N1796">
        <v>0</v>
      </c>
      <c r="O1796">
        <v>0</v>
      </c>
    </row>
    <row r="1797" spans="1:15" x14ac:dyDescent="0.3">
      <c r="A1797" t="s">
        <v>1810</v>
      </c>
      <c r="B1797">
        <v>12</v>
      </c>
      <c r="C1797">
        <v>33</v>
      </c>
      <c r="D1797" t="s">
        <v>5015</v>
      </c>
      <c r="E1797" t="s">
        <v>5017</v>
      </c>
      <c r="F1797" t="s">
        <v>5022</v>
      </c>
      <c r="G1797">
        <v>11.58</v>
      </c>
      <c r="H1797">
        <v>2</v>
      </c>
      <c r="I1797">
        <v>4.3</v>
      </c>
      <c r="J1797">
        <v>23.25</v>
      </c>
      <c r="K1797">
        <v>51.8</v>
      </c>
      <c r="L1797" t="s">
        <v>5028</v>
      </c>
      <c r="M1797">
        <v>3</v>
      </c>
      <c r="N1797">
        <v>3</v>
      </c>
      <c r="O1797">
        <v>0</v>
      </c>
    </row>
    <row r="1798" spans="1:15" x14ac:dyDescent="0.3">
      <c r="A1798" t="s">
        <v>1811</v>
      </c>
      <c r="B1798">
        <v>6</v>
      </c>
      <c r="C1798">
        <v>41</v>
      </c>
      <c r="D1798" t="s">
        <v>5016</v>
      </c>
      <c r="E1798" t="s">
        <v>5019</v>
      </c>
      <c r="F1798" t="s">
        <v>5020</v>
      </c>
      <c r="G1798">
        <v>24.29</v>
      </c>
      <c r="H1798">
        <v>2</v>
      </c>
      <c r="I1798">
        <v>8.1</v>
      </c>
      <c r="J1798">
        <v>20.62</v>
      </c>
      <c r="K1798">
        <v>26.5</v>
      </c>
      <c r="L1798" t="s">
        <v>5026</v>
      </c>
      <c r="M1798">
        <v>3</v>
      </c>
      <c r="N1798">
        <v>0</v>
      </c>
      <c r="O1798">
        <v>0</v>
      </c>
    </row>
    <row r="1799" spans="1:15" x14ac:dyDescent="0.3">
      <c r="A1799" t="s">
        <v>1812</v>
      </c>
      <c r="B1799">
        <v>1</v>
      </c>
      <c r="C1799">
        <v>65</v>
      </c>
      <c r="D1799" t="s">
        <v>5016</v>
      </c>
      <c r="E1799" t="s">
        <v>5017</v>
      </c>
      <c r="F1799" t="s">
        <v>5024</v>
      </c>
      <c r="G1799">
        <v>8.4499999999999993</v>
      </c>
      <c r="H1799">
        <v>4</v>
      </c>
      <c r="I1799">
        <v>7.2</v>
      </c>
      <c r="J1799">
        <v>19.8</v>
      </c>
      <c r="K1799">
        <v>74.599999999999994</v>
      </c>
      <c r="L1799" t="s">
        <v>5025</v>
      </c>
      <c r="M1799">
        <v>10</v>
      </c>
      <c r="N1799">
        <v>1</v>
      </c>
      <c r="O1799">
        <v>0</v>
      </c>
    </row>
    <row r="1800" spans="1:15" x14ac:dyDescent="0.3">
      <c r="A1800" t="s">
        <v>1813</v>
      </c>
      <c r="B1800">
        <v>10</v>
      </c>
      <c r="C1800">
        <v>56</v>
      </c>
      <c r="D1800" t="s">
        <v>5016</v>
      </c>
      <c r="E1800" t="s">
        <v>5019</v>
      </c>
      <c r="F1800" t="s">
        <v>5021</v>
      </c>
      <c r="G1800">
        <v>9.83</v>
      </c>
      <c r="H1800">
        <v>2</v>
      </c>
      <c r="I1800">
        <v>1.7</v>
      </c>
      <c r="J1800">
        <v>20.36</v>
      </c>
      <c r="K1800">
        <v>64.7</v>
      </c>
      <c r="L1800" t="s">
        <v>5029</v>
      </c>
      <c r="M1800">
        <v>7</v>
      </c>
      <c r="N1800">
        <v>4</v>
      </c>
      <c r="O1800">
        <v>0</v>
      </c>
    </row>
    <row r="1801" spans="1:15" x14ac:dyDescent="0.3">
      <c r="A1801" t="s">
        <v>1814</v>
      </c>
      <c r="B1801">
        <v>6</v>
      </c>
      <c r="C1801">
        <v>47</v>
      </c>
      <c r="D1801" t="s">
        <v>5016</v>
      </c>
      <c r="E1801" t="s">
        <v>5017</v>
      </c>
      <c r="F1801" t="s">
        <v>5021</v>
      </c>
      <c r="G1801">
        <v>14.27</v>
      </c>
      <c r="H1801">
        <v>2</v>
      </c>
      <c r="I1801">
        <v>6</v>
      </c>
      <c r="J1801">
        <v>13.85</v>
      </c>
      <c r="K1801">
        <v>83.5</v>
      </c>
      <c r="L1801" t="s">
        <v>5025</v>
      </c>
      <c r="M1801">
        <v>3</v>
      </c>
      <c r="N1801">
        <v>1</v>
      </c>
      <c r="O1801">
        <v>1</v>
      </c>
    </row>
    <row r="1802" spans="1:15" x14ac:dyDescent="0.3">
      <c r="A1802" t="s">
        <v>1815</v>
      </c>
      <c r="B1802">
        <v>1</v>
      </c>
      <c r="C1802">
        <v>62</v>
      </c>
      <c r="D1802" t="s">
        <v>5015</v>
      </c>
      <c r="E1802" t="s">
        <v>5019</v>
      </c>
      <c r="F1802" t="s">
        <v>5020</v>
      </c>
      <c r="G1802">
        <v>20.95</v>
      </c>
      <c r="H1802">
        <v>4</v>
      </c>
      <c r="I1802">
        <v>2.7</v>
      </c>
      <c r="J1802">
        <v>3.91</v>
      </c>
      <c r="K1802">
        <v>99.6</v>
      </c>
      <c r="L1802" t="s">
        <v>5025</v>
      </c>
      <c r="M1802">
        <v>9</v>
      </c>
      <c r="N1802">
        <v>3</v>
      </c>
      <c r="O1802">
        <v>1</v>
      </c>
    </row>
    <row r="1803" spans="1:15" x14ac:dyDescent="0.3">
      <c r="A1803" t="s">
        <v>1816</v>
      </c>
      <c r="B1803">
        <v>6</v>
      </c>
      <c r="C1803">
        <v>30</v>
      </c>
      <c r="D1803" t="s">
        <v>5015</v>
      </c>
      <c r="E1803" t="s">
        <v>5019</v>
      </c>
      <c r="F1803" t="s">
        <v>5022</v>
      </c>
      <c r="G1803">
        <v>19.63</v>
      </c>
      <c r="H1803">
        <v>4</v>
      </c>
      <c r="I1803">
        <v>7.2</v>
      </c>
      <c r="J1803">
        <v>7.36</v>
      </c>
      <c r="K1803">
        <v>14</v>
      </c>
      <c r="L1803" t="s">
        <v>5029</v>
      </c>
      <c r="M1803">
        <v>8</v>
      </c>
      <c r="N1803">
        <v>0</v>
      </c>
      <c r="O1803">
        <v>0</v>
      </c>
    </row>
    <row r="1804" spans="1:15" x14ac:dyDescent="0.3">
      <c r="A1804" t="s">
        <v>1817</v>
      </c>
      <c r="B1804">
        <v>10</v>
      </c>
      <c r="C1804">
        <v>22</v>
      </c>
      <c r="D1804" t="s">
        <v>5015</v>
      </c>
      <c r="E1804" t="s">
        <v>5019</v>
      </c>
      <c r="F1804" t="s">
        <v>5024</v>
      </c>
      <c r="G1804">
        <v>8.49</v>
      </c>
      <c r="H1804">
        <v>5</v>
      </c>
      <c r="I1804">
        <v>6.5</v>
      </c>
      <c r="J1804">
        <v>17.149999999999999</v>
      </c>
      <c r="K1804">
        <v>76.5</v>
      </c>
      <c r="L1804" t="s">
        <v>5028</v>
      </c>
      <c r="M1804">
        <v>8</v>
      </c>
      <c r="N1804">
        <v>0</v>
      </c>
      <c r="O1804">
        <v>0</v>
      </c>
    </row>
    <row r="1805" spans="1:15" x14ac:dyDescent="0.3">
      <c r="A1805" t="s">
        <v>1818</v>
      </c>
      <c r="B1805">
        <v>8</v>
      </c>
      <c r="C1805">
        <v>42</v>
      </c>
      <c r="D1805" t="s">
        <v>5016</v>
      </c>
      <c r="E1805" t="s">
        <v>5018</v>
      </c>
      <c r="F1805" t="s">
        <v>5020</v>
      </c>
      <c r="G1805">
        <v>9.73</v>
      </c>
      <c r="H1805">
        <v>5</v>
      </c>
      <c r="I1805">
        <v>9.8000000000000007</v>
      </c>
      <c r="J1805">
        <v>11.72</v>
      </c>
      <c r="K1805">
        <v>99</v>
      </c>
      <c r="L1805" t="s">
        <v>5026</v>
      </c>
      <c r="M1805">
        <v>9</v>
      </c>
      <c r="N1805">
        <v>1</v>
      </c>
      <c r="O1805">
        <v>0</v>
      </c>
    </row>
    <row r="1806" spans="1:15" x14ac:dyDescent="0.3">
      <c r="A1806" t="s">
        <v>1819</v>
      </c>
      <c r="B1806">
        <v>11</v>
      </c>
      <c r="C1806">
        <v>37</v>
      </c>
      <c r="D1806" t="s">
        <v>5016</v>
      </c>
      <c r="E1806" t="s">
        <v>5019</v>
      </c>
      <c r="F1806" t="s">
        <v>5022</v>
      </c>
      <c r="G1806">
        <v>16.510000000000002</v>
      </c>
      <c r="H1806">
        <v>4</v>
      </c>
      <c r="I1806">
        <v>9.4</v>
      </c>
      <c r="J1806">
        <v>16.350000000000001</v>
      </c>
      <c r="K1806">
        <v>58.4</v>
      </c>
      <c r="L1806" t="s">
        <v>5028</v>
      </c>
      <c r="M1806">
        <v>8</v>
      </c>
      <c r="N1806">
        <v>2</v>
      </c>
      <c r="O1806">
        <v>0</v>
      </c>
    </row>
    <row r="1807" spans="1:15" x14ac:dyDescent="0.3">
      <c r="A1807" t="s">
        <v>1820</v>
      </c>
      <c r="B1807">
        <v>2</v>
      </c>
      <c r="C1807">
        <v>35</v>
      </c>
      <c r="D1807" t="s">
        <v>5016</v>
      </c>
      <c r="E1807" t="s">
        <v>5018</v>
      </c>
      <c r="F1807" t="s">
        <v>5023</v>
      </c>
      <c r="G1807">
        <v>10.9</v>
      </c>
      <c r="H1807">
        <v>3</v>
      </c>
      <c r="I1807">
        <v>1.1000000000000001</v>
      </c>
      <c r="J1807">
        <v>15.14</v>
      </c>
      <c r="K1807">
        <v>74.400000000000006</v>
      </c>
      <c r="L1807" t="s">
        <v>5028</v>
      </c>
      <c r="M1807">
        <v>4</v>
      </c>
      <c r="N1807">
        <v>2</v>
      </c>
      <c r="O1807">
        <v>1</v>
      </c>
    </row>
    <row r="1808" spans="1:15" x14ac:dyDescent="0.3">
      <c r="A1808" t="s">
        <v>1821</v>
      </c>
      <c r="B1808">
        <v>2</v>
      </c>
      <c r="C1808">
        <v>64</v>
      </c>
      <c r="D1808" t="s">
        <v>5015</v>
      </c>
      <c r="E1808" t="s">
        <v>5017</v>
      </c>
      <c r="F1808" t="s">
        <v>5023</v>
      </c>
      <c r="G1808">
        <v>13.45</v>
      </c>
      <c r="H1808">
        <v>1</v>
      </c>
      <c r="I1808">
        <v>1.7</v>
      </c>
      <c r="J1808">
        <v>12.65</v>
      </c>
      <c r="K1808">
        <v>49.7</v>
      </c>
      <c r="L1808" t="s">
        <v>5028</v>
      </c>
      <c r="M1808">
        <v>7</v>
      </c>
      <c r="N1808">
        <v>1</v>
      </c>
      <c r="O1808">
        <v>0</v>
      </c>
    </row>
    <row r="1809" spans="1:15" x14ac:dyDescent="0.3">
      <c r="A1809" t="s">
        <v>1822</v>
      </c>
      <c r="B1809">
        <v>12</v>
      </c>
      <c r="C1809">
        <v>35</v>
      </c>
      <c r="D1809" t="s">
        <v>5016</v>
      </c>
      <c r="E1809" t="s">
        <v>5018</v>
      </c>
      <c r="F1809" t="s">
        <v>5022</v>
      </c>
      <c r="G1809">
        <v>14.73</v>
      </c>
      <c r="H1809">
        <v>4</v>
      </c>
      <c r="I1809">
        <v>7.9</v>
      </c>
      <c r="J1809">
        <v>8.16</v>
      </c>
      <c r="K1809">
        <v>42.1</v>
      </c>
      <c r="L1809" t="s">
        <v>5026</v>
      </c>
      <c r="M1809">
        <v>6</v>
      </c>
      <c r="N1809">
        <v>2</v>
      </c>
      <c r="O1809">
        <v>0</v>
      </c>
    </row>
    <row r="1810" spans="1:15" x14ac:dyDescent="0.3">
      <c r="A1810" t="s">
        <v>1823</v>
      </c>
      <c r="B1810">
        <v>4</v>
      </c>
      <c r="C1810">
        <v>19</v>
      </c>
      <c r="D1810" t="s">
        <v>5016</v>
      </c>
      <c r="E1810" t="s">
        <v>5017</v>
      </c>
      <c r="F1810" t="s">
        <v>5021</v>
      </c>
      <c r="G1810">
        <v>16.88</v>
      </c>
      <c r="H1810">
        <v>5</v>
      </c>
      <c r="I1810">
        <v>7.2</v>
      </c>
      <c r="J1810">
        <v>18.82</v>
      </c>
      <c r="K1810">
        <v>72.7</v>
      </c>
      <c r="L1810" t="s">
        <v>5028</v>
      </c>
      <c r="M1810">
        <v>1</v>
      </c>
      <c r="N1810">
        <v>0</v>
      </c>
      <c r="O1810">
        <v>0</v>
      </c>
    </row>
    <row r="1811" spans="1:15" x14ac:dyDescent="0.3">
      <c r="A1811" t="s">
        <v>1824</v>
      </c>
      <c r="B1811">
        <v>11</v>
      </c>
      <c r="C1811">
        <v>27</v>
      </c>
      <c r="D1811" t="s">
        <v>5015</v>
      </c>
      <c r="E1811" t="s">
        <v>5019</v>
      </c>
      <c r="F1811" t="s">
        <v>5021</v>
      </c>
      <c r="G1811">
        <v>10.02</v>
      </c>
      <c r="H1811">
        <v>2</v>
      </c>
      <c r="I1811">
        <v>8.1999999999999993</v>
      </c>
      <c r="J1811">
        <v>23</v>
      </c>
      <c r="K1811">
        <v>98.9</v>
      </c>
      <c r="L1811" t="s">
        <v>5028</v>
      </c>
      <c r="M1811">
        <v>5</v>
      </c>
      <c r="N1811">
        <v>3</v>
      </c>
      <c r="O1811">
        <v>0</v>
      </c>
    </row>
    <row r="1812" spans="1:15" x14ac:dyDescent="0.3">
      <c r="A1812" t="s">
        <v>1825</v>
      </c>
      <c r="B1812">
        <v>3</v>
      </c>
      <c r="C1812">
        <v>62</v>
      </c>
      <c r="D1812" t="s">
        <v>5015</v>
      </c>
      <c r="E1812" t="s">
        <v>5017</v>
      </c>
      <c r="F1812" t="s">
        <v>5023</v>
      </c>
      <c r="G1812">
        <v>8.26</v>
      </c>
      <c r="H1812">
        <v>4</v>
      </c>
      <c r="I1812">
        <v>3.4</v>
      </c>
      <c r="J1812">
        <v>19.940000000000001</v>
      </c>
      <c r="K1812">
        <v>18.2</v>
      </c>
      <c r="L1812" t="s">
        <v>5027</v>
      </c>
      <c r="M1812">
        <v>2</v>
      </c>
      <c r="N1812">
        <v>2</v>
      </c>
      <c r="O1812">
        <v>0</v>
      </c>
    </row>
    <row r="1813" spans="1:15" x14ac:dyDescent="0.3">
      <c r="A1813" t="s">
        <v>1826</v>
      </c>
      <c r="B1813">
        <v>4</v>
      </c>
      <c r="C1813">
        <v>67</v>
      </c>
      <c r="D1813" t="s">
        <v>5016</v>
      </c>
      <c r="E1813" t="s">
        <v>5018</v>
      </c>
      <c r="F1813" t="s">
        <v>5021</v>
      </c>
      <c r="G1813">
        <v>12.97</v>
      </c>
      <c r="H1813">
        <v>4</v>
      </c>
      <c r="I1813">
        <v>8.6</v>
      </c>
      <c r="J1813">
        <v>5.64</v>
      </c>
      <c r="K1813">
        <v>48</v>
      </c>
      <c r="L1813" t="s">
        <v>5025</v>
      </c>
      <c r="M1813">
        <v>9</v>
      </c>
      <c r="N1813">
        <v>0</v>
      </c>
      <c r="O1813">
        <v>0</v>
      </c>
    </row>
    <row r="1814" spans="1:15" x14ac:dyDescent="0.3">
      <c r="A1814" t="s">
        <v>1827</v>
      </c>
      <c r="B1814">
        <v>12</v>
      </c>
      <c r="C1814">
        <v>64</v>
      </c>
      <c r="D1814" t="s">
        <v>5015</v>
      </c>
      <c r="E1814" t="s">
        <v>5018</v>
      </c>
      <c r="F1814" t="s">
        <v>5021</v>
      </c>
      <c r="G1814">
        <v>6.64</v>
      </c>
      <c r="H1814">
        <v>5</v>
      </c>
      <c r="I1814">
        <v>5</v>
      </c>
      <c r="J1814">
        <v>14.83</v>
      </c>
      <c r="K1814">
        <v>94.7</v>
      </c>
      <c r="L1814" t="s">
        <v>5027</v>
      </c>
      <c r="M1814">
        <v>11</v>
      </c>
      <c r="N1814">
        <v>3</v>
      </c>
      <c r="O1814">
        <v>1</v>
      </c>
    </row>
    <row r="1815" spans="1:15" x14ac:dyDescent="0.3">
      <c r="A1815" t="s">
        <v>1828</v>
      </c>
      <c r="B1815">
        <v>7</v>
      </c>
      <c r="C1815">
        <v>29</v>
      </c>
      <c r="D1815" t="s">
        <v>5016</v>
      </c>
      <c r="E1815" t="s">
        <v>5018</v>
      </c>
      <c r="F1815" t="s">
        <v>5022</v>
      </c>
      <c r="G1815">
        <v>15.54</v>
      </c>
      <c r="H1815">
        <v>5</v>
      </c>
      <c r="I1815">
        <v>3.4</v>
      </c>
      <c r="J1815">
        <v>21.38</v>
      </c>
      <c r="K1815">
        <v>20.2</v>
      </c>
      <c r="L1815" t="s">
        <v>5026</v>
      </c>
      <c r="M1815">
        <v>3</v>
      </c>
      <c r="N1815">
        <v>0</v>
      </c>
      <c r="O1815">
        <v>0</v>
      </c>
    </row>
    <row r="1816" spans="1:15" x14ac:dyDescent="0.3">
      <c r="A1816" t="s">
        <v>1829</v>
      </c>
      <c r="B1816">
        <v>11</v>
      </c>
      <c r="C1816">
        <v>64</v>
      </c>
      <c r="D1816" t="s">
        <v>5015</v>
      </c>
      <c r="E1816" t="s">
        <v>5018</v>
      </c>
      <c r="F1816" t="s">
        <v>5022</v>
      </c>
      <c r="G1816">
        <v>21.79</v>
      </c>
      <c r="H1816">
        <v>3</v>
      </c>
      <c r="I1816">
        <v>1.1000000000000001</v>
      </c>
      <c r="J1816">
        <v>16</v>
      </c>
      <c r="K1816">
        <v>68.599999999999994</v>
      </c>
      <c r="L1816" t="s">
        <v>5029</v>
      </c>
      <c r="M1816">
        <v>7</v>
      </c>
      <c r="N1816">
        <v>4</v>
      </c>
      <c r="O1816">
        <v>0</v>
      </c>
    </row>
    <row r="1817" spans="1:15" x14ac:dyDescent="0.3">
      <c r="A1817" t="s">
        <v>1830</v>
      </c>
      <c r="B1817">
        <v>1</v>
      </c>
      <c r="C1817">
        <v>30</v>
      </c>
      <c r="D1817" t="s">
        <v>5015</v>
      </c>
      <c r="E1817" t="s">
        <v>5017</v>
      </c>
      <c r="F1817" t="s">
        <v>5021</v>
      </c>
      <c r="G1817">
        <v>7.38</v>
      </c>
      <c r="H1817">
        <v>5</v>
      </c>
      <c r="I1817">
        <v>8.8000000000000007</v>
      </c>
      <c r="J1817">
        <v>12.67</v>
      </c>
      <c r="K1817">
        <v>48.7</v>
      </c>
      <c r="L1817" t="s">
        <v>5029</v>
      </c>
      <c r="M1817">
        <v>2</v>
      </c>
      <c r="N1817">
        <v>3</v>
      </c>
      <c r="O1817">
        <v>1</v>
      </c>
    </row>
    <row r="1818" spans="1:15" x14ac:dyDescent="0.3">
      <c r="A1818" t="s">
        <v>1831</v>
      </c>
      <c r="B1818">
        <v>6</v>
      </c>
      <c r="C1818">
        <v>67</v>
      </c>
      <c r="D1818" t="s">
        <v>5015</v>
      </c>
      <c r="E1818" t="s">
        <v>5018</v>
      </c>
      <c r="F1818" t="s">
        <v>5022</v>
      </c>
      <c r="G1818">
        <v>7.25</v>
      </c>
      <c r="H1818">
        <v>5</v>
      </c>
      <c r="I1818">
        <v>5.8</v>
      </c>
      <c r="J1818">
        <v>9.26</v>
      </c>
      <c r="K1818">
        <v>43.9</v>
      </c>
      <c r="L1818" t="s">
        <v>5027</v>
      </c>
      <c r="M1818">
        <v>7</v>
      </c>
      <c r="N1818">
        <v>4</v>
      </c>
      <c r="O1818">
        <v>1</v>
      </c>
    </row>
    <row r="1819" spans="1:15" x14ac:dyDescent="0.3">
      <c r="A1819" t="s">
        <v>1832</v>
      </c>
      <c r="B1819">
        <v>3</v>
      </c>
      <c r="C1819">
        <v>64</v>
      </c>
      <c r="D1819" t="s">
        <v>5016</v>
      </c>
      <c r="E1819" t="s">
        <v>5017</v>
      </c>
      <c r="F1819" t="s">
        <v>5024</v>
      </c>
      <c r="G1819">
        <v>6.6</v>
      </c>
      <c r="H1819">
        <v>5</v>
      </c>
      <c r="I1819">
        <v>9.8000000000000007</v>
      </c>
      <c r="J1819">
        <v>10.27</v>
      </c>
      <c r="K1819">
        <v>28.8</v>
      </c>
      <c r="L1819" t="s">
        <v>5027</v>
      </c>
      <c r="M1819">
        <v>4</v>
      </c>
      <c r="N1819">
        <v>2</v>
      </c>
      <c r="O1819">
        <v>1</v>
      </c>
    </row>
    <row r="1820" spans="1:15" x14ac:dyDescent="0.3">
      <c r="A1820" t="s">
        <v>1833</v>
      </c>
      <c r="B1820">
        <v>11</v>
      </c>
      <c r="C1820">
        <v>28</v>
      </c>
      <c r="D1820" t="s">
        <v>5016</v>
      </c>
      <c r="E1820" t="s">
        <v>5019</v>
      </c>
      <c r="F1820" t="s">
        <v>5023</v>
      </c>
      <c r="G1820">
        <v>21.96</v>
      </c>
      <c r="H1820">
        <v>2</v>
      </c>
      <c r="I1820">
        <v>7.4</v>
      </c>
      <c r="J1820">
        <v>8.33</v>
      </c>
      <c r="K1820">
        <v>25.9</v>
      </c>
      <c r="L1820" t="s">
        <v>5027</v>
      </c>
      <c r="M1820">
        <v>11</v>
      </c>
      <c r="N1820">
        <v>2</v>
      </c>
      <c r="O1820">
        <v>1</v>
      </c>
    </row>
    <row r="1821" spans="1:15" x14ac:dyDescent="0.3">
      <c r="A1821" t="s">
        <v>1834</v>
      </c>
      <c r="B1821">
        <v>10</v>
      </c>
      <c r="C1821">
        <v>36</v>
      </c>
      <c r="D1821" t="s">
        <v>5016</v>
      </c>
      <c r="E1821" t="s">
        <v>5019</v>
      </c>
      <c r="F1821" t="s">
        <v>5024</v>
      </c>
      <c r="G1821">
        <v>6.61</v>
      </c>
      <c r="H1821">
        <v>4</v>
      </c>
      <c r="I1821">
        <v>1.7</v>
      </c>
      <c r="J1821">
        <v>7.31</v>
      </c>
      <c r="K1821">
        <v>56.5</v>
      </c>
      <c r="L1821" t="s">
        <v>5025</v>
      </c>
      <c r="M1821">
        <v>6</v>
      </c>
      <c r="N1821">
        <v>0</v>
      </c>
      <c r="O1821">
        <v>0</v>
      </c>
    </row>
    <row r="1822" spans="1:15" x14ac:dyDescent="0.3">
      <c r="A1822" t="s">
        <v>1835</v>
      </c>
      <c r="B1822">
        <v>7</v>
      </c>
      <c r="C1822">
        <v>52</v>
      </c>
      <c r="D1822" t="s">
        <v>5015</v>
      </c>
      <c r="E1822" t="s">
        <v>5019</v>
      </c>
      <c r="F1822" t="s">
        <v>5024</v>
      </c>
      <c r="G1822">
        <v>24.67</v>
      </c>
      <c r="H1822">
        <v>4</v>
      </c>
      <c r="I1822">
        <v>6.3</v>
      </c>
      <c r="J1822">
        <v>15.96</v>
      </c>
      <c r="K1822">
        <v>44</v>
      </c>
      <c r="L1822" t="s">
        <v>5026</v>
      </c>
      <c r="M1822">
        <v>9</v>
      </c>
      <c r="N1822">
        <v>1</v>
      </c>
      <c r="O1822">
        <v>1</v>
      </c>
    </row>
    <row r="1823" spans="1:15" x14ac:dyDescent="0.3">
      <c r="A1823" t="s">
        <v>1836</v>
      </c>
      <c r="B1823">
        <v>10</v>
      </c>
      <c r="C1823">
        <v>56</v>
      </c>
      <c r="D1823" t="s">
        <v>5015</v>
      </c>
      <c r="E1823" t="s">
        <v>5017</v>
      </c>
      <c r="F1823" t="s">
        <v>5021</v>
      </c>
      <c r="G1823">
        <v>12.17</v>
      </c>
      <c r="H1823">
        <v>5</v>
      </c>
      <c r="I1823">
        <v>1.2</v>
      </c>
      <c r="J1823">
        <v>14.21</v>
      </c>
      <c r="K1823">
        <v>54.2</v>
      </c>
      <c r="L1823" t="s">
        <v>5028</v>
      </c>
      <c r="M1823">
        <v>8</v>
      </c>
      <c r="N1823">
        <v>0</v>
      </c>
      <c r="O1823">
        <v>0</v>
      </c>
    </row>
    <row r="1824" spans="1:15" x14ac:dyDescent="0.3">
      <c r="A1824" t="s">
        <v>1837</v>
      </c>
      <c r="B1824">
        <v>2</v>
      </c>
      <c r="C1824">
        <v>43</v>
      </c>
      <c r="D1824" t="s">
        <v>5015</v>
      </c>
      <c r="E1824" t="s">
        <v>5017</v>
      </c>
      <c r="F1824" t="s">
        <v>5021</v>
      </c>
      <c r="G1824">
        <v>11.58</v>
      </c>
      <c r="H1824">
        <v>3</v>
      </c>
      <c r="I1824">
        <v>6</v>
      </c>
      <c r="J1824">
        <v>19.170000000000002</v>
      </c>
      <c r="K1824">
        <v>27.6</v>
      </c>
      <c r="L1824" t="s">
        <v>5027</v>
      </c>
      <c r="M1824">
        <v>9</v>
      </c>
      <c r="N1824">
        <v>4</v>
      </c>
      <c r="O1824">
        <v>0</v>
      </c>
    </row>
    <row r="1825" spans="1:15" x14ac:dyDescent="0.3">
      <c r="A1825" t="s">
        <v>1838</v>
      </c>
      <c r="B1825">
        <v>2</v>
      </c>
      <c r="C1825">
        <v>63</v>
      </c>
      <c r="D1825" t="s">
        <v>5015</v>
      </c>
      <c r="E1825" t="s">
        <v>5017</v>
      </c>
      <c r="F1825" t="s">
        <v>5024</v>
      </c>
      <c r="G1825">
        <v>6.83</v>
      </c>
      <c r="H1825">
        <v>5</v>
      </c>
      <c r="I1825">
        <v>4.2</v>
      </c>
      <c r="J1825">
        <v>9.77</v>
      </c>
      <c r="K1825">
        <v>41.5</v>
      </c>
      <c r="L1825" t="s">
        <v>5025</v>
      </c>
      <c r="M1825">
        <v>5</v>
      </c>
      <c r="N1825">
        <v>3</v>
      </c>
      <c r="O1825">
        <v>0</v>
      </c>
    </row>
    <row r="1826" spans="1:15" x14ac:dyDescent="0.3">
      <c r="A1826" t="s">
        <v>1839</v>
      </c>
      <c r="B1826">
        <v>4</v>
      </c>
      <c r="C1826">
        <v>31</v>
      </c>
      <c r="D1826" t="s">
        <v>5016</v>
      </c>
      <c r="E1826" t="s">
        <v>5017</v>
      </c>
      <c r="F1826" t="s">
        <v>5024</v>
      </c>
      <c r="G1826">
        <v>16.71</v>
      </c>
      <c r="H1826">
        <v>3</v>
      </c>
      <c r="I1826">
        <v>6.8</v>
      </c>
      <c r="J1826">
        <v>13.14</v>
      </c>
      <c r="K1826">
        <v>99.7</v>
      </c>
      <c r="L1826" t="s">
        <v>5029</v>
      </c>
      <c r="M1826">
        <v>5</v>
      </c>
      <c r="N1826">
        <v>1</v>
      </c>
      <c r="O1826">
        <v>1</v>
      </c>
    </row>
    <row r="1827" spans="1:15" x14ac:dyDescent="0.3">
      <c r="A1827" t="s">
        <v>1840</v>
      </c>
      <c r="B1827">
        <v>1</v>
      </c>
      <c r="C1827">
        <v>62</v>
      </c>
      <c r="D1827" t="s">
        <v>5016</v>
      </c>
      <c r="E1827" t="s">
        <v>5017</v>
      </c>
      <c r="F1827" t="s">
        <v>5020</v>
      </c>
      <c r="G1827">
        <v>16.72</v>
      </c>
      <c r="H1827">
        <v>4</v>
      </c>
      <c r="I1827">
        <v>5.9</v>
      </c>
      <c r="J1827">
        <v>17.97</v>
      </c>
      <c r="K1827">
        <v>43.1</v>
      </c>
      <c r="L1827" t="s">
        <v>5029</v>
      </c>
      <c r="M1827">
        <v>4</v>
      </c>
      <c r="N1827">
        <v>0</v>
      </c>
      <c r="O1827">
        <v>0</v>
      </c>
    </row>
    <row r="1828" spans="1:15" x14ac:dyDescent="0.3">
      <c r="A1828" t="s">
        <v>1841</v>
      </c>
      <c r="B1828">
        <v>3</v>
      </c>
      <c r="C1828">
        <v>61</v>
      </c>
      <c r="D1828" t="s">
        <v>5016</v>
      </c>
      <c r="E1828" t="s">
        <v>5018</v>
      </c>
      <c r="F1828" t="s">
        <v>5020</v>
      </c>
      <c r="G1828">
        <v>14.88</v>
      </c>
      <c r="H1828">
        <v>3</v>
      </c>
      <c r="I1828">
        <v>3.4</v>
      </c>
      <c r="J1828">
        <v>24.19</v>
      </c>
      <c r="K1828">
        <v>47.1</v>
      </c>
      <c r="L1828" t="s">
        <v>5029</v>
      </c>
      <c r="M1828">
        <v>9</v>
      </c>
      <c r="N1828">
        <v>4</v>
      </c>
      <c r="O1828">
        <v>0</v>
      </c>
    </row>
    <row r="1829" spans="1:15" x14ac:dyDescent="0.3">
      <c r="A1829" t="s">
        <v>1842</v>
      </c>
      <c r="B1829">
        <v>9</v>
      </c>
      <c r="C1829">
        <v>41</v>
      </c>
      <c r="D1829" t="s">
        <v>5015</v>
      </c>
      <c r="E1829" t="s">
        <v>5017</v>
      </c>
      <c r="F1829" t="s">
        <v>5023</v>
      </c>
      <c r="G1829">
        <v>11.22</v>
      </c>
      <c r="H1829">
        <v>3</v>
      </c>
      <c r="I1829">
        <v>2.5</v>
      </c>
      <c r="J1829">
        <v>10.68</v>
      </c>
      <c r="K1829">
        <v>11.8</v>
      </c>
      <c r="L1829" t="s">
        <v>5027</v>
      </c>
      <c r="M1829">
        <v>10</v>
      </c>
      <c r="N1829">
        <v>4</v>
      </c>
      <c r="O1829">
        <v>0</v>
      </c>
    </row>
    <row r="1830" spans="1:15" x14ac:dyDescent="0.3">
      <c r="A1830" t="s">
        <v>1843</v>
      </c>
      <c r="B1830">
        <v>7</v>
      </c>
      <c r="C1830">
        <v>58</v>
      </c>
      <c r="D1830" t="s">
        <v>5015</v>
      </c>
      <c r="E1830" t="s">
        <v>5018</v>
      </c>
      <c r="F1830" t="s">
        <v>5024</v>
      </c>
      <c r="G1830">
        <v>12.37</v>
      </c>
      <c r="H1830">
        <v>1</v>
      </c>
      <c r="I1830">
        <v>4.5999999999999996</v>
      </c>
      <c r="J1830">
        <v>9.56</v>
      </c>
      <c r="K1830">
        <v>44.3</v>
      </c>
      <c r="L1830" t="s">
        <v>5029</v>
      </c>
      <c r="M1830">
        <v>8</v>
      </c>
      <c r="N1830">
        <v>2</v>
      </c>
      <c r="O1830">
        <v>0</v>
      </c>
    </row>
    <row r="1831" spans="1:15" x14ac:dyDescent="0.3">
      <c r="A1831" t="s">
        <v>1844</v>
      </c>
      <c r="B1831">
        <v>7</v>
      </c>
      <c r="C1831">
        <v>18</v>
      </c>
      <c r="D1831" t="s">
        <v>5016</v>
      </c>
      <c r="E1831" t="s">
        <v>5019</v>
      </c>
      <c r="F1831" t="s">
        <v>5022</v>
      </c>
      <c r="G1831">
        <v>11.41</v>
      </c>
      <c r="H1831">
        <v>3</v>
      </c>
      <c r="I1831">
        <v>9.9</v>
      </c>
      <c r="J1831">
        <v>12.88</v>
      </c>
      <c r="K1831">
        <v>78.7</v>
      </c>
      <c r="L1831" t="s">
        <v>5029</v>
      </c>
      <c r="M1831">
        <v>6</v>
      </c>
      <c r="N1831">
        <v>0</v>
      </c>
      <c r="O1831">
        <v>0</v>
      </c>
    </row>
    <row r="1832" spans="1:15" x14ac:dyDescent="0.3">
      <c r="A1832" t="s">
        <v>1845</v>
      </c>
      <c r="B1832">
        <v>11</v>
      </c>
      <c r="C1832">
        <v>68</v>
      </c>
      <c r="D1832" t="s">
        <v>5015</v>
      </c>
      <c r="E1832" t="s">
        <v>5018</v>
      </c>
      <c r="F1832" t="s">
        <v>5020</v>
      </c>
      <c r="G1832">
        <v>13.52</v>
      </c>
      <c r="H1832">
        <v>3</v>
      </c>
      <c r="I1832">
        <v>4.9000000000000004</v>
      </c>
      <c r="J1832">
        <v>18.93</v>
      </c>
      <c r="K1832">
        <v>56.4</v>
      </c>
      <c r="L1832" t="s">
        <v>5029</v>
      </c>
      <c r="M1832">
        <v>10</v>
      </c>
      <c r="N1832">
        <v>0</v>
      </c>
      <c r="O1832">
        <v>0</v>
      </c>
    </row>
    <row r="1833" spans="1:15" x14ac:dyDescent="0.3">
      <c r="A1833" t="s">
        <v>1846</v>
      </c>
      <c r="B1833">
        <v>4</v>
      </c>
      <c r="C1833">
        <v>60</v>
      </c>
      <c r="D1833" t="s">
        <v>5016</v>
      </c>
      <c r="E1833" t="s">
        <v>5018</v>
      </c>
      <c r="F1833" t="s">
        <v>5021</v>
      </c>
      <c r="G1833">
        <v>11.84</v>
      </c>
      <c r="H1833">
        <v>2</v>
      </c>
      <c r="I1833">
        <v>7.7</v>
      </c>
      <c r="J1833">
        <v>24.15</v>
      </c>
      <c r="K1833">
        <v>69.099999999999994</v>
      </c>
      <c r="L1833" t="s">
        <v>5028</v>
      </c>
      <c r="M1833">
        <v>6</v>
      </c>
      <c r="N1833">
        <v>4</v>
      </c>
      <c r="O1833">
        <v>0</v>
      </c>
    </row>
    <row r="1834" spans="1:15" x14ac:dyDescent="0.3">
      <c r="A1834" t="s">
        <v>1847</v>
      </c>
      <c r="B1834">
        <v>2</v>
      </c>
      <c r="C1834">
        <v>39</v>
      </c>
      <c r="D1834" t="s">
        <v>5015</v>
      </c>
      <c r="E1834" t="s">
        <v>5018</v>
      </c>
      <c r="F1834" t="s">
        <v>5024</v>
      </c>
      <c r="G1834">
        <v>18.510000000000002</v>
      </c>
      <c r="H1834">
        <v>4</v>
      </c>
      <c r="I1834">
        <v>1.5</v>
      </c>
      <c r="J1834">
        <v>14.8</v>
      </c>
      <c r="K1834">
        <v>60.1</v>
      </c>
      <c r="L1834" t="s">
        <v>5029</v>
      </c>
      <c r="M1834">
        <v>6</v>
      </c>
      <c r="N1834">
        <v>0</v>
      </c>
      <c r="O1834">
        <v>1</v>
      </c>
    </row>
    <row r="1835" spans="1:15" x14ac:dyDescent="0.3">
      <c r="A1835" t="s">
        <v>1848</v>
      </c>
      <c r="B1835">
        <v>4</v>
      </c>
      <c r="C1835">
        <v>40</v>
      </c>
      <c r="D1835" t="s">
        <v>5015</v>
      </c>
      <c r="E1835" t="s">
        <v>5018</v>
      </c>
      <c r="F1835" t="s">
        <v>5022</v>
      </c>
      <c r="G1835">
        <v>10.92</v>
      </c>
      <c r="H1835">
        <v>5</v>
      </c>
      <c r="I1835">
        <v>4.4000000000000004</v>
      </c>
      <c r="J1835">
        <v>20.87</v>
      </c>
      <c r="K1835">
        <v>19.5</v>
      </c>
      <c r="L1835" t="s">
        <v>5025</v>
      </c>
      <c r="M1835">
        <v>6</v>
      </c>
      <c r="N1835">
        <v>2</v>
      </c>
      <c r="O1835">
        <v>0</v>
      </c>
    </row>
    <row r="1836" spans="1:15" x14ac:dyDescent="0.3">
      <c r="A1836" t="s">
        <v>1849</v>
      </c>
      <c r="B1836">
        <v>6</v>
      </c>
      <c r="C1836">
        <v>36</v>
      </c>
      <c r="D1836" t="s">
        <v>5016</v>
      </c>
      <c r="E1836" t="s">
        <v>5017</v>
      </c>
      <c r="F1836" t="s">
        <v>5022</v>
      </c>
      <c r="G1836">
        <v>12.02</v>
      </c>
      <c r="H1836">
        <v>1</v>
      </c>
      <c r="I1836">
        <v>6.2</v>
      </c>
      <c r="J1836">
        <v>13.22</v>
      </c>
      <c r="K1836">
        <v>39.9</v>
      </c>
      <c r="L1836" t="s">
        <v>5027</v>
      </c>
      <c r="M1836">
        <v>7</v>
      </c>
      <c r="N1836">
        <v>1</v>
      </c>
      <c r="O1836">
        <v>1</v>
      </c>
    </row>
    <row r="1837" spans="1:15" x14ac:dyDescent="0.3">
      <c r="A1837" t="s">
        <v>1850</v>
      </c>
      <c r="B1837">
        <v>11</v>
      </c>
      <c r="C1837">
        <v>35</v>
      </c>
      <c r="D1837" t="s">
        <v>5016</v>
      </c>
      <c r="E1837" t="s">
        <v>5018</v>
      </c>
      <c r="F1837" t="s">
        <v>5022</v>
      </c>
      <c r="G1837">
        <v>13.71</v>
      </c>
      <c r="H1837">
        <v>3</v>
      </c>
      <c r="I1837">
        <v>7.8</v>
      </c>
      <c r="J1837">
        <v>3.88</v>
      </c>
      <c r="K1837">
        <v>72.5</v>
      </c>
      <c r="L1837" t="s">
        <v>5028</v>
      </c>
      <c r="M1837">
        <v>6</v>
      </c>
      <c r="N1837">
        <v>4</v>
      </c>
      <c r="O1837">
        <v>0</v>
      </c>
    </row>
    <row r="1838" spans="1:15" x14ac:dyDescent="0.3">
      <c r="A1838" t="s">
        <v>1851</v>
      </c>
      <c r="B1838">
        <v>11</v>
      </c>
      <c r="C1838">
        <v>29</v>
      </c>
      <c r="D1838" t="s">
        <v>5015</v>
      </c>
      <c r="E1838" t="s">
        <v>5018</v>
      </c>
      <c r="F1838" t="s">
        <v>5021</v>
      </c>
      <c r="G1838">
        <v>5.08</v>
      </c>
      <c r="H1838">
        <v>2</v>
      </c>
      <c r="I1838">
        <v>5.8</v>
      </c>
      <c r="J1838">
        <v>22.67</v>
      </c>
      <c r="K1838">
        <v>59.3</v>
      </c>
      <c r="L1838" t="s">
        <v>5028</v>
      </c>
      <c r="M1838">
        <v>8</v>
      </c>
      <c r="N1838">
        <v>2</v>
      </c>
      <c r="O1838">
        <v>0</v>
      </c>
    </row>
    <row r="1839" spans="1:15" x14ac:dyDescent="0.3">
      <c r="A1839" t="s">
        <v>1852</v>
      </c>
      <c r="B1839">
        <v>3</v>
      </c>
      <c r="C1839">
        <v>45</v>
      </c>
      <c r="D1839" t="s">
        <v>5016</v>
      </c>
      <c r="E1839" t="s">
        <v>5019</v>
      </c>
      <c r="F1839" t="s">
        <v>5020</v>
      </c>
      <c r="G1839">
        <v>14.84</v>
      </c>
      <c r="H1839">
        <v>2</v>
      </c>
      <c r="I1839">
        <v>5.6</v>
      </c>
      <c r="J1839">
        <v>9.3800000000000008</v>
      </c>
      <c r="K1839">
        <v>70.7</v>
      </c>
      <c r="L1839" t="s">
        <v>5027</v>
      </c>
      <c r="M1839">
        <v>7</v>
      </c>
      <c r="N1839">
        <v>2</v>
      </c>
      <c r="O1839">
        <v>0</v>
      </c>
    </row>
    <row r="1840" spans="1:15" x14ac:dyDescent="0.3">
      <c r="A1840" t="s">
        <v>1853</v>
      </c>
      <c r="B1840">
        <v>1</v>
      </c>
      <c r="C1840">
        <v>45</v>
      </c>
      <c r="D1840" t="s">
        <v>5016</v>
      </c>
      <c r="E1840" t="s">
        <v>5019</v>
      </c>
      <c r="F1840" t="s">
        <v>5022</v>
      </c>
      <c r="G1840">
        <v>10.119999999999999</v>
      </c>
      <c r="H1840">
        <v>5</v>
      </c>
      <c r="I1840">
        <v>7.9</v>
      </c>
      <c r="J1840">
        <v>6.05</v>
      </c>
      <c r="K1840">
        <v>42.4</v>
      </c>
      <c r="L1840" t="s">
        <v>5029</v>
      </c>
      <c r="M1840">
        <v>2</v>
      </c>
      <c r="N1840">
        <v>3</v>
      </c>
      <c r="O1840">
        <v>1</v>
      </c>
    </row>
    <row r="1841" spans="1:15" x14ac:dyDescent="0.3">
      <c r="A1841" t="s">
        <v>1854</v>
      </c>
      <c r="B1841">
        <v>12</v>
      </c>
      <c r="C1841">
        <v>50</v>
      </c>
      <c r="D1841" t="s">
        <v>5015</v>
      </c>
      <c r="E1841" t="s">
        <v>5018</v>
      </c>
      <c r="F1841" t="s">
        <v>5020</v>
      </c>
      <c r="G1841">
        <v>6.12</v>
      </c>
      <c r="H1841">
        <v>5</v>
      </c>
      <c r="I1841">
        <v>3.8</v>
      </c>
      <c r="J1841">
        <v>24.92</v>
      </c>
      <c r="K1841">
        <v>27.4</v>
      </c>
      <c r="L1841" t="s">
        <v>5029</v>
      </c>
      <c r="M1841">
        <v>10</v>
      </c>
      <c r="N1841">
        <v>1</v>
      </c>
      <c r="O1841">
        <v>0</v>
      </c>
    </row>
    <row r="1842" spans="1:15" x14ac:dyDescent="0.3">
      <c r="A1842" t="s">
        <v>1855</v>
      </c>
      <c r="B1842">
        <v>8</v>
      </c>
      <c r="C1842">
        <v>36</v>
      </c>
      <c r="D1842" t="s">
        <v>5015</v>
      </c>
      <c r="E1842" t="s">
        <v>5018</v>
      </c>
      <c r="F1842" t="s">
        <v>5023</v>
      </c>
      <c r="G1842">
        <v>23.22</v>
      </c>
      <c r="H1842">
        <v>4</v>
      </c>
      <c r="I1842">
        <v>1.8</v>
      </c>
      <c r="J1842">
        <v>10.64</v>
      </c>
      <c r="K1842">
        <v>84.7</v>
      </c>
      <c r="L1842" t="s">
        <v>5026</v>
      </c>
      <c r="M1842">
        <v>4</v>
      </c>
      <c r="N1842">
        <v>2</v>
      </c>
      <c r="O1842">
        <v>1</v>
      </c>
    </row>
    <row r="1843" spans="1:15" x14ac:dyDescent="0.3">
      <c r="A1843" t="s">
        <v>1856</v>
      </c>
      <c r="B1843">
        <v>12</v>
      </c>
      <c r="C1843">
        <v>45</v>
      </c>
      <c r="D1843" t="s">
        <v>5015</v>
      </c>
      <c r="E1843" t="s">
        <v>5017</v>
      </c>
      <c r="F1843" t="s">
        <v>5021</v>
      </c>
      <c r="G1843">
        <v>11.45</v>
      </c>
      <c r="H1843">
        <v>3</v>
      </c>
      <c r="I1843">
        <v>4.0999999999999996</v>
      </c>
      <c r="J1843">
        <v>6</v>
      </c>
      <c r="K1843">
        <v>43.9</v>
      </c>
      <c r="L1843" t="s">
        <v>5029</v>
      </c>
      <c r="M1843">
        <v>11</v>
      </c>
      <c r="N1843">
        <v>3</v>
      </c>
      <c r="O1843">
        <v>0</v>
      </c>
    </row>
    <row r="1844" spans="1:15" x14ac:dyDescent="0.3">
      <c r="A1844" t="s">
        <v>1857</v>
      </c>
      <c r="B1844">
        <v>5</v>
      </c>
      <c r="C1844">
        <v>69</v>
      </c>
      <c r="D1844" t="s">
        <v>5016</v>
      </c>
      <c r="E1844" t="s">
        <v>5019</v>
      </c>
      <c r="F1844" t="s">
        <v>5020</v>
      </c>
      <c r="G1844">
        <v>13.52</v>
      </c>
      <c r="H1844">
        <v>2</v>
      </c>
      <c r="I1844">
        <v>2.4</v>
      </c>
      <c r="J1844">
        <v>9.85</v>
      </c>
      <c r="K1844">
        <v>69</v>
      </c>
      <c r="L1844" t="s">
        <v>5025</v>
      </c>
      <c r="M1844">
        <v>7</v>
      </c>
      <c r="N1844">
        <v>3</v>
      </c>
      <c r="O1844">
        <v>0</v>
      </c>
    </row>
    <row r="1845" spans="1:15" x14ac:dyDescent="0.3">
      <c r="A1845" t="s">
        <v>1858</v>
      </c>
      <c r="B1845">
        <v>5</v>
      </c>
      <c r="C1845">
        <v>66</v>
      </c>
      <c r="D1845" t="s">
        <v>5015</v>
      </c>
      <c r="E1845" t="s">
        <v>5018</v>
      </c>
      <c r="F1845" t="s">
        <v>5020</v>
      </c>
      <c r="G1845">
        <v>21.55</v>
      </c>
      <c r="H1845">
        <v>1</v>
      </c>
      <c r="I1845">
        <v>9.6999999999999993</v>
      </c>
      <c r="J1845">
        <v>14.3</v>
      </c>
      <c r="K1845">
        <v>44.3</v>
      </c>
      <c r="L1845" t="s">
        <v>5029</v>
      </c>
      <c r="M1845">
        <v>2</v>
      </c>
      <c r="N1845">
        <v>0</v>
      </c>
      <c r="O1845">
        <v>0</v>
      </c>
    </row>
    <row r="1846" spans="1:15" x14ac:dyDescent="0.3">
      <c r="A1846" t="s">
        <v>1859</v>
      </c>
      <c r="B1846">
        <v>11</v>
      </c>
      <c r="C1846">
        <v>54</v>
      </c>
      <c r="D1846" t="s">
        <v>5015</v>
      </c>
      <c r="E1846" t="s">
        <v>5017</v>
      </c>
      <c r="F1846" t="s">
        <v>5022</v>
      </c>
      <c r="G1846">
        <v>8.34</v>
      </c>
      <c r="H1846">
        <v>4</v>
      </c>
      <c r="I1846">
        <v>6.2</v>
      </c>
      <c r="J1846">
        <v>4.9400000000000004</v>
      </c>
      <c r="K1846">
        <v>93.5</v>
      </c>
      <c r="L1846" t="s">
        <v>5027</v>
      </c>
      <c r="M1846">
        <v>4</v>
      </c>
      <c r="N1846">
        <v>2</v>
      </c>
      <c r="O1846">
        <v>0</v>
      </c>
    </row>
    <row r="1847" spans="1:15" x14ac:dyDescent="0.3">
      <c r="A1847" t="s">
        <v>1860</v>
      </c>
      <c r="B1847">
        <v>4</v>
      </c>
      <c r="C1847">
        <v>43</v>
      </c>
      <c r="D1847" t="s">
        <v>5015</v>
      </c>
      <c r="E1847" t="s">
        <v>5017</v>
      </c>
      <c r="F1847" t="s">
        <v>5022</v>
      </c>
      <c r="G1847">
        <v>22.01</v>
      </c>
      <c r="H1847">
        <v>3</v>
      </c>
      <c r="I1847">
        <v>5</v>
      </c>
      <c r="J1847">
        <v>10.76</v>
      </c>
      <c r="K1847">
        <v>99.3</v>
      </c>
      <c r="L1847" t="s">
        <v>5029</v>
      </c>
      <c r="M1847">
        <v>2</v>
      </c>
      <c r="N1847">
        <v>4</v>
      </c>
      <c r="O1847">
        <v>0</v>
      </c>
    </row>
    <row r="1848" spans="1:15" x14ac:dyDescent="0.3">
      <c r="A1848" t="s">
        <v>1861</v>
      </c>
      <c r="B1848">
        <v>6</v>
      </c>
      <c r="C1848">
        <v>52</v>
      </c>
      <c r="D1848" t="s">
        <v>5015</v>
      </c>
      <c r="E1848" t="s">
        <v>5017</v>
      </c>
      <c r="F1848" t="s">
        <v>5021</v>
      </c>
      <c r="G1848">
        <v>9.83</v>
      </c>
      <c r="H1848">
        <v>5</v>
      </c>
      <c r="I1848">
        <v>9.1999999999999993</v>
      </c>
      <c r="J1848">
        <v>17.71</v>
      </c>
      <c r="K1848">
        <v>68.400000000000006</v>
      </c>
      <c r="L1848" t="s">
        <v>5027</v>
      </c>
      <c r="M1848">
        <v>2</v>
      </c>
      <c r="N1848">
        <v>0</v>
      </c>
      <c r="O1848">
        <v>0</v>
      </c>
    </row>
    <row r="1849" spans="1:15" x14ac:dyDescent="0.3">
      <c r="A1849" t="s">
        <v>1862</v>
      </c>
      <c r="B1849">
        <v>3</v>
      </c>
      <c r="C1849">
        <v>51</v>
      </c>
      <c r="D1849" t="s">
        <v>5015</v>
      </c>
      <c r="E1849" t="s">
        <v>5019</v>
      </c>
      <c r="F1849" t="s">
        <v>5020</v>
      </c>
      <c r="G1849">
        <v>16.78</v>
      </c>
      <c r="H1849">
        <v>3</v>
      </c>
      <c r="I1849">
        <v>9.1</v>
      </c>
      <c r="J1849">
        <v>23.15</v>
      </c>
      <c r="K1849">
        <v>64.2</v>
      </c>
      <c r="L1849" t="s">
        <v>5028</v>
      </c>
      <c r="M1849">
        <v>7</v>
      </c>
      <c r="N1849">
        <v>1</v>
      </c>
      <c r="O1849">
        <v>0</v>
      </c>
    </row>
    <row r="1850" spans="1:15" x14ac:dyDescent="0.3">
      <c r="A1850" t="s">
        <v>1863</v>
      </c>
      <c r="B1850">
        <v>9</v>
      </c>
      <c r="C1850">
        <v>52</v>
      </c>
      <c r="D1850" t="s">
        <v>5016</v>
      </c>
      <c r="E1850" t="s">
        <v>5017</v>
      </c>
      <c r="F1850" t="s">
        <v>5024</v>
      </c>
      <c r="G1850">
        <v>18.71</v>
      </c>
      <c r="H1850">
        <v>5</v>
      </c>
      <c r="I1850">
        <v>4.7</v>
      </c>
      <c r="J1850">
        <v>11.74</v>
      </c>
      <c r="K1850">
        <v>85.7</v>
      </c>
      <c r="L1850" t="s">
        <v>5026</v>
      </c>
      <c r="M1850">
        <v>11</v>
      </c>
      <c r="N1850">
        <v>4</v>
      </c>
      <c r="O1850">
        <v>1</v>
      </c>
    </row>
    <row r="1851" spans="1:15" x14ac:dyDescent="0.3">
      <c r="A1851" t="s">
        <v>1864</v>
      </c>
      <c r="B1851">
        <v>5</v>
      </c>
      <c r="C1851">
        <v>57</v>
      </c>
      <c r="D1851" t="s">
        <v>5015</v>
      </c>
      <c r="E1851" t="s">
        <v>5018</v>
      </c>
      <c r="F1851" t="s">
        <v>5022</v>
      </c>
      <c r="G1851">
        <v>23.1</v>
      </c>
      <c r="H1851">
        <v>3</v>
      </c>
      <c r="I1851">
        <v>8.9</v>
      </c>
      <c r="J1851">
        <v>15.42</v>
      </c>
      <c r="K1851">
        <v>56.5</v>
      </c>
      <c r="L1851" t="s">
        <v>5028</v>
      </c>
      <c r="M1851">
        <v>2</v>
      </c>
      <c r="N1851">
        <v>4</v>
      </c>
      <c r="O1851">
        <v>0</v>
      </c>
    </row>
    <row r="1852" spans="1:15" x14ac:dyDescent="0.3">
      <c r="A1852" t="s">
        <v>1865</v>
      </c>
      <c r="B1852">
        <v>3</v>
      </c>
      <c r="C1852">
        <v>33</v>
      </c>
      <c r="D1852" t="s">
        <v>5015</v>
      </c>
      <c r="E1852" t="s">
        <v>5018</v>
      </c>
      <c r="F1852" t="s">
        <v>5022</v>
      </c>
      <c r="G1852">
        <v>17.149999999999999</v>
      </c>
      <c r="H1852">
        <v>1</v>
      </c>
      <c r="I1852">
        <v>1.6</v>
      </c>
      <c r="J1852">
        <v>16.989999999999998</v>
      </c>
      <c r="K1852">
        <v>88.3</v>
      </c>
      <c r="L1852" t="s">
        <v>5027</v>
      </c>
      <c r="M1852">
        <v>4</v>
      </c>
      <c r="N1852">
        <v>3</v>
      </c>
      <c r="O1852">
        <v>0</v>
      </c>
    </row>
    <row r="1853" spans="1:15" x14ac:dyDescent="0.3">
      <c r="A1853" t="s">
        <v>1866</v>
      </c>
      <c r="B1853">
        <v>11</v>
      </c>
      <c r="C1853">
        <v>55</v>
      </c>
      <c r="D1853" t="s">
        <v>5016</v>
      </c>
      <c r="E1853" t="s">
        <v>5018</v>
      </c>
      <c r="F1853" t="s">
        <v>5023</v>
      </c>
      <c r="G1853">
        <v>14.06</v>
      </c>
      <c r="H1853">
        <v>4</v>
      </c>
      <c r="I1853">
        <v>9</v>
      </c>
      <c r="J1853">
        <v>4.5599999999999996</v>
      </c>
      <c r="K1853">
        <v>47.2</v>
      </c>
      <c r="L1853" t="s">
        <v>5026</v>
      </c>
      <c r="M1853">
        <v>7</v>
      </c>
      <c r="N1853">
        <v>2</v>
      </c>
      <c r="O1853">
        <v>1</v>
      </c>
    </row>
    <row r="1854" spans="1:15" x14ac:dyDescent="0.3">
      <c r="A1854" t="s">
        <v>1867</v>
      </c>
      <c r="B1854">
        <v>1</v>
      </c>
      <c r="C1854">
        <v>30</v>
      </c>
      <c r="D1854" t="s">
        <v>5015</v>
      </c>
      <c r="E1854" t="s">
        <v>5019</v>
      </c>
      <c r="F1854" t="s">
        <v>5021</v>
      </c>
      <c r="G1854">
        <v>16.45</v>
      </c>
      <c r="H1854">
        <v>5</v>
      </c>
      <c r="I1854">
        <v>3.8</v>
      </c>
      <c r="J1854">
        <v>10.53</v>
      </c>
      <c r="K1854">
        <v>12.9</v>
      </c>
      <c r="L1854" t="s">
        <v>5028</v>
      </c>
      <c r="M1854">
        <v>6</v>
      </c>
      <c r="N1854">
        <v>3</v>
      </c>
      <c r="O1854">
        <v>0</v>
      </c>
    </row>
    <row r="1855" spans="1:15" x14ac:dyDescent="0.3">
      <c r="A1855" t="s">
        <v>1868</v>
      </c>
      <c r="B1855">
        <v>10</v>
      </c>
      <c r="C1855">
        <v>40</v>
      </c>
      <c r="D1855" t="s">
        <v>5015</v>
      </c>
      <c r="E1855" t="s">
        <v>5019</v>
      </c>
      <c r="F1855" t="s">
        <v>5020</v>
      </c>
      <c r="G1855">
        <v>9.0399999999999991</v>
      </c>
      <c r="H1855">
        <v>1</v>
      </c>
      <c r="I1855">
        <v>6.1</v>
      </c>
      <c r="J1855">
        <v>18.05</v>
      </c>
      <c r="K1855">
        <v>93.4</v>
      </c>
      <c r="L1855" t="s">
        <v>5029</v>
      </c>
      <c r="M1855">
        <v>4</v>
      </c>
      <c r="N1855">
        <v>3</v>
      </c>
      <c r="O1855">
        <v>0</v>
      </c>
    </row>
    <row r="1856" spans="1:15" x14ac:dyDescent="0.3">
      <c r="A1856" t="s">
        <v>1869</v>
      </c>
      <c r="B1856">
        <v>12</v>
      </c>
      <c r="C1856">
        <v>39</v>
      </c>
      <c r="D1856" t="s">
        <v>5016</v>
      </c>
      <c r="E1856" t="s">
        <v>5018</v>
      </c>
      <c r="F1856" t="s">
        <v>5020</v>
      </c>
      <c r="G1856">
        <v>18.78</v>
      </c>
      <c r="H1856">
        <v>2</v>
      </c>
      <c r="I1856">
        <v>3.4</v>
      </c>
      <c r="J1856">
        <v>19.18</v>
      </c>
      <c r="K1856">
        <v>74.900000000000006</v>
      </c>
      <c r="L1856" t="s">
        <v>5029</v>
      </c>
      <c r="M1856">
        <v>9</v>
      </c>
      <c r="N1856">
        <v>2</v>
      </c>
      <c r="O1856">
        <v>1</v>
      </c>
    </row>
    <row r="1857" spans="1:15" x14ac:dyDescent="0.3">
      <c r="A1857" t="s">
        <v>1870</v>
      </c>
      <c r="B1857">
        <v>6</v>
      </c>
      <c r="C1857">
        <v>33</v>
      </c>
      <c r="D1857" t="s">
        <v>5015</v>
      </c>
      <c r="E1857" t="s">
        <v>5017</v>
      </c>
      <c r="F1857" t="s">
        <v>5020</v>
      </c>
      <c r="G1857">
        <v>8.74</v>
      </c>
      <c r="H1857">
        <v>1</v>
      </c>
      <c r="I1857">
        <v>9.9</v>
      </c>
      <c r="J1857">
        <v>10.83</v>
      </c>
      <c r="K1857">
        <v>56</v>
      </c>
      <c r="L1857" t="s">
        <v>5026</v>
      </c>
      <c r="M1857">
        <v>5</v>
      </c>
      <c r="N1857">
        <v>2</v>
      </c>
      <c r="O1857">
        <v>0</v>
      </c>
    </row>
    <row r="1858" spans="1:15" x14ac:dyDescent="0.3">
      <c r="A1858" t="s">
        <v>1871</v>
      </c>
      <c r="B1858">
        <v>2</v>
      </c>
      <c r="C1858">
        <v>45</v>
      </c>
      <c r="D1858" t="s">
        <v>5016</v>
      </c>
      <c r="E1858" t="s">
        <v>5018</v>
      </c>
      <c r="F1858" t="s">
        <v>5022</v>
      </c>
      <c r="G1858">
        <v>16.14</v>
      </c>
      <c r="H1858">
        <v>1</v>
      </c>
      <c r="I1858">
        <v>1.6</v>
      </c>
      <c r="J1858">
        <v>3.15</v>
      </c>
      <c r="K1858">
        <v>95</v>
      </c>
      <c r="L1858" t="s">
        <v>5028</v>
      </c>
      <c r="M1858">
        <v>2</v>
      </c>
      <c r="N1858">
        <v>2</v>
      </c>
      <c r="O1858">
        <v>0</v>
      </c>
    </row>
    <row r="1859" spans="1:15" x14ac:dyDescent="0.3">
      <c r="A1859" t="s">
        <v>1872</v>
      </c>
      <c r="B1859">
        <v>3</v>
      </c>
      <c r="C1859">
        <v>65</v>
      </c>
      <c r="D1859" t="s">
        <v>5015</v>
      </c>
      <c r="E1859" t="s">
        <v>5018</v>
      </c>
      <c r="F1859" t="s">
        <v>5021</v>
      </c>
      <c r="G1859">
        <v>17.95</v>
      </c>
      <c r="H1859">
        <v>1</v>
      </c>
      <c r="I1859">
        <v>5</v>
      </c>
      <c r="J1859">
        <v>3.15</v>
      </c>
      <c r="K1859">
        <v>89.8</v>
      </c>
      <c r="L1859" t="s">
        <v>5025</v>
      </c>
      <c r="M1859">
        <v>7</v>
      </c>
      <c r="N1859">
        <v>3</v>
      </c>
      <c r="O1859">
        <v>0</v>
      </c>
    </row>
    <row r="1860" spans="1:15" x14ac:dyDescent="0.3">
      <c r="A1860" t="s">
        <v>1873</v>
      </c>
      <c r="B1860">
        <v>1</v>
      </c>
      <c r="C1860">
        <v>52</v>
      </c>
      <c r="D1860" t="s">
        <v>5016</v>
      </c>
      <c r="E1860" t="s">
        <v>5018</v>
      </c>
      <c r="F1860" t="s">
        <v>5020</v>
      </c>
      <c r="G1860">
        <v>22.97</v>
      </c>
      <c r="H1860">
        <v>5</v>
      </c>
      <c r="I1860">
        <v>6.6</v>
      </c>
      <c r="J1860">
        <v>14.84</v>
      </c>
      <c r="K1860">
        <v>19.8</v>
      </c>
      <c r="L1860" t="s">
        <v>5025</v>
      </c>
      <c r="M1860">
        <v>10</v>
      </c>
      <c r="N1860">
        <v>2</v>
      </c>
      <c r="O1860">
        <v>1</v>
      </c>
    </row>
    <row r="1861" spans="1:15" x14ac:dyDescent="0.3">
      <c r="A1861" t="s">
        <v>1874</v>
      </c>
      <c r="B1861">
        <v>9</v>
      </c>
      <c r="C1861">
        <v>62</v>
      </c>
      <c r="D1861" t="s">
        <v>5016</v>
      </c>
      <c r="E1861" t="s">
        <v>5018</v>
      </c>
      <c r="F1861" t="s">
        <v>5024</v>
      </c>
      <c r="G1861">
        <v>14</v>
      </c>
      <c r="H1861">
        <v>2</v>
      </c>
      <c r="I1861">
        <v>6.5</v>
      </c>
      <c r="J1861">
        <v>15.13</v>
      </c>
      <c r="K1861">
        <v>66.2</v>
      </c>
      <c r="L1861" t="s">
        <v>5025</v>
      </c>
      <c r="M1861">
        <v>2</v>
      </c>
      <c r="N1861">
        <v>2</v>
      </c>
      <c r="O1861">
        <v>1</v>
      </c>
    </row>
    <row r="1862" spans="1:15" x14ac:dyDescent="0.3">
      <c r="A1862" t="s">
        <v>1875</v>
      </c>
      <c r="B1862">
        <v>8</v>
      </c>
      <c r="C1862">
        <v>63</v>
      </c>
      <c r="D1862" t="s">
        <v>5015</v>
      </c>
      <c r="E1862" t="s">
        <v>5017</v>
      </c>
      <c r="F1862" t="s">
        <v>5023</v>
      </c>
      <c r="G1862">
        <v>20.51</v>
      </c>
      <c r="H1862">
        <v>4</v>
      </c>
      <c r="I1862">
        <v>7.6</v>
      </c>
      <c r="J1862">
        <v>15.23</v>
      </c>
      <c r="K1862">
        <v>58.4</v>
      </c>
      <c r="L1862" t="s">
        <v>5028</v>
      </c>
      <c r="M1862">
        <v>8</v>
      </c>
      <c r="N1862">
        <v>4</v>
      </c>
      <c r="O1862">
        <v>0</v>
      </c>
    </row>
    <row r="1863" spans="1:15" x14ac:dyDescent="0.3">
      <c r="A1863" t="s">
        <v>1876</v>
      </c>
      <c r="B1863">
        <v>12</v>
      </c>
      <c r="C1863">
        <v>25</v>
      </c>
      <c r="D1863" t="s">
        <v>5016</v>
      </c>
      <c r="E1863" t="s">
        <v>5018</v>
      </c>
      <c r="F1863" t="s">
        <v>5023</v>
      </c>
      <c r="G1863">
        <v>8.35</v>
      </c>
      <c r="H1863">
        <v>1</v>
      </c>
      <c r="I1863">
        <v>7.5</v>
      </c>
      <c r="J1863">
        <v>18.88</v>
      </c>
      <c r="K1863">
        <v>79.900000000000006</v>
      </c>
      <c r="L1863" t="s">
        <v>5028</v>
      </c>
      <c r="M1863">
        <v>7</v>
      </c>
      <c r="N1863">
        <v>3</v>
      </c>
      <c r="O1863">
        <v>0</v>
      </c>
    </row>
    <row r="1864" spans="1:15" x14ac:dyDescent="0.3">
      <c r="A1864" t="s">
        <v>1877</v>
      </c>
      <c r="B1864">
        <v>2</v>
      </c>
      <c r="C1864">
        <v>61</v>
      </c>
      <c r="D1864" t="s">
        <v>5016</v>
      </c>
      <c r="E1864" t="s">
        <v>5017</v>
      </c>
      <c r="F1864" t="s">
        <v>5020</v>
      </c>
      <c r="G1864">
        <v>8.1199999999999992</v>
      </c>
      <c r="H1864">
        <v>5</v>
      </c>
      <c r="I1864">
        <v>8.1</v>
      </c>
      <c r="J1864">
        <v>23.27</v>
      </c>
      <c r="K1864">
        <v>37.1</v>
      </c>
      <c r="L1864" t="s">
        <v>5028</v>
      </c>
      <c r="M1864">
        <v>9</v>
      </c>
      <c r="N1864">
        <v>2</v>
      </c>
      <c r="O1864">
        <v>0</v>
      </c>
    </row>
    <row r="1865" spans="1:15" x14ac:dyDescent="0.3">
      <c r="A1865" t="s">
        <v>1878</v>
      </c>
      <c r="B1865">
        <v>12</v>
      </c>
      <c r="C1865">
        <v>39</v>
      </c>
      <c r="D1865" t="s">
        <v>5015</v>
      </c>
      <c r="E1865" t="s">
        <v>5019</v>
      </c>
      <c r="F1865" t="s">
        <v>5022</v>
      </c>
      <c r="G1865">
        <v>15.5</v>
      </c>
      <c r="H1865">
        <v>5</v>
      </c>
      <c r="I1865">
        <v>3.1</v>
      </c>
      <c r="J1865">
        <v>24.78</v>
      </c>
      <c r="K1865">
        <v>10.7</v>
      </c>
      <c r="L1865" t="s">
        <v>5027</v>
      </c>
      <c r="M1865">
        <v>6</v>
      </c>
      <c r="N1865">
        <v>3</v>
      </c>
      <c r="O1865">
        <v>0</v>
      </c>
    </row>
    <row r="1866" spans="1:15" x14ac:dyDescent="0.3">
      <c r="A1866" t="s">
        <v>1879</v>
      </c>
      <c r="B1866">
        <v>11</v>
      </c>
      <c r="C1866">
        <v>38</v>
      </c>
      <c r="D1866" t="s">
        <v>5015</v>
      </c>
      <c r="E1866" t="s">
        <v>5018</v>
      </c>
      <c r="F1866" t="s">
        <v>5023</v>
      </c>
      <c r="G1866">
        <v>16.93</v>
      </c>
      <c r="H1866">
        <v>4</v>
      </c>
      <c r="I1866">
        <v>4.3</v>
      </c>
      <c r="J1866">
        <v>18.420000000000002</v>
      </c>
      <c r="K1866">
        <v>26.7</v>
      </c>
      <c r="L1866" t="s">
        <v>5025</v>
      </c>
      <c r="M1866">
        <v>7</v>
      </c>
      <c r="N1866">
        <v>1</v>
      </c>
      <c r="O1866">
        <v>0</v>
      </c>
    </row>
    <row r="1867" spans="1:15" x14ac:dyDescent="0.3">
      <c r="A1867" t="s">
        <v>1880</v>
      </c>
      <c r="B1867">
        <v>8</v>
      </c>
      <c r="C1867">
        <v>43</v>
      </c>
      <c r="D1867" t="s">
        <v>5016</v>
      </c>
      <c r="E1867" t="s">
        <v>5019</v>
      </c>
      <c r="F1867" t="s">
        <v>5023</v>
      </c>
      <c r="G1867">
        <v>17.649999999999999</v>
      </c>
      <c r="H1867">
        <v>3</v>
      </c>
      <c r="I1867">
        <v>4.4000000000000004</v>
      </c>
      <c r="J1867">
        <v>14.31</v>
      </c>
      <c r="K1867">
        <v>29</v>
      </c>
      <c r="L1867" t="s">
        <v>5025</v>
      </c>
      <c r="M1867">
        <v>10</v>
      </c>
      <c r="N1867">
        <v>0</v>
      </c>
      <c r="O1867">
        <v>1</v>
      </c>
    </row>
    <row r="1868" spans="1:15" x14ac:dyDescent="0.3">
      <c r="A1868" t="s">
        <v>1881</v>
      </c>
      <c r="B1868">
        <v>12</v>
      </c>
      <c r="C1868">
        <v>57</v>
      </c>
      <c r="D1868" t="s">
        <v>5015</v>
      </c>
      <c r="E1868" t="s">
        <v>5017</v>
      </c>
      <c r="F1868" t="s">
        <v>5023</v>
      </c>
      <c r="G1868">
        <v>19.91</v>
      </c>
      <c r="H1868">
        <v>2</v>
      </c>
      <c r="I1868">
        <v>9.6</v>
      </c>
      <c r="J1868">
        <v>6.1</v>
      </c>
      <c r="K1868">
        <v>36.200000000000003</v>
      </c>
      <c r="L1868" t="s">
        <v>5025</v>
      </c>
      <c r="M1868">
        <v>9</v>
      </c>
      <c r="N1868">
        <v>4</v>
      </c>
      <c r="O1868">
        <v>1</v>
      </c>
    </row>
    <row r="1869" spans="1:15" x14ac:dyDescent="0.3">
      <c r="A1869" t="s">
        <v>1882</v>
      </c>
      <c r="B1869">
        <v>9</v>
      </c>
      <c r="C1869">
        <v>38</v>
      </c>
      <c r="D1869" t="s">
        <v>5016</v>
      </c>
      <c r="E1869" t="s">
        <v>5018</v>
      </c>
      <c r="F1869" t="s">
        <v>5023</v>
      </c>
      <c r="G1869">
        <v>10.9</v>
      </c>
      <c r="H1869">
        <v>2</v>
      </c>
      <c r="I1869">
        <v>4.7</v>
      </c>
      <c r="J1869">
        <v>11.45</v>
      </c>
      <c r="K1869">
        <v>43.3</v>
      </c>
      <c r="L1869" t="s">
        <v>5027</v>
      </c>
      <c r="M1869">
        <v>7</v>
      </c>
      <c r="N1869">
        <v>4</v>
      </c>
      <c r="O1869">
        <v>0</v>
      </c>
    </row>
    <row r="1870" spans="1:15" x14ac:dyDescent="0.3">
      <c r="A1870" t="s">
        <v>1883</v>
      </c>
      <c r="B1870">
        <v>1</v>
      </c>
      <c r="C1870">
        <v>42</v>
      </c>
      <c r="D1870" t="s">
        <v>5016</v>
      </c>
      <c r="E1870" t="s">
        <v>5019</v>
      </c>
      <c r="F1870" t="s">
        <v>5020</v>
      </c>
      <c r="G1870">
        <v>17.45</v>
      </c>
      <c r="H1870">
        <v>1</v>
      </c>
      <c r="I1870">
        <v>3</v>
      </c>
      <c r="J1870">
        <v>15.59</v>
      </c>
      <c r="K1870">
        <v>73.599999999999994</v>
      </c>
      <c r="L1870" t="s">
        <v>5027</v>
      </c>
      <c r="M1870">
        <v>9</v>
      </c>
      <c r="N1870">
        <v>3</v>
      </c>
      <c r="O1870">
        <v>1</v>
      </c>
    </row>
    <row r="1871" spans="1:15" x14ac:dyDescent="0.3">
      <c r="A1871" t="s">
        <v>1884</v>
      </c>
      <c r="B1871">
        <v>5</v>
      </c>
      <c r="C1871">
        <v>58</v>
      </c>
      <c r="D1871" t="s">
        <v>5015</v>
      </c>
      <c r="E1871" t="s">
        <v>5017</v>
      </c>
      <c r="F1871" t="s">
        <v>5021</v>
      </c>
      <c r="G1871">
        <v>8.76</v>
      </c>
      <c r="H1871">
        <v>3</v>
      </c>
      <c r="I1871">
        <v>6.7</v>
      </c>
      <c r="J1871">
        <v>25</v>
      </c>
      <c r="K1871">
        <v>16.7</v>
      </c>
      <c r="L1871" t="s">
        <v>5028</v>
      </c>
      <c r="M1871">
        <v>8</v>
      </c>
      <c r="N1871">
        <v>2</v>
      </c>
      <c r="O1871">
        <v>0</v>
      </c>
    </row>
    <row r="1872" spans="1:15" x14ac:dyDescent="0.3">
      <c r="A1872" t="s">
        <v>1885</v>
      </c>
      <c r="B1872">
        <v>8</v>
      </c>
      <c r="C1872">
        <v>18</v>
      </c>
      <c r="D1872" t="s">
        <v>5015</v>
      </c>
      <c r="E1872" t="s">
        <v>5019</v>
      </c>
      <c r="F1872" t="s">
        <v>5021</v>
      </c>
      <c r="G1872">
        <v>9.3800000000000008</v>
      </c>
      <c r="H1872">
        <v>2</v>
      </c>
      <c r="I1872">
        <v>4.8</v>
      </c>
      <c r="J1872">
        <v>5.79</v>
      </c>
      <c r="K1872">
        <v>53.8</v>
      </c>
      <c r="L1872" t="s">
        <v>5025</v>
      </c>
      <c r="M1872">
        <v>5</v>
      </c>
      <c r="N1872">
        <v>3</v>
      </c>
      <c r="O1872">
        <v>1</v>
      </c>
    </row>
    <row r="1873" spans="1:15" x14ac:dyDescent="0.3">
      <c r="A1873" t="s">
        <v>1886</v>
      </c>
      <c r="B1873">
        <v>11</v>
      </c>
      <c r="C1873">
        <v>23</v>
      </c>
      <c r="D1873" t="s">
        <v>5016</v>
      </c>
      <c r="E1873" t="s">
        <v>5018</v>
      </c>
      <c r="F1873" t="s">
        <v>5022</v>
      </c>
      <c r="G1873">
        <v>6.35</v>
      </c>
      <c r="H1873">
        <v>1</v>
      </c>
      <c r="I1873">
        <v>3.3</v>
      </c>
      <c r="J1873">
        <v>20.45</v>
      </c>
      <c r="K1873">
        <v>54.9</v>
      </c>
      <c r="L1873" t="s">
        <v>5025</v>
      </c>
      <c r="M1873">
        <v>7</v>
      </c>
      <c r="N1873">
        <v>0</v>
      </c>
      <c r="O1873">
        <v>0</v>
      </c>
    </row>
    <row r="1874" spans="1:15" x14ac:dyDescent="0.3">
      <c r="A1874" t="s">
        <v>1887</v>
      </c>
      <c r="B1874">
        <v>2</v>
      </c>
      <c r="C1874">
        <v>40</v>
      </c>
      <c r="D1874" t="s">
        <v>5015</v>
      </c>
      <c r="E1874" t="s">
        <v>5018</v>
      </c>
      <c r="F1874" t="s">
        <v>5024</v>
      </c>
      <c r="G1874">
        <v>19.940000000000001</v>
      </c>
      <c r="H1874">
        <v>3</v>
      </c>
      <c r="I1874">
        <v>7.4</v>
      </c>
      <c r="J1874">
        <v>24.98</v>
      </c>
      <c r="K1874">
        <v>65.400000000000006</v>
      </c>
      <c r="L1874" t="s">
        <v>5029</v>
      </c>
      <c r="M1874">
        <v>7</v>
      </c>
      <c r="N1874">
        <v>4</v>
      </c>
      <c r="O1874">
        <v>0</v>
      </c>
    </row>
    <row r="1875" spans="1:15" x14ac:dyDescent="0.3">
      <c r="A1875" t="s">
        <v>1888</v>
      </c>
      <c r="B1875">
        <v>4</v>
      </c>
      <c r="C1875">
        <v>68</v>
      </c>
      <c r="D1875" t="s">
        <v>5015</v>
      </c>
      <c r="E1875" t="s">
        <v>5018</v>
      </c>
      <c r="F1875" t="s">
        <v>5021</v>
      </c>
      <c r="G1875">
        <v>15.14</v>
      </c>
      <c r="H1875">
        <v>5</v>
      </c>
      <c r="I1875">
        <v>2.7</v>
      </c>
      <c r="J1875">
        <v>20.72</v>
      </c>
      <c r="K1875">
        <v>37.9</v>
      </c>
      <c r="L1875" t="s">
        <v>5029</v>
      </c>
      <c r="M1875">
        <v>1</v>
      </c>
      <c r="N1875">
        <v>4</v>
      </c>
      <c r="O1875">
        <v>0</v>
      </c>
    </row>
    <row r="1876" spans="1:15" x14ac:dyDescent="0.3">
      <c r="A1876" t="s">
        <v>1889</v>
      </c>
      <c r="B1876">
        <v>7</v>
      </c>
      <c r="C1876">
        <v>40</v>
      </c>
      <c r="D1876" t="s">
        <v>5016</v>
      </c>
      <c r="E1876" t="s">
        <v>5018</v>
      </c>
      <c r="F1876" t="s">
        <v>5024</v>
      </c>
      <c r="G1876">
        <v>9.76</v>
      </c>
      <c r="H1876">
        <v>1</v>
      </c>
      <c r="I1876">
        <v>6.7</v>
      </c>
      <c r="J1876">
        <v>19.88</v>
      </c>
      <c r="K1876">
        <v>33.4</v>
      </c>
      <c r="L1876" t="s">
        <v>5029</v>
      </c>
      <c r="M1876">
        <v>4</v>
      </c>
      <c r="N1876">
        <v>0</v>
      </c>
      <c r="O1876">
        <v>0</v>
      </c>
    </row>
    <row r="1877" spans="1:15" x14ac:dyDescent="0.3">
      <c r="A1877" t="s">
        <v>1890</v>
      </c>
      <c r="B1877">
        <v>3</v>
      </c>
      <c r="C1877">
        <v>60</v>
      </c>
      <c r="D1877" t="s">
        <v>5016</v>
      </c>
      <c r="E1877" t="s">
        <v>5018</v>
      </c>
      <c r="F1877" t="s">
        <v>5021</v>
      </c>
      <c r="G1877">
        <v>16.12</v>
      </c>
      <c r="H1877">
        <v>3</v>
      </c>
      <c r="I1877">
        <v>4.9000000000000004</v>
      </c>
      <c r="J1877">
        <v>8.69</v>
      </c>
      <c r="K1877">
        <v>53.5</v>
      </c>
      <c r="L1877" t="s">
        <v>5027</v>
      </c>
      <c r="M1877">
        <v>5</v>
      </c>
      <c r="N1877">
        <v>3</v>
      </c>
      <c r="O1877">
        <v>1</v>
      </c>
    </row>
    <row r="1878" spans="1:15" x14ac:dyDescent="0.3">
      <c r="A1878" t="s">
        <v>1891</v>
      </c>
      <c r="B1878">
        <v>12</v>
      </c>
      <c r="C1878">
        <v>60</v>
      </c>
      <c r="D1878" t="s">
        <v>5016</v>
      </c>
      <c r="E1878" t="s">
        <v>5018</v>
      </c>
      <c r="F1878" t="s">
        <v>5021</v>
      </c>
      <c r="G1878">
        <v>12.08</v>
      </c>
      <c r="H1878">
        <v>4</v>
      </c>
      <c r="I1878">
        <v>3.9</v>
      </c>
      <c r="J1878">
        <v>3.07</v>
      </c>
      <c r="K1878">
        <v>69.400000000000006</v>
      </c>
      <c r="L1878" t="s">
        <v>5028</v>
      </c>
      <c r="M1878">
        <v>6</v>
      </c>
      <c r="N1878">
        <v>4</v>
      </c>
      <c r="O1878">
        <v>1</v>
      </c>
    </row>
    <row r="1879" spans="1:15" x14ac:dyDescent="0.3">
      <c r="A1879" t="s">
        <v>1892</v>
      </c>
      <c r="B1879">
        <v>5</v>
      </c>
      <c r="C1879">
        <v>40</v>
      </c>
      <c r="D1879" t="s">
        <v>5016</v>
      </c>
      <c r="E1879" t="s">
        <v>5018</v>
      </c>
      <c r="F1879" t="s">
        <v>5022</v>
      </c>
      <c r="G1879">
        <v>21.74</v>
      </c>
      <c r="H1879">
        <v>2</v>
      </c>
      <c r="I1879">
        <v>9.5</v>
      </c>
      <c r="J1879">
        <v>7.97</v>
      </c>
      <c r="K1879">
        <v>14</v>
      </c>
      <c r="L1879" t="s">
        <v>5026</v>
      </c>
      <c r="M1879">
        <v>7</v>
      </c>
      <c r="N1879">
        <v>2</v>
      </c>
      <c r="O1879">
        <v>0</v>
      </c>
    </row>
    <row r="1880" spans="1:15" x14ac:dyDescent="0.3">
      <c r="A1880" t="s">
        <v>1893</v>
      </c>
      <c r="B1880">
        <v>8</v>
      </c>
      <c r="C1880">
        <v>49</v>
      </c>
      <c r="D1880" t="s">
        <v>5016</v>
      </c>
      <c r="E1880" t="s">
        <v>5018</v>
      </c>
      <c r="F1880" t="s">
        <v>5023</v>
      </c>
      <c r="G1880">
        <v>15.56</v>
      </c>
      <c r="H1880">
        <v>1</v>
      </c>
      <c r="I1880">
        <v>3.9</v>
      </c>
      <c r="J1880">
        <v>20.38</v>
      </c>
      <c r="K1880">
        <v>36.4</v>
      </c>
      <c r="L1880" t="s">
        <v>5025</v>
      </c>
      <c r="M1880">
        <v>5</v>
      </c>
      <c r="N1880">
        <v>3</v>
      </c>
      <c r="O1880">
        <v>0</v>
      </c>
    </row>
    <row r="1881" spans="1:15" x14ac:dyDescent="0.3">
      <c r="A1881" t="s">
        <v>1894</v>
      </c>
      <c r="B1881">
        <v>12</v>
      </c>
      <c r="C1881">
        <v>47</v>
      </c>
      <c r="D1881" t="s">
        <v>5016</v>
      </c>
      <c r="E1881" t="s">
        <v>5017</v>
      </c>
      <c r="F1881" t="s">
        <v>5022</v>
      </c>
      <c r="G1881">
        <v>5.6</v>
      </c>
      <c r="H1881">
        <v>5</v>
      </c>
      <c r="I1881">
        <v>4.0999999999999996</v>
      </c>
      <c r="J1881">
        <v>5.36</v>
      </c>
      <c r="K1881">
        <v>80.900000000000006</v>
      </c>
      <c r="L1881" t="s">
        <v>5029</v>
      </c>
      <c r="M1881">
        <v>2</v>
      </c>
      <c r="N1881">
        <v>2</v>
      </c>
      <c r="O1881">
        <v>0</v>
      </c>
    </row>
    <row r="1882" spans="1:15" x14ac:dyDescent="0.3">
      <c r="A1882" t="s">
        <v>1895</v>
      </c>
      <c r="B1882">
        <v>10</v>
      </c>
      <c r="C1882">
        <v>30</v>
      </c>
      <c r="D1882" t="s">
        <v>5015</v>
      </c>
      <c r="E1882" t="s">
        <v>5017</v>
      </c>
      <c r="F1882" t="s">
        <v>5021</v>
      </c>
      <c r="G1882">
        <v>24.7</v>
      </c>
      <c r="H1882">
        <v>1</v>
      </c>
      <c r="I1882">
        <v>8.8000000000000007</v>
      </c>
      <c r="J1882">
        <v>9.51</v>
      </c>
      <c r="K1882">
        <v>53.6</v>
      </c>
      <c r="L1882" t="s">
        <v>5025</v>
      </c>
      <c r="M1882">
        <v>5</v>
      </c>
      <c r="N1882">
        <v>1</v>
      </c>
      <c r="O1882">
        <v>0</v>
      </c>
    </row>
    <row r="1883" spans="1:15" x14ac:dyDescent="0.3">
      <c r="A1883" t="s">
        <v>1896</v>
      </c>
      <c r="B1883">
        <v>3</v>
      </c>
      <c r="C1883">
        <v>60</v>
      </c>
      <c r="D1883" t="s">
        <v>5016</v>
      </c>
      <c r="E1883" t="s">
        <v>5017</v>
      </c>
      <c r="F1883" t="s">
        <v>5023</v>
      </c>
      <c r="G1883">
        <v>6.49</v>
      </c>
      <c r="H1883">
        <v>2</v>
      </c>
      <c r="I1883">
        <v>2.2000000000000002</v>
      </c>
      <c r="J1883">
        <v>15.38</v>
      </c>
      <c r="K1883">
        <v>95.7</v>
      </c>
      <c r="L1883" t="s">
        <v>5025</v>
      </c>
      <c r="M1883">
        <v>5</v>
      </c>
      <c r="N1883">
        <v>0</v>
      </c>
      <c r="O1883">
        <v>0</v>
      </c>
    </row>
    <row r="1884" spans="1:15" x14ac:dyDescent="0.3">
      <c r="A1884" t="s">
        <v>1897</v>
      </c>
      <c r="B1884">
        <v>4</v>
      </c>
      <c r="C1884">
        <v>35</v>
      </c>
      <c r="D1884" t="s">
        <v>5015</v>
      </c>
      <c r="E1884" t="s">
        <v>5018</v>
      </c>
      <c r="F1884" t="s">
        <v>5023</v>
      </c>
      <c r="G1884">
        <v>18.920000000000002</v>
      </c>
      <c r="H1884">
        <v>2</v>
      </c>
      <c r="I1884">
        <v>2</v>
      </c>
      <c r="J1884">
        <v>15.76</v>
      </c>
      <c r="K1884">
        <v>88.1</v>
      </c>
      <c r="L1884" t="s">
        <v>5025</v>
      </c>
      <c r="M1884">
        <v>7</v>
      </c>
      <c r="N1884">
        <v>4</v>
      </c>
      <c r="O1884">
        <v>0</v>
      </c>
    </row>
    <row r="1885" spans="1:15" x14ac:dyDescent="0.3">
      <c r="A1885" t="s">
        <v>1898</v>
      </c>
      <c r="B1885">
        <v>9</v>
      </c>
      <c r="C1885">
        <v>40</v>
      </c>
      <c r="D1885" t="s">
        <v>5015</v>
      </c>
      <c r="E1885" t="s">
        <v>5019</v>
      </c>
      <c r="F1885" t="s">
        <v>5023</v>
      </c>
      <c r="G1885">
        <v>13.75</v>
      </c>
      <c r="H1885">
        <v>3</v>
      </c>
      <c r="I1885">
        <v>3.5</v>
      </c>
      <c r="J1885">
        <v>14.95</v>
      </c>
      <c r="K1885">
        <v>41</v>
      </c>
      <c r="L1885" t="s">
        <v>5028</v>
      </c>
      <c r="M1885">
        <v>3</v>
      </c>
      <c r="N1885">
        <v>0</v>
      </c>
      <c r="O1885">
        <v>1</v>
      </c>
    </row>
    <row r="1886" spans="1:15" x14ac:dyDescent="0.3">
      <c r="A1886" t="s">
        <v>1899</v>
      </c>
      <c r="B1886">
        <v>7</v>
      </c>
      <c r="C1886">
        <v>32</v>
      </c>
      <c r="D1886" t="s">
        <v>5016</v>
      </c>
      <c r="E1886" t="s">
        <v>5019</v>
      </c>
      <c r="F1886" t="s">
        <v>5024</v>
      </c>
      <c r="G1886">
        <v>9.99</v>
      </c>
      <c r="H1886">
        <v>5</v>
      </c>
      <c r="I1886">
        <v>6.3</v>
      </c>
      <c r="J1886">
        <v>24.58</v>
      </c>
      <c r="K1886">
        <v>75.400000000000006</v>
      </c>
      <c r="L1886" t="s">
        <v>5025</v>
      </c>
      <c r="M1886">
        <v>1</v>
      </c>
      <c r="N1886">
        <v>0</v>
      </c>
      <c r="O1886">
        <v>0</v>
      </c>
    </row>
    <row r="1887" spans="1:15" x14ac:dyDescent="0.3">
      <c r="A1887" t="s">
        <v>1900</v>
      </c>
      <c r="B1887">
        <v>1</v>
      </c>
      <c r="C1887">
        <v>50</v>
      </c>
      <c r="D1887" t="s">
        <v>5015</v>
      </c>
      <c r="E1887" t="s">
        <v>5017</v>
      </c>
      <c r="F1887" t="s">
        <v>5021</v>
      </c>
      <c r="G1887">
        <v>18.53</v>
      </c>
      <c r="H1887">
        <v>3</v>
      </c>
      <c r="I1887">
        <v>4.5</v>
      </c>
      <c r="J1887">
        <v>3.27</v>
      </c>
      <c r="K1887">
        <v>34.700000000000003</v>
      </c>
      <c r="L1887" t="s">
        <v>5028</v>
      </c>
      <c r="M1887">
        <v>6</v>
      </c>
      <c r="N1887">
        <v>2</v>
      </c>
      <c r="O1887">
        <v>1</v>
      </c>
    </row>
    <row r="1888" spans="1:15" x14ac:dyDescent="0.3">
      <c r="A1888" t="s">
        <v>1901</v>
      </c>
      <c r="B1888">
        <v>12</v>
      </c>
      <c r="C1888">
        <v>38</v>
      </c>
      <c r="D1888" t="s">
        <v>5016</v>
      </c>
      <c r="E1888" t="s">
        <v>5019</v>
      </c>
      <c r="F1888" t="s">
        <v>5020</v>
      </c>
      <c r="G1888">
        <v>7.52</v>
      </c>
      <c r="H1888">
        <v>5</v>
      </c>
      <c r="I1888">
        <v>6.5</v>
      </c>
      <c r="J1888">
        <v>13.73</v>
      </c>
      <c r="K1888">
        <v>25.8</v>
      </c>
      <c r="L1888" t="s">
        <v>5026</v>
      </c>
      <c r="M1888">
        <v>7</v>
      </c>
      <c r="N1888">
        <v>4</v>
      </c>
      <c r="O1888">
        <v>0</v>
      </c>
    </row>
    <row r="1889" spans="1:15" x14ac:dyDescent="0.3">
      <c r="A1889" t="s">
        <v>1902</v>
      </c>
      <c r="B1889">
        <v>4</v>
      </c>
      <c r="C1889">
        <v>56</v>
      </c>
      <c r="D1889" t="s">
        <v>5015</v>
      </c>
      <c r="E1889" t="s">
        <v>5018</v>
      </c>
      <c r="F1889" t="s">
        <v>5022</v>
      </c>
      <c r="G1889">
        <v>22.16</v>
      </c>
      <c r="H1889">
        <v>1</v>
      </c>
      <c r="I1889">
        <v>2.4</v>
      </c>
      <c r="J1889">
        <v>14.1</v>
      </c>
      <c r="K1889">
        <v>89.3</v>
      </c>
      <c r="L1889" t="s">
        <v>5026</v>
      </c>
      <c r="M1889">
        <v>11</v>
      </c>
      <c r="N1889">
        <v>1</v>
      </c>
      <c r="O1889">
        <v>1</v>
      </c>
    </row>
    <row r="1890" spans="1:15" x14ac:dyDescent="0.3">
      <c r="A1890" t="s">
        <v>1903</v>
      </c>
      <c r="B1890">
        <v>4</v>
      </c>
      <c r="C1890">
        <v>40</v>
      </c>
      <c r="D1890" t="s">
        <v>5016</v>
      </c>
      <c r="E1890" t="s">
        <v>5019</v>
      </c>
      <c r="F1890" t="s">
        <v>5024</v>
      </c>
      <c r="G1890">
        <v>10.01</v>
      </c>
      <c r="H1890">
        <v>1</v>
      </c>
      <c r="I1890">
        <v>3.4</v>
      </c>
      <c r="J1890">
        <v>9.4499999999999993</v>
      </c>
      <c r="K1890">
        <v>41.5</v>
      </c>
      <c r="L1890" t="s">
        <v>5027</v>
      </c>
      <c r="M1890">
        <v>10</v>
      </c>
      <c r="N1890">
        <v>0</v>
      </c>
      <c r="O1890">
        <v>0</v>
      </c>
    </row>
    <row r="1891" spans="1:15" x14ac:dyDescent="0.3">
      <c r="A1891" t="s">
        <v>1904</v>
      </c>
      <c r="B1891">
        <v>9</v>
      </c>
      <c r="C1891">
        <v>44</v>
      </c>
      <c r="D1891" t="s">
        <v>5016</v>
      </c>
      <c r="E1891" t="s">
        <v>5019</v>
      </c>
      <c r="F1891" t="s">
        <v>5022</v>
      </c>
      <c r="G1891">
        <v>12.23</v>
      </c>
      <c r="H1891">
        <v>3</v>
      </c>
      <c r="I1891">
        <v>6.1</v>
      </c>
      <c r="J1891">
        <v>14.55</v>
      </c>
      <c r="K1891">
        <v>28.3</v>
      </c>
      <c r="L1891" t="s">
        <v>5025</v>
      </c>
      <c r="M1891">
        <v>8</v>
      </c>
      <c r="N1891">
        <v>2</v>
      </c>
      <c r="O1891">
        <v>0</v>
      </c>
    </row>
    <row r="1892" spans="1:15" x14ac:dyDescent="0.3">
      <c r="A1892" t="s">
        <v>1905</v>
      </c>
      <c r="B1892">
        <v>6</v>
      </c>
      <c r="C1892">
        <v>62</v>
      </c>
      <c r="D1892" t="s">
        <v>5016</v>
      </c>
      <c r="E1892" t="s">
        <v>5019</v>
      </c>
      <c r="F1892" t="s">
        <v>5020</v>
      </c>
      <c r="G1892">
        <v>17.649999999999999</v>
      </c>
      <c r="H1892">
        <v>4</v>
      </c>
      <c r="I1892">
        <v>3</v>
      </c>
      <c r="J1892">
        <v>17.809999999999999</v>
      </c>
      <c r="K1892">
        <v>96.8</v>
      </c>
      <c r="L1892" t="s">
        <v>5029</v>
      </c>
      <c r="M1892">
        <v>7</v>
      </c>
      <c r="N1892">
        <v>2</v>
      </c>
      <c r="O1892">
        <v>0</v>
      </c>
    </row>
    <row r="1893" spans="1:15" x14ac:dyDescent="0.3">
      <c r="A1893" t="s">
        <v>1906</v>
      </c>
      <c r="B1893">
        <v>9</v>
      </c>
      <c r="C1893">
        <v>61</v>
      </c>
      <c r="D1893" t="s">
        <v>5016</v>
      </c>
      <c r="E1893" t="s">
        <v>5017</v>
      </c>
      <c r="F1893" t="s">
        <v>5023</v>
      </c>
      <c r="G1893">
        <v>5.0199999999999996</v>
      </c>
      <c r="H1893">
        <v>2</v>
      </c>
      <c r="I1893">
        <v>4.8</v>
      </c>
      <c r="J1893">
        <v>17.8</v>
      </c>
      <c r="K1893">
        <v>12.8</v>
      </c>
      <c r="L1893" t="s">
        <v>5027</v>
      </c>
      <c r="M1893">
        <v>7</v>
      </c>
      <c r="N1893">
        <v>4</v>
      </c>
      <c r="O1893">
        <v>0</v>
      </c>
    </row>
    <row r="1894" spans="1:15" x14ac:dyDescent="0.3">
      <c r="A1894" t="s">
        <v>1907</v>
      </c>
      <c r="B1894">
        <v>12</v>
      </c>
      <c r="C1894">
        <v>35</v>
      </c>
      <c r="D1894" t="s">
        <v>5015</v>
      </c>
      <c r="E1894" t="s">
        <v>5017</v>
      </c>
      <c r="F1894" t="s">
        <v>5020</v>
      </c>
      <c r="G1894">
        <v>14.45</v>
      </c>
      <c r="H1894">
        <v>3</v>
      </c>
      <c r="I1894">
        <v>6.2</v>
      </c>
      <c r="J1894">
        <v>4.93</v>
      </c>
      <c r="K1894">
        <v>43</v>
      </c>
      <c r="L1894" t="s">
        <v>5027</v>
      </c>
      <c r="M1894">
        <v>7</v>
      </c>
      <c r="N1894">
        <v>3</v>
      </c>
      <c r="O1894">
        <v>0</v>
      </c>
    </row>
    <row r="1895" spans="1:15" x14ac:dyDescent="0.3">
      <c r="A1895" t="s">
        <v>1908</v>
      </c>
      <c r="B1895">
        <v>6</v>
      </c>
      <c r="C1895">
        <v>41</v>
      </c>
      <c r="D1895" t="s">
        <v>5015</v>
      </c>
      <c r="E1895" t="s">
        <v>5017</v>
      </c>
      <c r="F1895" t="s">
        <v>5022</v>
      </c>
      <c r="G1895">
        <v>22.88</v>
      </c>
      <c r="H1895">
        <v>3</v>
      </c>
      <c r="I1895">
        <v>9.8000000000000007</v>
      </c>
      <c r="J1895">
        <v>20.65</v>
      </c>
      <c r="K1895">
        <v>13.5</v>
      </c>
      <c r="L1895" t="s">
        <v>5026</v>
      </c>
      <c r="M1895">
        <v>1</v>
      </c>
      <c r="N1895">
        <v>3</v>
      </c>
      <c r="O1895">
        <v>0</v>
      </c>
    </row>
    <row r="1896" spans="1:15" x14ac:dyDescent="0.3">
      <c r="A1896" t="s">
        <v>1909</v>
      </c>
      <c r="B1896">
        <v>6</v>
      </c>
      <c r="C1896">
        <v>68</v>
      </c>
      <c r="D1896" t="s">
        <v>5015</v>
      </c>
      <c r="E1896" t="s">
        <v>5019</v>
      </c>
      <c r="F1896" t="s">
        <v>5020</v>
      </c>
      <c r="G1896">
        <v>18.61</v>
      </c>
      <c r="H1896">
        <v>1</v>
      </c>
      <c r="I1896">
        <v>1.7</v>
      </c>
      <c r="J1896">
        <v>23.48</v>
      </c>
      <c r="K1896">
        <v>55.4</v>
      </c>
      <c r="L1896" t="s">
        <v>5029</v>
      </c>
      <c r="M1896">
        <v>9</v>
      </c>
      <c r="N1896">
        <v>1</v>
      </c>
      <c r="O1896">
        <v>1</v>
      </c>
    </row>
    <row r="1897" spans="1:15" x14ac:dyDescent="0.3">
      <c r="A1897" t="s">
        <v>1910</v>
      </c>
      <c r="B1897">
        <v>5</v>
      </c>
      <c r="C1897">
        <v>64</v>
      </c>
      <c r="D1897" t="s">
        <v>5015</v>
      </c>
      <c r="E1897" t="s">
        <v>5018</v>
      </c>
      <c r="F1897" t="s">
        <v>5021</v>
      </c>
      <c r="G1897">
        <v>12.76</v>
      </c>
      <c r="H1897">
        <v>2</v>
      </c>
      <c r="I1897">
        <v>5.0999999999999996</v>
      </c>
      <c r="J1897">
        <v>5.72</v>
      </c>
      <c r="K1897">
        <v>46.1</v>
      </c>
      <c r="L1897" t="s">
        <v>5025</v>
      </c>
      <c r="M1897">
        <v>9</v>
      </c>
      <c r="N1897">
        <v>2</v>
      </c>
      <c r="O1897">
        <v>0</v>
      </c>
    </row>
    <row r="1898" spans="1:15" x14ac:dyDescent="0.3">
      <c r="A1898" t="s">
        <v>1911</v>
      </c>
      <c r="B1898">
        <v>5</v>
      </c>
      <c r="C1898">
        <v>57</v>
      </c>
      <c r="D1898" t="s">
        <v>5015</v>
      </c>
      <c r="E1898" t="s">
        <v>5019</v>
      </c>
      <c r="F1898" t="s">
        <v>5020</v>
      </c>
      <c r="G1898">
        <v>18.21</v>
      </c>
      <c r="H1898">
        <v>3</v>
      </c>
      <c r="I1898">
        <v>4.5999999999999996</v>
      </c>
      <c r="J1898">
        <v>12.17</v>
      </c>
      <c r="K1898">
        <v>74.900000000000006</v>
      </c>
      <c r="L1898" t="s">
        <v>5025</v>
      </c>
      <c r="M1898">
        <v>7</v>
      </c>
      <c r="N1898">
        <v>3</v>
      </c>
      <c r="O1898">
        <v>0</v>
      </c>
    </row>
    <row r="1899" spans="1:15" x14ac:dyDescent="0.3">
      <c r="A1899" t="s">
        <v>1912</v>
      </c>
      <c r="B1899">
        <v>2</v>
      </c>
      <c r="C1899">
        <v>68</v>
      </c>
      <c r="D1899" t="s">
        <v>5016</v>
      </c>
      <c r="E1899" t="s">
        <v>5018</v>
      </c>
      <c r="F1899" t="s">
        <v>5021</v>
      </c>
      <c r="G1899">
        <v>23.73</v>
      </c>
      <c r="H1899">
        <v>1</v>
      </c>
      <c r="I1899">
        <v>8.4</v>
      </c>
      <c r="J1899">
        <v>14.26</v>
      </c>
      <c r="K1899">
        <v>95.9</v>
      </c>
      <c r="L1899" t="s">
        <v>5026</v>
      </c>
      <c r="M1899">
        <v>9</v>
      </c>
      <c r="N1899">
        <v>0</v>
      </c>
      <c r="O1899">
        <v>1</v>
      </c>
    </row>
    <row r="1900" spans="1:15" x14ac:dyDescent="0.3">
      <c r="A1900" t="s">
        <v>1913</v>
      </c>
      <c r="B1900">
        <v>8</v>
      </c>
      <c r="C1900">
        <v>59</v>
      </c>
      <c r="D1900" t="s">
        <v>5016</v>
      </c>
      <c r="E1900" t="s">
        <v>5019</v>
      </c>
      <c r="F1900" t="s">
        <v>5020</v>
      </c>
      <c r="G1900">
        <v>8.76</v>
      </c>
      <c r="H1900">
        <v>1</v>
      </c>
      <c r="I1900">
        <v>9.1</v>
      </c>
      <c r="J1900">
        <v>5.97</v>
      </c>
      <c r="K1900">
        <v>56.8</v>
      </c>
      <c r="L1900" t="s">
        <v>5028</v>
      </c>
      <c r="M1900">
        <v>11</v>
      </c>
      <c r="N1900">
        <v>1</v>
      </c>
      <c r="O1900">
        <v>1</v>
      </c>
    </row>
    <row r="1901" spans="1:15" x14ac:dyDescent="0.3">
      <c r="A1901" t="s">
        <v>1914</v>
      </c>
      <c r="B1901">
        <v>8</v>
      </c>
      <c r="C1901">
        <v>24</v>
      </c>
      <c r="D1901" t="s">
        <v>5016</v>
      </c>
      <c r="E1901" t="s">
        <v>5017</v>
      </c>
      <c r="F1901" t="s">
        <v>5021</v>
      </c>
      <c r="G1901">
        <v>15.64</v>
      </c>
      <c r="H1901">
        <v>3</v>
      </c>
      <c r="I1901">
        <v>9.1999999999999993</v>
      </c>
      <c r="J1901">
        <v>14.07</v>
      </c>
      <c r="K1901">
        <v>35.700000000000003</v>
      </c>
      <c r="L1901" t="s">
        <v>5026</v>
      </c>
      <c r="M1901">
        <v>4</v>
      </c>
      <c r="N1901">
        <v>0</v>
      </c>
      <c r="O1901">
        <v>0</v>
      </c>
    </row>
    <row r="1902" spans="1:15" x14ac:dyDescent="0.3">
      <c r="A1902" t="s">
        <v>1915</v>
      </c>
      <c r="B1902">
        <v>11</v>
      </c>
      <c r="C1902">
        <v>67</v>
      </c>
      <c r="D1902" t="s">
        <v>5016</v>
      </c>
      <c r="E1902" t="s">
        <v>5017</v>
      </c>
      <c r="F1902" t="s">
        <v>5021</v>
      </c>
      <c r="G1902">
        <v>9.69</v>
      </c>
      <c r="H1902">
        <v>3</v>
      </c>
      <c r="I1902">
        <v>4.4000000000000004</v>
      </c>
      <c r="J1902">
        <v>7.55</v>
      </c>
      <c r="K1902">
        <v>88.5</v>
      </c>
      <c r="L1902" t="s">
        <v>5029</v>
      </c>
      <c r="M1902">
        <v>7</v>
      </c>
      <c r="N1902">
        <v>3</v>
      </c>
      <c r="O1902">
        <v>0</v>
      </c>
    </row>
    <row r="1903" spans="1:15" x14ac:dyDescent="0.3">
      <c r="A1903" t="s">
        <v>1916</v>
      </c>
      <c r="B1903">
        <v>1</v>
      </c>
      <c r="C1903">
        <v>65</v>
      </c>
      <c r="D1903" t="s">
        <v>5016</v>
      </c>
      <c r="E1903" t="s">
        <v>5018</v>
      </c>
      <c r="F1903" t="s">
        <v>5020</v>
      </c>
      <c r="G1903">
        <v>22.08</v>
      </c>
      <c r="H1903">
        <v>1</v>
      </c>
      <c r="I1903">
        <v>3.7</v>
      </c>
      <c r="J1903">
        <v>23.58</v>
      </c>
      <c r="K1903">
        <v>64.400000000000006</v>
      </c>
      <c r="L1903" t="s">
        <v>5028</v>
      </c>
      <c r="M1903">
        <v>2</v>
      </c>
      <c r="N1903">
        <v>2</v>
      </c>
      <c r="O1903">
        <v>0</v>
      </c>
    </row>
    <row r="1904" spans="1:15" x14ac:dyDescent="0.3">
      <c r="A1904" t="s">
        <v>1917</v>
      </c>
      <c r="B1904">
        <v>8</v>
      </c>
      <c r="C1904">
        <v>37</v>
      </c>
      <c r="D1904" t="s">
        <v>5015</v>
      </c>
      <c r="E1904" t="s">
        <v>5018</v>
      </c>
      <c r="F1904" t="s">
        <v>5024</v>
      </c>
      <c r="G1904">
        <v>19.420000000000002</v>
      </c>
      <c r="H1904">
        <v>3</v>
      </c>
      <c r="I1904">
        <v>5</v>
      </c>
      <c r="J1904">
        <v>12.87</v>
      </c>
      <c r="K1904">
        <v>59.8</v>
      </c>
      <c r="L1904" t="s">
        <v>5029</v>
      </c>
      <c r="M1904">
        <v>6</v>
      </c>
      <c r="N1904">
        <v>3</v>
      </c>
      <c r="O1904">
        <v>0</v>
      </c>
    </row>
    <row r="1905" spans="1:15" x14ac:dyDescent="0.3">
      <c r="A1905" t="s">
        <v>1918</v>
      </c>
      <c r="B1905">
        <v>5</v>
      </c>
      <c r="C1905">
        <v>44</v>
      </c>
      <c r="D1905" t="s">
        <v>5016</v>
      </c>
      <c r="E1905" t="s">
        <v>5018</v>
      </c>
      <c r="F1905" t="s">
        <v>5023</v>
      </c>
      <c r="G1905">
        <v>21.02</v>
      </c>
      <c r="H1905">
        <v>2</v>
      </c>
      <c r="I1905">
        <v>4.0999999999999996</v>
      </c>
      <c r="J1905">
        <v>24.89</v>
      </c>
      <c r="K1905">
        <v>27</v>
      </c>
      <c r="L1905" t="s">
        <v>5025</v>
      </c>
      <c r="M1905">
        <v>2</v>
      </c>
      <c r="N1905">
        <v>1</v>
      </c>
      <c r="O1905">
        <v>0</v>
      </c>
    </row>
    <row r="1906" spans="1:15" x14ac:dyDescent="0.3">
      <c r="A1906" t="s">
        <v>1919</v>
      </c>
      <c r="B1906">
        <v>2</v>
      </c>
      <c r="C1906">
        <v>23</v>
      </c>
      <c r="D1906" t="s">
        <v>5016</v>
      </c>
      <c r="E1906" t="s">
        <v>5019</v>
      </c>
      <c r="F1906" t="s">
        <v>5023</v>
      </c>
      <c r="G1906">
        <v>23.86</v>
      </c>
      <c r="H1906">
        <v>1</v>
      </c>
      <c r="I1906">
        <v>7.5</v>
      </c>
      <c r="J1906">
        <v>4.0199999999999996</v>
      </c>
      <c r="K1906">
        <v>13.7</v>
      </c>
      <c r="L1906" t="s">
        <v>5028</v>
      </c>
      <c r="M1906">
        <v>10</v>
      </c>
      <c r="N1906">
        <v>1</v>
      </c>
      <c r="O1906">
        <v>0</v>
      </c>
    </row>
    <row r="1907" spans="1:15" x14ac:dyDescent="0.3">
      <c r="A1907" t="s">
        <v>1920</v>
      </c>
      <c r="B1907">
        <v>2</v>
      </c>
      <c r="C1907">
        <v>44</v>
      </c>
      <c r="D1907" t="s">
        <v>5015</v>
      </c>
      <c r="E1907" t="s">
        <v>5017</v>
      </c>
      <c r="F1907" t="s">
        <v>5023</v>
      </c>
      <c r="G1907">
        <v>9.65</v>
      </c>
      <c r="H1907">
        <v>1</v>
      </c>
      <c r="I1907">
        <v>2.9</v>
      </c>
      <c r="J1907">
        <v>5.81</v>
      </c>
      <c r="K1907">
        <v>51.5</v>
      </c>
      <c r="L1907" t="s">
        <v>5029</v>
      </c>
      <c r="M1907">
        <v>3</v>
      </c>
      <c r="N1907">
        <v>0</v>
      </c>
      <c r="O1907">
        <v>0</v>
      </c>
    </row>
    <row r="1908" spans="1:15" x14ac:dyDescent="0.3">
      <c r="A1908" t="s">
        <v>1921</v>
      </c>
      <c r="B1908">
        <v>6</v>
      </c>
      <c r="C1908">
        <v>26</v>
      </c>
      <c r="D1908" t="s">
        <v>5015</v>
      </c>
      <c r="E1908" t="s">
        <v>5018</v>
      </c>
      <c r="F1908" t="s">
        <v>5021</v>
      </c>
      <c r="G1908">
        <v>5.97</v>
      </c>
      <c r="H1908">
        <v>3</v>
      </c>
      <c r="I1908">
        <v>6.9</v>
      </c>
      <c r="J1908">
        <v>12.75</v>
      </c>
      <c r="K1908">
        <v>57.5</v>
      </c>
      <c r="L1908" t="s">
        <v>5025</v>
      </c>
      <c r="M1908">
        <v>11</v>
      </c>
      <c r="N1908">
        <v>0</v>
      </c>
      <c r="O1908">
        <v>0</v>
      </c>
    </row>
    <row r="1909" spans="1:15" x14ac:dyDescent="0.3">
      <c r="A1909" t="s">
        <v>1922</v>
      </c>
      <c r="B1909">
        <v>11</v>
      </c>
      <c r="C1909">
        <v>62</v>
      </c>
      <c r="D1909" t="s">
        <v>5016</v>
      </c>
      <c r="E1909" t="s">
        <v>5019</v>
      </c>
      <c r="F1909" t="s">
        <v>5023</v>
      </c>
      <c r="G1909">
        <v>10.82</v>
      </c>
      <c r="H1909">
        <v>3</v>
      </c>
      <c r="I1909">
        <v>9.3000000000000007</v>
      </c>
      <c r="J1909">
        <v>22.24</v>
      </c>
      <c r="K1909">
        <v>21.4</v>
      </c>
      <c r="L1909" t="s">
        <v>5029</v>
      </c>
      <c r="M1909">
        <v>11</v>
      </c>
      <c r="N1909">
        <v>1</v>
      </c>
      <c r="O1909">
        <v>0</v>
      </c>
    </row>
    <row r="1910" spans="1:15" x14ac:dyDescent="0.3">
      <c r="A1910" t="s">
        <v>1923</v>
      </c>
      <c r="B1910">
        <v>9</v>
      </c>
      <c r="C1910">
        <v>48</v>
      </c>
      <c r="D1910" t="s">
        <v>5016</v>
      </c>
      <c r="E1910" t="s">
        <v>5017</v>
      </c>
      <c r="F1910" t="s">
        <v>5021</v>
      </c>
      <c r="G1910">
        <v>12.98</v>
      </c>
      <c r="H1910">
        <v>3</v>
      </c>
      <c r="I1910">
        <v>3.5</v>
      </c>
      <c r="J1910">
        <v>15.21</v>
      </c>
      <c r="K1910">
        <v>15.3</v>
      </c>
      <c r="L1910" t="s">
        <v>5028</v>
      </c>
      <c r="M1910">
        <v>1</v>
      </c>
      <c r="N1910">
        <v>0</v>
      </c>
      <c r="O1910">
        <v>0</v>
      </c>
    </row>
    <row r="1911" spans="1:15" x14ac:dyDescent="0.3">
      <c r="A1911" t="s">
        <v>1924</v>
      </c>
      <c r="B1911">
        <v>1</v>
      </c>
      <c r="C1911">
        <v>38</v>
      </c>
      <c r="D1911" t="s">
        <v>5015</v>
      </c>
      <c r="E1911" t="s">
        <v>5019</v>
      </c>
      <c r="F1911" t="s">
        <v>5024</v>
      </c>
      <c r="G1911">
        <v>17.5</v>
      </c>
      <c r="H1911">
        <v>2</v>
      </c>
      <c r="I1911">
        <v>7.1</v>
      </c>
      <c r="J1911">
        <v>19.11</v>
      </c>
      <c r="K1911">
        <v>29.4</v>
      </c>
      <c r="L1911" t="s">
        <v>5025</v>
      </c>
      <c r="M1911">
        <v>7</v>
      </c>
      <c r="N1911">
        <v>4</v>
      </c>
      <c r="O1911">
        <v>1</v>
      </c>
    </row>
    <row r="1912" spans="1:15" x14ac:dyDescent="0.3">
      <c r="A1912" t="s">
        <v>1925</v>
      </c>
      <c r="B1912">
        <v>12</v>
      </c>
      <c r="C1912">
        <v>43</v>
      </c>
      <c r="D1912" t="s">
        <v>5016</v>
      </c>
      <c r="E1912" t="s">
        <v>5019</v>
      </c>
      <c r="F1912" t="s">
        <v>5020</v>
      </c>
      <c r="G1912">
        <v>20.95</v>
      </c>
      <c r="H1912">
        <v>1</v>
      </c>
      <c r="I1912">
        <v>2.2999999999999998</v>
      </c>
      <c r="J1912">
        <v>12.32</v>
      </c>
      <c r="K1912">
        <v>15.7</v>
      </c>
      <c r="L1912" t="s">
        <v>5029</v>
      </c>
      <c r="M1912">
        <v>2</v>
      </c>
      <c r="N1912">
        <v>1</v>
      </c>
      <c r="O1912">
        <v>1</v>
      </c>
    </row>
    <row r="1913" spans="1:15" x14ac:dyDescent="0.3">
      <c r="A1913" t="s">
        <v>1926</v>
      </c>
      <c r="B1913">
        <v>6</v>
      </c>
      <c r="C1913">
        <v>57</v>
      </c>
      <c r="D1913" t="s">
        <v>5016</v>
      </c>
      <c r="E1913" t="s">
        <v>5017</v>
      </c>
      <c r="F1913" t="s">
        <v>5020</v>
      </c>
      <c r="G1913">
        <v>12</v>
      </c>
      <c r="H1913">
        <v>4</v>
      </c>
      <c r="I1913">
        <v>2.1</v>
      </c>
      <c r="J1913">
        <v>3.89</v>
      </c>
      <c r="K1913">
        <v>15.1</v>
      </c>
      <c r="L1913" t="s">
        <v>5027</v>
      </c>
      <c r="M1913">
        <v>3</v>
      </c>
      <c r="N1913">
        <v>0</v>
      </c>
      <c r="O1913">
        <v>0</v>
      </c>
    </row>
    <row r="1914" spans="1:15" x14ac:dyDescent="0.3">
      <c r="A1914" t="s">
        <v>1927</v>
      </c>
      <c r="B1914">
        <v>9</v>
      </c>
      <c r="C1914">
        <v>65</v>
      </c>
      <c r="D1914" t="s">
        <v>5016</v>
      </c>
      <c r="E1914" t="s">
        <v>5017</v>
      </c>
      <c r="F1914" t="s">
        <v>5021</v>
      </c>
      <c r="G1914">
        <v>14.47</v>
      </c>
      <c r="H1914">
        <v>2</v>
      </c>
      <c r="I1914">
        <v>2</v>
      </c>
      <c r="J1914">
        <v>17.25</v>
      </c>
      <c r="K1914">
        <v>50</v>
      </c>
      <c r="L1914" t="s">
        <v>5028</v>
      </c>
      <c r="M1914">
        <v>1</v>
      </c>
      <c r="N1914">
        <v>3</v>
      </c>
      <c r="O1914">
        <v>0</v>
      </c>
    </row>
    <row r="1915" spans="1:15" x14ac:dyDescent="0.3">
      <c r="A1915" t="s">
        <v>1928</v>
      </c>
      <c r="B1915">
        <v>8</v>
      </c>
      <c r="C1915">
        <v>62</v>
      </c>
      <c r="D1915" t="s">
        <v>5015</v>
      </c>
      <c r="E1915" t="s">
        <v>5018</v>
      </c>
      <c r="F1915" t="s">
        <v>5021</v>
      </c>
      <c r="G1915">
        <v>20.71</v>
      </c>
      <c r="H1915">
        <v>2</v>
      </c>
      <c r="I1915">
        <v>2.2000000000000002</v>
      </c>
      <c r="J1915">
        <v>16.95</v>
      </c>
      <c r="K1915">
        <v>82.9</v>
      </c>
      <c r="L1915" t="s">
        <v>5028</v>
      </c>
      <c r="M1915">
        <v>3</v>
      </c>
      <c r="N1915">
        <v>2</v>
      </c>
      <c r="O1915">
        <v>0</v>
      </c>
    </row>
    <row r="1916" spans="1:15" x14ac:dyDescent="0.3">
      <c r="A1916" t="s">
        <v>1929</v>
      </c>
      <c r="B1916">
        <v>11</v>
      </c>
      <c r="C1916">
        <v>30</v>
      </c>
      <c r="D1916" t="s">
        <v>5016</v>
      </c>
      <c r="E1916" t="s">
        <v>5019</v>
      </c>
      <c r="F1916" t="s">
        <v>5024</v>
      </c>
      <c r="G1916">
        <v>9.51</v>
      </c>
      <c r="H1916">
        <v>1</v>
      </c>
      <c r="I1916">
        <v>2.9</v>
      </c>
      <c r="J1916">
        <v>4.57</v>
      </c>
      <c r="K1916">
        <v>69.8</v>
      </c>
      <c r="L1916" t="s">
        <v>5028</v>
      </c>
      <c r="M1916">
        <v>11</v>
      </c>
      <c r="N1916">
        <v>4</v>
      </c>
      <c r="O1916">
        <v>0</v>
      </c>
    </row>
    <row r="1917" spans="1:15" x14ac:dyDescent="0.3">
      <c r="A1917" t="s">
        <v>1930</v>
      </c>
      <c r="B1917">
        <v>6</v>
      </c>
      <c r="C1917">
        <v>66</v>
      </c>
      <c r="D1917" t="s">
        <v>5016</v>
      </c>
      <c r="E1917" t="s">
        <v>5018</v>
      </c>
      <c r="F1917" t="s">
        <v>5023</v>
      </c>
      <c r="G1917">
        <v>9.34</v>
      </c>
      <c r="H1917">
        <v>4</v>
      </c>
      <c r="I1917">
        <v>6.1</v>
      </c>
      <c r="J1917">
        <v>6.76</v>
      </c>
      <c r="K1917">
        <v>71.099999999999994</v>
      </c>
      <c r="L1917" t="s">
        <v>5025</v>
      </c>
      <c r="M1917">
        <v>4</v>
      </c>
      <c r="N1917">
        <v>4</v>
      </c>
      <c r="O1917">
        <v>0</v>
      </c>
    </row>
    <row r="1918" spans="1:15" x14ac:dyDescent="0.3">
      <c r="A1918" t="s">
        <v>1931</v>
      </c>
      <c r="B1918">
        <v>3</v>
      </c>
      <c r="C1918">
        <v>40</v>
      </c>
      <c r="D1918" t="s">
        <v>5015</v>
      </c>
      <c r="E1918" t="s">
        <v>5018</v>
      </c>
      <c r="F1918" t="s">
        <v>5024</v>
      </c>
      <c r="G1918">
        <v>16.78</v>
      </c>
      <c r="H1918">
        <v>1</v>
      </c>
      <c r="I1918">
        <v>7.9</v>
      </c>
      <c r="J1918">
        <v>13.48</v>
      </c>
      <c r="K1918">
        <v>33.6</v>
      </c>
      <c r="L1918" t="s">
        <v>5028</v>
      </c>
      <c r="M1918">
        <v>7</v>
      </c>
      <c r="N1918">
        <v>2</v>
      </c>
      <c r="O1918">
        <v>0</v>
      </c>
    </row>
    <row r="1919" spans="1:15" x14ac:dyDescent="0.3">
      <c r="A1919" t="s">
        <v>1932</v>
      </c>
      <c r="B1919">
        <v>8</v>
      </c>
      <c r="C1919">
        <v>37</v>
      </c>
      <c r="D1919" t="s">
        <v>5015</v>
      </c>
      <c r="E1919" t="s">
        <v>5019</v>
      </c>
      <c r="F1919" t="s">
        <v>5020</v>
      </c>
      <c r="G1919">
        <v>13.72</v>
      </c>
      <c r="H1919">
        <v>2</v>
      </c>
      <c r="I1919">
        <v>2.1</v>
      </c>
      <c r="J1919">
        <v>12.83</v>
      </c>
      <c r="K1919">
        <v>11</v>
      </c>
      <c r="L1919" t="s">
        <v>5029</v>
      </c>
      <c r="M1919">
        <v>6</v>
      </c>
      <c r="N1919">
        <v>2</v>
      </c>
      <c r="O1919">
        <v>0</v>
      </c>
    </row>
    <row r="1920" spans="1:15" x14ac:dyDescent="0.3">
      <c r="A1920" t="s">
        <v>1933</v>
      </c>
      <c r="B1920">
        <v>9</v>
      </c>
      <c r="C1920">
        <v>54</v>
      </c>
      <c r="D1920" t="s">
        <v>5015</v>
      </c>
      <c r="E1920" t="s">
        <v>5017</v>
      </c>
      <c r="F1920" t="s">
        <v>5020</v>
      </c>
      <c r="G1920">
        <v>23.98</v>
      </c>
      <c r="H1920">
        <v>3</v>
      </c>
      <c r="I1920">
        <v>8.8000000000000007</v>
      </c>
      <c r="J1920">
        <v>19.55</v>
      </c>
      <c r="K1920">
        <v>50.6</v>
      </c>
      <c r="L1920" t="s">
        <v>5027</v>
      </c>
      <c r="M1920">
        <v>1</v>
      </c>
      <c r="N1920">
        <v>3</v>
      </c>
      <c r="O1920">
        <v>1</v>
      </c>
    </row>
    <row r="1921" spans="1:15" x14ac:dyDescent="0.3">
      <c r="A1921" t="s">
        <v>1934</v>
      </c>
      <c r="B1921">
        <v>1</v>
      </c>
      <c r="C1921">
        <v>45</v>
      </c>
      <c r="D1921" t="s">
        <v>5016</v>
      </c>
      <c r="E1921" t="s">
        <v>5019</v>
      </c>
      <c r="F1921" t="s">
        <v>5023</v>
      </c>
      <c r="G1921">
        <v>12.14</v>
      </c>
      <c r="H1921">
        <v>1</v>
      </c>
      <c r="I1921">
        <v>8.6</v>
      </c>
      <c r="J1921">
        <v>11.52</v>
      </c>
      <c r="K1921">
        <v>43.9</v>
      </c>
      <c r="L1921" t="s">
        <v>5029</v>
      </c>
      <c r="M1921">
        <v>11</v>
      </c>
      <c r="N1921">
        <v>2</v>
      </c>
      <c r="O1921">
        <v>0</v>
      </c>
    </row>
    <row r="1922" spans="1:15" x14ac:dyDescent="0.3">
      <c r="A1922" t="s">
        <v>1935</v>
      </c>
      <c r="B1922">
        <v>12</v>
      </c>
      <c r="C1922">
        <v>34</v>
      </c>
      <c r="D1922" t="s">
        <v>5015</v>
      </c>
      <c r="E1922" t="s">
        <v>5019</v>
      </c>
      <c r="F1922" t="s">
        <v>5020</v>
      </c>
      <c r="G1922">
        <v>20.190000000000001</v>
      </c>
      <c r="H1922">
        <v>1</v>
      </c>
      <c r="I1922">
        <v>7.5</v>
      </c>
      <c r="J1922">
        <v>17.59</v>
      </c>
      <c r="K1922">
        <v>95.3</v>
      </c>
      <c r="L1922" t="s">
        <v>5029</v>
      </c>
      <c r="M1922">
        <v>4</v>
      </c>
      <c r="N1922">
        <v>4</v>
      </c>
      <c r="O1922">
        <v>0</v>
      </c>
    </row>
    <row r="1923" spans="1:15" x14ac:dyDescent="0.3">
      <c r="A1923" t="s">
        <v>1936</v>
      </c>
      <c r="B1923">
        <v>9</v>
      </c>
      <c r="C1923">
        <v>45</v>
      </c>
      <c r="D1923" t="s">
        <v>5016</v>
      </c>
      <c r="E1923" t="s">
        <v>5018</v>
      </c>
      <c r="F1923" t="s">
        <v>5021</v>
      </c>
      <c r="G1923">
        <v>16.66</v>
      </c>
      <c r="H1923">
        <v>3</v>
      </c>
      <c r="I1923">
        <v>4.8</v>
      </c>
      <c r="J1923">
        <v>18.5</v>
      </c>
      <c r="K1923">
        <v>16.5</v>
      </c>
      <c r="L1923" t="s">
        <v>5028</v>
      </c>
      <c r="M1923">
        <v>9</v>
      </c>
      <c r="N1923">
        <v>3</v>
      </c>
      <c r="O1923">
        <v>0</v>
      </c>
    </row>
    <row r="1924" spans="1:15" x14ac:dyDescent="0.3">
      <c r="A1924" t="s">
        <v>1937</v>
      </c>
      <c r="B1924">
        <v>6</v>
      </c>
      <c r="C1924">
        <v>58</v>
      </c>
      <c r="D1924" t="s">
        <v>5015</v>
      </c>
      <c r="E1924" t="s">
        <v>5019</v>
      </c>
      <c r="F1924" t="s">
        <v>5020</v>
      </c>
      <c r="G1924">
        <v>6.09</v>
      </c>
      <c r="H1924">
        <v>4</v>
      </c>
      <c r="I1924">
        <v>1</v>
      </c>
      <c r="J1924">
        <v>17.190000000000001</v>
      </c>
      <c r="K1924">
        <v>79.900000000000006</v>
      </c>
      <c r="L1924" t="s">
        <v>5027</v>
      </c>
      <c r="M1924">
        <v>3</v>
      </c>
      <c r="N1924">
        <v>2</v>
      </c>
      <c r="O1924">
        <v>1</v>
      </c>
    </row>
    <row r="1925" spans="1:15" x14ac:dyDescent="0.3">
      <c r="A1925" t="s">
        <v>1938</v>
      </c>
      <c r="B1925">
        <v>6</v>
      </c>
      <c r="C1925">
        <v>19</v>
      </c>
      <c r="D1925" t="s">
        <v>5016</v>
      </c>
      <c r="E1925" t="s">
        <v>5019</v>
      </c>
      <c r="F1925" t="s">
        <v>5022</v>
      </c>
      <c r="G1925">
        <v>6.69</v>
      </c>
      <c r="H1925">
        <v>4</v>
      </c>
      <c r="I1925">
        <v>7.6</v>
      </c>
      <c r="J1925">
        <v>16.11</v>
      </c>
      <c r="K1925">
        <v>44.7</v>
      </c>
      <c r="L1925" t="s">
        <v>5027</v>
      </c>
      <c r="M1925">
        <v>6</v>
      </c>
      <c r="N1925">
        <v>3</v>
      </c>
      <c r="O1925">
        <v>0</v>
      </c>
    </row>
    <row r="1926" spans="1:15" x14ac:dyDescent="0.3">
      <c r="A1926" t="s">
        <v>1939</v>
      </c>
      <c r="B1926">
        <v>12</v>
      </c>
      <c r="C1926">
        <v>42</v>
      </c>
      <c r="D1926" t="s">
        <v>5015</v>
      </c>
      <c r="E1926" t="s">
        <v>5017</v>
      </c>
      <c r="F1926" t="s">
        <v>5023</v>
      </c>
      <c r="G1926">
        <v>9.06</v>
      </c>
      <c r="H1926">
        <v>1</v>
      </c>
      <c r="I1926">
        <v>8.9</v>
      </c>
      <c r="J1926">
        <v>20.73</v>
      </c>
      <c r="K1926">
        <v>84.7</v>
      </c>
      <c r="L1926" t="s">
        <v>5027</v>
      </c>
      <c r="M1926">
        <v>11</v>
      </c>
      <c r="N1926">
        <v>3</v>
      </c>
      <c r="O1926">
        <v>0</v>
      </c>
    </row>
    <row r="1927" spans="1:15" x14ac:dyDescent="0.3">
      <c r="A1927" t="s">
        <v>1940</v>
      </c>
      <c r="B1927">
        <v>4</v>
      </c>
      <c r="C1927">
        <v>67</v>
      </c>
      <c r="D1927" t="s">
        <v>5016</v>
      </c>
      <c r="E1927" t="s">
        <v>5018</v>
      </c>
      <c r="F1927" t="s">
        <v>5023</v>
      </c>
      <c r="G1927">
        <v>7.86</v>
      </c>
      <c r="H1927">
        <v>3</v>
      </c>
      <c r="I1927">
        <v>4</v>
      </c>
      <c r="J1927">
        <v>17.46</v>
      </c>
      <c r="K1927">
        <v>54.5</v>
      </c>
      <c r="L1927" t="s">
        <v>5027</v>
      </c>
      <c r="M1927">
        <v>2</v>
      </c>
      <c r="N1927">
        <v>0</v>
      </c>
      <c r="O1927">
        <v>0</v>
      </c>
    </row>
    <row r="1928" spans="1:15" x14ac:dyDescent="0.3">
      <c r="A1928" t="s">
        <v>1941</v>
      </c>
      <c r="B1928">
        <v>1</v>
      </c>
      <c r="C1928">
        <v>58</v>
      </c>
      <c r="D1928" t="s">
        <v>5016</v>
      </c>
      <c r="E1928" t="s">
        <v>5018</v>
      </c>
      <c r="F1928" t="s">
        <v>5023</v>
      </c>
      <c r="G1928">
        <v>11.59</v>
      </c>
      <c r="H1928">
        <v>1</v>
      </c>
      <c r="I1928">
        <v>7.5</v>
      </c>
      <c r="J1928">
        <v>21.35</v>
      </c>
      <c r="K1928">
        <v>83.8</v>
      </c>
      <c r="L1928" t="s">
        <v>5026</v>
      </c>
      <c r="M1928">
        <v>5</v>
      </c>
      <c r="N1928">
        <v>2</v>
      </c>
      <c r="O1928">
        <v>0</v>
      </c>
    </row>
    <row r="1929" spans="1:15" x14ac:dyDescent="0.3">
      <c r="A1929" t="s">
        <v>1942</v>
      </c>
      <c r="B1929">
        <v>10</v>
      </c>
      <c r="C1929">
        <v>23</v>
      </c>
      <c r="D1929" t="s">
        <v>5015</v>
      </c>
      <c r="E1929" t="s">
        <v>5017</v>
      </c>
      <c r="F1929" t="s">
        <v>5022</v>
      </c>
      <c r="G1929">
        <v>16.579999999999998</v>
      </c>
      <c r="H1929">
        <v>3</v>
      </c>
      <c r="I1929">
        <v>1.6</v>
      </c>
      <c r="J1929">
        <v>17.010000000000002</v>
      </c>
      <c r="K1929">
        <v>52</v>
      </c>
      <c r="L1929" t="s">
        <v>5027</v>
      </c>
      <c r="M1929">
        <v>9</v>
      </c>
      <c r="N1929">
        <v>0</v>
      </c>
      <c r="O1929">
        <v>0</v>
      </c>
    </row>
    <row r="1930" spans="1:15" x14ac:dyDescent="0.3">
      <c r="A1930" t="s">
        <v>1943</v>
      </c>
      <c r="B1930">
        <v>8</v>
      </c>
      <c r="C1930">
        <v>28</v>
      </c>
      <c r="D1930" t="s">
        <v>5015</v>
      </c>
      <c r="E1930" t="s">
        <v>5019</v>
      </c>
      <c r="F1930" t="s">
        <v>5024</v>
      </c>
      <c r="G1930">
        <v>17.05</v>
      </c>
      <c r="H1930">
        <v>2</v>
      </c>
      <c r="I1930">
        <v>7.4</v>
      </c>
      <c r="J1930">
        <v>6.5</v>
      </c>
      <c r="K1930">
        <v>46.2</v>
      </c>
      <c r="L1930" t="s">
        <v>5028</v>
      </c>
      <c r="M1930">
        <v>2</v>
      </c>
      <c r="N1930">
        <v>4</v>
      </c>
      <c r="O1930">
        <v>0</v>
      </c>
    </row>
    <row r="1931" spans="1:15" x14ac:dyDescent="0.3">
      <c r="A1931" t="s">
        <v>1944</v>
      </c>
      <c r="B1931">
        <v>2</v>
      </c>
      <c r="C1931">
        <v>55</v>
      </c>
      <c r="D1931" t="s">
        <v>5016</v>
      </c>
      <c r="E1931" t="s">
        <v>5017</v>
      </c>
      <c r="F1931" t="s">
        <v>5021</v>
      </c>
      <c r="G1931">
        <v>16.760000000000002</v>
      </c>
      <c r="H1931">
        <v>3</v>
      </c>
      <c r="I1931">
        <v>1.6</v>
      </c>
      <c r="J1931">
        <v>9.81</v>
      </c>
      <c r="K1931">
        <v>96.7</v>
      </c>
      <c r="L1931" t="s">
        <v>5027</v>
      </c>
      <c r="M1931">
        <v>3</v>
      </c>
      <c r="N1931">
        <v>3</v>
      </c>
      <c r="O1931">
        <v>1</v>
      </c>
    </row>
    <row r="1932" spans="1:15" x14ac:dyDescent="0.3">
      <c r="A1932" t="s">
        <v>1945</v>
      </c>
      <c r="B1932">
        <v>12</v>
      </c>
      <c r="C1932">
        <v>23</v>
      </c>
      <c r="D1932" t="s">
        <v>5015</v>
      </c>
      <c r="E1932" t="s">
        <v>5018</v>
      </c>
      <c r="F1932" t="s">
        <v>5023</v>
      </c>
      <c r="G1932">
        <v>7.35</v>
      </c>
      <c r="H1932">
        <v>1</v>
      </c>
      <c r="I1932">
        <v>6.3</v>
      </c>
      <c r="J1932">
        <v>10.27</v>
      </c>
      <c r="K1932">
        <v>43.2</v>
      </c>
      <c r="L1932" t="s">
        <v>5029</v>
      </c>
      <c r="M1932">
        <v>2</v>
      </c>
      <c r="N1932">
        <v>4</v>
      </c>
      <c r="O1932">
        <v>0</v>
      </c>
    </row>
    <row r="1933" spans="1:15" x14ac:dyDescent="0.3">
      <c r="A1933" t="s">
        <v>1946</v>
      </c>
      <c r="B1933">
        <v>1</v>
      </c>
      <c r="C1933">
        <v>62</v>
      </c>
      <c r="D1933" t="s">
        <v>5016</v>
      </c>
      <c r="E1933" t="s">
        <v>5018</v>
      </c>
      <c r="F1933" t="s">
        <v>5020</v>
      </c>
      <c r="G1933">
        <v>17</v>
      </c>
      <c r="H1933">
        <v>5</v>
      </c>
      <c r="I1933">
        <v>6.4</v>
      </c>
      <c r="J1933">
        <v>5.07</v>
      </c>
      <c r="K1933">
        <v>82.5</v>
      </c>
      <c r="L1933" t="s">
        <v>5026</v>
      </c>
      <c r="M1933">
        <v>2</v>
      </c>
      <c r="N1933">
        <v>3</v>
      </c>
      <c r="O1933">
        <v>1</v>
      </c>
    </row>
    <row r="1934" spans="1:15" x14ac:dyDescent="0.3">
      <c r="A1934" t="s">
        <v>1947</v>
      </c>
      <c r="B1934">
        <v>2</v>
      </c>
      <c r="C1934">
        <v>28</v>
      </c>
      <c r="D1934" t="s">
        <v>5015</v>
      </c>
      <c r="E1934" t="s">
        <v>5017</v>
      </c>
      <c r="F1934" t="s">
        <v>5021</v>
      </c>
      <c r="G1934">
        <v>13.19</v>
      </c>
      <c r="H1934">
        <v>4</v>
      </c>
      <c r="I1934">
        <v>3.7</v>
      </c>
      <c r="J1934">
        <v>18.23</v>
      </c>
      <c r="K1934">
        <v>16</v>
      </c>
      <c r="L1934" t="s">
        <v>5029</v>
      </c>
      <c r="M1934">
        <v>6</v>
      </c>
      <c r="N1934">
        <v>2</v>
      </c>
      <c r="O1934">
        <v>0</v>
      </c>
    </row>
    <row r="1935" spans="1:15" x14ac:dyDescent="0.3">
      <c r="A1935" t="s">
        <v>1948</v>
      </c>
      <c r="B1935">
        <v>1</v>
      </c>
      <c r="C1935">
        <v>31</v>
      </c>
      <c r="D1935" t="s">
        <v>5015</v>
      </c>
      <c r="E1935" t="s">
        <v>5019</v>
      </c>
      <c r="F1935" t="s">
        <v>5020</v>
      </c>
      <c r="G1935">
        <v>23.06</v>
      </c>
      <c r="H1935">
        <v>1</v>
      </c>
      <c r="I1935">
        <v>1.7</v>
      </c>
      <c r="J1935">
        <v>16.09</v>
      </c>
      <c r="K1935">
        <v>15.6</v>
      </c>
      <c r="L1935" t="s">
        <v>5028</v>
      </c>
      <c r="M1935">
        <v>6</v>
      </c>
      <c r="N1935">
        <v>1</v>
      </c>
      <c r="O1935">
        <v>0</v>
      </c>
    </row>
    <row r="1936" spans="1:15" x14ac:dyDescent="0.3">
      <c r="A1936" t="s">
        <v>1949</v>
      </c>
      <c r="B1936">
        <v>1</v>
      </c>
      <c r="C1936">
        <v>19</v>
      </c>
      <c r="D1936" t="s">
        <v>5016</v>
      </c>
      <c r="E1936" t="s">
        <v>5019</v>
      </c>
      <c r="F1936" t="s">
        <v>5021</v>
      </c>
      <c r="G1936">
        <v>23.24</v>
      </c>
      <c r="H1936">
        <v>3</v>
      </c>
      <c r="I1936">
        <v>9.5</v>
      </c>
      <c r="J1936">
        <v>15.97</v>
      </c>
      <c r="K1936">
        <v>49.4</v>
      </c>
      <c r="L1936" t="s">
        <v>5028</v>
      </c>
      <c r="M1936">
        <v>5</v>
      </c>
      <c r="N1936">
        <v>2</v>
      </c>
      <c r="O1936">
        <v>0</v>
      </c>
    </row>
    <row r="1937" spans="1:15" x14ac:dyDescent="0.3">
      <c r="A1937" t="s">
        <v>1950</v>
      </c>
      <c r="B1937">
        <v>9</v>
      </c>
      <c r="C1937">
        <v>57</v>
      </c>
      <c r="D1937" t="s">
        <v>5015</v>
      </c>
      <c r="E1937" t="s">
        <v>5018</v>
      </c>
      <c r="F1937" t="s">
        <v>5021</v>
      </c>
      <c r="G1937">
        <v>20.36</v>
      </c>
      <c r="H1937">
        <v>3</v>
      </c>
      <c r="I1937">
        <v>5.8</v>
      </c>
      <c r="J1937">
        <v>13.53</v>
      </c>
      <c r="K1937">
        <v>62.7</v>
      </c>
      <c r="L1937" t="s">
        <v>5027</v>
      </c>
      <c r="M1937">
        <v>2</v>
      </c>
      <c r="N1937">
        <v>3</v>
      </c>
      <c r="O1937">
        <v>0</v>
      </c>
    </row>
    <row r="1938" spans="1:15" x14ac:dyDescent="0.3">
      <c r="A1938" t="s">
        <v>1951</v>
      </c>
      <c r="B1938">
        <v>1</v>
      </c>
      <c r="C1938">
        <v>20</v>
      </c>
      <c r="D1938" t="s">
        <v>5015</v>
      </c>
      <c r="E1938" t="s">
        <v>5017</v>
      </c>
      <c r="F1938" t="s">
        <v>5020</v>
      </c>
      <c r="G1938">
        <v>19.059999999999999</v>
      </c>
      <c r="H1938">
        <v>4</v>
      </c>
      <c r="I1938">
        <v>6.2</v>
      </c>
      <c r="J1938">
        <v>14.95</v>
      </c>
      <c r="K1938">
        <v>64.8</v>
      </c>
      <c r="L1938" t="s">
        <v>5028</v>
      </c>
      <c r="M1938">
        <v>1</v>
      </c>
      <c r="N1938">
        <v>1</v>
      </c>
      <c r="O1938">
        <v>0</v>
      </c>
    </row>
    <row r="1939" spans="1:15" x14ac:dyDescent="0.3">
      <c r="A1939" t="s">
        <v>1952</v>
      </c>
      <c r="B1939">
        <v>4</v>
      </c>
      <c r="C1939">
        <v>52</v>
      </c>
      <c r="D1939" t="s">
        <v>5016</v>
      </c>
      <c r="E1939" t="s">
        <v>5017</v>
      </c>
      <c r="F1939" t="s">
        <v>5020</v>
      </c>
      <c r="G1939">
        <v>7.3</v>
      </c>
      <c r="H1939">
        <v>1</v>
      </c>
      <c r="I1939">
        <v>6.5</v>
      </c>
      <c r="J1939">
        <v>3.18</v>
      </c>
      <c r="K1939">
        <v>13.3</v>
      </c>
      <c r="L1939" t="s">
        <v>5026</v>
      </c>
      <c r="M1939">
        <v>3</v>
      </c>
      <c r="N1939">
        <v>1</v>
      </c>
      <c r="O1939">
        <v>0</v>
      </c>
    </row>
    <row r="1940" spans="1:15" x14ac:dyDescent="0.3">
      <c r="A1940" t="s">
        <v>1953</v>
      </c>
      <c r="B1940">
        <v>10</v>
      </c>
      <c r="C1940">
        <v>50</v>
      </c>
      <c r="D1940" t="s">
        <v>5016</v>
      </c>
      <c r="E1940" t="s">
        <v>5018</v>
      </c>
      <c r="F1940" t="s">
        <v>5021</v>
      </c>
      <c r="G1940">
        <v>6.69</v>
      </c>
      <c r="H1940">
        <v>5</v>
      </c>
      <c r="I1940">
        <v>9</v>
      </c>
      <c r="J1940">
        <v>5.12</v>
      </c>
      <c r="K1940">
        <v>72.7</v>
      </c>
      <c r="L1940" t="s">
        <v>5029</v>
      </c>
      <c r="M1940">
        <v>3</v>
      </c>
      <c r="N1940">
        <v>2</v>
      </c>
      <c r="O1940">
        <v>1</v>
      </c>
    </row>
    <row r="1941" spans="1:15" x14ac:dyDescent="0.3">
      <c r="A1941" t="s">
        <v>1954</v>
      </c>
      <c r="B1941">
        <v>6</v>
      </c>
      <c r="C1941">
        <v>41</v>
      </c>
      <c r="D1941" t="s">
        <v>5015</v>
      </c>
      <c r="E1941" t="s">
        <v>5017</v>
      </c>
      <c r="F1941" t="s">
        <v>5023</v>
      </c>
      <c r="G1941">
        <v>21.82</v>
      </c>
      <c r="H1941">
        <v>2</v>
      </c>
      <c r="I1941">
        <v>1.5</v>
      </c>
      <c r="J1941">
        <v>18.03</v>
      </c>
      <c r="K1941">
        <v>21.7</v>
      </c>
      <c r="L1941" t="s">
        <v>5028</v>
      </c>
      <c r="M1941">
        <v>9</v>
      </c>
      <c r="N1941">
        <v>4</v>
      </c>
      <c r="O1941">
        <v>0</v>
      </c>
    </row>
    <row r="1942" spans="1:15" x14ac:dyDescent="0.3">
      <c r="A1942" t="s">
        <v>1955</v>
      </c>
      <c r="B1942">
        <v>7</v>
      </c>
      <c r="C1942">
        <v>36</v>
      </c>
      <c r="D1942" t="s">
        <v>5016</v>
      </c>
      <c r="E1942" t="s">
        <v>5018</v>
      </c>
      <c r="F1942" t="s">
        <v>5020</v>
      </c>
      <c r="G1942">
        <v>13.54</v>
      </c>
      <c r="H1942">
        <v>5</v>
      </c>
      <c r="I1942">
        <v>9</v>
      </c>
      <c r="J1942">
        <v>8.75</v>
      </c>
      <c r="K1942">
        <v>96</v>
      </c>
      <c r="L1942" t="s">
        <v>5028</v>
      </c>
      <c r="M1942">
        <v>4</v>
      </c>
      <c r="N1942">
        <v>2</v>
      </c>
      <c r="O1942">
        <v>0</v>
      </c>
    </row>
    <row r="1943" spans="1:15" x14ac:dyDescent="0.3">
      <c r="A1943" t="s">
        <v>1956</v>
      </c>
      <c r="B1943">
        <v>2</v>
      </c>
      <c r="C1943">
        <v>35</v>
      </c>
      <c r="D1943" t="s">
        <v>5015</v>
      </c>
      <c r="E1943" t="s">
        <v>5019</v>
      </c>
      <c r="F1943" t="s">
        <v>5022</v>
      </c>
      <c r="G1943">
        <v>14.03</v>
      </c>
      <c r="H1943">
        <v>2</v>
      </c>
      <c r="I1943">
        <v>3.2</v>
      </c>
      <c r="J1943">
        <v>5.37</v>
      </c>
      <c r="K1943">
        <v>40</v>
      </c>
      <c r="L1943" t="s">
        <v>5026</v>
      </c>
      <c r="M1943">
        <v>9</v>
      </c>
      <c r="N1943">
        <v>3</v>
      </c>
      <c r="O1943">
        <v>0</v>
      </c>
    </row>
    <row r="1944" spans="1:15" x14ac:dyDescent="0.3">
      <c r="A1944" t="s">
        <v>1957</v>
      </c>
      <c r="B1944">
        <v>6</v>
      </c>
      <c r="C1944">
        <v>66</v>
      </c>
      <c r="D1944" t="s">
        <v>5015</v>
      </c>
      <c r="E1944" t="s">
        <v>5018</v>
      </c>
      <c r="F1944" t="s">
        <v>5022</v>
      </c>
      <c r="G1944">
        <v>21.96</v>
      </c>
      <c r="H1944">
        <v>2</v>
      </c>
      <c r="I1944">
        <v>1.7</v>
      </c>
      <c r="J1944">
        <v>10.23</v>
      </c>
      <c r="K1944">
        <v>33.5</v>
      </c>
      <c r="L1944" t="s">
        <v>5025</v>
      </c>
      <c r="M1944">
        <v>11</v>
      </c>
      <c r="N1944">
        <v>4</v>
      </c>
      <c r="O1944">
        <v>1</v>
      </c>
    </row>
    <row r="1945" spans="1:15" x14ac:dyDescent="0.3">
      <c r="A1945" t="s">
        <v>1958</v>
      </c>
      <c r="B1945">
        <v>7</v>
      </c>
      <c r="C1945">
        <v>69</v>
      </c>
      <c r="D1945" t="s">
        <v>5016</v>
      </c>
      <c r="E1945" t="s">
        <v>5019</v>
      </c>
      <c r="F1945" t="s">
        <v>5021</v>
      </c>
      <c r="G1945">
        <v>17.43</v>
      </c>
      <c r="H1945">
        <v>1</v>
      </c>
      <c r="I1945">
        <v>6.9</v>
      </c>
      <c r="J1945">
        <v>8.6</v>
      </c>
      <c r="K1945">
        <v>36.200000000000003</v>
      </c>
      <c r="L1945" t="s">
        <v>5025</v>
      </c>
      <c r="M1945">
        <v>1</v>
      </c>
      <c r="N1945">
        <v>3</v>
      </c>
      <c r="O1945">
        <v>0</v>
      </c>
    </row>
    <row r="1946" spans="1:15" x14ac:dyDescent="0.3">
      <c r="A1946" t="s">
        <v>1959</v>
      </c>
      <c r="B1946">
        <v>10</v>
      </c>
      <c r="C1946">
        <v>41</v>
      </c>
      <c r="D1946" t="s">
        <v>5016</v>
      </c>
      <c r="E1946" t="s">
        <v>5018</v>
      </c>
      <c r="F1946" t="s">
        <v>5024</v>
      </c>
      <c r="G1946">
        <v>8.59</v>
      </c>
      <c r="H1946">
        <v>2</v>
      </c>
      <c r="I1946">
        <v>9.8000000000000007</v>
      </c>
      <c r="J1946">
        <v>3.65</v>
      </c>
      <c r="K1946">
        <v>94.4</v>
      </c>
      <c r="L1946" t="s">
        <v>5026</v>
      </c>
      <c r="M1946">
        <v>3</v>
      </c>
      <c r="N1946">
        <v>4</v>
      </c>
      <c r="O1946">
        <v>0</v>
      </c>
    </row>
    <row r="1947" spans="1:15" x14ac:dyDescent="0.3">
      <c r="A1947" t="s">
        <v>1960</v>
      </c>
      <c r="B1947">
        <v>10</v>
      </c>
      <c r="C1947">
        <v>62</v>
      </c>
      <c r="D1947" t="s">
        <v>5016</v>
      </c>
      <c r="E1947" t="s">
        <v>5018</v>
      </c>
      <c r="F1947" t="s">
        <v>5021</v>
      </c>
      <c r="G1947">
        <v>9.2200000000000006</v>
      </c>
      <c r="H1947">
        <v>3</v>
      </c>
      <c r="I1947">
        <v>1.5</v>
      </c>
      <c r="J1947">
        <v>12.03</v>
      </c>
      <c r="K1947">
        <v>53.5</v>
      </c>
      <c r="L1947" t="s">
        <v>5028</v>
      </c>
      <c r="M1947">
        <v>1</v>
      </c>
      <c r="N1947">
        <v>0</v>
      </c>
      <c r="O1947">
        <v>0</v>
      </c>
    </row>
    <row r="1948" spans="1:15" x14ac:dyDescent="0.3">
      <c r="A1948" t="s">
        <v>1961</v>
      </c>
      <c r="B1948">
        <v>2</v>
      </c>
      <c r="C1948">
        <v>52</v>
      </c>
      <c r="D1948" t="s">
        <v>5016</v>
      </c>
      <c r="E1948" t="s">
        <v>5019</v>
      </c>
      <c r="F1948" t="s">
        <v>5021</v>
      </c>
      <c r="G1948">
        <v>5.13</v>
      </c>
      <c r="H1948">
        <v>2</v>
      </c>
      <c r="I1948">
        <v>4.8</v>
      </c>
      <c r="J1948">
        <v>3.59</v>
      </c>
      <c r="K1948">
        <v>49.1</v>
      </c>
      <c r="L1948" t="s">
        <v>5026</v>
      </c>
      <c r="M1948">
        <v>6</v>
      </c>
      <c r="N1948">
        <v>4</v>
      </c>
      <c r="O1948">
        <v>0</v>
      </c>
    </row>
    <row r="1949" spans="1:15" x14ac:dyDescent="0.3">
      <c r="A1949" t="s">
        <v>1962</v>
      </c>
      <c r="B1949">
        <v>2</v>
      </c>
      <c r="C1949">
        <v>18</v>
      </c>
      <c r="D1949" t="s">
        <v>5016</v>
      </c>
      <c r="E1949" t="s">
        <v>5018</v>
      </c>
      <c r="F1949" t="s">
        <v>5023</v>
      </c>
      <c r="G1949">
        <v>19.21</v>
      </c>
      <c r="H1949">
        <v>2</v>
      </c>
      <c r="I1949">
        <v>5.8</v>
      </c>
      <c r="J1949">
        <v>3.01</v>
      </c>
      <c r="K1949">
        <v>60.9</v>
      </c>
      <c r="L1949" t="s">
        <v>5026</v>
      </c>
      <c r="M1949">
        <v>1</v>
      </c>
      <c r="N1949">
        <v>0</v>
      </c>
      <c r="O1949">
        <v>1</v>
      </c>
    </row>
    <row r="1950" spans="1:15" x14ac:dyDescent="0.3">
      <c r="A1950" t="s">
        <v>1963</v>
      </c>
      <c r="B1950">
        <v>10</v>
      </c>
      <c r="C1950">
        <v>53</v>
      </c>
      <c r="D1950" t="s">
        <v>5016</v>
      </c>
      <c r="E1950" t="s">
        <v>5019</v>
      </c>
      <c r="F1950" t="s">
        <v>5023</v>
      </c>
      <c r="G1950">
        <v>14.71</v>
      </c>
      <c r="H1950">
        <v>4</v>
      </c>
      <c r="I1950">
        <v>3.3</v>
      </c>
      <c r="J1950">
        <v>20.43</v>
      </c>
      <c r="K1950">
        <v>93.8</v>
      </c>
      <c r="L1950" t="s">
        <v>5025</v>
      </c>
      <c r="M1950">
        <v>2</v>
      </c>
      <c r="N1950">
        <v>3</v>
      </c>
      <c r="O1950">
        <v>0</v>
      </c>
    </row>
    <row r="1951" spans="1:15" x14ac:dyDescent="0.3">
      <c r="A1951" t="s">
        <v>1964</v>
      </c>
      <c r="B1951">
        <v>7</v>
      </c>
      <c r="C1951">
        <v>42</v>
      </c>
      <c r="D1951" t="s">
        <v>5015</v>
      </c>
      <c r="E1951" t="s">
        <v>5017</v>
      </c>
      <c r="F1951" t="s">
        <v>5024</v>
      </c>
      <c r="G1951">
        <v>24</v>
      </c>
      <c r="H1951">
        <v>4</v>
      </c>
      <c r="I1951">
        <v>9.8000000000000007</v>
      </c>
      <c r="J1951">
        <v>9.93</v>
      </c>
      <c r="K1951">
        <v>37.799999999999997</v>
      </c>
      <c r="L1951" t="s">
        <v>5027</v>
      </c>
      <c r="M1951">
        <v>9</v>
      </c>
      <c r="N1951">
        <v>2</v>
      </c>
      <c r="O1951">
        <v>0</v>
      </c>
    </row>
    <row r="1952" spans="1:15" x14ac:dyDescent="0.3">
      <c r="A1952" t="s">
        <v>1965</v>
      </c>
      <c r="B1952">
        <v>12</v>
      </c>
      <c r="C1952">
        <v>62</v>
      </c>
      <c r="D1952" t="s">
        <v>5015</v>
      </c>
      <c r="E1952" t="s">
        <v>5017</v>
      </c>
      <c r="F1952" t="s">
        <v>5024</v>
      </c>
      <c r="G1952">
        <v>19.28</v>
      </c>
      <c r="H1952">
        <v>1</v>
      </c>
      <c r="I1952">
        <v>6.8</v>
      </c>
      <c r="J1952">
        <v>15.49</v>
      </c>
      <c r="K1952">
        <v>26.3</v>
      </c>
      <c r="L1952" t="s">
        <v>5028</v>
      </c>
      <c r="M1952">
        <v>11</v>
      </c>
      <c r="N1952">
        <v>3</v>
      </c>
      <c r="O1952">
        <v>0</v>
      </c>
    </row>
    <row r="1953" spans="1:15" x14ac:dyDescent="0.3">
      <c r="A1953" t="s">
        <v>1966</v>
      </c>
      <c r="B1953">
        <v>1</v>
      </c>
      <c r="C1953">
        <v>66</v>
      </c>
      <c r="D1953" t="s">
        <v>5016</v>
      </c>
      <c r="E1953" t="s">
        <v>5019</v>
      </c>
      <c r="F1953" t="s">
        <v>5024</v>
      </c>
      <c r="G1953">
        <v>7.06</v>
      </c>
      <c r="H1953">
        <v>1</v>
      </c>
      <c r="I1953">
        <v>8.6</v>
      </c>
      <c r="J1953">
        <v>9.5500000000000007</v>
      </c>
      <c r="K1953">
        <v>63.6</v>
      </c>
      <c r="L1953" t="s">
        <v>5029</v>
      </c>
      <c r="M1953">
        <v>1</v>
      </c>
      <c r="N1953">
        <v>2</v>
      </c>
      <c r="O1953">
        <v>1</v>
      </c>
    </row>
    <row r="1954" spans="1:15" x14ac:dyDescent="0.3">
      <c r="A1954" t="s">
        <v>1967</v>
      </c>
      <c r="B1954">
        <v>8</v>
      </c>
      <c r="C1954">
        <v>60</v>
      </c>
      <c r="D1954" t="s">
        <v>5015</v>
      </c>
      <c r="E1954" t="s">
        <v>5018</v>
      </c>
      <c r="F1954" t="s">
        <v>5024</v>
      </c>
      <c r="G1954">
        <v>8.23</v>
      </c>
      <c r="H1954">
        <v>3</v>
      </c>
      <c r="I1954">
        <v>4.7</v>
      </c>
      <c r="J1954">
        <v>23.46</v>
      </c>
      <c r="K1954">
        <v>54.3</v>
      </c>
      <c r="L1954" t="s">
        <v>5026</v>
      </c>
      <c r="M1954">
        <v>4</v>
      </c>
      <c r="N1954">
        <v>0</v>
      </c>
      <c r="O1954">
        <v>0</v>
      </c>
    </row>
    <row r="1955" spans="1:15" x14ac:dyDescent="0.3">
      <c r="A1955" t="s">
        <v>1968</v>
      </c>
      <c r="B1955">
        <v>11</v>
      </c>
      <c r="C1955">
        <v>51</v>
      </c>
      <c r="D1955" t="s">
        <v>5015</v>
      </c>
      <c r="E1955" t="s">
        <v>5019</v>
      </c>
      <c r="F1955" t="s">
        <v>5024</v>
      </c>
      <c r="G1955">
        <v>15.03</v>
      </c>
      <c r="H1955">
        <v>4</v>
      </c>
      <c r="I1955">
        <v>4.2</v>
      </c>
      <c r="J1955">
        <v>19.04</v>
      </c>
      <c r="K1955">
        <v>15.6</v>
      </c>
      <c r="L1955" t="s">
        <v>5025</v>
      </c>
      <c r="M1955">
        <v>6</v>
      </c>
      <c r="N1955">
        <v>2</v>
      </c>
      <c r="O1955">
        <v>0</v>
      </c>
    </row>
    <row r="1956" spans="1:15" x14ac:dyDescent="0.3">
      <c r="A1956" t="s">
        <v>1969</v>
      </c>
      <c r="B1956">
        <v>3</v>
      </c>
      <c r="C1956">
        <v>42</v>
      </c>
      <c r="D1956" t="s">
        <v>5015</v>
      </c>
      <c r="E1956" t="s">
        <v>5019</v>
      </c>
      <c r="F1956" t="s">
        <v>5021</v>
      </c>
      <c r="G1956">
        <v>23.5</v>
      </c>
      <c r="H1956">
        <v>5</v>
      </c>
      <c r="I1956">
        <v>6</v>
      </c>
      <c r="J1956">
        <v>11.12</v>
      </c>
      <c r="K1956">
        <v>57</v>
      </c>
      <c r="L1956" t="s">
        <v>5027</v>
      </c>
      <c r="M1956">
        <v>2</v>
      </c>
      <c r="N1956">
        <v>3</v>
      </c>
      <c r="O1956">
        <v>1</v>
      </c>
    </row>
    <row r="1957" spans="1:15" x14ac:dyDescent="0.3">
      <c r="A1957" t="s">
        <v>1970</v>
      </c>
      <c r="B1957">
        <v>11</v>
      </c>
      <c r="C1957">
        <v>33</v>
      </c>
      <c r="D1957" t="s">
        <v>5015</v>
      </c>
      <c r="E1957" t="s">
        <v>5017</v>
      </c>
      <c r="F1957" t="s">
        <v>5021</v>
      </c>
      <c r="G1957">
        <v>9.9499999999999993</v>
      </c>
      <c r="H1957">
        <v>1</v>
      </c>
      <c r="I1957">
        <v>4.9000000000000004</v>
      </c>
      <c r="J1957">
        <v>7.63</v>
      </c>
      <c r="K1957">
        <v>60.6</v>
      </c>
      <c r="L1957" t="s">
        <v>5028</v>
      </c>
      <c r="M1957">
        <v>1</v>
      </c>
      <c r="N1957">
        <v>3</v>
      </c>
      <c r="O1957">
        <v>0</v>
      </c>
    </row>
    <row r="1958" spans="1:15" x14ac:dyDescent="0.3">
      <c r="A1958" t="s">
        <v>1971</v>
      </c>
      <c r="B1958">
        <v>6</v>
      </c>
      <c r="C1958">
        <v>51</v>
      </c>
      <c r="D1958" t="s">
        <v>5016</v>
      </c>
      <c r="E1958" t="s">
        <v>5018</v>
      </c>
      <c r="F1958" t="s">
        <v>5022</v>
      </c>
      <c r="G1958">
        <v>21.51</v>
      </c>
      <c r="H1958">
        <v>1</v>
      </c>
      <c r="I1958">
        <v>7.4</v>
      </c>
      <c r="J1958">
        <v>6.03</v>
      </c>
      <c r="K1958">
        <v>72.5</v>
      </c>
      <c r="L1958" t="s">
        <v>5026</v>
      </c>
      <c r="M1958">
        <v>4</v>
      </c>
      <c r="N1958">
        <v>3</v>
      </c>
      <c r="O1958">
        <v>0</v>
      </c>
    </row>
    <row r="1959" spans="1:15" x14ac:dyDescent="0.3">
      <c r="A1959" t="s">
        <v>1972</v>
      </c>
      <c r="B1959">
        <v>9</v>
      </c>
      <c r="C1959">
        <v>46</v>
      </c>
      <c r="D1959" t="s">
        <v>5015</v>
      </c>
      <c r="E1959" t="s">
        <v>5018</v>
      </c>
      <c r="F1959" t="s">
        <v>5022</v>
      </c>
      <c r="G1959">
        <v>11.25</v>
      </c>
      <c r="H1959">
        <v>4</v>
      </c>
      <c r="I1959">
        <v>3.4</v>
      </c>
      <c r="J1959">
        <v>19.77</v>
      </c>
      <c r="K1959">
        <v>99.6</v>
      </c>
      <c r="L1959" t="s">
        <v>5025</v>
      </c>
      <c r="M1959">
        <v>3</v>
      </c>
      <c r="N1959">
        <v>4</v>
      </c>
      <c r="O1959">
        <v>0</v>
      </c>
    </row>
    <row r="1960" spans="1:15" x14ac:dyDescent="0.3">
      <c r="A1960" t="s">
        <v>1973</v>
      </c>
      <c r="B1960">
        <v>6</v>
      </c>
      <c r="C1960">
        <v>36</v>
      </c>
      <c r="D1960" t="s">
        <v>5015</v>
      </c>
      <c r="E1960" t="s">
        <v>5018</v>
      </c>
      <c r="F1960" t="s">
        <v>5020</v>
      </c>
      <c r="G1960">
        <v>10.4</v>
      </c>
      <c r="H1960">
        <v>4</v>
      </c>
      <c r="I1960">
        <v>5</v>
      </c>
      <c r="J1960">
        <v>12.97</v>
      </c>
      <c r="K1960">
        <v>47.9</v>
      </c>
      <c r="L1960" t="s">
        <v>5026</v>
      </c>
      <c r="M1960">
        <v>7</v>
      </c>
      <c r="N1960">
        <v>3</v>
      </c>
      <c r="O1960">
        <v>0</v>
      </c>
    </row>
    <row r="1961" spans="1:15" x14ac:dyDescent="0.3">
      <c r="A1961" t="s">
        <v>1974</v>
      </c>
      <c r="B1961">
        <v>9</v>
      </c>
      <c r="C1961">
        <v>40</v>
      </c>
      <c r="D1961" t="s">
        <v>5016</v>
      </c>
      <c r="E1961" t="s">
        <v>5019</v>
      </c>
      <c r="F1961" t="s">
        <v>5021</v>
      </c>
      <c r="G1961">
        <v>23.03</v>
      </c>
      <c r="H1961">
        <v>3</v>
      </c>
      <c r="I1961">
        <v>9.1</v>
      </c>
      <c r="J1961">
        <v>8.1</v>
      </c>
      <c r="K1961">
        <v>55.9</v>
      </c>
      <c r="L1961" t="s">
        <v>5029</v>
      </c>
      <c r="M1961">
        <v>7</v>
      </c>
      <c r="N1961">
        <v>4</v>
      </c>
      <c r="O1961">
        <v>0</v>
      </c>
    </row>
    <row r="1962" spans="1:15" x14ac:dyDescent="0.3">
      <c r="A1962" t="s">
        <v>1975</v>
      </c>
      <c r="B1962">
        <v>7</v>
      </c>
      <c r="C1962">
        <v>36</v>
      </c>
      <c r="D1962" t="s">
        <v>5016</v>
      </c>
      <c r="E1962" t="s">
        <v>5017</v>
      </c>
      <c r="F1962" t="s">
        <v>5024</v>
      </c>
      <c r="G1962">
        <v>5.94</v>
      </c>
      <c r="H1962">
        <v>4</v>
      </c>
      <c r="I1962">
        <v>7.8</v>
      </c>
      <c r="J1962">
        <v>23.23</v>
      </c>
      <c r="K1962">
        <v>16.8</v>
      </c>
      <c r="L1962" t="s">
        <v>5028</v>
      </c>
      <c r="M1962">
        <v>10</v>
      </c>
      <c r="N1962">
        <v>1</v>
      </c>
      <c r="O1962">
        <v>1</v>
      </c>
    </row>
    <row r="1963" spans="1:15" x14ac:dyDescent="0.3">
      <c r="A1963" t="s">
        <v>1976</v>
      </c>
      <c r="B1963">
        <v>9</v>
      </c>
      <c r="C1963">
        <v>42</v>
      </c>
      <c r="D1963" t="s">
        <v>5016</v>
      </c>
      <c r="E1963" t="s">
        <v>5018</v>
      </c>
      <c r="F1963" t="s">
        <v>5020</v>
      </c>
      <c r="G1963">
        <v>18.21</v>
      </c>
      <c r="H1963">
        <v>2</v>
      </c>
      <c r="I1963">
        <v>2.5</v>
      </c>
      <c r="J1963">
        <v>11.58</v>
      </c>
      <c r="K1963">
        <v>84.8</v>
      </c>
      <c r="L1963" t="s">
        <v>5028</v>
      </c>
      <c r="M1963">
        <v>11</v>
      </c>
      <c r="N1963">
        <v>0</v>
      </c>
      <c r="O1963">
        <v>0</v>
      </c>
    </row>
    <row r="1964" spans="1:15" x14ac:dyDescent="0.3">
      <c r="A1964" t="s">
        <v>1977</v>
      </c>
      <c r="B1964">
        <v>2</v>
      </c>
      <c r="C1964">
        <v>33</v>
      </c>
      <c r="D1964" t="s">
        <v>5016</v>
      </c>
      <c r="E1964" t="s">
        <v>5019</v>
      </c>
      <c r="F1964" t="s">
        <v>5023</v>
      </c>
      <c r="G1964">
        <v>5.86</v>
      </c>
      <c r="H1964">
        <v>5</v>
      </c>
      <c r="I1964">
        <v>9</v>
      </c>
      <c r="J1964">
        <v>14.96</v>
      </c>
      <c r="K1964">
        <v>18.8</v>
      </c>
      <c r="L1964" t="s">
        <v>5028</v>
      </c>
      <c r="M1964">
        <v>7</v>
      </c>
      <c r="N1964">
        <v>1</v>
      </c>
      <c r="O1964">
        <v>0</v>
      </c>
    </row>
    <row r="1965" spans="1:15" x14ac:dyDescent="0.3">
      <c r="A1965" t="s">
        <v>1978</v>
      </c>
      <c r="B1965">
        <v>12</v>
      </c>
      <c r="C1965">
        <v>68</v>
      </c>
      <c r="D1965" t="s">
        <v>5015</v>
      </c>
      <c r="E1965" t="s">
        <v>5017</v>
      </c>
      <c r="F1965" t="s">
        <v>5021</v>
      </c>
      <c r="G1965">
        <v>21.02</v>
      </c>
      <c r="H1965">
        <v>2</v>
      </c>
      <c r="I1965">
        <v>6.3</v>
      </c>
      <c r="J1965">
        <v>21.87</v>
      </c>
      <c r="K1965">
        <v>94</v>
      </c>
      <c r="L1965" t="s">
        <v>5028</v>
      </c>
      <c r="M1965">
        <v>9</v>
      </c>
      <c r="N1965">
        <v>1</v>
      </c>
      <c r="O1965">
        <v>0</v>
      </c>
    </row>
    <row r="1966" spans="1:15" x14ac:dyDescent="0.3">
      <c r="A1966" t="s">
        <v>1979</v>
      </c>
      <c r="B1966">
        <v>8</v>
      </c>
      <c r="C1966">
        <v>26</v>
      </c>
      <c r="D1966" t="s">
        <v>5016</v>
      </c>
      <c r="E1966" t="s">
        <v>5019</v>
      </c>
      <c r="F1966" t="s">
        <v>5022</v>
      </c>
      <c r="G1966">
        <v>21.59</v>
      </c>
      <c r="H1966">
        <v>2</v>
      </c>
      <c r="I1966">
        <v>7.1</v>
      </c>
      <c r="J1966">
        <v>21.33</v>
      </c>
      <c r="K1966">
        <v>41.4</v>
      </c>
      <c r="L1966" t="s">
        <v>5025</v>
      </c>
      <c r="M1966">
        <v>9</v>
      </c>
      <c r="N1966">
        <v>4</v>
      </c>
      <c r="O1966">
        <v>1</v>
      </c>
    </row>
    <row r="1967" spans="1:15" x14ac:dyDescent="0.3">
      <c r="A1967" t="s">
        <v>1980</v>
      </c>
      <c r="B1967">
        <v>8</v>
      </c>
      <c r="C1967">
        <v>18</v>
      </c>
      <c r="D1967" t="s">
        <v>5015</v>
      </c>
      <c r="E1967" t="s">
        <v>5018</v>
      </c>
      <c r="F1967" t="s">
        <v>5021</v>
      </c>
      <c r="G1967">
        <v>22.87</v>
      </c>
      <c r="H1967">
        <v>2</v>
      </c>
      <c r="I1967">
        <v>3.6</v>
      </c>
      <c r="J1967">
        <v>17.03</v>
      </c>
      <c r="K1967">
        <v>40.4</v>
      </c>
      <c r="L1967" t="s">
        <v>5029</v>
      </c>
      <c r="M1967">
        <v>4</v>
      </c>
      <c r="N1967">
        <v>4</v>
      </c>
      <c r="O1967">
        <v>0</v>
      </c>
    </row>
    <row r="1968" spans="1:15" x14ac:dyDescent="0.3">
      <c r="A1968" t="s">
        <v>1981</v>
      </c>
      <c r="B1968">
        <v>2</v>
      </c>
      <c r="C1968">
        <v>59</v>
      </c>
      <c r="D1968" t="s">
        <v>5015</v>
      </c>
      <c r="E1968" t="s">
        <v>5019</v>
      </c>
      <c r="F1968" t="s">
        <v>5021</v>
      </c>
      <c r="G1968">
        <v>8.7200000000000006</v>
      </c>
      <c r="H1968">
        <v>1</v>
      </c>
      <c r="I1968">
        <v>5</v>
      </c>
      <c r="J1968">
        <v>22.55</v>
      </c>
      <c r="K1968">
        <v>39.6</v>
      </c>
      <c r="L1968" t="s">
        <v>5026</v>
      </c>
      <c r="M1968">
        <v>9</v>
      </c>
      <c r="N1968">
        <v>0</v>
      </c>
      <c r="O1968">
        <v>0</v>
      </c>
    </row>
    <row r="1969" spans="1:15" x14ac:dyDescent="0.3">
      <c r="A1969" t="s">
        <v>1982</v>
      </c>
      <c r="B1969">
        <v>12</v>
      </c>
      <c r="C1969">
        <v>36</v>
      </c>
      <c r="D1969" t="s">
        <v>5016</v>
      </c>
      <c r="E1969" t="s">
        <v>5018</v>
      </c>
      <c r="F1969" t="s">
        <v>5021</v>
      </c>
      <c r="G1969">
        <v>7.49</v>
      </c>
      <c r="H1969">
        <v>2</v>
      </c>
      <c r="I1969">
        <v>8.3000000000000007</v>
      </c>
      <c r="J1969">
        <v>23.95</v>
      </c>
      <c r="K1969">
        <v>95.5</v>
      </c>
      <c r="L1969" t="s">
        <v>5025</v>
      </c>
      <c r="M1969">
        <v>11</v>
      </c>
      <c r="N1969">
        <v>0</v>
      </c>
      <c r="O1969">
        <v>1</v>
      </c>
    </row>
    <row r="1970" spans="1:15" x14ac:dyDescent="0.3">
      <c r="A1970" t="s">
        <v>1983</v>
      </c>
      <c r="B1970">
        <v>4</v>
      </c>
      <c r="C1970">
        <v>50</v>
      </c>
      <c r="D1970" t="s">
        <v>5016</v>
      </c>
      <c r="E1970" t="s">
        <v>5017</v>
      </c>
      <c r="F1970" t="s">
        <v>5021</v>
      </c>
      <c r="G1970">
        <v>15.07</v>
      </c>
      <c r="H1970">
        <v>1</v>
      </c>
      <c r="I1970">
        <v>4</v>
      </c>
      <c r="J1970">
        <v>23.57</v>
      </c>
      <c r="K1970">
        <v>98.2</v>
      </c>
      <c r="L1970" t="s">
        <v>5027</v>
      </c>
      <c r="M1970">
        <v>7</v>
      </c>
      <c r="N1970">
        <v>0</v>
      </c>
      <c r="O1970">
        <v>1</v>
      </c>
    </row>
    <row r="1971" spans="1:15" x14ac:dyDescent="0.3">
      <c r="A1971" t="s">
        <v>1984</v>
      </c>
      <c r="B1971">
        <v>11</v>
      </c>
      <c r="C1971">
        <v>51</v>
      </c>
      <c r="D1971" t="s">
        <v>5016</v>
      </c>
      <c r="E1971" t="s">
        <v>5018</v>
      </c>
      <c r="F1971" t="s">
        <v>5023</v>
      </c>
      <c r="G1971">
        <v>10.43</v>
      </c>
      <c r="H1971">
        <v>4</v>
      </c>
      <c r="I1971">
        <v>2.5</v>
      </c>
      <c r="J1971">
        <v>10.68</v>
      </c>
      <c r="K1971">
        <v>97.6</v>
      </c>
      <c r="L1971" t="s">
        <v>5028</v>
      </c>
      <c r="M1971">
        <v>6</v>
      </c>
      <c r="N1971">
        <v>3</v>
      </c>
      <c r="O1971">
        <v>0</v>
      </c>
    </row>
    <row r="1972" spans="1:15" x14ac:dyDescent="0.3">
      <c r="A1972" t="s">
        <v>1985</v>
      </c>
      <c r="B1972">
        <v>7</v>
      </c>
      <c r="C1972">
        <v>33</v>
      </c>
      <c r="D1972" t="s">
        <v>5016</v>
      </c>
      <c r="E1972" t="s">
        <v>5017</v>
      </c>
      <c r="F1972" t="s">
        <v>5022</v>
      </c>
      <c r="G1972">
        <v>17.13</v>
      </c>
      <c r="H1972">
        <v>5</v>
      </c>
      <c r="I1972">
        <v>4.4000000000000004</v>
      </c>
      <c r="J1972">
        <v>11.74</v>
      </c>
      <c r="K1972">
        <v>73.400000000000006</v>
      </c>
      <c r="L1972" t="s">
        <v>5028</v>
      </c>
      <c r="M1972">
        <v>11</v>
      </c>
      <c r="N1972">
        <v>3</v>
      </c>
      <c r="O1972">
        <v>0</v>
      </c>
    </row>
    <row r="1973" spans="1:15" x14ac:dyDescent="0.3">
      <c r="A1973" t="s">
        <v>1986</v>
      </c>
      <c r="B1973">
        <v>11</v>
      </c>
      <c r="C1973">
        <v>61</v>
      </c>
      <c r="D1973" t="s">
        <v>5016</v>
      </c>
      <c r="E1973" t="s">
        <v>5019</v>
      </c>
      <c r="F1973" t="s">
        <v>5021</v>
      </c>
      <c r="G1973">
        <v>15.27</v>
      </c>
      <c r="H1973">
        <v>5</v>
      </c>
      <c r="I1973">
        <v>1.6</v>
      </c>
      <c r="J1973">
        <v>8.2899999999999991</v>
      </c>
      <c r="K1973">
        <v>20</v>
      </c>
      <c r="L1973" t="s">
        <v>5026</v>
      </c>
      <c r="M1973">
        <v>9</v>
      </c>
      <c r="N1973">
        <v>0</v>
      </c>
      <c r="O1973">
        <v>0</v>
      </c>
    </row>
    <row r="1974" spans="1:15" x14ac:dyDescent="0.3">
      <c r="A1974" t="s">
        <v>1987</v>
      </c>
      <c r="B1974">
        <v>4</v>
      </c>
      <c r="C1974">
        <v>57</v>
      </c>
      <c r="D1974" t="s">
        <v>5016</v>
      </c>
      <c r="E1974" t="s">
        <v>5017</v>
      </c>
      <c r="F1974" t="s">
        <v>5023</v>
      </c>
      <c r="G1974">
        <v>7.9</v>
      </c>
      <c r="H1974">
        <v>2</v>
      </c>
      <c r="I1974">
        <v>7.5</v>
      </c>
      <c r="J1974">
        <v>21.41</v>
      </c>
      <c r="K1974">
        <v>44.8</v>
      </c>
      <c r="L1974" t="s">
        <v>5028</v>
      </c>
      <c r="M1974">
        <v>4</v>
      </c>
      <c r="N1974">
        <v>4</v>
      </c>
      <c r="O1974">
        <v>0</v>
      </c>
    </row>
    <row r="1975" spans="1:15" x14ac:dyDescent="0.3">
      <c r="A1975" t="s">
        <v>1988</v>
      </c>
      <c r="B1975">
        <v>4</v>
      </c>
      <c r="C1975">
        <v>35</v>
      </c>
      <c r="D1975" t="s">
        <v>5015</v>
      </c>
      <c r="E1975" t="s">
        <v>5019</v>
      </c>
      <c r="F1975" t="s">
        <v>5020</v>
      </c>
      <c r="G1975">
        <v>19.79</v>
      </c>
      <c r="H1975">
        <v>5</v>
      </c>
      <c r="I1975">
        <v>2.2999999999999998</v>
      </c>
      <c r="J1975">
        <v>5.68</v>
      </c>
      <c r="K1975">
        <v>36</v>
      </c>
      <c r="L1975" t="s">
        <v>5028</v>
      </c>
      <c r="M1975">
        <v>1</v>
      </c>
      <c r="N1975">
        <v>1</v>
      </c>
      <c r="O1975">
        <v>0</v>
      </c>
    </row>
    <row r="1976" spans="1:15" x14ac:dyDescent="0.3">
      <c r="A1976" t="s">
        <v>1989</v>
      </c>
      <c r="B1976">
        <v>6</v>
      </c>
      <c r="C1976">
        <v>51</v>
      </c>
      <c r="D1976" t="s">
        <v>5015</v>
      </c>
      <c r="E1976" t="s">
        <v>5018</v>
      </c>
      <c r="F1976" t="s">
        <v>5021</v>
      </c>
      <c r="G1976">
        <v>21.08</v>
      </c>
      <c r="H1976">
        <v>1</v>
      </c>
      <c r="I1976">
        <v>3.6</v>
      </c>
      <c r="J1976">
        <v>10.81</v>
      </c>
      <c r="K1976">
        <v>73.8</v>
      </c>
      <c r="L1976" t="s">
        <v>5026</v>
      </c>
      <c r="M1976">
        <v>6</v>
      </c>
      <c r="N1976">
        <v>0</v>
      </c>
      <c r="O1976">
        <v>0</v>
      </c>
    </row>
    <row r="1977" spans="1:15" x14ac:dyDescent="0.3">
      <c r="A1977" t="s">
        <v>1990</v>
      </c>
      <c r="B1977">
        <v>10</v>
      </c>
      <c r="C1977">
        <v>42</v>
      </c>
      <c r="D1977" t="s">
        <v>5015</v>
      </c>
      <c r="E1977" t="s">
        <v>5018</v>
      </c>
      <c r="F1977" t="s">
        <v>5023</v>
      </c>
      <c r="G1977">
        <v>24.26</v>
      </c>
      <c r="H1977">
        <v>4</v>
      </c>
      <c r="I1977">
        <v>8.9</v>
      </c>
      <c r="J1977">
        <v>3.21</v>
      </c>
      <c r="K1977">
        <v>54.3</v>
      </c>
      <c r="L1977" t="s">
        <v>5029</v>
      </c>
      <c r="M1977">
        <v>1</v>
      </c>
      <c r="N1977">
        <v>0</v>
      </c>
      <c r="O1977">
        <v>0</v>
      </c>
    </row>
    <row r="1978" spans="1:15" x14ac:dyDescent="0.3">
      <c r="A1978" t="s">
        <v>1991</v>
      </c>
      <c r="B1978">
        <v>6</v>
      </c>
      <c r="C1978">
        <v>62</v>
      </c>
      <c r="D1978" t="s">
        <v>5015</v>
      </c>
      <c r="E1978" t="s">
        <v>5017</v>
      </c>
      <c r="F1978" t="s">
        <v>5024</v>
      </c>
      <c r="G1978">
        <v>12.91</v>
      </c>
      <c r="H1978">
        <v>2</v>
      </c>
      <c r="I1978">
        <v>5.9</v>
      </c>
      <c r="J1978">
        <v>16.079999999999998</v>
      </c>
      <c r="K1978">
        <v>65.5</v>
      </c>
      <c r="L1978" t="s">
        <v>5025</v>
      </c>
      <c r="M1978">
        <v>10</v>
      </c>
      <c r="N1978">
        <v>1</v>
      </c>
      <c r="O1978">
        <v>0</v>
      </c>
    </row>
    <row r="1979" spans="1:15" x14ac:dyDescent="0.3">
      <c r="A1979" t="s">
        <v>1992</v>
      </c>
      <c r="B1979">
        <v>10</v>
      </c>
      <c r="C1979">
        <v>23</v>
      </c>
      <c r="D1979" t="s">
        <v>5016</v>
      </c>
      <c r="E1979" t="s">
        <v>5018</v>
      </c>
      <c r="F1979" t="s">
        <v>5020</v>
      </c>
      <c r="G1979">
        <v>11.75</v>
      </c>
      <c r="H1979">
        <v>3</v>
      </c>
      <c r="I1979">
        <v>3.9</v>
      </c>
      <c r="J1979">
        <v>17.48</v>
      </c>
      <c r="K1979">
        <v>10.8</v>
      </c>
      <c r="L1979" t="s">
        <v>5029</v>
      </c>
      <c r="M1979">
        <v>9</v>
      </c>
      <c r="N1979">
        <v>2</v>
      </c>
      <c r="O1979">
        <v>1</v>
      </c>
    </row>
    <row r="1980" spans="1:15" x14ac:dyDescent="0.3">
      <c r="A1980" t="s">
        <v>1993</v>
      </c>
      <c r="B1980">
        <v>3</v>
      </c>
      <c r="C1980">
        <v>38</v>
      </c>
      <c r="D1980" t="s">
        <v>5016</v>
      </c>
      <c r="E1980" t="s">
        <v>5018</v>
      </c>
      <c r="F1980" t="s">
        <v>5022</v>
      </c>
      <c r="G1980">
        <v>8.85</v>
      </c>
      <c r="H1980">
        <v>5</v>
      </c>
      <c r="I1980">
        <v>5.9</v>
      </c>
      <c r="J1980">
        <v>8.48</v>
      </c>
      <c r="K1980">
        <v>80.5</v>
      </c>
      <c r="L1980" t="s">
        <v>5026</v>
      </c>
      <c r="M1980">
        <v>5</v>
      </c>
      <c r="N1980">
        <v>0</v>
      </c>
      <c r="O1980">
        <v>1</v>
      </c>
    </row>
    <row r="1981" spans="1:15" x14ac:dyDescent="0.3">
      <c r="A1981" t="s">
        <v>1994</v>
      </c>
      <c r="B1981">
        <v>9</v>
      </c>
      <c r="C1981">
        <v>23</v>
      </c>
      <c r="D1981" t="s">
        <v>5015</v>
      </c>
      <c r="E1981" t="s">
        <v>5017</v>
      </c>
      <c r="F1981" t="s">
        <v>5021</v>
      </c>
      <c r="G1981">
        <v>8.6199999999999992</v>
      </c>
      <c r="H1981">
        <v>5</v>
      </c>
      <c r="I1981">
        <v>3</v>
      </c>
      <c r="J1981">
        <v>19.21</v>
      </c>
      <c r="K1981">
        <v>95.7</v>
      </c>
      <c r="L1981" t="s">
        <v>5028</v>
      </c>
      <c r="M1981">
        <v>2</v>
      </c>
      <c r="N1981">
        <v>0</v>
      </c>
      <c r="O1981">
        <v>0</v>
      </c>
    </row>
    <row r="1982" spans="1:15" x14ac:dyDescent="0.3">
      <c r="A1982" t="s">
        <v>1995</v>
      </c>
      <c r="B1982">
        <v>12</v>
      </c>
      <c r="C1982">
        <v>49</v>
      </c>
      <c r="D1982" t="s">
        <v>5015</v>
      </c>
      <c r="E1982" t="s">
        <v>5019</v>
      </c>
      <c r="F1982" t="s">
        <v>5021</v>
      </c>
      <c r="G1982">
        <v>11.42</v>
      </c>
      <c r="H1982">
        <v>2</v>
      </c>
      <c r="I1982">
        <v>1.2</v>
      </c>
      <c r="J1982">
        <v>11.39</v>
      </c>
      <c r="K1982">
        <v>70.2</v>
      </c>
      <c r="L1982" t="s">
        <v>5028</v>
      </c>
      <c r="M1982">
        <v>8</v>
      </c>
      <c r="N1982">
        <v>3</v>
      </c>
      <c r="O1982">
        <v>0</v>
      </c>
    </row>
    <row r="1983" spans="1:15" x14ac:dyDescent="0.3">
      <c r="A1983" t="s">
        <v>1996</v>
      </c>
      <c r="B1983">
        <v>10</v>
      </c>
      <c r="C1983">
        <v>58</v>
      </c>
      <c r="D1983" t="s">
        <v>5015</v>
      </c>
      <c r="E1983" t="s">
        <v>5018</v>
      </c>
      <c r="F1983" t="s">
        <v>5023</v>
      </c>
      <c r="G1983">
        <v>24.64</v>
      </c>
      <c r="H1983">
        <v>5</v>
      </c>
      <c r="I1983">
        <v>6.4</v>
      </c>
      <c r="J1983">
        <v>9.86</v>
      </c>
      <c r="K1983">
        <v>86.7</v>
      </c>
      <c r="L1983" t="s">
        <v>5029</v>
      </c>
      <c r="M1983">
        <v>10</v>
      </c>
      <c r="N1983">
        <v>1</v>
      </c>
      <c r="O1983">
        <v>1</v>
      </c>
    </row>
    <row r="1984" spans="1:15" x14ac:dyDescent="0.3">
      <c r="A1984" t="s">
        <v>1997</v>
      </c>
      <c r="B1984">
        <v>11</v>
      </c>
      <c r="C1984">
        <v>65</v>
      </c>
      <c r="D1984" t="s">
        <v>5016</v>
      </c>
      <c r="E1984" t="s">
        <v>5018</v>
      </c>
      <c r="F1984" t="s">
        <v>5022</v>
      </c>
      <c r="G1984">
        <v>6.85</v>
      </c>
      <c r="H1984">
        <v>5</v>
      </c>
      <c r="I1984">
        <v>7.4</v>
      </c>
      <c r="J1984">
        <v>24.04</v>
      </c>
      <c r="K1984">
        <v>53</v>
      </c>
      <c r="L1984" t="s">
        <v>5027</v>
      </c>
      <c r="M1984">
        <v>11</v>
      </c>
      <c r="N1984">
        <v>0</v>
      </c>
      <c r="O1984">
        <v>0</v>
      </c>
    </row>
    <row r="1985" spans="1:15" x14ac:dyDescent="0.3">
      <c r="A1985" t="s">
        <v>1998</v>
      </c>
      <c r="B1985">
        <v>2</v>
      </c>
      <c r="C1985">
        <v>60</v>
      </c>
      <c r="D1985" t="s">
        <v>5016</v>
      </c>
      <c r="E1985" t="s">
        <v>5018</v>
      </c>
      <c r="F1985" t="s">
        <v>5024</v>
      </c>
      <c r="G1985">
        <v>10.19</v>
      </c>
      <c r="H1985">
        <v>3</v>
      </c>
      <c r="I1985">
        <v>8.9</v>
      </c>
      <c r="J1985">
        <v>15.95</v>
      </c>
      <c r="K1985">
        <v>11.8</v>
      </c>
      <c r="L1985" t="s">
        <v>5025</v>
      </c>
      <c r="M1985">
        <v>6</v>
      </c>
      <c r="N1985">
        <v>0</v>
      </c>
      <c r="O1985">
        <v>0</v>
      </c>
    </row>
    <row r="1986" spans="1:15" x14ac:dyDescent="0.3">
      <c r="A1986" t="s">
        <v>1999</v>
      </c>
      <c r="B1986">
        <v>6</v>
      </c>
      <c r="C1986">
        <v>56</v>
      </c>
      <c r="D1986" t="s">
        <v>5016</v>
      </c>
      <c r="E1986" t="s">
        <v>5017</v>
      </c>
      <c r="F1986" t="s">
        <v>5020</v>
      </c>
      <c r="G1986">
        <v>6.72</v>
      </c>
      <c r="H1986">
        <v>1</v>
      </c>
      <c r="I1986">
        <v>7.9</v>
      </c>
      <c r="J1986">
        <v>8.5500000000000007</v>
      </c>
      <c r="K1986">
        <v>99.1</v>
      </c>
      <c r="L1986" t="s">
        <v>5028</v>
      </c>
      <c r="M1986">
        <v>3</v>
      </c>
      <c r="N1986">
        <v>2</v>
      </c>
      <c r="O1986">
        <v>1</v>
      </c>
    </row>
    <row r="1987" spans="1:15" x14ac:dyDescent="0.3">
      <c r="A1987" t="s">
        <v>2000</v>
      </c>
      <c r="B1987">
        <v>12</v>
      </c>
      <c r="C1987">
        <v>48</v>
      </c>
      <c r="D1987" t="s">
        <v>5015</v>
      </c>
      <c r="E1987" t="s">
        <v>5019</v>
      </c>
      <c r="F1987" t="s">
        <v>5022</v>
      </c>
      <c r="G1987">
        <v>10.47</v>
      </c>
      <c r="H1987">
        <v>2</v>
      </c>
      <c r="I1987">
        <v>9.3000000000000007</v>
      </c>
      <c r="J1987">
        <v>24.63</v>
      </c>
      <c r="K1987">
        <v>15.3</v>
      </c>
      <c r="L1987" t="s">
        <v>5026</v>
      </c>
      <c r="M1987">
        <v>11</v>
      </c>
      <c r="N1987">
        <v>1</v>
      </c>
      <c r="O1987">
        <v>0</v>
      </c>
    </row>
    <row r="1988" spans="1:15" x14ac:dyDescent="0.3">
      <c r="A1988" t="s">
        <v>2001</v>
      </c>
      <c r="B1988">
        <v>7</v>
      </c>
      <c r="C1988">
        <v>59</v>
      </c>
      <c r="D1988" t="s">
        <v>5015</v>
      </c>
      <c r="E1988" t="s">
        <v>5018</v>
      </c>
      <c r="F1988" t="s">
        <v>5021</v>
      </c>
      <c r="G1988">
        <v>6.85</v>
      </c>
      <c r="H1988">
        <v>2</v>
      </c>
      <c r="I1988">
        <v>9.9</v>
      </c>
      <c r="J1988">
        <v>11.53</v>
      </c>
      <c r="K1988">
        <v>27.3</v>
      </c>
      <c r="L1988" t="s">
        <v>5029</v>
      </c>
      <c r="M1988">
        <v>2</v>
      </c>
      <c r="N1988">
        <v>0</v>
      </c>
      <c r="O1988">
        <v>0</v>
      </c>
    </row>
    <row r="1989" spans="1:15" x14ac:dyDescent="0.3">
      <c r="A1989" t="s">
        <v>2002</v>
      </c>
      <c r="B1989">
        <v>12</v>
      </c>
      <c r="C1989">
        <v>27</v>
      </c>
      <c r="D1989" t="s">
        <v>5016</v>
      </c>
      <c r="E1989" t="s">
        <v>5017</v>
      </c>
      <c r="F1989" t="s">
        <v>5023</v>
      </c>
      <c r="G1989">
        <v>15.17</v>
      </c>
      <c r="H1989">
        <v>3</v>
      </c>
      <c r="I1989">
        <v>7.7</v>
      </c>
      <c r="J1989">
        <v>17.25</v>
      </c>
      <c r="K1989">
        <v>14.7</v>
      </c>
      <c r="L1989" t="s">
        <v>5025</v>
      </c>
      <c r="M1989">
        <v>10</v>
      </c>
      <c r="N1989">
        <v>2</v>
      </c>
      <c r="O1989">
        <v>1</v>
      </c>
    </row>
    <row r="1990" spans="1:15" x14ac:dyDescent="0.3">
      <c r="A1990" t="s">
        <v>2003</v>
      </c>
      <c r="B1990">
        <v>9</v>
      </c>
      <c r="C1990">
        <v>47</v>
      </c>
      <c r="D1990" t="s">
        <v>5016</v>
      </c>
      <c r="E1990" t="s">
        <v>5018</v>
      </c>
      <c r="F1990" t="s">
        <v>5024</v>
      </c>
      <c r="G1990">
        <v>13.77</v>
      </c>
      <c r="H1990">
        <v>3</v>
      </c>
      <c r="I1990">
        <v>8.8000000000000007</v>
      </c>
      <c r="J1990">
        <v>18.920000000000002</v>
      </c>
      <c r="K1990">
        <v>66.2</v>
      </c>
      <c r="L1990" t="s">
        <v>5027</v>
      </c>
      <c r="M1990">
        <v>11</v>
      </c>
      <c r="N1990">
        <v>0</v>
      </c>
      <c r="O1990">
        <v>0</v>
      </c>
    </row>
    <row r="1991" spans="1:15" x14ac:dyDescent="0.3">
      <c r="A1991" t="s">
        <v>2004</v>
      </c>
      <c r="B1991">
        <v>3</v>
      </c>
      <c r="C1991">
        <v>69</v>
      </c>
      <c r="D1991" t="s">
        <v>5015</v>
      </c>
      <c r="E1991" t="s">
        <v>5018</v>
      </c>
      <c r="F1991" t="s">
        <v>5023</v>
      </c>
      <c r="G1991">
        <v>8.48</v>
      </c>
      <c r="H1991">
        <v>1</v>
      </c>
      <c r="I1991">
        <v>7.1</v>
      </c>
      <c r="J1991">
        <v>12.29</v>
      </c>
      <c r="K1991">
        <v>62.5</v>
      </c>
      <c r="L1991" t="s">
        <v>5028</v>
      </c>
      <c r="M1991">
        <v>4</v>
      </c>
      <c r="N1991">
        <v>4</v>
      </c>
      <c r="O1991">
        <v>0</v>
      </c>
    </row>
    <row r="1992" spans="1:15" x14ac:dyDescent="0.3">
      <c r="A1992" t="s">
        <v>2005</v>
      </c>
      <c r="B1992">
        <v>10</v>
      </c>
      <c r="C1992">
        <v>35</v>
      </c>
      <c r="D1992" t="s">
        <v>5015</v>
      </c>
      <c r="E1992" t="s">
        <v>5018</v>
      </c>
      <c r="F1992" t="s">
        <v>5020</v>
      </c>
      <c r="G1992">
        <v>8.5</v>
      </c>
      <c r="H1992">
        <v>4</v>
      </c>
      <c r="I1992">
        <v>2.5</v>
      </c>
      <c r="J1992">
        <v>14.79</v>
      </c>
      <c r="K1992">
        <v>28.9</v>
      </c>
      <c r="L1992" t="s">
        <v>5029</v>
      </c>
      <c r="M1992">
        <v>1</v>
      </c>
      <c r="N1992">
        <v>2</v>
      </c>
      <c r="O1992">
        <v>1</v>
      </c>
    </row>
    <row r="1993" spans="1:15" x14ac:dyDescent="0.3">
      <c r="A1993" t="s">
        <v>2006</v>
      </c>
      <c r="B1993">
        <v>3</v>
      </c>
      <c r="C1993">
        <v>41</v>
      </c>
      <c r="D1993" t="s">
        <v>5016</v>
      </c>
      <c r="E1993" t="s">
        <v>5018</v>
      </c>
      <c r="F1993" t="s">
        <v>5022</v>
      </c>
      <c r="G1993">
        <v>17.52</v>
      </c>
      <c r="H1993">
        <v>2</v>
      </c>
      <c r="I1993">
        <v>2.6</v>
      </c>
      <c r="J1993">
        <v>8.2799999999999994</v>
      </c>
      <c r="K1993">
        <v>96.1</v>
      </c>
      <c r="L1993" t="s">
        <v>5028</v>
      </c>
      <c r="M1993">
        <v>1</v>
      </c>
      <c r="N1993">
        <v>4</v>
      </c>
      <c r="O1993">
        <v>0</v>
      </c>
    </row>
    <row r="1994" spans="1:15" x14ac:dyDescent="0.3">
      <c r="A1994" t="s">
        <v>2007</v>
      </c>
      <c r="B1994">
        <v>7</v>
      </c>
      <c r="C1994">
        <v>69</v>
      </c>
      <c r="D1994" t="s">
        <v>5015</v>
      </c>
      <c r="E1994" t="s">
        <v>5017</v>
      </c>
      <c r="F1994" t="s">
        <v>5023</v>
      </c>
      <c r="G1994">
        <v>12.74</v>
      </c>
      <c r="H1994">
        <v>5</v>
      </c>
      <c r="I1994">
        <v>2</v>
      </c>
      <c r="J1994">
        <v>13.25</v>
      </c>
      <c r="K1994">
        <v>92.2</v>
      </c>
      <c r="L1994" t="s">
        <v>5029</v>
      </c>
      <c r="M1994">
        <v>5</v>
      </c>
      <c r="N1994">
        <v>0</v>
      </c>
      <c r="O1994">
        <v>0</v>
      </c>
    </row>
    <row r="1995" spans="1:15" x14ac:dyDescent="0.3">
      <c r="A1995" t="s">
        <v>2008</v>
      </c>
      <c r="B1995">
        <v>4</v>
      </c>
      <c r="C1995">
        <v>26</v>
      </c>
      <c r="D1995" t="s">
        <v>5016</v>
      </c>
      <c r="E1995" t="s">
        <v>5017</v>
      </c>
      <c r="F1995" t="s">
        <v>5023</v>
      </c>
      <c r="G1995">
        <v>6.12</v>
      </c>
      <c r="H1995">
        <v>1</v>
      </c>
      <c r="I1995">
        <v>9.5</v>
      </c>
      <c r="J1995">
        <v>9.84</v>
      </c>
      <c r="K1995">
        <v>35.200000000000003</v>
      </c>
      <c r="L1995" t="s">
        <v>5027</v>
      </c>
      <c r="M1995">
        <v>10</v>
      </c>
      <c r="N1995">
        <v>2</v>
      </c>
      <c r="O1995">
        <v>0</v>
      </c>
    </row>
    <row r="1996" spans="1:15" x14ac:dyDescent="0.3">
      <c r="A1996" t="s">
        <v>2009</v>
      </c>
      <c r="B1996">
        <v>8</v>
      </c>
      <c r="C1996">
        <v>48</v>
      </c>
      <c r="D1996" t="s">
        <v>5016</v>
      </c>
      <c r="E1996" t="s">
        <v>5019</v>
      </c>
      <c r="F1996" t="s">
        <v>5021</v>
      </c>
      <c r="G1996">
        <v>23.4</v>
      </c>
      <c r="H1996">
        <v>2</v>
      </c>
      <c r="I1996">
        <v>7.1</v>
      </c>
      <c r="J1996">
        <v>15.04</v>
      </c>
      <c r="K1996">
        <v>69.3</v>
      </c>
      <c r="L1996" t="s">
        <v>5026</v>
      </c>
      <c r="M1996">
        <v>9</v>
      </c>
      <c r="N1996">
        <v>1</v>
      </c>
      <c r="O1996">
        <v>0</v>
      </c>
    </row>
    <row r="1997" spans="1:15" x14ac:dyDescent="0.3">
      <c r="A1997" t="s">
        <v>2010</v>
      </c>
      <c r="B1997">
        <v>7</v>
      </c>
      <c r="C1997">
        <v>32</v>
      </c>
      <c r="D1997" t="s">
        <v>5015</v>
      </c>
      <c r="E1997" t="s">
        <v>5017</v>
      </c>
      <c r="F1997" t="s">
        <v>5023</v>
      </c>
      <c r="G1997">
        <v>13.1</v>
      </c>
      <c r="H1997">
        <v>1</v>
      </c>
      <c r="I1997">
        <v>8.1</v>
      </c>
      <c r="J1997">
        <v>17.739999999999998</v>
      </c>
      <c r="K1997">
        <v>87</v>
      </c>
      <c r="L1997" t="s">
        <v>5026</v>
      </c>
      <c r="M1997">
        <v>5</v>
      </c>
      <c r="N1997">
        <v>3</v>
      </c>
      <c r="O1997">
        <v>0</v>
      </c>
    </row>
    <row r="1998" spans="1:15" x14ac:dyDescent="0.3">
      <c r="A1998" t="s">
        <v>2011</v>
      </c>
      <c r="B1998">
        <v>5</v>
      </c>
      <c r="C1998">
        <v>21</v>
      </c>
      <c r="D1998" t="s">
        <v>5015</v>
      </c>
      <c r="E1998" t="s">
        <v>5019</v>
      </c>
      <c r="F1998" t="s">
        <v>5024</v>
      </c>
      <c r="G1998">
        <v>16.82</v>
      </c>
      <c r="H1998">
        <v>4</v>
      </c>
      <c r="I1998">
        <v>4</v>
      </c>
      <c r="J1998">
        <v>16.510000000000002</v>
      </c>
      <c r="K1998">
        <v>42.4</v>
      </c>
      <c r="L1998" t="s">
        <v>5025</v>
      </c>
      <c r="M1998">
        <v>6</v>
      </c>
      <c r="N1998">
        <v>0</v>
      </c>
      <c r="O1998">
        <v>0</v>
      </c>
    </row>
    <row r="1999" spans="1:15" x14ac:dyDescent="0.3">
      <c r="A1999" t="s">
        <v>2012</v>
      </c>
      <c r="B1999">
        <v>7</v>
      </c>
      <c r="C1999">
        <v>57</v>
      </c>
      <c r="D1999" t="s">
        <v>5015</v>
      </c>
      <c r="E1999" t="s">
        <v>5017</v>
      </c>
      <c r="F1999" t="s">
        <v>5022</v>
      </c>
      <c r="G1999">
        <v>22.71</v>
      </c>
      <c r="H1999">
        <v>2</v>
      </c>
      <c r="I1999">
        <v>5.0999999999999996</v>
      </c>
      <c r="J1999">
        <v>20.09</v>
      </c>
      <c r="K1999">
        <v>32.799999999999997</v>
      </c>
      <c r="L1999" t="s">
        <v>5028</v>
      </c>
      <c r="M1999">
        <v>10</v>
      </c>
      <c r="N1999">
        <v>2</v>
      </c>
      <c r="O1999">
        <v>0</v>
      </c>
    </row>
    <row r="2000" spans="1:15" x14ac:dyDescent="0.3">
      <c r="A2000" t="s">
        <v>2013</v>
      </c>
      <c r="B2000">
        <v>3</v>
      </c>
      <c r="C2000">
        <v>26</v>
      </c>
      <c r="D2000" t="s">
        <v>5016</v>
      </c>
      <c r="E2000" t="s">
        <v>5019</v>
      </c>
      <c r="F2000" t="s">
        <v>5020</v>
      </c>
      <c r="G2000">
        <v>13.04</v>
      </c>
      <c r="H2000">
        <v>5</v>
      </c>
      <c r="I2000">
        <v>1.4</v>
      </c>
      <c r="J2000">
        <v>3.91</v>
      </c>
      <c r="K2000">
        <v>33.1</v>
      </c>
      <c r="L2000" t="s">
        <v>5028</v>
      </c>
      <c r="M2000">
        <v>9</v>
      </c>
      <c r="N2000">
        <v>4</v>
      </c>
      <c r="O2000">
        <v>1</v>
      </c>
    </row>
    <row r="2001" spans="1:15" x14ac:dyDescent="0.3">
      <c r="A2001" t="s">
        <v>2014</v>
      </c>
      <c r="B2001">
        <v>12</v>
      </c>
      <c r="C2001">
        <v>62</v>
      </c>
      <c r="D2001" t="s">
        <v>5015</v>
      </c>
      <c r="E2001" t="s">
        <v>5018</v>
      </c>
      <c r="F2001" t="s">
        <v>5023</v>
      </c>
      <c r="G2001">
        <v>21.41</v>
      </c>
      <c r="H2001">
        <v>2</v>
      </c>
      <c r="I2001">
        <v>9</v>
      </c>
      <c r="J2001">
        <v>4.7300000000000004</v>
      </c>
      <c r="K2001">
        <v>83.8</v>
      </c>
      <c r="L2001" t="s">
        <v>5028</v>
      </c>
      <c r="M2001">
        <v>3</v>
      </c>
      <c r="N2001">
        <v>2</v>
      </c>
      <c r="O2001">
        <v>1</v>
      </c>
    </row>
    <row r="2002" spans="1:15" x14ac:dyDescent="0.3">
      <c r="A2002" t="s">
        <v>2015</v>
      </c>
      <c r="B2002">
        <v>2</v>
      </c>
      <c r="C2002">
        <v>26</v>
      </c>
      <c r="D2002" t="s">
        <v>5015</v>
      </c>
      <c r="E2002" t="s">
        <v>5018</v>
      </c>
      <c r="F2002" t="s">
        <v>5024</v>
      </c>
      <c r="G2002">
        <v>23.3</v>
      </c>
      <c r="H2002">
        <v>1</v>
      </c>
      <c r="I2002">
        <v>8.6999999999999993</v>
      </c>
      <c r="J2002">
        <v>7.52</v>
      </c>
      <c r="K2002">
        <v>51.7</v>
      </c>
      <c r="L2002" t="s">
        <v>5026</v>
      </c>
      <c r="M2002">
        <v>4</v>
      </c>
      <c r="N2002">
        <v>1</v>
      </c>
      <c r="O2002">
        <v>0</v>
      </c>
    </row>
    <row r="2003" spans="1:15" x14ac:dyDescent="0.3">
      <c r="A2003" t="s">
        <v>2016</v>
      </c>
      <c r="B2003">
        <v>6</v>
      </c>
      <c r="C2003">
        <v>43</v>
      </c>
      <c r="D2003" t="s">
        <v>5016</v>
      </c>
      <c r="E2003" t="s">
        <v>5017</v>
      </c>
      <c r="F2003" t="s">
        <v>5020</v>
      </c>
      <c r="G2003">
        <v>8.48</v>
      </c>
      <c r="H2003">
        <v>4</v>
      </c>
      <c r="I2003">
        <v>8.1</v>
      </c>
      <c r="J2003">
        <v>24.69</v>
      </c>
      <c r="K2003">
        <v>74.400000000000006</v>
      </c>
      <c r="L2003" t="s">
        <v>5025</v>
      </c>
      <c r="M2003">
        <v>2</v>
      </c>
      <c r="N2003">
        <v>2</v>
      </c>
      <c r="O2003">
        <v>0</v>
      </c>
    </row>
    <row r="2004" spans="1:15" x14ac:dyDescent="0.3">
      <c r="A2004" t="s">
        <v>2017</v>
      </c>
      <c r="B2004">
        <v>2</v>
      </c>
      <c r="C2004">
        <v>21</v>
      </c>
      <c r="D2004" t="s">
        <v>5016</v>
      </c>
      <c r="E2004" t="s">
        <v>5017</v>
      </c>
      <c r="F2004" t="s">
        <v>5024</v>
      </c>
      <c r="G2004">
        <v>22.85</v>
      </c>
      <c r="H2004">
        <v>1</v>
      </c>
      <c r="I2004">
        <v>1.5</v>
      </c>
      <c r="J2004">
        <v>20.61</v>
      </c>
      <c r="K2004">
        <v>68.5</v>
      </c>
      <c r="L2004" t="s">
        <v>5026</v>
      </c>
      <c r="M2004">
        <v>4</v>
      </c>
      <c r="N2004">
        <v>4</v>
      </c>
      <c r="O2004">
        <v>0</v>
      </c>
    </row>
    <row r="2005" spans="1:15" x14ac:dyDescent="0.3">
      <c r="A2005" t="s">
        <v>2018</v>
      </c>
      <c r="B2005">
        <v>3</v>
      </c>
      <c r="C2005">
        <v>34</v>
      </c>
      <c r="D2005" t="s">
        <v>5015</v>
      </c>
      <c r="E2005" t="s">
        <v>5017</v>
      </c>
      <c r="F2005" t="s">
        <v>5023</v>
      </c>
      <c r="G2005">
        <v>7.4</v>
      </c>
      <c r="H2005">
        <v>1</v>
      </c>
      <c r="I2005">
        <v>2.6</v>
      </c>
      <c r="J2005">
        <v>23.33</v>
      </c>
      <c r="K2005">
        <v>37.6</v>
      </c>
      <c r="L2005" t="s">
        <v>5029</v>
      </c>
      <c r="M2005">
        <v>8</v>
      </c>
      <c r="N2005">
        <v>0</v>
      </c>
      <c r="O2005">
        <v>0</v>
      </c>
    </row>
    <row r="2006" spans="1:15" x14ac:dyDescent="0.3">
      <c r="A2006" t="s">
        <v>2019</v>
      </c>
      <c r="B2006">
        <v>6</v>
      </c>
      <c r="C2006">
        <v>33</v>
      </c>
      <c r="D2006" t="s">
        <v>5016</v>
      </c>
      <c r="E2006" t="s">
        <v>5017</v>
      </c>
      <c r="F2006" t="s">
        <v>5023</v>
      </c>
      <c r="G2006">
        <v>10.5</v>
      </c>
      <c r="H2006">
        <v>3</v>
      </c>
      <c r="I2006">
        <v>4</v>
      </c>
      <c r="J2006">
        <v>8.99</v>
      </c>
      <c r="K2006">
        <v>28.7</v>
      </c>
      <c r="L2006" t="s">
        <v>5028</v>
      </c>
      <c r="M2006">
        <v>2</v>
      </c>
      <c r="N2006">
        <v>4</v>
      </c>
      <c r="O2006">
        <v>0</v>
      </c>
    </row>
    <row r="2007" spans="1:15" x14ac:dyDescent="0.3">
      <c r="A2007" t="s">
        <v>2020</v>
      </c>
      <c r="B2007">
        <v>5</v>
      </c>
      <c r="C2007">
        <v>32</v>
      </c>
      <c r="D2007" t="s">
        <v>5016</v>
      </c>
      <c r="E2007" t="s">
        <v>5018</v>
      </c>
      <c r="F2007" t="s">
        <v>5022</v>
      </c>
      <c r="G2007">
        <v>21.16</v>
      </c>
      <c r="H2007">
        <v>1</v>
      </c>
      <c r="I2007">
        <v>3.4</v>
      </c>
      <c r="J2007">
        <v>15.62</v>
      </c>
      <c r="K2007">
        <v>21.3</v>
      </c>
      <c r="L2007" t="s">
        <v>5029</v>
      </c>
      <c r="M2007">
        <v>4</v>
      </c>
      <c r="N2007">
        <v>4</v>
      </c>
      <c r="O2007">
        <v>0</v>
      </c>
    </row>
    <row r="2008" spans="1:15" x14ac:dyDescent="0.3">
      <c r="A2008" t="s">
        <v>2021</v>
      </c>
      <c r="B2008">
        <v>8</v>
      </c>
      <c r="C2008">
        <v>52</v>
      </c>
      <c r="D2008" t="s">
        <v>5016</v>
      </c>
      <c r="E2008" t="s">
        <v>5018</v>
      </c>
      <c r="F2008" t="s">
        <v>5021</v>
      </c>
      <c r="G2008">
        <v>23.01</v>
      </c>
      <c r="H2008">
        <v>4</v>
      </c>
      <c r="I2008">
        <v>8.5</v>
      </c>
      <c r="J2008">
        <v>15.21</v>
      </c>
      <c r="K2008">
        <v>12.1</v>
      </c>
      <c r="L2008" t="s">
        <v>5027</v>
      </c>
      <c r="M2008">
        <v>8</v>
      </c>
      <c r="N2008">
        <v>4</v>
      </c>
      <c r="O2008">
        <v>1</v>
      </c>
    </row>
    <row r="2009" spans="1:15" x14ac:dyDescent="0.3">
      <c r="A2009" t="s">
        <v>2022</v>
      </c>
      <c r="B2009">
        <v>9</v>
      </c>
      <c r="C2009">
        <v>69</v>
      </c>
      <c r="D2009" t="s">
        <v>5015</v>
      </c>
      <c r="E2009" t="s">
        <v>5018</v>
      </c>
      <c r="F2009" t="s">
        <v>5024</v>
      </c>
      <c r="G2009">
        <v>18.68</v>
      </c>
      <c r="H2009">
        <v>5</v>
      </c>
      <c r="I2009">
        <v>2.8</v>
      </c>
      <c r="J2009">
        <v>15.53</v>
      </c>
      <c r="K2009">
        <v>17.3</v>
      </c>
      <c r="L2009" t="s">
        <v>5029</v>
      </c>
      <c r="M2009">
        <v>7</v>
      </c>
      <c r="N2009">
        <v>3</v>
      </c>
      <c r="O2009">
        <v>0</v>
      </c>
    </row>
    <row r="2010" spans="1:15" x14ac:dyDescent="0.3">
      <c r="A2010" t="s">
        <v>2023</v>
      </c>
      <c r="B2010">
        <v>11</v>
      </c>
      <c r="C2010">
        <v>22</v>
      </c>
      <c r="D2010" t="s">
        <v>5015</v>
      </c>
      <c r="E2010" t="s">
        <v>5019</v>
      </c>
      <c r="F2010" t="s">
        <v>5021</v>
      </c>
      <c r="G2010">
        <v>7.1</v>
      </c>
      <c r="H2010">
        <v>3</v>
      </c>
      <c r="I2010">
        <v>5.8</v>
      </c>
      <c r="J2010">
        <v>18.79</v>
      </c>
      <c r="K2010">
        <v>33.1</v>
      </c>
      <c r="L2010" t="s">
        <v>5029</v>
      </c>
      <c r="M2010">
        <v>9</v>
      </c>
      <c r="N2010">
        <v>0</v>
      </c>
      <c r="O2010">
        <v>1</v>
      </c>
    </row>
    <row r="2011" spans="1:15" x14ac:dyDescent="0.3">
      <c r="A2011" t="s">
        <v>2024</v>
      </c>
      <c r="B2011">
        <v>3</v>
      </c>
      <c r="C2011">
        <v>22</v>
      </c>
      <c r="D2011" t="s">
        <v>5016</v>
      </c>
      <c r="E2011" t="s">
        <v>5018</v>
      </c>
      <c r="F2011" t="s">
        <v>5021</v>
      </c>
      <c r="G2011">
        <v>15.46</v>
      </c>
      <c r="H2011">
        <v>1</v>
      </c>
      <c r="I2011">
        <v>6.1</v>
      </c>
      <c r="J2011">
        <v>11.67</v>
      </c>
      <c r="K2011">
        <v>74.2</v>
      </c>
      <c r="L2011" t="s">
        <v>5029</v>
      </c>
      <c r="M2011">
        <v>2</v>
      </c>
      <c r="N2011">
        <v>3</v>
      </c>
      <c r="O2011">
        <v>0</v>
      </c>
    </row>
    <row r="2012" spans="1:15" x14ac:dyDescent="0.3">
      <c r="A2012" t="s">
        <v>2025</v>
      </c>
      <c r="B2012">
        <v>12</v>
      </c>
      <c r="C2012">
        <v>37</v>
      </c>
      <c r="D2012" t="s">
        <v>5016</v>
      </c>
      <c r="E2012" t="s">
        <v>5018</v>
      </c>
      <c r="F2012" t="s">
        <v>5020</v>
      </c>
      <c r="G2012">
        <v>16.45</v>
      </c>
      <c r="H2012">
        <v>2</v>
      </c>
      <c r="I2012">
        <v>4.8</v>
      </c>
      <c r="J2012">
        <v>17.899999999999999</v>
      </c>
      <c r="K2012">
        <v>23.9</v>
      </c>
      <c r="L2012" t="s">
        <v>5026</v>
      </c>
      <c r="M2012">
        <v>4</v>
      </c>
      <c r="N2012">
        <v>2</v>
      </c>
      <c r="O2012">
        <v>1</v>
      </c>
    </row>
    <row r="2013" spans="1:15" x14ac:dyDescent="0.3">
      <c r="A2013" t="s">
        <v>2026</v>
      </c>
      <c r="B2013">
        <v>10</v>
      </c>
      <c r="C2013">
        <v>32</v>
      </c>
      <c r="D2013" t="s">
        <v>5016</v>
      </c>
      <c r="E2013" t="s">
        <v>5018</v>
      </c>
      <c r="F2013" t="s">
        <v>5020</v>
      </c>
      <c r="G2013">
        <v>10.64</v>
      </c>
      <c r="H2013">
        <v>3</v>
      </c>
      <c r="I2013">
        <v>3.2</v>
      </c>
      <c r="J2013">
        <v>20.350000000000001</v>
      </c>
      <c r="K2013">
        <v>57.1</v>
      </c>
      <c r="L2013" t="s">
        <v>5029</v>
      </c>
      <c r="M2013">
        <v>9</v>
      </c>
      <c r="N2013">
        <v>0</v>
      </c>
      <c r="O2013">
        <v>1</v>
      </c>
    </row>
    <row r="2014" spans="1:15" x14ac:dyDescent="0.3">
      <c r="A2014" t="s">
        <v>2027</v>
      </c>
      <c r="B2014">
        <v>3</v>
      </c>
      <c r="C2014">
        <v>35</v>
      </c>
      <c r="D2014" t="s">
        <v>5015</v>
      </c>
      <c r="E2014" t="s">
        <v>5018</v>
      </c>
      <c r="F2014" t="s">
        <v>5024</v>
      </c>
      <c r="G2014">
        <v>24.83</v>
      </c>
      <c r="H2014">
        <v>4</v>
      </c>
      <c r="I2014">
        <v>9.6</v>
      </c>
      <c r="J2014">
        <v>9.36</v>
      </c>
      <c r="K2014">
        <v>32.1</v>
      </c>
      <c r="L2014" t="s">
        <v>5028</v>
      </c>
      <c r="M2014">
        <v>6</v>
      </c>
      <c r="N2014">
        <v>0</v>
      </c>
      <c r="O2014">
        <v>0</v>
      </c>
    </row>
    <row r="2015" spans="1:15" x14ac:dyDescent="0.3">
      <c r="A2015" t="s">
        <v>2028</v>
      </c>
      <c r="B2015">
        <v>3</v>
      </c>
      <c r="C2015">
        <v>64</v>
      </c>
      <c r="D2015" t="s">
        <v>5016</v>
      </c>
      <c r="E2015" t="s">
        <v>5018</v>
      </c>
      <c r="F2015" t="s">
        <v>5021</v>
      </c>
      <c r="G2015">
        <v>11.71</v>
      </c>
      <c r="H2015">
        <v>2</v>
      </c>
      <c r="I2015">
        <v>4.7</v>
      </c>
      <c r="J2015">
        <v>23.81</v>
      </c>
      <c r="K2015">
        <v>56.1</v>
      </c>
      <c r="L2015" t="s">
        <v>5025</v>
      </c>
      <c r="M2015">
        <v>9</v>
      </c>
      <c r="N2015">
        <v>2</v>
      </c>
      <c r="O2015">
        <v>0</v>
      </c>
    </row>
    <row r="2016" spans="1:15" x14ac:dyDescent="0.3">
      <c r="A2016" t="s">
        <v>2029</v>
      </c>
      <c r="B2016">
        <v>6</v>
      </c>
      <c r="C2016">
        <v>19</v>
      </c>
      <c r="D2016" t="s">
        <v>5016</v>
      </c>
      <c r="E2016" t="s">
        <v>5019</v>
      </c>
      <c r="F2016" t="s">
        <v>5022</v>
      </c>
      <c r="G2016">
        <v>9.2100000000000009</v>
      </c>
      <c r="H2016">
        <v>4</v>
      </c>
      <c r="I2016">
        <v>7.5</v>
      </c>
      <c r="J2016">
        <v>14.4</v>
      </c>
      <c r="K2016">
        <v>77.5</v>
      </c>
      <c r="L2016" t="s">
        <v>5027</v>
      </c>
      <c r="M2016">
        <v>9</v>
      </c>
      <c r="N2016">
        <v>2</v>
      </c>
      <c r="O2016">
        <v>0</v>
      </c>
    </row>
    <row r="2017" spans="1:15" x14ac:dyDescent="0.3">
      <c r="A2017" t="s">
        <v>2030</v>
      </c>
      <c r="B2017">
        <v>1</v>
      </c>
      <c r="C2017">
        <v>46</v>
      </c>
      <c r="D2017" t="s">
        <v>5015</v>
      </c>
      <c r="E2017" t="s">
        <v>5017</v>
      </c>
      <c r="F2017" t="s">
        <v>5021</v>
      </c>
      <c r="G2017">
        <v>7.2</v>
      </c>
      <c r="H2017">
        <v>2</v>
      </c>
      <c r="I2017">
        <v>2.7</v>
      </c>
      <c r="J2017">
        <v>19.12</v>
      </c>
      <c r="K2017">
        <v>33.9</v>
      </c>
      <c r="L2017" t="s">
        <v>5028</v>
      </c>
      <c r="M2017">
        <v>7</v>
      </c>
      <c r="N2017">
        <v>4</v>
      </c>
      <c r="O2017">
        <v>0</v>
      </c>
    </row>
    <row r="2018" spans="1:15" x14ac:dyDescent="0.3">
      <c r="A2018" t="s">
        <v>2031</v>
      </c>
      <c r="B2018">
        <v>7</v>
      </c>
      <c r="C2018">
        <v>30</v>
      </c>
      <c r="D2018" t="s">
        <v>5016</v>
      </c>
      <c r="E2018" t="s">
        <v>5017</v>
      </c>
      <c r="F2018" t="s">
        <v>5020</v>
      </c>
      <c r="G2018">
        <v>12.57</v>
      </c>
      <c r="H2018">
        <v>5</v>
      </c>
      <c r="I2018">
        <v>8.4</v>
      </c>
      <c r="J2018">
        <v>19.04</v>
      </c>
      <c r="K2018">
        <v>41.3</v>
      </c>
      <c r="L2018" t="s">
        <v>5025</v>
      </c>
      <c r="M2018">
        <v>7</v>
      </c>
      <c r="N2018">
        <v>0</v>
      </c>
      <c r="O2018">
        <v>0</v>
      </c>
    </row>
    <row r="2019" spans="1:15" x14ac:dyDescent="0.3">
      <c r="A2019" t="s">
        <v>2032</v>
      </c>
      <c r="B2019">
        <v>12</v>
      </c>
      <c r="C2019">
        <v>21</v>
      </c>
      <c r="D2019" t="s">
        <v>5015</v>
      </c>
      <c r="E2019" t="s">
        <v>5018</v>
      </c>
      <c r="F2019" t="s">
        <v>5021</v>
      </c>
      <c r="G2019">
        <v>18.850000000000001</v>
      </c>
      <c r="H2019">
        <v>4</v>
      </c>
      <c r="I2019">
        <v>2.9</v>
      </c>
      <c r="J2019">
        <v>15.44</v>
      </c>
      <c r="K2019">
        <v>75.099999999999994</v>
      </c>
      <c r="L2019" t="s">
        <v>5028</v>
      </c>
      <c r="M2019">
        <v>8</v>
      </c>
      <c r="N2019">
        <v>1</v>
      </c>
      <c r="O2019">
        <v>0</v>
      </c>
    </row>
    <row r="2020" spans="1:15" x14ac:dyDescent="0.3">
      <c r="A2020" t="s">
        <v>2033</v>
      </c>
      <c r="B2020">
        <v>1</v>
      </c>
      <c r="C2020">
        <v>59</v>
      </c>
      <c r="D2020" t="s">
        <v>5015</v>
      </c>
      <c r="E2020" t="s">
        <v>5017</v>
      </c>
      <c r="F2020" t="s">
        <v>5023</v>
      </c>
      <c r="G2020">
        <v>9.6300000000000008</v>
      </c>
      <c r="H2020">
        <v>2</v>
      </c>
      <c r="I2020">
        <v>7.1</v>
      </c>
      <c r="J2020">
        <v>10.1</v>
      </c>
      <c r="K2020">
        <v>59.2</v>
      </c>
      <c r="L2020" t="s">
        <v>5029</v>
      </c>
      <c r="M2020">
        <v>2</v>
      </c>
      <c r="N2020">
        <v>4</v>
      </c>
      <c r="O2020">
        <v>0</v>
      </c>
    </row>
    <row r="2021" spans="1:15" x14ac:dyDescent="0.3">
      <c r="A2021" t="s">
        <v>2034</v>
      </c>
      <c r="B2021">
        <v>5</v>
      </c>
      <c r="C2021">
        <v>62</v>
      </c>
      <c r="D2021" t="s">
        <v>5015</v>
      </c>
      <c r="E2021" t="s">
        <v>5019</v>
      </c>
      <c r="F2021" t="s">
        <v>5023</v>
      </c>
      <c r="G2021">
        <v>20.39</v>
      </c>
      <c r="H2021">
        <v>4</v>
      </c>
      <c r="I2021">
        <v>5.6</v>
      </c>
      <c r="J2021">
        <v>17.670000000000002</v>
      </c>
      <c r="K2021">
        <v>18.5</v>
      </c>
      <c r="L2021" t="s">
        <v>5027</v>
      </c>
      <c r="M2021">
        <v>10</v>
      </c>
      <c r="N2021">
        <v>0</v>
      </c>
      <c r="O2021">
        <v>0</v>
      </c>
    </row>
    <row r="2022" spans="1:15" x14ac:dyDescent="0.3">
      <c r="A2022" t="s">
        <v>2035</v>
      </c>
      <c r="B2022">
        <v>10</v>
      </c>
      <c r="C2022">
        <v>27</v>
      </c>
      <c r="D2022" t="s">
        <v>5016</v>
      </c>
      <c r="E2022" t="s">
        <v>5019</v>
      </c>
      <c r="F2022" t="s">
        <v>5022</v>
      </c>
      <c r="G2022">
        <v>7.71</v>
      </c>
      <c r="H2022">
        <v>3</v>
      </c>
      <c r="I2022">
        <v>2.2999999999999998</v>
      </c>
      <c r="J2022">
        <v>4.92</v>
      </c>
      <c r="K2022">
        <v>78.2</v>
      </c>
      <c r="L2022" t="s">
        <v>5028</v>
      </c>
      <c r="M2022">
        <v>7</v>
      </c>
      <c r="N2022">
        <v>2</v>
      </c>
      <c r="O2022">
        <v>0</v>
      </c>
    </row>
    <row r="2023" spans="1:15" x14ac:dyDescent="0.3">
      <c r="A2023" t="s">
        <v>2036</v>
      </c>
      <c r="B2023">
        <v>8</v>
      </c>
      <c r="C2023">
        <v>48</v>
      </c>
      <c r="D2023" t="s">
        <v>5016</v>
      </c>
      <c r="E2023" t="s">
        <v>5017</v>
      </c>
      <c r="F2023" t="s">
        <v>5024</v>
      </c>
      <c r="G2023">
        <v>13.81</v>
      </c>
      <c r="H2023">
        <v>4</v>
      </c>
      <c r="I2023">
        <v>1.2</v>
      </c>
      <c r="J2023">
        <v>24.59</v>
      </c>
      <c r="K2023">
        <v>35</v>
      </c>
      <c r="L2023" t="s">
        <v>5027</v>
      </c>
      <c r="M2023">
        <v>6</v>
      </c>
      <c r="N2023">
        <v>2</v>
      </c>
      <c r="O2023">
        <v>1</v>
      </c>
    </row>
    <row r="2024" spans="1:15" x14ac:dyDescent="0.3">
      <c r="A2024" t="s">
        <v>2037</v>
      </c>
      <c r="B2024">
        <v>4</v>
      </c>
      <c r="C2024">
        <v>58</v>
      </c>
      <c r="D2024" t="s">
        <v>5015</v>
      </c>
      <c r="E2024" t="s">
        <v>5017</v>
      </c>
      <c r="F2024" t="s">
        <v>5021</v>
      </c>
      <c r="G2024">
        <v>19.05</v>
      </c>
      <c r="H2024">
        <v>4</v>
      </c>
      <c r="I2024">
        <v>9.4</v>
      </c>
      <c r="J2024">
        <v>7.05</v>
      </c>
      <c r="K2024">
        <v>44.7</v>
      </c>
      <c r="L2024" t="s">
        <v>5026</v>
      </c>
      <c r="M2024">
        <v>7</v>
      </c>
      <c r="N2024">
        <v>1</v>
      </c>
      <c r="O2024">
        <v>0</v>
      </c>
    </row>
    <row r="2025" spans="1:15" x14ac:dyDescent="0.3">
      <c r="A2025" t="s">
        <v>2038</v>
      </c>
      <c r="B2025">
        <v>5</v>
      </c>
      <c r="C2025">
        <v>25</v>
      </c>
      <c r="D2025" t="s">
        <v>5016</v>
      </c>
      <c r="E2025" t="s">
        <v>5018</v>
      </c>
      <c r="F2025" t="s">
        <v>5023</v>
      </c>
      <c r="G2025">
        <v>7.71</v>
      </c>
      <c r="H2025">
        <v>2</v>
      </c>
      <c r="I2025">
        <v>2.1</v>
      </c>
      <c r="J2025">
        <v>9.06</v>
      </c>
      <c r="K2025">
        <v>32.1</v>
      </c>
      <c r="L2025" t="s">
        <v>5026</v>
      </c>
      <c r="M2025">
        <v>6</v>
      </c>
      <c r="N2025">
        <v>0</v>
      </c>
      <c r="O2025">
        <v>0</v>
      </c>
    </row>
    <row r="2026" spans="1:15" x14ac:dyDescent="0.3">
      <c r="A2026" t="s">
        <v>2039</v>
      </c>
      <c r="B2026">
        <v>4</v>
      </c>
      <c r="C2026">
        <v>20</v>
      </c>
      <c r="D2026" t="s">
        <v>5015</v>
      </c>
      <c r="E2026" t="s">
        <v>5018</v>
      </c>
      <c r="F2026" t="s">
        <v>5024</v>
      </c>
      <c r="G2026">
        <v>16.96</v>
      </c>
      <c r="H2026">
        <v>4</v>
      </c>
      <c r="I2026">
        <v>7.3</v>
      </c>
      <c r="J2026">
        <v>24</v>
      </c>
      <c r="K2026">
        <v>58.9</v>
      </c>
      <c r="L2026" t="s">
        <v>5029</v>
      </c>
      <c r="M2026">
        <v>11</v>
      </c>
      <c r="N2026">
        <v>3</v>
      </c>
      <c r="O2026">
        <v>0</v>
      </c>
    </row>
    <row r="2027" spans="1:15" x14ac:dyDescent="0.3">
      <c r="A2027" t="s">
        <v>2040</v>
      </c>
      <c r="B2027">
        <v>12</v>
      </c>
      <c r="C2027">
        <v>65</v>
      </c>
      <c r="D2027" t="s">
        <v>5016</v>
      </c>
      <c r="E2027" t="s">
        <v>5017</v>
      </c>
      <c r="F2027" t="s">
        <v>5023</v>
      </c>
      <c r="G2027">
        <v>20.98</v>
      </c>
      <c r="H2027">
        <v>5</v>
      </c>
      <c r="I2027">
        <v>6.9</v>
      </c>
      <c r="J2027">
        <v>7.1</v>
      </c>
      <c r="K2027">
        <v>73.7</v>
      </c>
      <c r="L2027" t="s">
        <v>5029</v>
      </c>
      <c r="M2027">
        <v>3</v>
      </c>
      <c r="N2027">
        <v>4</v>
      </c>
      <c r="O2027">
        <v>0</v>
      </c>
    </row>
    <row r="2028" spans="1:15" x14ac:dyDescent="0.3">
      <c r="A2028" t="s">
        <v>2041</v>
      </c>
      <c r="B2028">
        <v>12</v>
      </c>
      <c r="C2028">
        <v>63</v>
      </c>
      <c r="D2028" t="s">
        <v>5015</v>
      </c>
      <c r="E2028" t="s">
        <v>5019</v>
      </c>
      <c r="F2028" t="s">
        <v>5024</v>
      </c>
      <c r="G2028">
        <v>16.91</v>
      </c>
      <c r="H2028">
        <v>1</v>
      </c>
      <c r="I2028">
        <v>4.0999999999999996</v>
      </c>
      <c r="J2028">
        <v>6.74</v>
      </c>
      <c r="K2028">
        <v>82.3</v>
      </c>
      <c r="L2028" t="s">
        <v>5026</v>
      </c>
      <c r="M2028">
        <v>5</v>
      </c>
      <c r="N2028">
        <v>0</v>
      </c>
      <c r="O2028">
        <v>0</v>
      </c>
    </row>
    <row r="2029" spans="1:15" x14ac:dyDescent="0.3">
      <c r="A2029" t="s">
        <v>2042</v>
      </c>
      <c r="B2029">
        <v>4</v>
      </c>
      <c r="C2029">
        <v>26</v>
      </c>
      <c r="D2029" t="s">
        <v>5015</v>
      </c>
      <c r="E2029" t="s">
        <v>5018</v>
      </c>
      <c r="F2029" t="s">
        <v>5024</v>
      </c>
      <c r="G2029">
        <v>15.23</v>
      </c>
      <c r="H2029">
        <v>3</v>
      </c>
      <c r="I2029">
        <v>2.7</v>
      </c>
      <c r="J2029">
        <v>20.7</v>
      </c>
      <c r="K2029">
        <v>93</v>
      </c>
      <c r="L2029" t="s">
        <v>5028</v>
      </c>
      <c r="M2029">
        <v>3</v>
      </c>
      <c r="N2029">
        <v>3</v>
      </c>
      <c r="O2029">
        <v>0</v>
      </c>
    </row>
    <row r="2030" spans="1:15" x14ac:dyDescent="0.3">
      <c r="A2030" t="s">
        <v>2043</v>
      </c>
      <c r="B2030">
        <v>12</v>
      </c>
      <c r="C2030">
        <v>47</v>
      </c>
      <c r="D2030" t="s">
        <v>5016</v>
      </c>
      <c r="E2030" t="s">
        <v>5018</v>
      </c>
      <c r="F2030" t="s">
        <v>5023</v>
      </c>
      <c r="G2030">
        <v>21.77</v>
      </c>
      <c r="H2030">
        <v>2</v>
      </c>
      <c r="I2030">
        <v>2.6</v>
      </c>
      <c r="J2030">
        <v>8.5299999999999994</v>
      </c>
      <c r="K2030">
        <v>42.3</v>
      </c>
      <c r="L2030" t="s">
        <v>5025</v>
      </c>
      <c r="M2030">
        <v>6</v>
      </c>
      <c r="N2030">
        <v>2</v>
      </c>
      <c r="O2030">
        <v>0</v>
      </c>
    </row>
    <row r="2031" spans="1:15" x14ac:dyDescent="0.3">
      <c r="A2031" t="s">
        <v>2044</v>
      </c>
      <c r="B2031">
        <v>8</v>
      </c>
      <c r="C2031">
        <v>28</v>
      </c>
      <c r="D2031" t="s">
        <v>5016</v>
      </c>
      <c r="E2031" t="s">
        <v>5017</v>
      </c>
      <c r="F2031" t="s">
        <v>5020</v>
      </c>
      <c r="G2031">
        <v>24.71</v>
      </c>
      <c r="H2031">
        <v>4</v>
      </c>
      <c r="I2031">
        <v>6.3</v>
      </c>
      <c r="J2031">
        <v>5.08</v>
      </c>
      <c r="K2031">
        <v>93.9</v>
      </c>
      <c r="L2031" t="s">
        <v>5025</v>
      </c>
      <c r="M2031">
        <v>3</v>
      </c>
      <c r="N2031">
        <v>2</v>
      </c>
      <c r="O2031">
        <v>0</v>
      </c>
    </row>
    <row r="2032" spans="1:15" x14ac:dyDescent="0.3">
      <c r="A2032" t="s">
        <v>2045</v>
      </c>
      <c r="B2032">
        <v>2</v>
      </c>
      <c r="C2032">
        <v>52</v>
      </c>
      <c r="D2032" t="s">
        <v>5016</v>
      </c>
      <c r="E2032" t="s">
        <v>5019</v>
      </c>
      <c r="F2032" t="s">
        <v>5024</v>
      </c>
      <c r="G2032">
        <v>8.6300000000000008</v>
      </c>
      <c r="H2032">
        <v>4</v>
      </c>
      <c r="I2032">
        <v>5.9</v>
      </c>
      <c r="J2032">
        <v>7.99</v>
      </c>
      <c r="K2032">
        <v>65.5</v>
      </c>
      <c r="L2032" t="s">
        <v>5026</v>
      </c>
      <c r="M2032">
        <v>2</v>
      </c>
      <c r="N2032">
        <v>3</v>
      </c>
      <c r="O2032">
        <v>0</v>
      </c>
    </row>
    <row r="2033" spans="1:15" x14ac:dyDescent="0.3">
      <c r="A2033" t="s">
        <v>2046</v>
      </c>
      <c r="B2033">
        <v>1</v>
      </c>
      <c r="C2033">
        <v>54</v>
      </c>
      <c r="D2033" t="s">
        <v>5016</v>
      </c>
      <c r="E2033" t="s">
        <v>5017</v>
      </c>
      <c r="F2033" t="s">
        <v>5021</v>
      </c>
      <c r="G2033">
        <v>18.829999999999998</v>
      </c>
      <c r="H2033">
        <v>4</v>
      </c>
      <c r="I2033">
        <v>8.9</v>
      </c>
      <c r="J2033">
        <v>22.54</v>
      </c>
      <c r="K2033">
        <v>45.1</v>
      </c>
      <c r="L2033" t="s">
        <v>5025</v>
      </c>
      <c r="M2033">
        <v>11</v>
      </c>
      <c r="N2033">
        <v>3</v>
      </c>
      <c r="O2033">
        <v>0</v>
      </c>
    </row>
    <row r="2034" spans="1:15" x14ac:dyDescent="0.3">
      <c r="A2034" t="s">
        <v>2047</v>
      </c>
      <c r="B2034">
        <v>3</v>
      </c>
      <c r="C2034">
        <v>59</v>
      </c>
      <c r="D2034" t="s">
        <v>5015</v>
      </c>
      <c r="E2034" t="s">
        <v>5019</v>
      </c>
      <c r="F2034" t="s">
        <v>5023</v>
      </c>
      <c r="G2034">
        <v>6.61</v>
      </c>
      <c r="H2034">
        <v>3</v>
      </c>
      <c r="I2034">
        <v>6.8</v>
      </c>
      <c r="J2034">
        <v>9.17</v>
      </c>
      <c r="K2034">
        <v>89.9</v>
      </c>
      <c r="L2034" t="s">
        <v>5028</v>
      </c>
      <c r="M2034">
        <v>4</v>
      </c>
      <c r="N2034">
        <v>1</v>
      </c>
      <c r="O2034">
        <v>0</v>
      </c>
    </row>
    <row r="2035" spans="1:15" x14ac:dyDescent="0.3">
      <c r="A2035" t="s">
        <v>2048</v>
      </c>
      <c r="B2035">
        <v>9</v>
      </c>
      <c r="C2035">
        <v>30</v>
      </c>
      <c r="D2035" t="s">
        <v>5015</v>
      </c>
      <c r="E2035" t="s">
        <v>5018</v>
      </c>
      <c r="F2035" t="s">
        <v>5020</v>
      </c>
      <c r="G2035">
        <v>5.86</v>
      </c>
      <c r="H2035">
        <v>1</v>
      </c>
      <c r="I2035">
        <v>8.4</v>
      </c>
      <c r="J2035">
        <v>18.29</v>
      </c>
      <c r="K2035">
        <v>62.2</v>
      </c>
      <c r="L2035" t="s">
        <v>5025</v>
      </c>
      <c r="M2035">
        <v>9</v>
      </c>
      <c r="N2035">
        <v>0</v>
      </c>
      <c r="O2035">
        <v>0</v>
      </c>
    </row>
    <row r="2036" spans="1:15" x14ac:dyDescent="0.3">
      <c r="A2036" t="s">
        <v>2049</v>
      </c>
      <c r="B2036">
        <v>4</v>
      </c>
      <c r="C2036">
        <v>53</v>
      </c>
      <c r="D2036" t="s">
        <v>5016</v>
      </c>
      <c r="E2036" t="s">
        <v>5018</v>
      </c>
      <c r="F2036" t="s">
        <v>5023</v>
      </c>
      <c r="G2036">
        <v>10.62</v>
      </c>
      <c r="H2036">
        <v>5</v>
      </c>
      <c r="I2036">
        <v>1.3</v>
      </c>
      <c r="J2036">
        <v>11.69</v>
      </c>
      <c r="K2036">
        <v>50.9</v>
      </c>
      <c r="L2036" t="s">
        <v>5025</v>
      </c>
      <c r="M2036">
        <v>1</v>
      </c>
      <c r="N2036">
        <v>2</v>
      </c>
      <c r="O2036">
        <v>0</v>
      </c>
    </row>
    <row r="2037" spans="1:15" x14ac:dyDescent="0.3">
      <c r="A2037" t="s">
        <v>2050</v>
      </c>
      <c r="B2037">
        <v>10</v>
      </c>
      <c r="C2037">
        <v>30</v>
      </c>
      <c r="D2037" t="s">
        <v>5016</v>
      </c>
      <c r="E2037" t="s">
        <v>5019</v>
      </c>
      <c r="F2037" t="s">
        <v>5022</v>
      </c>
      <c r="G2037">
        <v>24.42</v>
      </c>
      <c r="H2037">
        <v>5</v>
      </c>
      <c r="I2037">
        <v>7</v>
      </c>
      <c r="J2037">
        <v>8.77</v>
      </c>
      <c r="K2037">
        <v>11</v>
      </c>
      <c r="L2037" t="s">
        <v>5026</v>
      </c>
      <c r="M2037">
        <v>8</v>
      </c>
      <c r="N2037">
        <v>4</v>
      </c>
      <c r="O2037">
        <v>0</v>
      </c>
    </row>
    <row r="2038" spans="1:15" x14ac:dyDescent="0.3">
      <c r="A2038" t="s">
        <v>2051</v>
      </c>
      <c r="B2038">
        <v>5</v>
      </c>
      <c r="C2038">
        <v>29</v>
      </c>
      <c r="D2038" t="s">
        <v>5015</v>
      </c>
      <c r="E2038" t="s">
        <v>5019</v>
      </c>
      <c r="F2038" t="s">
        <v>5021</v>
      </c>
      <c r="G2038">
        <v>16.04</v>
      </c>
      <c r="H2038">
        <v>2</v>
      </c>
      <c r="I2038">
        <v>3.1</v>
      </c>
      <c r="J2038">
        <v>6.17</v>
      </c>
      <c r="K2038">
        <v>74.599999999999994</v>
      </c>
      <c r="L2038" t="s">
        <v>5027</v>
      </c>
      <c r="M2038">
        <v>5</v>
      </c>
      <c r="N2038">
        <v>2</v>
      </c>
      <c r="O2038">
        <v>0</v>
      </c>
    </row>
    <row r="2039" spans="1:15" x14ac:dyDescent="0.3">
      <c r="A2039" t="s">
        <v>2052</v>
      </c>
      <c r="B2039">
        <v>2</v>
      </c>
      <c r="C2039">
        <v>54</v>
      </c>
      <c r="D2039" t="s">
        <v>5016</v>
      </c>
      <c r="E2039" t="s">
        <v>5018</v>
      </c>
      <c r="F2039" t="s">
        <v>5022</v>
      </c>
      <c r="G2039">
        <v>10.37</v>
      </c>
      <c r="H2039">
        <v>1</v>
      </c>
      <c r="I2039">
        <v>3.3</v>
      </c>
      <c r="J2039">
        <v>24.39</v>
      </c>
      <c r="K2039">
        <v>17</v>
      </c>
      <c r="L2039" t="s">
        <v>5027</v>
      </c>
      <c r="M2039">
        <v>2</v>
      </c>
      <c r="N2039">
        <v>0</v>
      </c>
      <c r="O2039">
        <v>0</v>
      </c>
    </row>
    <row r="2040" spans="1:15" x14ac:dyDescent="0.3">
      <c r="A2040" t="s">
        <v>2053</v>
      </c>
      <c r="B2040">
        <v>4</v>
      </c>
      <c r="C2040">
        <v>27</v>
      </c>
      <c r="D2040" t="s">
        <v>5016</v>
      </c>
      <c r="E2040" t="s">
        <v>5017</v>
      </c>
      <c r="F2040" t="s">
        <v>5024</v>
      </c>
      <c r="G2040">
        <v>7.65</v>
      </c>
      <c r="H2040">
        <v>1</v>
      </c>
      <c r="I2040">
        <v>7.5</v>
      </c>
      <c r="J2040">
        <v>14.46</v>
      </c>
      <c r="K2040">
        <v>36</v>
      </c>
      <c r="L2040" t="s">
        <v>5028</v>
      </c>
      <c r="M2040">
        <v>9</v>
      </c>
      <c r="N2040">
        <v>3</v>
      </c>
      <c r="O2040">
        <v>0</v>
      </c>
    </row>
    <row r="2041" spans="1:15" x14ac:dyDescent="0.3">
      <c r="A2041" t="s">
        <v>2054</v>
      </c>
      <c r="B2041">
        <v>2</v>
      </c>
      <c r="C2041">
        <v>26</v>
      </c>
      <c r="D2041" t="s">
        <v>5016</v>
      </c>
      <c r="E2041" t="s">
        <v>5019</v>
      </c>
      <c r="F2041" t="s">
        <v>5024</v>
      </c>
      <c r="G2041">
        <v>23.4</v>
      </c>
      <c r="H2041">
        <v>3</v>
      </c>
      <c r="I2041">
        <v>8.1</v>
      </c>
      <c r="J2041">
        <v>5.52</v>
      </c>
      <c r="K2041">
        <v>96.6</v>
      </c>
      <c r="L2041" t="s">
        <v>5027</v>
      </c>
      <c r="M2041">
        <v>2</v>
      </c>
      <c r="N2041">
        <v>1</v>
      </c>
      <c r="O2041">
        <v>0</v>
      </c>
    </row>
    <row r="2042" spans="1:15" x14ac:dyDescent="0.3">
      <c r="A2042" t="s">
        <v>2055</v>
      </c>
      <c r="B2042">
        <v>2</v>
      </c>
      <c r="C2042">
        <v>69</v>
      </c>
      <c r="D2042" t="s">
        <v>5016</v>
      </c>
      <c r="E2042" t="s">
        <v>5018</v>
      </c>
      <c r="F2042" t="s">
        <v>5022</v>
      </c>
      <c r="G2042">
        <v>12.25</v>
      </c>
      <c r="H2042">
        <v>4</v>
      </c>
      <c r="I2042">
        <v>4.3</v>
      </c>
      <c r="J2042">
        <v>7.37</v>
      </c>
      <c r="K2042">
        <v>24</v>
      </c>
      <c r="L2042" t="s">
        <v>5029</v>
      </c>
      <c r="M2042">
        <v>11</v>
      </c>
      <c r="N2042">
        <v>2</v>
      </c>
      <c r="O2042">
        <v>0</v>
      </c>
    </row>
    <row r="2043" spans="1:15" x14ac:dyDescent="0.3">
      <c r="A2043" t="s">
        <v>2056</v>
      </c>
      <c r="B2043">
        <v>4</v>
      </c>
      <c r="C2043">
        <v>24</v>
      </c>
      <c r="D2043" t="s">
        <v>5015</v>
      </c>
      <c r="E2043" t="s">
        <v>5017</v>
      </c>
      <c r="F2043" t="s">
        <v>5022</v>
      </c>
      <c r="G2043">
        <v>11.13</v>
      </c>
      <c r="H2043">
        <v>1</v>
      </c>
      <c r="I2043">
        <v>8.1</v>
      </c>
      <c r="J2043">
        <v>11.96</v>
      </c>
      <c r="K2043">
        <v>38.1</v>
      </c>
      <c r="L2043" t="s">
        <v>5026</v>
      </c>
      <c r="M2043">
        <v>11</v>
      </c>
      <c r="N2043">
        <v>1</v>
      </c>
      <c r="O2043">
        <v>1</v>
      </c>
    </row>
    <row r="2044" spans="1:15" x14ac:dyDescent="0.3">
      <c r="A2044" t="s">
        <v>2057</v>
      </c>
      <c r="B2044">
        <v>6</v>
      </c>
      <c r="C2044">
        <v>19</v>
      </c>
      <c r="D2044" t="s">
        <v>5015</v>
      </c>
      <c r="E2044" t="s">
        <v>5019</v>
      </c>
      <c r="F2044" t="s">
        <v>5024</v>
      </c>
      <c r="G2044">
        <v>22.16</v>
      </c>
      <c r="H2044">
        <v>4</v>
      </c>
      <c r="I2044">
        <v>5</v>
      </c>
      <c r="J2044">
        <v>14.97</v>
      </c>
      <c r="K2044">
        <v>93.9</v>
      </c>
      <c r="L2044" t="s">
        <v>5027</v>
      </c>
      <c r="M2044">
        <v>3</v>
      </c>
      <c r="N2044">
        <v>3</v>
      </c>
      <c r="O2044">
        <v>0</v>
      </c>
    </row>
    <row r="2045" spans="1:15" x14ac:dyDescent="0.3">
      <c r="A2045" t="s">
        <v>2058</v>
      </c>
      <c r="B2045">
        <v>7</v>
      </c>
      <c r="C2045">
        <v>40</v>
      </c>
      <c r="D2045" t="s">
        <v>5016</v>
      </c>
      <c r="E2045" t="s">
        <v>5017</v>
      </c>
      <c r="F2045" t="s">
        <v>5020</v>
      </c>
      <c r="G2045">
        <v>17.09</v>
      </c>
      <c r="H2045">
        <v>3</v>
      </c>
      <c r="I2045">
        <v>8.6999999999999993</v>
      </c>
      <c r="J2045">
        <v>7</v>
      </c>
      <c r="K2045">
        <v>40.4</v>
      </c>
      <c r="L2045" t="s">
        <v>5025</v>
      </c>
      <c r="M2045">
        <v>1</v>
      </c>
      <c r="N2045">
        <v>0</v>
      </c>
      <c r="O2045">
        <v>0</v>
      </c>
    </row>
    <row r="2046" spans="1:15" x14ac:dyDescent="0.3">
      <c r="A2046" t="s">
        <v>2059</v>
      </c>
      <c r="B2046">
        <v>10</v>
      </c>
      <c r="C2046">
        <v>56</v>
      </c>
      <c r="D2046" t="s">
        <v>5015</v>
      </c>
      <c r="E2046" t="s">
        <v>5017</v>
      </c>
      <c r="F2046" t="s">
        <v>5021</v>
      </c>
      <c r="G2046">
        <v>8.3699999999999992</v>
      </c>
      <c r="H2046">
        <v>2</v>
      </c>
      <c r="I2046">
        <v>1.2</v>
      </c>
      <c r="J2046">
        <v>9.11</v>
      </c>
      <c r="K2046">
        <v>39.6</v>
      </c>
      <c r="L2046" t="s">
        <v>5027</v>
      </c>
      <c r="M2046">
        <v>1</v>
      </c>
      <c r="N2046">
        <v>2</v>
      </c>
      <c r="O2046">
        <v>0</v>
      </c>
    </row>
    <row r="2047" spans="1:15" x14ac:dyDescent="0.3">
      <c r="A2047" t="s">
        <v>2060</v>
      </c>
      <c r="B2047">
        <v>3</v>
      </c>
      <c r="C2047">
        <v>57</v>
      </c>
      <c r="D2047" t="s">
        <v>5016</v>
      </c>
      <c r="E2047" t="s">
        <v>5017</v>
      </c>
      <c r="F2047" t="s">
        <v>5023</v>
      </c>
      <c r="G2047">
        <v>13.43</v>
      </c>
      <c r="H2047">
        <v>2</v>
      </c>
      <c r="I2047">
        <v>1.8</v>
      </c>
      <c r="J2047">
        <v>20.239999999999998</v>
      </c>
      <c r="K2047">
        <v>68.3</v>
      </c>
      <c r="L2047" t="s">
        <v>5026</v>
      </c>
      <c r="M2047">
        <v>2</v>
      </c>
      <c r="N2047">
        <v>0</v>
      </c>
      <c r="O2047">
        <v>0</v>
      </c>
    </row>
    <row r="2048" spans="1:15" x14ac:dyDescent="0.3">
      <c r="A2048" t="s">
        <v>2061</v>
      </c>
      <c r="B2048">
        <v>3</v>
      </c>
      <c r="C2048">
        <v>56</v>
      </c>
      <c r="D2048" t="s">
        <v>5016</v>
      </c>
      <c r="E2048" t="s">
        <v>5018</v>
      </c>
      <c r="F2048" t="s">
        <v>5022</v>
      </c>
      <c r="G2048">
        <v>23.56</v>
      </c>
      <c r="H2048">
        <v>4</v>
      </c>
      <c r="I2048">
        <v>8</v>
      </c>
      <c r="J2048">
        <v>12.18</v>
      </c>
      <c r="K2048">
        <v>21.8</v>
      </c>
      <c r="L2048" t="s">
        <v>5025</v>
      </c>
      <c r="M2048">
        <v>2</v>
      </c>
      <c r="N2048">
        <v>4</v>
      </c>
      <c r="O2048">
        <v>0</v>
      </c>
    </row>
    <row r="2049" spans="1:15" x14ac:dyDescent="0.3">
      <c r="A2049" t="s">
        <v>2062</v>
      </c>
      <c r="B2049">
        <v>10</v>
      </c>
      <c r="C2049">
        <v>38</v>
      </c>
      <c r="D2049" t="s">
        <v>5016</v>
      </c>
      <c r="E2049" t="s">
        <v>5018</v>
      </c>
      <c r="F2049" t="s">
        <v>5021</v>
      </c>
      <c r="G2049">
        <v>23.02</v>
      </c>
      <c r="H2049">
        <v>4</v>
      </c>
      <c r="I2049">
        <v>6.6</v>
      </c>
      <c r="J2049">
        <v>3.03</v>
      </c>
      <c r="K2049">
        <v>97.5</v>
      </c>
      <c r="L2049" t="s">
        <v>5025</v>
      </c>
      <c r="M2049">
        <v>6</v>
      </c>
      <c r="N2049">
        <v>0</v>
      </c>
      <c r="O2049">
        <v>1</v>
      </c>
    </row>
    <row r="2050" spans="1:15" x14ac:dyDescent="0.3">
      <c r="A2050" t="s">
        <v>2063</v>
      </c>
      <c r="B2050">
        <v>6</v>
      </c>
      <c r="C2050">
        <v>40</v>
      </c>
      <c r="D2050" t="s">
        <v>5015</v>
      </c>
      <c r="E2050" t="s">
        <v>5018</v>
      </c>
      <c r="F2050" t="s">
        <v>5023</v>
      </c>
      <c r="G2050">
        <v>6.4</v>
      </c>
      <c r="H2050">
        <v>1</v>
      </c>
      <c r="I2050">
        <v>6</v>
      </c>
      <c r="J2050">
        <v>4.1900000000000004</v>
      </c>
      <c r="K2050">
        <v>34.799999999999997</v>
      </c>
      <c r="L2050" t="s">
        <v>5026</v>
      </c>
      <c r="M2050">
        <v>11</v>
      </c>
      <c r="N2050">
        <v>3</v>
      </c>
      <c r="O2050">
        <v>0</v>
      </c>
    </row>
    <row r="2051" spans="1:15" x14ac:dyDescent="0.3">
      <c r="A2051" t="s">
        <v>2064</v>
      </c>
      <c r="B2051">
        <v>12</v>
      </c>
      <c r="C2051">
        <v>46</v>
      </c>
      <c r="D2051" t="s">
        <v>5015</v>
      </c>
      <c r="E2051" t="s">
        <v>5018</v>
      </c>
      <c r="F2051" t="s">
        <v>5023</v>
      </c>
      <c r="G2051">
        <v>10.37</v>
      </c>
      <c r="H2051">
        <v>3</v>
      </c>
      <c r="I2051">
        <v>6.5</v>
      </c>
      <c r="J2051">
        <v>12.67</v>
      </c>
      <c r="K2051">
        <v>80.7</v>
      </c>
      <c r="L2051" t="s">
        <v>5028</v>
      </c>
      <c r="M2051">
        <v>8</v>
      </c>
      <c r="N2051">
        <v>3</v>
      </c>
      <c r="O2051">
        <v>0</v>
      </c>
    </row>
    <row r="2052" spans="1:15" x14ac:dyDescent="0.3">
      <c r="A2052" t="s">
        <v>2065</v>
      </c>
      <c r="B2052">
        <v>3</v>
      </c>
      <c r="C2052">
        <v>31</v>
      </c>
      <c r="D2052" t="s">
        <v>5015</v>
      </c>
      <c r="E2052" t="s">
        <v>5018</v>
      </c>
      <c r="F2052" t="s">
        <v>5022</v>
      </c>
      <c r="G2052">
        <v>8.09</v>
      </c>
      <c r="H2052">
        <v>2</v>
      </c>
      <c r="I2052">
        <v>9.4</v>
      </c>
      <c r="J2052">
        <v>4.32</v>
      </c>
      <c r="K2052">
        <v>35.9</v>
      </c>
      <c r="L2052" t="s">
        <v>5028</v>
      </c>
      <c r="M2052">
        <v>4</v>
      </c>
      <c r="N2052">
        <v>4</v>
      </c>
      <c r="O2052">
        <v>1</v>
      </c>
    </row>
    <row r="2053" spans="1:15" x14ac:dyDescent="0.3">
      <c r="A2053" t="s">
        <v>2066</v>
      </c>
      <c r="B2053">
        <v>2</v>
      </c>
      <c r="C2053">
        <v>43</v>
      </c>
      <c r="D2053" t="s">
        <v>5015</v>
      </c>
      <c r="E2053" t="s">
        <v>5018</v>
      </c>
      <c r="F2053" t="s">
        <v>5020</v>
      </c>
      <c r="G2053">
        <v>15.68</v>
      </c>
      <c r="H2053">
        <v>1</v>
      </c>
      <c r="I2053">
        <v>6.9</v>
      </c>
      <c r="J2053">
        <v>6.83</v>
      </c>
      <c r="K2053">
        <v>34.799999999999997</v>
      </c>
      <c r="L2053" t="s">
        <v>5026</v>
      </c>
      <c r="M2053">
        <v>3</v>
      </c>
      <c r="N2053">
        <v>0</v>
      </c>
      <c r="O2053">
        <v>1</v>
      </c>
    </row>
    <row r="2054" spans="1:15" x14ac:dyDescent="0.3">
      <c r="A2054" t="s">
        <v>2067</v>
      </c>
      <c r="B2054">
        <v>8</v>
      </c>
      <c r="C2054">
        <v>68</v>
      </c>
      <c r="D2054" t="s">
        <v>5015</v>
      </c>
      <c r="E2054" t="s">
        <v>5017</v>
      </c>
      <c r="F2054" t="s">
        <v>5020</v>
      </c>
      <c r="G2054">
        <v>20</v>
      </c>
      <c r="H2054">
        <v>5</v>
      </c>
      <c r="I2054">
        <v>6.8</v>
      </c>
      <c r="J2054">
        <v>19.010000000000002</v>
      </c>
      <c r="K2054">
        <v>15.2</v>
      </c>
      <c r="L2054" t="s">
        <v>5026</v>
      </c>
      <c r="M2054">
        <v>2</v>
      </c>
      <c r="N2054">
        <v>3</v>
      </c>
      <c r="O2054">
        <v>0</v>
      </c>
    </row>
    <row r="2055" spans="1:15" x14ac:dyDescent="0.3">
      <c r="A2055" t="s">
        <v>2068</v>
      </c>
      <c r="B2055">
        <v>5</v>
      </c>
      <c r="C2055">
        <v>22</v>
      </c>
      <c r="D2055" t="s">
        <v>5016</v>
      </c>
      <c r="E2055" t="s">
        <v>5019</v>
      </c>
      <c r="F2055" t="s">
        <v>5021</v>
      </c>
      <c r="G2055">
        <v>10.91</v>
      </c>
      <c r="H2055">
        <v>1</v>
      </c>
      <c r="I2055">
        <v>7.8</v>
      </c>
      <c r="J2055">
        <v>13.57</v>
      </c>
      <c r="K2055">
        <v>20.7</v>
      </c>
      <c r="L2055" t="s">
        <v>5026</v>
      </c>
      <c r="M2055">
        <v>1</v>
      </c>
      <c r="N2055">
        <v>3</v>
      </c>
      <c r="O2055">
        <v>0</v>
      </c>
    </row>
    <row r="2056" spans="1:15" x14ac:dyDescent="0.3">
      <c r="A2056" t="s">
        <v>2069</v>
      </c>
      <c r="B2056">
        <v>1</v>
      </c>
      <c r="C2056">
        <v>48</v>
      </c>
      <c r="D2056" t="s">
        <v>5016</v>
      </c>
      <c r="E2056" t="s">
        <v>5017</v>
      </c>
      <c r="F2056" t="s">
        <v>5021</v>
      </c>
      <c r="G2056">
        <v>20.16</v>
      </c>
      <c r="H2056">
        <v>4</v>
      </c>
      <c r="I2056">
        <v>8.8000000000000007</v>
      </c>
      <c r="J2056">
        <v>13.61</v>
      </c>
      <c r="K2056">
        <v>57</v>
      </c>
      <c r="L2056" t="s">
        <v>5025</v>
      </c>
      <c r="M2056">
        <v>8</v>
      </c>
      <c r="N2056">
        <v>3</v>
      </c>
      <c r="O2056">
        <v>1</v>
      </c>
    </row>
    <row r="2057" spans="1:15" x14ac:dyDescent="0.3">
      <c r="A2057" t="s">
        <v>2070</v>
      </c>
      <c r="B2057">
        <v>3</v>
      </c>
      <c r="C2057">
        <v>42</v>
      </c>
      <c r="D2057" t="s">
        <v>5015</v>
      </c>
      <c r="E2057" t="s">
        <v>5019</v>
      </c>
      <c r="F2057" t="s">
        <v>5024</v>
      </c>
      <c r="G2057">
        <v>18.37</v>
      </c>
      <c r="H2057">
        <v>5</v>
      </c>
      <c r="I2057">
        <v>3.4</v>
      </c>
      <c r="J2057">
        <v>16.16</v>
      </c>
      <c r="K2057">
        <v>61.9</v>
      </c>
      <c r="L2057" t="s">
        <v>5025</v>
      </c>
      <c r="M2057">
        <v>7</v>
      </c>
      <c r="N2057">
        <v>3</v>
      </c>
      <c r="O2057">
        <v>0</v>
      </c>
    </row>
    <row r="2058" spans="1:15" x14ac:dyDescent="0.3">
      <c r="A2058" t="s">
        <v>2071</v>
      </c>
      <c r="B2058">
        <v>10</v>
      </c>
      <c r="C2058">
        <v>48</v>
      </c>
      <c r="D2058" t="s">
        <v>5015</v>
      </c>
      <c r="E2058" t="s">
        <v>5017</v>
      </c>
      <c r="F2058" t="s">
        <v>5020</v>
      </c>
      <c r="G2058">
        <v>19.559999999999999</v>
      </c>
      <c r="H2058">
        <v>1</v>
      </c>
      <c r="I2058">
        <v>6.6</v>
      </c>
      <c r="J2058">
        <v>20.350000000000001</v>
      </c>
      <c r="K2058">
        <v>83.4</v>
      </c>
      <c r="L2058" t="s">
        <v>5026</v>
      </c>
      <c r="M2058">
        <v>11</v>
      </c>
      <c r="N2058">
        <v>1</v>
      </c>
      <c r="O2058">
        <v>0</v>
      </c>
    </row>
    <row r="2059" spans="1:15" x14ac:dyDescent="0.3">
      <c r="A2059" t="s">
        <v>2072</v>
      </c>
      <c r="B2059">
        <v>8</v>
      </c>
      <c r="C2059">
        <v>67</v>
      </c>
      <c r="D2059" t="s">
        <v>5015</v>
      </c>
      <c r="E2059" t="s">
        <v>5019</v>
      </c>
      <c r="F2059" t="s">
        <v>5021</v>
      </c>
      <c r="G2059">
        <v>23.96</v>
      </c>
      <c r="H2059">
        <v>3</v>
      </c>
      <c r="I2059">
        <v>6.3</v>
      </c>
      <c r="J2059">
        <v>6.49</v>
      </c>
      <c r="K2059">
        <v>15.4</v>
      </c>
      <c r="L2059" t="s">
        <v>5025</v>
      </c>
      <c r="M2059">
        <v>2</v>
      </c>
      <c r="N2059">
        <v>2</v>
      </c>
      <c r="O2059">
        <v>1</v>
      </c>
    </row>
    <row r="2060" spans="1:15" x14ac:dyDescent="0.3">
      <c r="A2060" t="s">
        <v>2073</v>
      </c>
      <c r="B2060">
        <v>4</v>
      </c>
      <c r="C2060">
        <v>37</v>
      </c>
      <c r="D2060" t="s">
        <v>5016</v>
      </c>
      <c r="E2060" t="s">
        <v>5017</v>
      </c>
      <c r="F2060" t="s">
        <v>5024</v>
      </c>
      <c r="G2060">
        <v>13.49</v>
      </c>
      <c r="H2060">
        <v>2</v>
      </c>
      <c r="I2060">
        <v>2.2000000000000002</v>
      </c>
      <c r="J2060">
        <v>6.81</v>
      </c>
      <c r="K2060">
        <v>42.1</v>
      </c>
      <c r="L2060" t="s">
        <v>5029</v>
      </c>
      <c r="M2060">
        <v>7</v>
      </c>
      <c r="N2060">
        <v>1</v>
      </c>
      <c r="O2060">
        <v>1</v>
      </c>
    </row>
    <row r="2061" spans="1:15" x14ac:dyDescent="0.3">
      <c r="A2061" t="s">
        <v>2074</v>
      </c>
      <c r="B2061">
        <v>7</v>
      </c>
      <c r="C2061">
        <v>61</v>
      </c>
      <c r="D2061" t="s">
        <v>5015</v>
      </c>
      <c r="E2061" t="s">
        <v>5017</v>
      </c>
      <c r="F2061" t="s">
        <v>5023</v>
      </c>
      <c r="G2061">
        <v>11.85</v>
      </c>
      <c r="H2061">
        <v>5</v>
      </c>
      <c r="I2061">
        <v>5.7</v>
      </c>
      <c r="J2061">
        <v>5.67</v>
      </c>
      <c r="K2061">
        <v>28</v>
      </c>
      <c r="L2061" t="s">
        <v>5026</v>
      </c>
      <c r="M2061">
        <v>6</v>
      </c>
      <c r="N2061">
        <v>3</v>
      </c>
      <c r="O2061">
        <v>0</v>
      </c>
    </row>
    <row r="2062" spans="1:15" x14ac:dyDescent="0.3">
      <c r="A2062" t="s">
        <v>2075</v>
      </c>
      <c r="B2062">
        <v>10</v>
      </c>
      <c r="C2062">
        <v>34</v>
      </c>
      <c r="D2062" t="s">
        <v>5016</v>
      </c>
      <c r="E2062" t="s">
        <v>5019</v>
      </c>
      <c r="F2062" t="s">
        <v>5021</v>
      </c>
      <c r="G2062">
        <v>18.68</v>
      </c>
      <c r="H2062">
        <v>3</v>
      </c>
      <c r="I2062">
        <v>1.6</v>
      </c>
      <c r="J2062">
        <v>23.61</v>
      </c>
      <c r="K2062">
        <v>42.2</v>
      </c>
      <c r="L2062" t="s">
        <v>5025</v>
      </c>
      <c r="M2062">
        <v>8</v>
      </c>
      <c r="N2062">
        <v>0</v>
      </c>
      <c r="O2062">
        <v>0</v>
      </c>
    </row>
    <row r="2063" spans="1:15" x14ac:dyDescent="0.3">
      <c r="A2063" t="s">
        <v>2076</v>
      </c>
      <c r="B2063">
        <v>12</v>
      </c>
      <c r="C2063">
        <v>62</v>
      </c>
      <c r="D2063" t="s">
        <v>5016</v>
      </c>
      <c r="E2063" t="s">
        <v>5019</v>
      </c>
      <c r="F2063" t="s">
        <v>5024</v>
      </c>
      <c r="G2063">
        <v>21.15</v>
      </c>
      <c r="H2063">
        <v>1</v>
      </c>
      <c r="I2063">
        <v>2.7</v>
      </c>
      <c r="J2063">
        <v>15.7</v>
      </c>
      <c r="K2063">
        <v>41.9</v>
      </c>
      <c r="L2063" t="s">
        <v>5028</v>
      </c>
      <c r="M2063">
        <v>6</v>
      </c>
      <c r="N2063">
        <v>1</v>
      </c>
      <c r="O2063">
        <v>0</v>
      </c>
    </row>
    <row r="2064" spans="1:15" x14ac:dyDescent="0.3">
      <c r="A2064" t="s">
        <v>2077</v>
      </c>
      <c r="B2064">
        <v>2</v>
      </c>
      <c r="C2064">
        <v>19</v>
      </c>
      <c r="D2064" t="s">
        <v>5015</v>
      </c>
      <c r="E2064" t="s">
        <v>5018</v>
      </c>
      <c r="F2064" t="s">
        <v>5020</v>
      </c>
      <c r="G2064">
        <v>8.83</v>
      </c>
      <c r="H2064">
        <v>4</v>
      </c>
      <c r="I2064">
        <v>9.1999999999999993</v>
      </c>
      <c r="J2064">
        <v>5.04</v>
      </c>
      <c r="K2064">
        <v>41.9</v>
      </c>
      <c r="L2064" t="s">
        <v>5026</v>
      </c>
      <c r="M2064">
        <v>4</v>
      </c>
      <c r="N2064">
        <v>4</v>
      </c>
      <c r="O2064">
        <v>0</v>
      </c>
    </row>
    <row r="2065" spans="1:15" x14ac:dyDescent="0.3">
      <c r="A2065" t="s">
        <v>2078</v>
      </c>
      <c r="B2065">
        <v>7</v>
      </c>
      <c r="C2065">
        <v>42</v>
      </c>
      <c r="D2065" t="s">
        <v>5016</v>
      </c>
      <c r="E2065" t="s">
        <v>5019</v>
      </c>
      <c r="F2065" t="s">
        <v>5023</v>
      </c>
      <c r="G2065">
        <v>21.94</v>
      </c>
      <c r="H2065">
        <v>4</v>
      </c>
      <c r="I2065">
        <v>2.1</v>
      </c>
      <c r="J2065">
        <v>7.85</v>
      </c>
      <c r="K2065">
        <v>37.9</v>
      </c>
      <c r="L2065" t="s">
        <v>5026</v>
      </c>
      <c r="M2065">
        <v>8</v>
      </c>
      <c r="N2065">
        <v>2</v>
      </c>
      <c r="O2065">
        <v>0</v>
      </c>
    </row>
    <row r="2066" spans="1:15" x14ac:dyDescent="0.3">
      <c r="A2066" t="s">
        <v>2079</v>
      </c>
      <c r="B2066">
        <v>5</v>
      </c>
      <c r="C2066">
        <v>30</v>
      </c>
      <c r="D2066" t="s">
        <v>5016</v>
      </c>
      <c r="E2066" t="s">
        <v>5018</v>
      </c>
      <c r="F2066" t="s">
        <v>5021</v>
      </c>
      <c r="G2066">
        <v>6.16</v>
      </c>
      <c r="H2066">
        <v>3</v>
      </c>
      <c r="I2066">
        <v>6.2</v>
      </c>
      <c r="J2066">
        <v>18.96</v>
      </c>
      <c r="K2066">
        <v>78.8</v>
      </c>
      <c r="L2066" t="s">
        <v>5026</v>
      </c>
      <c r="M2066">
        <v>1</v>
      </c>
      <c r="N2066">
        <v>0</v>
      </c>
      <c r="O2066">
        <v>1</v>
      </c>
    </row>
    <row r="2067" spans="1:15" x14ac:dyDescent="0.3">
      <c r="A2067" t="s">
        <v>2080</v>
      </c>
      <c r="B2067">
        <v>5</v>
      </c>
      <c r="C2067">
        <v>56</v>
      </c>
      <c r="D2067" t="s">
        <v>5015</v>
      </c>
      <c r="E2067" t="s">
        <v>5019</v>
      </c>
      <c r="F2067" t="s">
        <v>5020</v>
      </c>
      <c r="G2067">
        <v>5.13</v>
      </c>
      <c r="H2067">
        <v>4</v>
      </c>
      <c r="I2067">
        <v>3.9</v>
      </c>
      <c r="J2067">
        <v>3.64</v>
      </c>
      <c r="K2067">
        <v>72.099999999999994</v>
      </c>
      <c r="L2067" t="s">
        <v>5027</v>
      </c>
      <c r="M2067">
        <v>10</v>
      </c>
      <c r="N2067">
        <v>1</v>
      </c>
      <c r="O2067">
        <v>0</v>
      </c>
    </row>
    <row r="2068" spans="1:15" x14ac:dyDescent="0.3">
      <c r="A2068" t="s">
        <v>2081</v>
      </c>
      <c r="B2068">
        <v>6</v>
      </c>
      <c r="C2068">
        <v>45</v>
      </c>
      <c r="D2068" t="s">
        <v>5016</v>
      </c>
      <c r="E2068" t="s">
        <v>5018</v>
      </c>
      <c r="F2068" t="s">
        <v>5023</v>
      </c>
      <c r="G2068">
        <v>8.17</v>
      </c>
      <c r="H2068">
        <v>2</v>
      </c>
      <c r="I2068">
        <v>6</v>
      </c>
      <c r="J2068">
        <v>18.96</v>
      </c>
      <c r="K2068">
        <v>40.700000000000003</v>
      </c>
      <c r="L2068" t="s">
        <v>5026</v>
      </c>
      <c r="M2068">
        <v>1</v>
      </c>
      <c r="N2068">
        <v>2</v>
      </c>
      <c r="O2068">
        <v>1</v>
      </c>
    </row>
    <row r="2069" spans="1:15" x14ac:dyDescent="0.3">
      <c r="A2069" t="s">
        <v>2082</v>
      </c>
      <c r="B2069">
        <v>9</v>
      </c>
      <c r="C2069">
        <v>59</v>
      </c>
      <c r="D2069" t="s">
        <v>5015</v>
      </c>
      <c r="E2069" t="s">
        <v>5018</v>
      </c>
      <c r="F2069" t="s">
        <v>5022</v>
      </c>
      <c r="G2069">
        <v>24.57</v>
      </c>
      <c r="H2069">
        <v>3</v>
      </c>
      <c r="I2069">
        <v>3.1</v>
      </c>
      <c r="J2069">
        <v>23.05</v>
      </c>
      <c r="K2069">
        <v>23.2</v>
      </c>
      <c r="L2069" t="s">
        <v>5028</v>
      </c>
      <c r="M2069">
        <v>4</v>
      </c>
      <c r="N2069">
        <v>1</v>
      </c>
      <c r="O2069">
        <v>0</v>
      </c>
    </row>
    <row r="2070" spans="1:15" x14ac:dyDescent="0.3">
      <c r="A2070" t="s">
        <v>2083</v>
      </c>
      <c r="B2070">
        <v>6</v>
      </c>
      <c r="C2070">
        <v>23</v>
      </c>
      <c r="D2070" t="s">
        <v>5016</v>
      </c>
      <c r="E2070" t="s">
        <v>5018</v>
      </c>
      <c r="F2070" t="s">
        <v>5020</v>
      </c>
      <c r="G2070">
        <v>15.47</v>
      </c>
      <c r="H2070">
        <v>3</v>
      </c>
      <c r="I2070">
        <v>5</v>
      </c>
      <c r="J2070">
        <v>4.24</v>
      </c>
      <c r="K2070">
        <v>56.6</v>
      </c>
      <c r="L2070" t="s">
        <v>5025</v>
      </c>
      <c r="M2070">
        <v>1</v>
      </c>
      <c r="N2070">
        <v>4</v>
      </c>
      <c r="O2070">
        <v>1</v>
      </c>
    </row>
    <row r="2071" spans="1:15" x14ac:dyDescent="0.3">
      <c r="A2071" t="s">
        <v>2084</v>
      </c>
      <c r="B2071">
        <v>12</v>
      </c>
      <c r="C2071">
        <v>20</v>
      </c>
      <c r="D2071" t="s">
        <v>5015</v>
      </c>
      <c r="E2071" t="s">
        <v>5018</v>
      </c>
      <c r="F2071" t="s">
        <v>5022</v>
      </c>
      <c r="G2071">
        <v>5.93</v>
      </c>
      <c r="H2071">
        <v>4</v>
      </c>
      <c r="I2071">
        <v>8.8000000000000007</v>
      </c>
      <c r="J2071">
        <v>7.1</v>
      </c>
      <c r="K2071">
        <v>92.7</v>
      </c>
      <c r="L2071" t="s">
        <v>5026</v>
      </c>
      <c r="M2071">
        <v>5</v>
      </c>
      <c r="N2071">
        <v>3</v>
      </c>
      <c r="O2071">
        <v>1</v>
      </c>
    </row>
    <row r="2072" spans="1:15" x14ac:dyDescent="0.3">
      <c r="A2072" t="s">
        <v>2085</v>
      </c>
      <c r="B2072">
        <v>8</v>
      </c>
      <c r="C2072">
        <v>52</v>
      </c>
      <c r="D2072" t="s">
        <v>5015</v>
      </c>
      <c r="E2072" t="s">
        <v>5019</v>
      </c>
      <c r="F2072" t="s">
        <v>5021</v>
      </c>
      <c r="G2072">
        <v>24.94</v>
      </c>
      <c r="H2072">
        <v>3</v>
      </c>
      <c r="I2072">
        <v>4.4000000000000004</v>
      </c>
      <c r="J2072">
        <v>3.05</v>
      </c>
      <c r="K2072">
        <v>21.1</v>
      </c>
      <c r="L2072" t="s">
        <v>5029</v>
      </c>
      <c r="M2072">
        <v>11</v>
      </c>
      <c r="N2072">
        <v>4</v>
      </c>
      <c r="O2072">
        <v>0</v>
      </c>
    </row>
    <row r="2073" spans="1:15" x14ac:dyDescent="0.3">
      <c r="A2073" t="s">
        <v>2086</v>
      </c>
      <c r="B2073">
        <v>7</v>
      </c>
      <c r="C2073">
        <v>35</v>
      </c>
      <c r="D2073" t="s">
        <v>5016</v>
      </c>
      <c r="E2073" t="s">
        <v>5017</v>
      </c>
      <c r="F2073" t="s">
        <v>5024</v>
      </c>
      <c r="G2073">
        <v>19.899999999999999</v>
      </c>
      <c r="H2073">
        <v>1</v>
      </c>
      <c r="I2073">
        <v>4.2</v>
      </c>
      <c r="J2073">
        <v>5.4</v>
      </c>
      <c r="K2073">
        <v>77.8</v>
      </c>
      <c r="L2073" t="s">
        <v>5025</v>
      </c>
      <c r="M2073">
        <v>9</v>
      </c>
      <c r="N2073">
        <v>3</v>
      </c>
      <c r="O2073">
        <v>1</v>
      </c>
    </row>
    <row r="2074" spans="1:15" x14ac:dyDescent="0.3">
      <c r="A2074" t="s">
        <v>2087</v>
      </c>
      <c r="B2074">
        <v>9</v>
      </c>
      <c r="C2074">
        <v>28</v>
      </c>
      <c r="D2074" t="s">
        <v>5015</v>
      </c>
      <c r="E2074" t="s">
        <v>5017</v>
      </c>
      <c r="F2074" t="s">
        <v>5021</v>
      </c>
      <c r="G2074">
        <v>21.76</v>
      </c>
      <c r="H2074">
        <v>5</v>
      </c>
      <c r="I2074">
        <v>5</v>
      </c>
      <c r="J2074">
        <v>16.57</v>
      </c>
      <c r="K2074">
        <v>63.9</v>
      </c>
      <c r="L2074" t="s">
        <v>5028</v>
      </c>
      <c r="M2074">
        <v>9</v>
      </c>
      <c r="N2074">
        <v>2</v>
      </c>
      <c r="O2074">
        <v>1</v>
      </c>
    </row>
    <row r="2075" spans="1:15" x14ac:dyDescent="0.3">
      <c r="A2075" t="s">
        <v>2088</v>
      </c>
      <c r="B2075">
        <v>4</v>
      </c>
      <c r="C2075">
        <v>37</v>
      </c>
      <c r="D2075" t="s">
        <v>5016</v>
      </c>
      <c r="E2075" t="s">
        <v>5018</v>
      </c>
      <c r="F2075" t="s">
        <v>5020</v>
      </c>
      <c r="G2075">
        <v>9.26</v>
      </c>
      <c r="H2075">
        <v>5</v>
      </c>
      <c r="I2075">
        <v>1.9</v>
      </c>
      <c r="J2075">
        <v>3.99</v>
      </c>
      <c r="K2075">
        <v>63</v>
      </c>
      <c r="L2075" t="s">
        <v>5027</v>
      </c>
      <c r="M2075">
        <v>9</v>
      </c>
      <c r="N2075">
        <v>1</v>
      </c>
      <c r="O2075">
        <v>1</v>
      </c>
    </row>
    <row r="2076" spans="1:15" x14ac:dyDescent="0.3">
      <c r="A2076" t="s">
        <v>2089</v>
      </c>
      <c r="B2076">
        <v>2</v>
      </c>
      <c r="C2076">
        <v>22</v>
      </c>
      <c r="D2076" t="s">
        <v>5016</v>
      </c>
      <c r="E2076" t="s">
        <v>5018</v>
      </c>
      <c r="F2076" t="s">
        <v>5022</v>
      </c>
      <c r="G2076">
        <v>7.11</v>
      </c>
      <c r="H2076">
        <v>4</v>
      </c>
      <c r="I2076">
        <v>4.5</v>
      </c>
      <c r="J2076">
        <v>12.37</v>
      </c>
      <c r="K2076">
        <v>94.1</v>
      </c>
      <c r="L2076" t="s">
        <v>5028</v>
      </c>
      <c r="M2076">
        <v>6</v>
      </c>
      <c r="N2076">
        <v>1</v>
      </c>
      <c r="O2076">
        <v>0</v>
      </c>
    </row>
    <row r="2077" spans="1:15" x14ac:dyDescent="0.3">
      <c r="A2077" t="s">
        <v>2090</v>
      </c>
      <c r="B2077">
        <v>7</v>
      </c>
      <c r="C2077">
        <v>36</v>
      </c>
      <c r="D2077" t="s">
        <v>5015</v>
      </c>
      <c r="E2077" t="s">
        <v>5017</v>
      </c>
      <c r="F2077" t="s">
        <v>5022</v>
      </c>
      <c r="G2077">
        <v>15.3</v>
      </c>
      <c r="H2077">
        <v>2</v>
      </c>
      <c r="I2077">
        <v>1.1000000000000001</v>
      </c>
      <c r="J2077">
        <v>14.07</v>
      </c>
      <c r="K2077">
        <v>96</v>
      </c>
      <c r="L2077" t="s">
        <v>5027</v>
      </c>
      <c r="M2077">
        <v>1</v>
      </c>
      <c r="N2077">
        <v>4</v>
      </c>
      <c r="O2077">
        <v>1</v>
      </c>
    </row>
    <row r="2078" spans="1:15" x14ac:dyDescent="0.3">
      <c r="A2078" t="s">
        <v>2091</v>
      </c>
      <c r="B2078">
        <v>6</v>
      </c>
      <c r="C2078">
        <v>39</v>
      </c>
      <c r="D2078" t="s">
        <v>5016</v>
      </c>
      <c r="E2078" t="s">
        <v>5018</v>
      </c>
      <c r="F2078" t="s">
        <v>5023</v>
      </c>
      <c r="G2078">
        <v>20.440000000000001</v>
      </c>
      <c r="H2078">
        <v>2</v>
      </c>
      <c r="I2078">
        <v>5.5</v>
      </c>
      <c r="J2078">
        <v>22.95</v>
      </c>
      <c r="K2078">
        <v>31.9</v>
      </c>
      <c r="L2078" t="s">
        <v>5025</v>
      </c>
      <c r="M2078">
        <v>10</v>
      </c>
      <c r="N2078">
        <v>0</v>
      </c>
      <c r="O2078">
        <v>0</v>
      </c>
    </row>
    <row r="2079" spans="1:15" x14ac:dyDescent="0.3">
      <c r="A2079" t="s">
        <v>2092</v>
      </c>
      <c r="B2079">
        <v>1</v>
      </c>
      <c r="C2079">
        <v>36</v>
      </c>
      <c r="D2079" t="s">
        <v>5015</v>
      </c>
      <c r="E2079" t="s">
        <v>5019</v>
      </c>
      <c r="F2079" t="s">
        <v>5021</v>
      </c>
      <c r="G2079">
        <v>17.760000000000002</v>
      </c>
      <c r="H2079">
        <v>4</v>
      </c>
      <c r="I2079">
        <v>8.6</v>
      </c>
      <c r="J2079">
        <v>13.43</v>
      </c>
      <c r="K2079">
        <v>82.8</v>
      </c>
      <c r="L2079" t="s">
        <v>5027</v>
      </c>
      <c r="M2079">
        <v>5</v>
      </c>
      <c r="N2079">
        <v>2</v>
      </c>
      <c r="O2079">
        <v>0</v>
      </c>
    </row>
    <row r="2080" spans="1:15" x14ac:dyDescent="0.3">
      <c r="A2080" t="s">
        <v>2093</v>
      </c>
      <c r="B2080">
        <v>11</v>
      </c>
      <c r="C2080">
        <v>64</v>
      </c>
      <c r="D2080" t="s">
        <v>5016</v>
      </c>
      <c r="E2080" t="s">
        <v>5017</v>
      </c>
      <c r="F2080" t="s">
        <v>5021</v>
      </c>
      <c r="G2080">
        <v>17.62</v>
      </c>
      <c r="H2080">
        <v>4</v>
      </c>
      <c r="I2080">
        <v>6</v>
      </c>
      <c r="J2080">
        <v>6.14</v>
      </c>
      <c r="K2080">
        <v>65.900000000000006</v>
      </c>
      <c r="L2080" t="s">
        <v>5025</v>
      </c>
      <c r="M2080">
        <v>10</v>
      </c>
      <c r="N2080">
        <v>3</v>
      </c>
      <c r="O2080">
        <v>0</v>
      </c>
    </row>
    <row r="2081" spans="1:15" x14ac:dyDescent="0.3">
      <c r="A2081" t="s">
        <v>2094</v>
      </c>
      <c r="B2081">
        <v>9</v>
      </c>
      <c r="C2081">
        <v>33</v>
      </c>
      <c r="D2081" t="s">
        <v>5016</v>
      </c>
      <c r="E2081" t="s">
        <v>5018</v>
      </c>
      <c r="F2081" t="s">
        <v>5020</v>
      </c>
      <c r="G2081">
        <v>20.14</v>
      </c>
      <c r="H2081">
        <v>3</v>
      </c>
      <c r="I2081">
        <v>6.5</v>
      </c>
      <c r="J2081">
        <v>9.36</v>
      </c>
      <c r="K2081">
        <v>46.8</v>
      </c>
      <c r="L2081" t="s">
        <v>5028</v>
      </c>
      <c r="M2081">
        <v>2</v>
      </c>
      <c r="N2081">
        <v>2</v>
      </c>
      <c r="O2081">
        <v>0</v>
      </c>
    </row>
    <row r="2082" spans="1:15" x14ac:dyDescent="0.3">
      <c r="A2082" t="s">
        <v>2095</v>
      </c>
      <c r="B2082">
        <v>9</v>
      </c>
      <c r="C2082">
        <v>41</v>
      </c>
      <c r="D2082" t="s">
        <v>5015</v>
      </c>
      <c r="E2082" t="s">
        <v>5019</v>
      </c>
      <c r="F2082" t="s">
        <v>5022</v>
      </c>
      <c r="G2082">
        <v>9.5399999999999991</v>
      </c>
      <c r="H2082">
        <v>2</v>
      </c>
      <c r="I2082">
        <v>1.3</v>
      </c>
      <c r="J2082">
        <v>17.79</v>
      </c>
      <c r="K2082">
        <v>69.900000000000006</v>
      </c>
      <c r="L2082" t="s">
        <v>5028</v>
      </c>
      <c r="M2082">
        <v>1</v>
      </c>
      <c r="N2082">
        <v>4</v>
      </c>
      <c r="O2082">
        <v>0</v>
      </c>
    </row>
    <row r="2083" spans="1:15" x14ac:dyDescent="0.3">
      <c r="A2083" t="s">
        <v>2096</v>
      </c>
      <c r="B2083">
        <v>12</v>
      </c>
      <c r="C2083">
        <v>58</v>
      </c>
      <c r="D2083" t="s">
        <v>5016</v>
      </c>
      <c r="E2083" t="s">
        <v>5018</v>
      </c>
      <c r="F2083" t="s">
        <v>5020</v>
      </c>
      <c r="G2083">
        <v>18.23</v>
      </c>
      <c r="H2083">
        <v>5</v>
      </c>
      <c r="I2083">
        <v>8.6999999999999993</v>
      </c>
      <c r="J2083">
        <v>5.47</v>
      </c>
      <c r="K2083">
        <v>96</v>
      </c>
      <c r="L2083" t="s">
        <v>5027</v>
      </c>
      <c r="M2083">
        <v>5</v>
      </c>
      <c r="N2083">
        <v>1</v>
      </c>
      <c r="O2083">
        <v>0</v>
      </c>
    </row>
    <row r="2084" spans="1:15" x14ac:dyDescent="0.3">
      <c r="A2084" t="s">
        <v>2097</v>
      </c>
      <c r="B2084">
        <v>2</v>
      </c>
      <c r="C2084">
        <v>21</v>
      </c>
      <c r="D2084" t="s">
        <v>5016</v>
      </c>
      <c r="E2084" t="s">
        <v>5019</v>
      </c>
      <c r="F2084" t="s">
        <v>5020</v>
      </c>
      <c r="G2084">
        <v>12.84</v>
      </c>
      <c r="H2084">
        <v>4</v>
      </c>
      <c r="I2084">
        <v>4.5</v>
      </c>
      <c r="J2084">
        <v>8.1</v>
      </c>
      <c r="K2084">
        <v>56.5</v>
      </c>
      <c r="L2084" t="s">
        <v>5029</v>
      </c>
      <c r="M2084">
        <v>5</v>
      </c>
      <c r="N2084">
        <v>3</v>
      </c>
      <c r="O2084">
        <v>1</v>
      </c>
    </row>
    <row r="2085" spans="1:15" x14ac:dyDescent="0.3">
      <c r="A2085" t="s">
        <v>2098</v>
      </c>
      <c r="B2085">
        <v>3</v>
      </c>
      <c r="C2085">
        <v>32</v>
      </c>
      <c r="D2085" t="s">
        <v>5016</v>
      </c>
      <c r="E2085" t="s">
        <v>5019</v>
      </c>
      <c r="F2085" t="s">
        <v>5022</v>
      </c>
      <c r="G2085">
        <v>6.4</v>
      </c>
      <c r="H2085">
        <v>5</v>
      </c>
      <c r="I2085">
        <v>9.8000000000000007</v>
      </c>
      <c r="J2085">
        <v>24.91</v>
      </c>
      <c r="K2085">
        <v>94.6</v>
      </c>
      <c r="L2085" t="s">
        <v>5028</v>
      </c>
      <c r="M2085">
        <v>1</v>
      </c>
      <c r="N2085">
        <v>3</v>
      </c>
      <c r="O2085">
        <v>0</v>
      </c>
    </row>
    <row r="2086" spans="1:15" x14ac:dyDescent="0.3">
      <c r="A2086" t="s">
        <v>2099</v>
      </c>
      <c r="B2086">
        <v>5</v>
      </c>
      <c r="C2086">
        <v>42</v>
      </c>
      <c r="D2086" t="s">
        <v>5016</v>
      </c>
      <c r="E2086" t="s">
        <v>5018</v>
      </c>
      <c r="F2086" t="s">
        <v>5020</v>
      </c>
      <c r="G2086">
        <v>9.0399999999999991</v>
      </c>
      <c r="H2086">
        <v>5</v>
      </c>
      <c r="I2086">
        <v>2.1</v>
      </c>
      <c r="J2086">
        <v>3.12</v>
      </c>
      <c r="K2086">
        <v>67.900000000000006</v>
      </c>
      <c r="L2086" t="s">
        <v>5027</v>
      </c>
      <c r="M2086">
        <v>7</v>
      </c>
      <c r="N2086">
        <v>3</v>
      </c>
      <c r="O2086">
        <v>0</v>
      </c>
    </row>
    <row r="2087" spans="1:15" x14ac:dyDescent="0.3">
      <c r="A2087" t="s">
        <v>2100</v>
      </c>
      <c r="B2087">
        <v>5</v>
      </c>
      <c r="C2087">
        <v>61</v>
      </c>
      <c r="D2087" t="s">
        <v>5016</v>
      </c>
      <c r="E2087" t="s">
        <v>5018</v>
      </c>
      <c r="F2087" t="s">
        <v>5022</v>
      </c>
      <c r="G2087">
        <v>20.88</v>
      </c>
      <c r="H2087">
        <v>2</v>
      </c>
      <c r="I2087">
        <v>9.5</v>
      </c>
      <c r="J2087">
        <v>6.35</v>
      </c>
      <c r="K2087">
        <v>53.5</v>
      </c>
      <c r="L2087" t="s">
        <v>5026</v>
      </c>
      <c r="M2087">
        <v>3</v>
      </c>
      <c r="N2087">
        <v>3</v>
      </c>
      <c r="O2087">
        <v>1</v>
      </c>
    </row>
    <row r="2088" spans="1:15" x14ac:dyDescent="0.3">
      <c r="A2088" t="s">
        <v>2101</v>
      </c>
      <c r="B2088">
        <v>1</v>
      </c>
      <c r="C2088">
        <v>52</v>
      </c>
      <c r="D2088" t="s">
        <v>5016</v>
      </c>
      <c r="E2088" t="s">
        <v>5018</v>
      </c>
      <c r="F2088" t="s">
        <v>5020</v>
      </c>
      <c r="G2088">
        <v>22.92</v>
      </c>
      <c r="H2088">
        <v>5</v>
      </c>
      <c r="I2088">
        <v>6.7</v>
      </c>
      <c r="J2088">
        <v>21.56</v>
      </c>
      <c r="K2088">
        <v>68</v>
      </c>
      <c r="L2088" t="s">
        <v>5025</v>
      </c>
      <c r="M2088">
        <v>11</v>
      </c>
      <c r="N2088">
        <v>2</v>
      </c>
      <c r="O2088">
        <v>0</v>
      </c>
    </row>
    <row r="2089" spans="1:15" x14ac:dyDescent="0.3">
      <c r="A2089" t="s">
        <v>2102</v>
      </c>
      <c r="B2089">
        <v>8</v>
      </c>
      <c r="C2089">
        <v>31</v>
      </c>
      <c r="D2089" t="s">
        <v>5016</v>
      </c>
      <c r="E2089" t="s">
        <v>5018</v>
      </c>
      <c r="F2089" t="s">
        <v>5024</v>
      </c>
      <c r="G2089">
        <v>10.66</v>
      </c>
      <c r="H2089">
        <v>3</v>
      </c>
      <c r="I2089">
        <v>1.5</v>
      </c>
      <c r="J2089">
        <v>5.23</v>
      </c>
      <c r="K2089">
        <v>64.2</v>
      </c>
      <c r="L2089" t="s">
        <v>5026</v>
      </c>
      <c r="M2089">
        <v>6</v>
      </c>
      <c r="N2089">
        <v>2</v>
      </c>
      <c r="O2089">
        <v>0</v>
      </c>
    </row>
    <row r="2090" spans="1:15" x14ac:dyDescent="0.3">
      <c r="A2090" t="s">
        <v>2103</v>
      </c>
      <c r="B2090">
        <v>12</v>
      </c>
      <c r="C2090">
        <v>66</v>
      </c>
      <c r="D2090" t="s">
        <v>5016</v>
      </c>
      <c r="E2090" t="s">
        <v>5019</v>
      </c>
      <c r="F2090" t="s">
        <v>5020</v>
      </c>
      <c r="G2090">
        <v>8.81</v>
      </c>
      <c r="H2090">
        <v>3</v>
      </c>
      <c r="I2090">
        <v>9.6999999999999993</v>
      </c>
      <c r="J2090">
        <v>3.74</v>
      </c>
      <c r="K2090">
        <v>48</v>
      </c>
      <c r="L2090" t="s">
        <v>5026</v>
      </c>
      <c r="M2090">
        <v>2</v>
      </c>
      <c r="N2090">
        <v>4</v>
      </c>
      <c r="O2090">
        <v>0</v>
      </c>
    </row>
    <row r="2091" spans="1:15" x14ac:dyDescent="0.3">
      <c r="A2091" t="s">
        <v>2104</v>
      </c>
      <c r="B2091">
        <v>8</v>
      </c>
      <c r="C2091">
        <v>36</v>
      </c>
      <c r="D2091" t="s">
        <v>5015</v>
      </c>
      <c r="E2091" t="s">
        <v>5018</v>
      </c>
      <c r="F2091" t="s">
        <v>5020</v>
      </c>
      <c r="G2091">
        <v>5.53</v>
      </c>
      <c r="H2091">
        <v>2</v>
      </c>
      <c r="I2091">
        <v>1.1000000000000001</v>
      </c>
      <c r="J2091">
        <v>5.67</v>
      </c>
      <c r="K2091">
        <v>60.6</v>
      </c>
      <c r="L2091" t="s">
        <v>5026</v>
      </c>
      <c r="M2091">
        <v>9</v>
      </c>
      <c r="N2091">
        <v>1</v>
      </c>
      <c r="O2091">
        <v>0</v>
      </c>
    </row>
    <row r="2092" spans="1:15" x14ac:dyDescent="0.3">
      <c r="A2092" t="s">
        <v>2105</v>
      </c>
      <c r="B2092">
        <v>4</v>
      </c>
      <c r="C2092">
        <v>55</v>
      </c>
      <c r="D2092" t="s">
        <v>5016</v>
      </c>
      <c r="E2092" t="s">
        <v>5017</v>
      </c>
      <c r="F2092" t="s">
        <v>5024</v>
      </c>
      <c r="G2092">
        <v>23.95</v>
      </c>
      <c r="H2092">
        <v>3</v>
      </c>
      <c r="I2092">
        <v>7.6</v>
      </c>
      <c r="J2092">
        <v>18.260000000000002</v>
      </c>
      <c r="K2092">
        <v>73.3</v>
      </c>
      <c r="L2092" t="s">
        <v>5027</v>
      </c>
      <c r="M2092">
        <v>2</v>
      </c>
      <c r="N2092">
        <v>1</v>
      </c>
      <c r="O2092">
        <v>1</v>
      </c>
    </row>
    <row r="2093" spans="1:15" x14ac:dyDescent="0.3">
      <c r="A2093" t="s">
        <v>2106</v>
      </c>
      <c r="B2093">
        <v>7</v>
      </c>
      <c r="C2093">
        <v>53</v>
      </c>
      <c r="D2093" t="s">
        <v>5016</v>
      </c>
      <c r="E2093" t="s">
        <v>5017</v>
      </c>
      <c r="F2093" t="s">
        <v>5021</v>
      </c>
      <c r="G2093">
        <v>18.68</v>
      </c>
      <c r="H2093">
        <v>4</v>
      </c>
      <c r="I2093">
        <v>9</v>
      </c>
      <c r="J2093">
        <v>24.85</v>
      </c>
      <c r="K2093">
        <v>85.5</v>
      </c>
      <c r="L2093" t="s">
        <v>5028</v>
      </c>
      <c r="M2093">
        <v>2</v>
      </c>
      <c r="N2093">
        <v>2</v>
      </c>
      <c r="O2093">
        <v>1</v>
      </c>
    </row>
    <row r="2094" spans="1:15" x14ac:dyDescent="0.3">
      <c r="A2094" t="s">
        <v>2107</v>
      </c>
      <c r="B2094">
        <v>11</v>
      </c>
      <c r="C2094">
        <v>24</v>
      </c>
      <c r="D2094" t="s">
        <v>5015</v>
      </c>
      <c r="E2094" t="s">
        <v>5017</v>
      </c>
      <c r="F2094" t="s">
        <v>5022</v>
      </c>
      <c r="G2094">
        <v>24.14</v>
      </c>
      <c r="H2094">
        <v>2</v>
      </c>
      <c r="I2094">
        <v>2.6</v>
      </c>
      <c r="J2094">
        <v>15.99</v>
      </c>
      <c r="K2094">
        <v>37.4</v>
      </c>
      <c r="L2094" t="s">
        <v>5026</v>
      </c>
      <c r="M2094">
        <v>1</v>
      </c>
      <c r="N2094">
        <v>4</v>
      </c>
      <c r="O2094">
        <v>1</v>
      </c>
    </row>
    <row r="2095" spans="1:15" x14ac:dyDescent="0.3">
      <c r="A2095" t="s">
        <v>2108</v>
      </c>
      <c r="B2095">
        <v>10</v>
      </c>
      <c r="C2095">
        <v>47</v>
      </c>
      <c r="D2095" t="s">
        <v>5015</v>
      </c>
      <c r="E2095" t="s">
        <v>5017</v>
      </c>
      <c r="F2095" t="s">
        <v>5023</v>
      </c>
      <c r="G2095">
        <v>22.28</v>
      </c>
      <c r="H2095">
        <v>5</v>
      </c>
      <c r="I2095">
        <v>4.0999999999999996</v>
      </c>
      <c r="J2095">
        <v>5.73</v>
      </c>
      <c r="K2095">
        <v>11.3</v>
      </c>
      <c r="L2095" t="s">
        <v>5027</v>
      </c>
      <c r="M2095">
        <v>1</v>
      </c>
      <c r="N2095">
        <v>0</v>
      </c>
      <c r="O2095">
        <v>1</v>
      </c>
    </row>
    <row r="2096" spans="1:15" x14ac:dyDescent="0.3">
      <c r="A2096" t="s">
        <v>2109</v>
      </c>
      <c r="B2096">
        <v>3</v>
      </c>
      <c r="C2096">
        <v>36</v>
      </c>
      <c r="D2096" t="s">
        <v>5015</v>
      </c>
      <c r="E2096" t="s">
        <v>5019</v>
      </c>
      <c r="F2096" t="s">
        <v>5024</v>
      </c>
      <c r="G2096">
        <v>11.81</v>
      </c>
      <c r="H2096">
        <v>4</v>
      </c>
      <c r="I2096">
        <v>6.1</v>
      </c>
      <c r="J2096">
        <v>7.04</v>
      </c>
      <c r="K2096">
        <v>59.6</v>
      </c>
      <c r="L2096" t="s">
        <v>5028</v>
      </c>
      <c r="M2096">
        <v>4</v>
      </c>
      <c r="N2096">
        <v>3</v>
      </c>
      <c r="O2096">
        <v>0</v>
      </c>
    </row>
    <row r="2097" spans="1:15" x14ac:dyDescent="0.3">
      <c r="A2097" t="s">
        <v>2110</v>
      </c>
      <c r="B2097">
        <v>6</v>
      </c>
      <c r="C2097">
        <v>66</v>
      </c>
      <c r="D2097" t="s">
        <v>5016</v>
      </c>
      <c r="E2097" t="s">
        <v>5018</v>
      </c>
      <c r="F2097" t="s">
        <v>5021</v>
      </c>
      <c r="G2097">
        <v>7.25</v>
      </c>
      <c r="H2097">
        <v>2</v>
      </c>
      <c r="I2097">
        <v>7.1</v>
      </c>
      <c r="J2097">
        <v>14.83</v>
      </c>
      <c r="K2097">
        <v>54</v>
      </c>
      <c r="L2097" t="s">
        <v>5025</v>
      </c>
      <c r="M2097">
        <v>7</v>
      </c>
      <c r="N2097">
        <v>1</v>
      </c>
      <c r="O2097">
        <v>1</v>
      </c>
    </row>
    <row r="2098" spans="1:15" x14ac:dyDescent="0.3">
      <c r="A2098" t="s">
        <v>2111</v>
      </c>
      <c r="B2098">
        <v>10</v>
      </c>
      <c r="C2098">
        <v>42</v>
      </c>
      <c r="D2098" t="s">
        <v>5015</v>
      </c>
      <c r="E2098" t="s">
        <v>5018</v>
      </c>
      <c r="F2098" t="s">
        <v>5020</v>
      </c>
      <c r="G2098">
        <v>14.98</v>
      </c>
      <c r="H2098">
        <v>5</v>
      </c>
      <c r="I2098">
        <v>8.8000000000000007</v>
      </c>
      <c r="J2098">
        <v>18.739999999999998</v>
      </c>
      <c r="K2098">
        <v>14.9</v>
      </c>
      <c r="L2098" t="s">
        <v>5028</v>
      </c>
      <c r="M2098">
        <v>4</v>
      </c>
      <c r="N2098">
        <v>3</v>
      </c>
      <c r="O2098">
        <v>0</v>
      </c>
    </row>
    <row r="2099" spans="1:15" x14ac:dyDescent="0.3">
      <c r="A2099" t="s">
        <v>2112</v>
      </c>
      <c r="B2099">
        <v>10</v>
      </c>
      <c r="C2099">
        <v>33</v>
      </c>
      <c r="D2099" t="s">
        <v>5015</v>
      </c>
      <c r="E2099" t="s">
        <v>5018</v>
      </c>
      <c r="F2099" t="s">
        <v>5021</v>
      </c>
      <c r="G2099">
        <v>5.54</v>
      </c>
      <c r="H2099">
        <v>5</v>
      </c>
      <c r="I2099">
        <v>7.8</v>
      </c>
      <c r="J2099">
        <v>17.579999999999998</v>
      </c>
      <c r="K2099">
        <v>66.900000000000006</v>
      </c>
      <c r="L2099" t="s">
        <v>5028</v>
      </c>
      <c r="M2099">
        <v>5</v>
      </c>
      <c r="N2099">
        <v>1</v>
      </c>
      <c r="O2099">
        <v>1</v>
      </c>
    </row>
    <row r="2100" spans="1:15" x14ac:dyDescent="0.3">
      <c r="A2100" t="s">
        <v>2113</v>
      </c>
      <c r="B2100">
        <v>12</v>
      </c>
      <c r="C2100">
        <v>64</v>
      </c>
      <c r="D2100" t="s">
        <v>5016</v>
      </c>
      <c r="E2100" t="s">
        <v>5019</v>
      </c>
      <c r="F2100" t="s">
        <v>5024</v>
      </c>
      <c r="G2100">
        <v>8</v>
      </c>
      <c r="H2100">
        <v>5</v>
      </c>
      <c r="I2100">
        <v>4.3</v>
      </c>
      <c r="J2100">
        <v>15.64</v>
      </c>
      <c r="K2100">
        <v>94.7</v>
      </c>
      <c r="L2100" t="s">
        <v>5026</v>
      </c>
      <c r="M2100">
        <v>6</v>
      </c>
      <c r="N2100">
        <v>0</v>
      </c>
      <c r="O2100">
        <v>0</v>
      </c>
    </row>
    <row r="2101" spans="1:15" x14ac:dyDescent="0.3">
      <c r="A2101" t="s">
        <v>2114</v>
      </c>
      <c r="B2101">
        <v>9</v>
      </c>
      <c r="C2101">
        <v>57</v>
      </c>
      <c r="D2101" t="s">
        <v>5016</v>
      </c>
      <c r="E2101" t="s">
        <v>5018</v>
      </c>
      <c r="F2101" t="s">
        <v>5020</v>
      </c>
      <c r="G2101">
        <v>9.67</v>
      </c>
      <c r="H2101">
        <v>5</v>
      </c>
      <c r="I2101">
        <v>8.4</v>
      </c>
      <c r="J2101">
        <v>24.7</v>
      </c>
      <c r="K2101">
        <v>46.2</v>
      </c>
      <c r="L2101" t="s">
        <v>5027</v>
      </c>
      <c r="M2101">
        <v>5</v>
      </c>
      <c r="N2101">
        <v>1</v>
      </c>
      <c r="O2101">
        <v>0</v>
      </c>
    </row>
    <row r="2102" spans="1:15" x14ac:dyDescent="0.3">
      <c r="A2102" t="s">
        <v>2115</v>
      </c>
      <c r="B2102">
        <v>1</v>
      </c>
      <c r="C2102">
        <v>68</v>
      </c>
      <c r="D2102" t="s">
        <v>5015</v>
      </c>
      <c r="E2102" t="s">
        <v>5019</v>
      </c>
      <c r="F2102" t="s">
        <v>5021</v>
      </c>
      <c r="G2102">
        <v>18.309999999999999</v>
      </c>
      <c r="H2102">
        <v>5</v>
      </c>
      <c r="I2102">
        <v>9.6999999999999993</v>
      </c>
      <c r="J2102">
        <v>7.36</v>
      </c>
      <c r="K2102">
        <v>90.5</v>
      </c>
      <c r="L2102" t="s">
        <v>5029</v>
      </c>
      <c r="M2102">
        <v>5</v>
      </c>
      <c r="N2102">
        <v>0</v>
      </c>
      <c r="O2102">
        <v>0</v>
      </c>
    </row>
    <row r="2103" spans="1:15" x14ac:dyDescent="0.3">
      <c r="A2103" t="s">
        <v>2116</v>
      </c>
      <c r="B2103">
        <v>5</v>
      </c>
      <c r="C2103">
        <v>25</v>
      </c>
      <c r="D2103" t="s">
        <v>5015</v>
      </c>
      <c r="E2103" t="s">
        <v>5018</v>
      </c>
      <c r="F2103" t="s">
        <v>5023</v>
      </c>
      <c r="G2103">
        <v>15.2</v>
      </c>
      <c r="H2103">
        <v>2</v>
      </c>
      <c r="I2103">
        <v>3</v>
      </c>
      <c r="J2103">
        <v>6.8</v>
      </c>
      <c r="K2103">
        <v>83.2</v>
      </c>
      <c r="L2103" t="s">
        <v>5025</v>
      </c>
      <c r="M2103">
        <v>4</v>
      </c>
      <c r="N2103">
        <v>1</v>
      </c>
      <c r="O2103">
        <v>0</v>
      </c>
    </row>
    <row r="2104" spans="1:15" x14ac:dyDescent="0.3">
      <c r="A2104" t="s">
        <v>2117</v>
      </c>
      <c r="B2104">
        <v>4</v>
      </c>
      <c r="C2104">
        <v>35</v>
      </c>
      <c r="D2104" t="s">
        <v>5016</v>
      </c>
      <c r="E2104" t="s">
        <v>5019</v>
      </c>
      <c r="F2104" t="s">
        <v>5022</v>
      </c>
      <c r="G2104">
        <v>11.05</v>
      </c>
      <c r="H2104">
        <v>3</v>
      </c>
      <c r="I2104">
        <v>1.7</v>
      </c>
      <c r="J2104">
        <v>21.9</v>
      </c>
      <c r="K2104">
        <v>24.6</v>
      </c>
      <c r="L2104" t="s">
        <v>5027</v>
      </c>
      <c r="M2104">
        <v>9</v>
      </c>
      <c r="N2104">
        <v>2</v>
      </c>
      <c r="O2104">
        <v>0</v>
      </c>
    </row>
    <row r="2105" spans="1:15" x14ac:dyDescent="0.3">
      <c r="A2105" t="s">
        <v>2118</v>
      </c>
      <c r="B2105">
        <v>8</v>
      </c>
      <c r="C2105">
        <v>45</v>
      </c>
      <c r="D2105" t="s">
        <v>5016</v>
      </c>
      <c r="E2105" t="s">
        <v>5018</v>
      </c>
      <c r="F2105" t="s">
        <v>5022</v>
      </c>
      <c r="G2105">
        <v>16.3</v>
      </c>
      <c r="H2105">
        <v>5</v>
      </c>
      <c r="I2105">
        <v>4.8</v>
      </c>
      <c r="J2105">
        <v>9.4</v>
      </c>
      <c r="K2105">
        <v>80.900000000000006</v>
      </c>
      <c r="L2105" t="s">
        <v>5026</v>
      </c>
      <c r="M2105">
        <v>5</v>
      </c>
      <c r="N2105">
        <v>3</v>
      </c>
      <c r="O2105">
        <v>0</v>
      </c>
    </row>
    <row r="2106" spans="1:15" x14ac:dyDescent="0.3">
      <c r="A2106" t="s">
        <v>2119</v>
      </c>
      <c r="B2106">
        <v>11</v>
      </c>
      <c r="C2106">
        <v>33</v>
      </c>
      <c r="D2106" t="s">
        <v>5016</v>
      </c>
      <c r="E2106" t="s">
        <v>5017</v>
      </c>
      <c r="F2106" t="s">
        <v>5024</v>
      </c>
      <c r="G2106">
        <v>7.5</v>
      </c>
      <c r="H2106">
        <v>4</v>
      </c>
      <c r="I2106">
        <v>8.9</v>
      </c>
      <c r="J2106">
        <v>10.32</v>
      </c>
      <c r="K2106">
        <v>56.5</v>
      </c>
      <c r="L2106" t="s">
        <v>5027</v>
      </c>
      <c r="M2106">
        <v>9</v>
      </c>
      <c r="N2106">
        <v>4</v>
      </c>
      <c r="O2106">
        <v>0</v>
      </c>
    </row>
    <row r="2107" spans="1:15" x14ac:dyDescent="0.3">
      <c r="A2107" t="s">
        <v>2120</v>
      </c>
      <c r="B2107">
        <v>12</v>
      </c>
      <c r="C2107">
        <v>69</v>
      </c>
      <c r="D2107" t="s">
        <v>5016</v>
      </c>
      <c r="E2107" t="s">
        <v>5018</v>
      </c>
      <c r="F2107" t="s">
        <v>5020</v>
      </c>
      <c r="G2107">
        <v>20.11</v>
      </c>
      <c r="H2107">
        <v>2</v>
      </c>
      <c r="I2107">
        <v>2.4</v>
      </c>
      <c r="J2107">
        <v>15.07</v>
      </c>
      <c r="K2107">
        <v>92.7</v>
      </c>
      <c r="L2107" t="s">
        <v>5029</v>
      </c>
      <c r="M2107">
        <v>4</v>
      </c>
      <c r="N2107">
        <v>4</v>
      </c>
      <c r="O2107">
        <v>0</v>
      </c>
    </row>
    <row r="2108" spans="1:15" x14ac:dyDescent="0.3">
      <c r="A2108" t="s">
        <v>2121</v>
      </c>
      <c r="B2108">
        <v>1</v>
      </c>
      <c r="C2108">
        <v>36</v>
      </c>
      <c r="D2108" t="s">
        <v>5016</v>
      </c>
      <c r="E2108" t="s">
        <v>5018</v>
      </c>
      <c r="F2108" t="s">
        <v>5020</v>
      </c>
      <c r="G2108">
        <v>19.239999999999998</v>
      </c>
      <c r="H2108">
        <v>1</v>
      </c>
      <c r="I2108">
        <v>9</v>
      </c>
      <c r="J2108">
        <v>11.39</v>
      </c>
      <c r="K2108">
        <v>27</v>
      </c>
      <c r="L2108" t="s">
        <v>5025</v>
      </c>
      <c r="M2108">
        <v>9</v>
      </c>
      <c r="N2108">
        <v>1</v>
      </c>
      <c r="O2108">
        <v>0</v>
      </c>
    </row>
    <row r="2109" spans="1:15" x14ac:dyDescent="0.3">
      <c r="A2109" t="s">
        <v>2122</v>
      </c>
      <c r="B2109">
        <v>9</v>
      </c>
      <c r="C2109">
        <v>59</v>
      </c>
      <c r="D2109" t="s">
        <v>5015</v>
      </c>
      <c r="E2109" t="s">
        <v>5017</v>
      </c>
      <c r="F2109" t="s">
        <v>5022</v>
      </c>
      <c r="G2109">
        <v>9.33</v>
      </c>
      <c r="H2109">
        <v>3</v>
      </c>
      <c r="I2109">
        <v>9.9</v>
      </c>
      <c r="J2109">
        <v>9.33</v>
      </c>
      <c r="K2109">
        <v>21.3</v>
      </c>
      <c r="L2109" t="s">
        <v>5028</v>
      </c>
      <c r="M2109">
        <v>5</v>
      </c>
      <c r="N2109">
        <v>4</v>
      </c>
      <c r="O2109">
        <v>0</v>
      </c>
    </row>
    <row r="2110" spans="1:15" x14ac:dyDescent="0.3">
      <c r="A2110" t="s">
        <v>2123</v>
      </c>
      <c r="B2110">
        <v>6</v>
      </c>
      <c r="C2110">
        <v>34</v>
      </c>
      <c r="D2110" t="s">
        <v>5016</v>
      </c>
      <c r="E2110" t="s">
        <v>5018</v>
      </c>
      <c r="F2110" t="s">
        <v>5021</v>
      </c>
      <c r="G2110">
        <v>17.13</v>
      </c>
      <c r="H2110">
        <v>4</v>
      </c>
      <c r="I2110">
        <v>1.5</v>
      </c>
      <c r="J2110">
        <v>23.18</v>
      </c>
      <c r="K2110">
        <v>31.7</v>
      </c>
      <c r="L2110" t="s">
        <v>5025</v>
      </c>
      <c r="M2110">
        <v>8</v>
      </c>
      <c r="N2110">
        <v>3</v>
      </c>
      <c r="O2110">
        <v>1</v>
      </c>
    </row>
    <row r="2111" spans="1:15" x14ac:dyDescent="0.3">
      <c r="A2111" t="s">
        <v>2124</v>
      </c>
      <c r="B2111">
        <v>4</v>
      </c>
      <c r="C2111">
        <v>62</v>
      </c>
      <c r="D2111" t="s">
        <v>5016</v>
      </c>
      <c r="E2111" t="s">
        <v>5018</v>
      </c>
      <c r="F2111" t="s">
        <v>5020</v>
      </c>
      <c r="G2111">
        <v>15.07</v>
      </c>
      <c r="H2111">
        <v>5</v>
      </c>
      <c r="I2111">
        <v>5.5</v>
      </c>
      <c r="J2111">
        <v>5.84</v>
      </c>
      <c r="K2111">
        <v>15.4</v>
      </c>
      <c r="L2111" t="s">
        <v>5029</v>
      </c>
      <c r="M2111">
        <v>1</v>
      </c>
      <c r="N2111">
        <v>2</v>
      </c>
      <c r="O2111">
        <v>1</v>
      </c>
    </row>
    <row r="2112" spans="1:15" x14ac:dyDescent="0.3">
      <c r="A2112" t="s">
        <v>2125</v>
      </c>
      <c r="B2112">
        <v>12</v>
      </c>
      <c r="C2112">
        <v>30</v>
      </c>
      <c r="D2112" t="s">
        <v>5016</v>
      </c>
      <c r="E2112" t="s">
        <v>5017</v>
      </c>
      <c r="F2112" t="s">
        <v>5023</v>
      </c>
      <c r="G2112">
        <v>6.22</v>
      </c>
      <c r="H2112">
        <v>2</v>
      </c>
      <c r="I2112">
        <v>4</v>
      </c>
      <c r="J2112">
        <v>11.89</v>
      </c>
      <c r="K2112">
        <v>38.799999999999997</v>
      </c>
      <c r="L2112" t="s">
        <v>5025</v>
      </c>
      <c r="M2112">
        <v>4</v>
      </c>
      <c r="N2112">
        <v>2</v>
      </c>
      <c r="O2112">
        <v>0</v>
      </c>
    </row>
    <row r="2113" spans="1:15" x14ac:dyDescent="0.3">
      <c r="A2113" t="s">
        <v>2126</v>
      </c>
      <c r="B2113">
        <v>9</v>
      </c>
      <c r="C2113">
        <v>24</v>
      </c>
      <c r="D2113" t="s">
        <v>5016</v>
      </c>
      <c r="E2113" t="s">
        <v>5019</v>
      </c>
      <c r="F2113" t="s">
        <v>5023</v>
      </c>
      <c r="G2113">
        <v>10.56</v>
      </c>
      <c r="H2113">
        <v>2</v>
      </c>
      <c r="I2113">
        <v>4.5</v>
      </c>
      <c r="J2113">
        <v>3.07</v>
      </c>
      <c r="K2113">
        <v>35.5</v>
      </c>
      <c r="L2113" t="s">
        <v>5025</v>
      </c>
      <c r="M2113">
        <v>4</v>
      </c>
      <c r="N2113">
        <v>0</v>
      </c>
      <c r="O2113">
        <v>1</v>
      </c>
    </row>
    <row r="2114" spans="1:15" x14ac:dyDescent="0.3">
      <c r="A2114" t="s">
        <v>2127</v>
      </c>
      <c r="B2114">
        <v>11</v>
      </c>
      <c r="C2114">
        <v>44</v>
      </c>
      <c r="D2114" t="s">
        <v>5016</v>
      </c>
      <c r="E2114" t="s">
        <v>5018</v>
      </c>
      <c r="F2114" t="s">
        <v>5020</v>
      </c>
      <c r="G2114">
        <v>24.99</v>
      </c>
      <c r="H2114">
        <v>5</v>
      </c>
      <c r="I2114">
        <v>5.0999999999999996</v>
      </c>
      <c r="J2114">
        <v>20.76</v>
      </c>
      <c r="K2114">
        <v>47.5</v>
      </c>
      <c r="L2114" t="s">
        <v>5026</v>
      </c>
      <c r="M2114">
        <v>2</v>
      </c>
      <c r="N2114">
        <v>4</v>
      </c>
      <c r="O2114">
        <v>0</v>
      </c>
    </row>
    <row r="2115" spans="1:15" x14ac:dyDescent="0.3">
      <c r="A2115" t="s">
        <v>2128</v>
      </c>
      <c r="B2115">
        <v>5</v>
      </c>
      <c r="C2115">
        <v>27</v>
      </c>
      <c r="D2115" t="s">
        <v>5015</v>
      </c>
      <c r="E2115" t="s">
        <v>5019</v>
      </c>
      <c r="F2115" t="s">
        <v>5020</v>
      </c>
      <c r="G2115">
        <v>6.99</v>
      </c>
      <c r="H2115">
        <v>4</v>
      </c>
      <c r="I2115">
        <v>7.7</v>
      </c>
      <c r="J2115">
        <v>6.71</v>
      </c>
      <c r="K2115">
        <v>51.7</v>
      </c>
      <c r="L2115" t="s">
        <v>5028</v>
      </c>
      <c r="M2115">
        <v>3</v>
      </c>
      <c r="N2115">
        <v>3</v>
      </c>
      <c r="O2115">
        <v>0</v>
      </c>
    </row>
    <row r="2116" spans="1:15" x14ac:dyDescent="0.3">
      <c r="A2116" t="s">
        <v>2129</v>
      </c>
      <c r="B2116">
        <v>5</v>
      </c>
      <c r="C2116">
        <v>51</v>
      </c>
      <c r="D2116" t="s">
        <v>5016</v>
      </c>
      <c r="E2116" t="s">
        <v>5018</v>
      </c>
      <c r="F2116" t="s">
        <v>5022</v>
      </c>
      <c r="G2116">
        <v>15.13</v>
      </c>
      <c r="H2116">
        <v>2</v>
      </c>
      <c r="I2116">
        <v>6.3</v>
      </c>
      <c r="J2116">
        <v>20.010000000000002</v>
      </c>
      <c r="K2116">
        <v>23</v>
      </c>
      <c r="L2116" t="s">
        <v>5029</v>
      </c>
      <c r="M2116">
        <v>8</v>
      </c>
      <c r="N2116">
        <v>4</v>
      </c>
      <c r="O2116">
        <v>0</v>
      </c>
    </row>
    <row r="2117" spans="1:15" x14ac:dyDescent="0.3">
      <c r="A2117" t="s">
        <v>2130</v>
      </c>
      <c r="B2117">
        <v>12</v>
      </c>
      <c r="C2117">
        <v>53</v>
      </c>
      <c r="D2117" t="s">
        <v>5015</v>
      </c>
      <c r="E2117" t="s">
        <v>5018</v>
      </c>
      <c r="F2117" t="s">
        <v>5024</v>
      </c>
      <c r="G2117">
        <v>21.99</v>
      </c>
      <c r="H2117">
        <v>3</v>
      </c>
      <c r="I2117">
        <v>9.6999999999999993</v>
      </c>
      <c r="J2117">
        <v>6.27</v>
      </c>
      <c r="K2117">
        <v>65.7</v>
      </c>
      <c r="L2117" t="s">
        <v>5026</v>
      </c>
      <c r="M2117">
        <v>8</v>
      </c>
      <c r="N2117">
        <v>3</v>
      </c>
      <c r="O2117">
        <v>0</v>
      </c>
    </row>
    <row r="2118" spans="1:15" x14ac:dyDescent="0.3">
      <c r="A2118" t="s">
        <v>2131</v>
      </c>
      <c r="B2118">
        <v>5</v>
      </c>
      <c r="C2118">
        <v>42</v>
      </c>
      <c r="D2118" t="s">
        <v>5016</v>
      </c>
      <c r="E2118" t="s">
        <v>5018</v>
      </c>
      <c r="F2118" t="s">
        <v>5022</v>
      </c>
      <c r="G2118">
        <v>11.01</v>
      </c>
      <c r="H2118">
        <v>4</v>
      </c>
      <c r="I2118">
        <v>4</v>
      </c>
      <c r="J2118">
        <v>12.17</v>
      </c>
      <c r="K2118">
        <v>30.1</v>
      </c>
      <c r="L2118" t="s">
        <v>5025</v>
      </c>
      <c r="M2118">
        <v>1</v>
      </c>
      <c r="N2118">
        <v>0</v>
      </c>
      <c r="O2118">
        <v>0</v>
      </c>
    </row>
    <row r="2119" spans="1:15" x14ac:dyDescent="0.3">
      <c r="A2119" t="s">
        <v>2132</v>
      </c>
      <c r="B2119">
        <v>1</v>
      </c>
      <c r="C2119">
        <v>23</v>
      </c>
      <c r="D2119" t="s">
        <v>5015</v>
      </c>
      <c r="E2119" t="s">
        <v>5018</v>
      </c>
      <c r="F2119" t="s">
        <v>5024</v>
      </c>
      <c r="G2119">
        <v>10.210000000000001</v>
      </c>
      <c r="H2119">
        <v>5</v>
      </c>
      <c r="I2119">
        <v>5.9</v>
      </c>
      <c r="J2119">
        <v>19.02</v>
      </c>
      <c r="K2119">
        <v>21</v>
      </c>
      <c r="L2119" t="s">
        <v>5025</v>
      </c>
      <c r="M2119">
        <v>2</v>
      </c>
      <c r="N2119">
        <v>4</v>
      </c>
      <c r="O2119">
        <v>0</v>
      </c>
    </row>
    <row r="2120" spans="1:15" x14ac:dyDescent="0.3">
      <c r="A2120" t="s">
        <v>2133</v>
      </c>
      <c r="B2120">
        <v>1</v>
      </c>
      <c r="C2120">
        <v>41</v>
      </c>
      <c r="D2120" t="s">
        <v>5015</v>
      </c>
      <c r="E2120" t="s">
        <v>5019</v>
      </c>
      <c r="F2120" t="s">
        <v>5023</v>
      </c>
      <c r="G2120">
        <v>22.82</v>
      </c>
      <c r="H2120">
        <v>4</v>
      </c>
      <c r="I2120">
        <v>8.3000000000000007</v>
      </c>
      <c r="J2120">
        <v>8.9600000000000009</v>
      </c>
      <c r="K2120">
        <v>73.8</v>
      </c>
      <c r="L2120" t="s">
        <v>5027</v>
      </c>
      <c r="M2120">
        <v>4</v>
      </c>
      <c r="N2120">
        <v>2</v>
      </c>
      <c r="O2120">
        <v>0</v>
      </c>
    </row>
    <row r="2121" spans="1:15" x14ac:dyDescent="0.3">
      <c r="A2121" t="s">
        <v>2134</v>
      </c>
      <c r="B2121">
        <v>8</v>
      </c>
      <c r="C2121">
        <v>35</v>
      </c>
      <c r="D2121" t="s">
        <v>5016</v>
      </c>
      <c r="E2121" t="s">
        <v>5017</v>
      </c>
      <c r="F2121" t="s">
        <v>5024</v>
      </c>
      <c r="G2121">
        <v>11.1</v>
      </c>
      <c r="H2121">
        <v>4</v>
      </c>
      <c r="I2121">
        <v>4.4000000000000004</v>
      </c>
      <c r="J2121">
        <v>9.91</v>
      </c>
      <c r="K2121">
        <v>12</v>
      </c>
      <c r="L2121" t="s">
        <v>5026</v>
      </c>
      <c r="M2121">
        <v>11</v>
      </c>
      <c r="N2121">
        <v>0</v>
      </c>
      <c r="O2121">
        <v>1</v>
      </c>
    </row>
    <row r="2122" spans="1:15" x14ac:dyDescent="0.3">
      <c r="A2122" t="s">
        <v>2135</v>
      </c>
      <c r="B2122">
        <v>12</v>
      </c>
      <c r="C2122">
        <v>40</v>
      </c>
      <c r="D2122" t="s">
        <v>5016</v>
      </c>
      <c r="E2122" t="s">
        <v>5019</v>
      </c>
      <c r="F2122" t="s">
        <v>5022</v>
      </c>
      <c r="G2122">
        <v>18.03</v>
      </c>
      <c r="H2122">
        <v>1</v>
      </c>
      <c r="I2122">
        <v>5.2</v>
      </c>
      <c r="J2122">
        <v>17.68</v>
      </c>
      <c r="K2122">
        <v>43.2</v>
      </c>
      <c r="L2122" t="s">
        <v>5029</v>
      </c>
      <c r="M2122">
        <v>6</v>
      </c>
      <c r="N2122">
        <v>4</v>
      </c>
      <c r="O2122">
        <v>0</v>
      </c>
    </row>
    <row r="2123" spans="1:15" x14ac:dyDescent="0.3">
      <c r="A2123" t="s">
        <v>2136</v>
      </c>
      <c r="B2123">
        <v>8</v>
      </c>
      <c r="C2123">
        <v>23</v>
      </c>
      <c r="D2123" t="s">
        <v>5016</v>
      </c>
      <c r="E2123" t="s">
        <v>5019</v>
      </c>
      <c r="F2123" t="s">
        <v>5020</v>
      </c>
      <c r="G2123">
        <v>19.809999999999999</v>
      </c>
      <c r="H2123">
        <v>5</v>
      </c>
      <c r="I2123">
        <v>7.2</v>
      </c>
      <c r="J2123">
        <v>7.13</v>
      </c>
      <c r="K2123">
        <v>23</v>
      </c>
      <c r="L2123" t="s">
        <v>5029</v>
      </c>
      <c r="M2123">
        <v>3</v>
      </c>
      <c r="N2123">
        <v>2</v>
      </c>
      <c r="O2123">
        <v>1</v>
      </c>
    </row>
    <row r="2124" spans="1:15" x14ac:dyDescent="0.3">
      <c r="A2124" t="s">
        <v>2137</v>
      </c>
      <c r="B2124">
        <v>12</v>
      </c>
      <c r="C2124">
        <v>46</v>
      </c>
      <c r="D2124" t="s">
        <v>5016</v>
      </c>
      <c r="E2124" t="s">
        <v>5018</v>
      </c>
      <c r="F2124" t="s">
        <v>5024</v>
      </c>
      <c r="G2124">
        <v>20.77</v>
      </c>
      <c r="H2124">
        <v>3</v>
      </c>
      <c r="I2124">
        <v>8.6999999999999993</v>
      </c>
      <c r="J2124">
        <v>23.94</v>
      </c>
      <c r="K2124">
        <v>89.5</v>
      </c>
      <c r="L2124" t="s">
        <v>5029</v>
      </c>
      <c r="M2124">
        <v>7</v>
      </c>
      <c r="N2124">
        <v>2</v>
      </c>
      <c r="O2124">
        <v>0</v>
      </c>
    </row>
    <row r="2125" spans="1:15" x14ac:dyDescent="0.3">
      <c r="A2125" t="s">
        <v>2138</v>
      </c>
      <c r="B2125">
        <v>6</v>
      </c>
      <c r="C2125">
        <v>42</v>
      </c>
      <c r="D2125" t="s">
        <v>5016</v>
      </c>
      <c r="E2125" t="s">
        <v>5019</v>
      </c>
      <c r="F2125" t="s">
        <v>5022</v>
      </c>
      <c r="G2125">
        <v>24.9</v>
      </c>
      <c r="H2125">
        <v>5</v>
      </c>
      <c r="I2125">
        <v>4.7</v>
      </c>
      <c r="J2125">
        <v>7.15</v>
      </c>
      <c r="K2125">
        <v>84.2</v>
      </c>
      <c r="L2125" t="s">
        <v>5029</v>
      </c>
      <c r="M2125">
        <v>3</v>
      </c>
      <c r="N2125">
        <v>3</v>
      </c>
      <c r="O2125">
        <v>0</v>
      </c>
    </row>
    <row r="2126" spans="1:15" x14ac:dyDescent="0.3">
      <c r="A2126" t="s">
        <v>2139</v>
      </c>
      <c r="B2126">
        <v>12</v>
      </c>
      <c r="C2126">
        <v>34</v>
      </c>
      <c r="D2126" t="s">
        <v>5015</v>
      </c>
      <c r="E2126" t="s">
        <v>5018</v>
      </c>
      <c r="F2126" t="s">
        <v>5023</v>
      </c>
      <c r="G2126">
        <v>21.06</v>
      </c>
      <c r="H2126">
        <v>1</v>
      </c>
      <c r="I2126">
        <v>5.8</v>
      </c>
      <c r="J2126">
        <v>19.5</v>
      </c>
      <c r="K2126">
        <v>15.4</v>
      </c>
      <c r="L2126" t="s">
        <v>5025</v>
      </c>
      <c r="M2126">
        <v>8</v>
      </c>
      <c r="N2126">
        <v>2</v>
      </c>
      <c r="O2126">
        <v>1</v>
      </c>
    </row>
    <row r="2127" spans="1:15" x14ac:dyDescent="0.3">
      <c r="A2127" t="s">
        <v>2140</v>
      </c>
      <c r="B2127">
        <v>11</v>
      </c>
      <c r="C2127">
        <v>63</v>
      </c>
      <c r="D2127" t="s">
        <v>5016</v>
      </c>
      <c r="E2127" t="s">
        <v>5019</v>
      </c>
      <c r="F2127" t="s">
        <v>5024</v>
      </c>
      <c r="G2127">
        <v>18.14</v>
      </c>
      <c r="H2127">
        <v>5</v>
      </c>
      <c r="I2127">
        <v>9.8000000000000007</v>
      </c>
      <c r="J2127">
        <v>20.66</v>
      </c>
      <c r="K2127">
        <v>59.5</v>
      </c>
      <c r="L2127" t="s">
        <v>5025</v>
      </c>
      <c r="M2127">
        <v>6</v>
      </c>
      <c r="N2127">
        <v>1</v>
      </c>
      <c r="O2127">
        <v>1</v>
      </c>
    </row>
    <row r="2128" spans="1:15" x14ac:dyDescent="0.3">
      <c r="A2128" t="s">
        <v>2141</v>
      </c>
      <c r="B2128">
        <v>4</v>
      </c>
      <c r="C2128">
        <v>41</v>
      </c>
      <c r="D2128" t="s">
        <v>5016</v>
      </c>
      <c r="E2128" t="s">
        <v>5019</v>
      </c>
      <c r="F2128" t="s">
        <v>5023</v>
      </c>
      <c r="G2128">
        <v>22.91</v>
      </c>
      <c r="H2128">
        <v>5</v>
      </c>
      <c r="I2128">
        <v>1.4</v>
      </c>
      <c r="J2128">
        <v>11.24</v>
      </c>
      <c r="K2128">
        <v>36.6</v>
      </c>
      <c r="L2128" t="s">
        <v>5026</v>
      </c>
      <c r="M2128">
        <v>8</v>
      </c>
      <c r="N2128">
        <v>4</v>
      </c>
      <c r="O2128">
        <v>0</v>
      </c>
    </row>
    <row r="2129" spans="1:15" x14ac:dyDescent="0.3">
      <c r="A2129" t="s">
        <v>2142</v>
      </c>
      <c r="B2129">
        <v>2</v>
      </c>
      <c r="C2129">
        <v>28</v>
      </c>
      <c r="D2129" t="s">
        <v>5015</v>
      </c>
      <c r="E2129" t="s">
        <v>5017</v>
      </c>
      <c r="F2129" t="s">
        <v>5023</v>
      </c>
      <c r="G2129">
        <v>23.11</v>
      </c>
      <c r="H2129">
        <v>3</v>
      </c>
      <c r="I2129">
        <v>5</v>
      </c>
      <c r="J2129">
        <v>6.44</v>
      </c>
      <c r="K2129">
        <v>27.3</v>
      </c>
      <c r="L2129" t="s">
        <v>5028</v>
      </c>
      <c r="M2129">
        <v>7</v>
      </c>
      <c r="N2129">
        <v>4</v>
      </c>
      <c r="O2129">
        <v>0</v>
      </c>
    </row>
    <row r="2130" spans="1:15" x14ac:dyDescent="0.3">
      <c r="A2130" t="s">
        <v>2143</v>
      </c>
      <c r="B2130">
        <v>2</v>
      </c>
      <c r="C2130">
        <v>43</v>
      </c>
      <c r="D2130" t="s">
        <v>5016</v>
      </c>
      <c r="E2130" t="s">
        <v>5019</v>
      </c>
      <c r="F2130" t="s">
        <v>5021</v>
      </c>
      <c r="G2130">
        <v>24.46</v>
      </c>
      <c r="H2130">
        <v>1</v>
      </c>
      <c r="I2130">
        <v>6.7</v>
      </c>
      <c r="J2130">
        <v>6.65</v>
      </c>
      <c r="K2130">
        <v>38</v>
      </c>
      <c r="L2130" t="s">
        <v>5029</v>
      </c>
      <c r="M2130">
        <v>5</v>
      </c>
      <c r="N2130">
        <v>3</v>
      </c>
      <c r="O2130">
        <v>0</v>
      </c>
    </row>
    <row r="2131" spans="1:15" x14ac:dyDescent="0.3">
      <c r="A2131" t="s">
        <v>2144</v>
      </c>
      <c r="B2131">
        <v>9</v>
      </c>
      <c r="C2131">
        <v>68</v>
      </c>
      <c r="D2131" t="s">
        <v>5015</v>
      </c>
      <c r="E2131" t="s">
        <v>5018</v>
      </c>
      <c r="F2131" t="s">
        <v>5024</v>
      </c>
      <c r="G2131">
        <v>20.53</v>
      </c>
      <c r="H2131">
        <v>5</v>
      </c>
      <c r="I2131">
        <v>1.1000000000000001</v>
      </c>
      <c r="J2131">
        <v>24.68</v>
      </c>
      <c r="K2131">
        <v>83.4</v>
      </c>
      <c r="L2131" t="s">
        <v>5025</v>
      </c>
      <c r="M2131">
        <v>5</v>
      </c>
      <c r="N2131">
        <v>2</v>
      </c>
      <c r="O2131">
        <v>0</v>
      </c>
    </row>
    <row r="2132" spans="1:15" x14ac:dyDescent="0.3">
      <c r="A2132" t="s">
        <v>2145</v>
      </c>
      <c r="B2132">
        <v>5</v>
      </c>
      <c r="C2132">
        <v>51</v>
      </c>
      <c r="D2132" t="s">
        <v>5016</v>
      </c>
      <c r="E2132" t="s">
        <v>5018</v>
      </c>
      <c r="F2132" t="s">
        <v>5022</v>
      </c>
      <c r="G2132">
        <v>8.9</v>
      </c>
      <c r="H2132">
        <v>5</v>
      </c>
      <c r="I2132">
        <v>6.4</v>
      </c>
      <c r="J2132">
        <v>18.96</v>
      </c>
      <c r="K2132">
        <v>15.2</v>
      </c>
      <c r="L2132" t="s">
        <v>5026</v>
      </c>
      <c r="M2132">
        <v>3</v>
      </c>
      <c r="N2132">
        <v>3</v>
      </c>
      <c r="O2132">
        <v>0</v>
      </c>
    </row>
    <row r="2133" spans="1:15" x14ac:dyDescent="0.3">
      <c r="A2133" t="s">
        <v>2146</v>
      </c>
      <c r="B2133">
        <v>4</v>
      </c>
      <c r="C2133">
        <v>45</v>
      </c>
      <c r="D2133" t="s">
        <v>5015</v>
      </c>
      <c r="E2133" t="s">
        <v>5018</v>
      </c>
      <c r="F2133" t="s">
        <v>5024</v>
      </c>
      <c r="G2133">
        <v>19.2</v>
      </c>
      <c r="H2133">
        <v>2</v>
      </c>
      <c r="I2133">
        <v>1.5</v>
      </c>
      <c r="J2133">
        <v>12.9</v>
      </c>
      <c r="K2133">
        <v>68.3</v>
      </c>
      <c r="L2133" t="s">
        <v>5029</v>
      </c>
      <c r="M2133">
        <v>4</v>
      </c>
      <c r="N2133">
        <v>1</v>
      </c>
      <c r="O2133">
        <v>0</v>
      </c>
    </row>
    <row r="2134" spans="1:15" x14ac:dyDescent="0.3">
      <c r="A2134" t="s">
        <v>2147</v>
      </c>
      <c r="B2134">
        <v>10</v>
      </c>
      <c r="C2134">
        <v>20</v>
      </c>
      <c r="D2134" t="s">
        <v>5016</v>
      </c>
      <c r="E2134" t="s">
        <v>5017</v>
      </c>
      <c r="F2134" t="s">
        <v>5024</v>
      </c>
      <c r="G2134">
        <v>6.5</v>
      </c>
      <c r="H2134">
        <v>5</v>
      </c>
      <c r="I2134">
        <v>8.6999999999999993</v>
      </c>
      <c r="J2134">
        <v>8.66</v>
      </c>
      <c r="K2134">
        <v>92.2</v>
      </c>
      <c r="L2134" t="s">
        <v>5028</v>
      </c>
      <c r="M2134">
        <v>8</v>
      </c>
      <c r="N2134">
        <v>3</v>
      </c>
      <c r="O2134">
        <v>0</v>
      </c>
    </row>
    <row r="2135" spans="1:15" x14ac:dyDescent="0.3">
      <c r="A2135" t="s">
        <v>2148</v>
      </c>
      <c r="B2135">
        <v>1</v>
      </c>
      <c r="C2135">
        <v>28</v>
      </c>
      <c r="D2135" t="s">
        <v>5015</v>
      </c>
      <c r="E2135" t="s">
        <v>5018</v>
      </c>
      <c r="F2135" t="s">
        <v>5023</v>
      </c>
      <c r="G2135">
        <v>11.36</v>
      </c>
      <c r="H2135">
        <v>3</v>
      </c>
      <c r="I2135">
        <v>8.3000000000000007</v>
      </c>
      <c r="J2135">
        <v>3.42</v>
      </c>
      <c r="K2135">
        <v>50.3</v>
      </c>
      <c r="L2135" t="s">
        <v>5029</v>
      </c>
      <c r="M2135">
        <v>5</v>
      </c>
      <c r="N2135">
        <v>4</v>
      </c>
      <c r="O2135">
        <v>0</v>
      </c>
    </row>
    <row r="2136" spans="1:15" x14ac:dyDescent="0.3">
      <c r="A2136" t="s">
        <v>2149</v>
      </c>
      <c r="B2136">
        <v>7</v>
      </c>
      <c r="C2136">
        <v>55</v>
      </c>
      <c r="D2136" t="s">
        <v>5015</v>
      </c>
      <c r="E2136" t="s">
        <v>5019</v>
      </c>
      <c r="F2136" t="s">
        <v>5023</v>
      </c>
      <c r="G2136">
        <v>7.32</v>
      </c>
      <c r="H2136">
        <v>2</v>
      </c>
      <c r="I2136">
        <v>1.3</v>
      </c>
      <c r="J2136">
        <v>17.75</v>
      </c>
      <c r="K2136">
        <v>91.1</v>
      </c>
      <c r="L2136" t="s">
        <v>5027</v>
      </c>
      <c r="M2136">
        <v>9</v>
      </c>
      <c r="N2136">
        <v>3</v>
      </c>
      <c r="O2136">
        <v>0</v>
      </c>
    </row>
    <row r="2137" spans="1:15" x14ac:dyDescent="0.3">
      <c r="A2137" t="s">
        <v>2150</v>
      </c>
      <c r="B2137">
        <v>3</v>
      </c>
      <c r="C2137">
        <v>31</v>
      </c>
      <c r="D2137" t="s">
        <v>5016</v>
      </c>
      <c r="E2137" t="s">
        <v>5017</v>
      </c>
      <c r="F2137" t="s">
        <v>5023</v>
      </c>
      <c r="G2137">
        <v>24</v>
      </c>
      <c r="H2137">
        <v>1</v>
      </c>
      <c r="I2137">
        <v>1.4</v>
      </c>
      <c r="J2137">
        <v>24.05</v>
      </c>
      <c r="K2137">
        <v>91.6</v>
      </c>
      <c r="L2137" t="s">
        <v>5029</v>
      </c>
      <c r="M2137">
        <v>3</v>
      </c>
      <c r="N2137">
        <v>4</v>
      </c>
      <c r="O2137">
        <v>1</v>
      </c>
    </row>
    <row r="2138" spans="1:15" x14ac:dyDescent="0.3">
      <c r="A2138" t="s">
        <v>2151</v>
      </c>
      <c r="B2138">
        <v>6</v>
      </c>
      <c r="C2138">
        <v>68</v>
      </c>
      <c r="D2138" t="s">
        <v>5016</v>
      </c>
      <c r="E2138" t="s">
        <v>5017</v>
      </c>
      <c r="F2138" t="s">
        <v>5023</v>
      </c>
      <c r="G2138">
        <v>11.78</v>
      </c>
      <c r="H2138">
        <v>4</v>
      </c>
      <c r="I2138">
        <v>7.8</v>
      </c>
      <c r="J2138">
        <v>5.35</v>
      </c>
      <c r="K2138">
        <v>64.900000000000006</v>
      </c>
      <c r="L2138" t="s">
        <v>5027</v>
      </c>
      <c r="M2138">
        <v>10</v>
      </c>
      <c r="N2138">
        <v>0</v>
      </c>
      <c r="O2138">
        <v>1</v>
      </c>
    </row>
    <row r="2139" spans="1:15" x14ac:dyDescent="0.3">
      <c r="A2139" t="s">
        <v>2152</v>
      </c>
      <c r="B2139">
        <v>5</v>
      </c>
      <c r="C2139">
        <v>43</v>
      </c>
      <c r="D2139" t="s">
        <v>5016</v>
      </c>
      <c r="E2139" t="s">
        <v>5017</v>
      </c>
      <c r="F2139" t="s">
        <v>5022</v>
      </c>
      <c r="G2139">
        <v>19.260000000000002</v>
      </c>
      <c r="H2139">
        <v>3</v>
      </c>
      <c r="I2139">
        <v>4.3</v>
      </c>
      <c r="J2139">
        <v>19.600000000000001</v>
      </c>
      <c r="K2139">
        <v>51</v>
      </c>
      <c r="L2139" t="s">
        <v>5028</v>
      </c>
      <c r="M2139">
        <v>3</v>
      </c>
      <c r="N2139">
        <v>1</v>
      </c>
      <c r="O2139">
        <v>0</v>
      </c>
    </row>
    <row r="2140" spans="1:15" x14ac:dyDescent="0.3">
      <c r="A2140" t="s">
        <v>2153</v>
      </c>
      <c r="B2140">
        <v>5</v>
      </c>
      <c r="C2140">
        <v>65</v>
      </c>
      <c r="D2140" t="s">
        <v>5015</v>
      </c>
      <c r="E2140" t="s">
        <v>5018</v>
      </c>
      <c r="F2140" t="s">
        <v>5020</v>
      </c>
      <c r="G2140">
        <v>16.43</v>
      </c>
      <c r="H2140">
        <v>1</v>
      </c>
      <c r="I2140">
        <v>6.2</v>
      </c>
      <c r="J2140">
        <v>6.37</v>
      </c>
      <c r="K2140">
        <v>76.400000000000006</v>
      </c>
      <c r="L2140" t="s">
        <v>5027</v>
      </c>
      <c r="M2140">
        <v>8</v>
      </c>
      <c r="N2140">
        <v>1</v>
      </c>
      <c r="O2140">
        <v>0</v>
      </c>
    </row>
    <row r="2141" spans="1:15" x14ac:dyDescent="0.3">
      <c r="A2141" t="s">
        <v>2154</v>
      </c>
      <c r="B2141">
        <v>11</v>
      </c>
      <c r="C2141">
        <v>38</v>
      </c>
      <c r="D2141" t="s">
        <v>5015</v>
      </c>
      <c r="E2141" t="s">
        <v>5019</v>
      </c>
      <c r="F2141" t="s">
        <v>5021</v>
      </c>
      <c r="G2141">
        <v>7.15</v>
      </c>
      <c r="H2141">
        <v>2</v>
      </c>
      <c r="I2141">
        <v>3.4</v>
      </c>
      <c r="J2141">
        <v>20.43</v>
      </c>
      <c r="K2141">
        <v>92.5</v>
      </c>
      <c r="L2141" t="s">
        <v>5028</v>
      </c>
      <c r="M2141">
        <v>8</v>
      </c>
      <c r="N2141">
        <v>4</v>
      </c>
      <c r="O2141">
        <v>0</v>
      </c>
    </row>
    <row r="2142" spans="1:15" x14ac:dyDescent="0.3">
      <c r="A2142" t="s">
        <v>2155</v>
      </c>
      <c r="B2142">
        <v>5</v>
      </c>
      <c r="C2142">
        <v>56</v>
      </c>
      <c r="D2142" t="s">
        <v>5015</v>
      </c>
      <c r="E2142" t="s">
        <v>5019</v>
      </c>
      <c r="F2142" t="s">
        <v>5023</v>
      </c>
      <c r="G2142">
        <v>16.23</v>
      </c>
      <c r="H2142">
        <v>4</v>
      </c>
      <c r="I2142">
        <v>2.6</v>
      </c>
      <c r="J2142">
        <v>11.15</v>
      </c>
      <c r="K2142">
        <v>71.2</v>
      </c>
      <c r="L2142" t="s">
        <v>5026</v>
      </c>
      <c r="M2142">
        <v>7</v>
      </c>
      <c r="N2142">
        <v>0</v>
      </c>
      <c r="O2142">
        <v>0</v>
      </c>
    </row>
    <row r="2143" spans="1:15" x14ac:dyDescent="0.3">
      <c r="A2143" t="s">
        <v>2156</v>
      </c>
      <c r="B2143">
        <v>1</v>
      </c>
      <c r="C2143">
        <v>47</v>
      </c>
      <c r="D2143" t="s">
        <v>5016</v>
      </c>
      <c r="E2143" t="s">
        <v>5019</v>
      </c>
      <c r="F2143" t="s">
        <v>5023</v>
      </c>
      <c r="G2143">
        <v>18.22</v>
      </c>
      <c r="H2143">
        <v>1</v>
      </c>
      <c r="I2143">
        <v>3.7</v>
      </c>
      <c r="J2143">
        <v>18.670000000000002</v>
      </c>
      <c r="K2143">
        <v>28.9</v>
      </c>
      <c r="L2143" t="s">
        <v>5027</v>
      </c>
      <c r="M2143">
        <v>6</v>
      </c>
      <c r="N2143">
        <v>2</v>
      </c>
      <c r="O2143">
        <v>0</v>
      </c>
    </row>
    <row r="2144" spans="1:15" x14ac:dyDescent="0.3">
      <c r="A2144" t="s">
        <v>2157</v>
      </c>
      <c r="B2144">
        <v>1</v>
      </c>
      <c r="C2144">
        <v>25</v>
      </c>
      <c r="D2144" t="s">
        <v>5016</v>
      </c>
      <c r="E2144" t="s">
        <v>5018</v>
      </c>
      <c r="F2144" t="s">
        <v>5021</v>
      </c>
      <c r="G2144">
        <v>22.63</v>
      </c>
      <c r="H2144">
        <v>3</v>
      </c>
      <c r="I2144">
        <v>3.2</v>
      </c>
      <c r="J2144">
        <v>23.38</v>
      </c>
      <c r="K2144">
        <v>83.8</v>
      </c>
      <c r="L2144" t="s">
        <v>5029</v>
      </c>
      <c r="M2144">
        <v>7</v>
      </c>
      <c r="N2144">
        <v>3</v>
      </c>
      <c r="O2144">
        <v>0</v>
      </c>
    </row>
    <row r="2145" spans="1:15" x14ac:dyDescent="0.3">
      <c r="A2145" t="s">
        <v>2158</v>
      </c>
      <c r="B2145">
        <v>3</v>
      </c>
      <c r="C2145">
        <v>68</v>
      </c>
      <c r="D2145" t="s">
        <v>5015</v>
      </c>
      <c r="E2145" t="s">
        <v>5017</v>
      </c>
      <c r="F2145" t="s">
        <v>5023</v>
      </c>
      <c r="G2145">
        <v>6.4</v>
      </c>
      <c r="H2145">
        <v>2</v>
      </c>
      <c r="I2145">
        <v>5</v>
      </c>
      <c r="J2145">
        <v>16.64</v>
      </c>
      <c r="K2145">
        <v>95.6</v>
      </c>
      <c r="L2145" t="s">
        <v>5029</v>
      </c>
      <c r="M2145">
        <v>7</v>
      </c>
      <c r="N2145">
        <v>2</v>
      </c>
      <c r="O2145">
        <v>0</v>
      </c>
    </row>
    <row r="2146" spans="1:15" x14ac:dyDescent="0.3">
      <c r="A2146" t="s">
        <v>2159</v>
      </c>
      <c r="B2146">
        <v>12</v>
      </c>
      <c r="C2146">
        <v>37</v>
      </c>
      <c r="D2146" t="s">
        <v>5016</v>
      </c>
      <c r="E2146" t="s">
        <v>5019</v>
      </c>
      <c r="F2146" t="s">
        <v>5020</v>
      </c>
      <c r="G2146">
        <v>10.91</v>
      </c>
      <c r="H2146">
        <v>3</v>
      </c>
      <c r="I2146">
        <v>7.7</v>
      </c>
      <c r="J2146">
        <v>23.26</v>
      </c>
      <c r="K2146">
        <v>46.9</v>
      </c>
      <c r="L2146" t="s">
        <v>5026</v>
      </c>
      <c r="M2146">
        <v>6</v>
      </c>
      <c r="N2146">
        <v>0</v>
      </c>
      <c r="O2146">
        <v>0</v>
      </c>
    </row>
    <row r="2147" spans="1:15" x14ac:dyDescent="0.3">
      <c r="A2147" t="s">
        <v>2160</v>
      </c>
      <c r="B2147">
        <v>10</v>
      </c>
      <c r="C2147">
        <v>65</v>
      </c>
      <c r="D2147" t="s">
        <v>5015</v>
      </c>
      <c r="E2147" t="s">
        <v>5019</v>
      </c>
      <c r="F2147" t="s">
        <v>5024</v>
      </c>
      <c r="G2147">
        <v>18.850000000000001</v>
      </c>
      <c r="H2147">
        <v>3</v>
      </c>
      <c r="I2147">
        <v>6</v>
      </c>
      <c r="J2147">
        <v>8.17</v>
      </c>
      <c r="K2147">
        <v>72.8</v>
      </c>
      <c r="L2147" t="s">
        <v>5025</v>
      </c>
      <c r="M2147">
        <v>9</v>
      </c>
      <c r="N2147">
        <v>1</v>
      </c>
      <c r="O2147">
        <v>0</v>
      </c>
    </row>
    <row r="2148" spans="1:15" x14ac:dyDescent="0.3">
      <c r="A2148" t="s">
        <v>2161</v>
      </c>
      <c r="B2148">
        <v>4</v>
      </c>
      <c r="C2148">
        <v>49</v>
      </c>
      <c r="D2148" t="s">
        <v>5016</v>
      </c>
      <c r="E2148" t="s">
        <v>5018</v>
      </c>
      <c r="F2148" t="s">
        <v>5021</v>
      </c>
      <c r="G2148">
        <v>5.69</v>
      </c>
      <c r="H2148">
        <v>2</v>
      </c>
      <c r="I2148">
        <v>6.5</v>
      </c>
      <c r="J2148">
        <v>24.52</v>
      </c>
      <c r="K2148">
        <v>56.6</v>
      </c>
      <c r="L2148" t="s">
        <v>5028</v>
      </c>
      <c r="M2148">
        <v>5</v>
      </c>
      <c r="N2148">
        <v>2</v>
      </c>
      <c r="O2148">
        <v>0</v>
      </c>
    </row>
    <row r="2149" spans="1:15" x14ac:dyDescent="0.3">
      <c r="A2149" t="s">
        <v>2162</v>
      </c>
      <c r="B2149">
        <v>5</v>
      </c>
      <c r="C2149">
        <v>39</v>
      </c>
      <c r="D2149" t="s">
        <v>5016</v>
      </c>
      <c r="E2149" t="s">
        <v>5018</v>
      </c>
      <c r="F2149" t="s">
        <v>5022</v>
      </c>
      <c r="G2149">
        <v>9.07</v>
      </c>
      <c r="H2149">
        <v>5</v>
      </c>
      <c r="I2149">
        <v>5.2</v>
      </c>
      <c r="J2149">
        <v>22.2</v>
      </c>
      <c r="K2149">
        <v>20.100000000000001</v>
      </c>
      <c r="L2149" t="s">
        <v>5025</v>
      </c>
      <c r="M2149">
        <v>5</v>
      </c>
      <c r="N2149">
        <v>0</v>
      </c>
      <c r="O2149">
        <v>0</v>
      </c>
    </row>
    <row r="2150" spans="1:15" x14ac:dyDescent="0.3">
      <c r="A2150" t="s">
        <v>2163</v>
      </c>
      <c r="B2150">
        <v>2</v>
      </c>
      <c r="C2150">
        <v>24</v>
      </c>
      <c r="D2150" t="s">
        <v>5015</v>
      </c>
      <c r="E2150" t="s">
        <v>5019</v>
      </c>
      <c r="F2150" t="s">
        <v>5021</v>
      </c>
      <c r="G2150">
        <v>9.3699999999999992</v>
      </c>
      <c r="H2150">
        <v>3</v>
      </c>
      <c r="I2150">
        <v>3.9</v>
      </c>
      <c r="J2150">
        <v>5.37</v>
      </c>
      <c r="K2150">
        <v>41.5</v>
      </c>
      <c r="L2150" t="s">
        <v>5025</v>
      </c>
      <c r="M2150">
        <v>6</v>
      </c>
      <c r="N2150">
        <v>1</v>
      </c>
      <c r="O2150">
        <v>1</v>
      </c>
    </row>
    <row r="2151" spans="1:15" x14ac:dyDescent="0.3">
      <c r="A2151" t="s">
        <v>2164</v>
      </c>
      <c r="B2151">
        <v>8</v>
      </c>
      <c r="C2151">
        <v>26</v>
      </c>
      <c r="D2151" t="s">
        <v>5016</v>
      </c>
      <c r="E2151" t="s">
        <v>5019</v>
      </c>
      <c r="F2151" t="s">
        <v>5020</v>
      </c>
      <c r="G2151">
        <v>18.39</v>
      </c>
      <c r="H2151">
        <v>2</v>
      </c>
      <c r="I2151">
        <v>2.2999999999999998</v>
      </c>
      <c r="J2151">
        <v>12.1</v>
      </c>
      <c r="K2151">
        <v>24.7</v>
      </c>
      <c r="L2151" t="s">
        <v>5026</v>
      </c>
      <c r="M2151">
        <v>10</v>
      </c>
      <c r="N2151">
        <v>2</v>
      </c>
      <c r="O2151">
        <v>0</v>
      </c>
    </row>
    <row r="2152" spans="1:15" x14ac:dyDescent="0.3">
      <c r="A2152" t="s">
        <v>2165</v>
      </c>
      <c r="B2152">
        <v>11</v>
      </c>
      <c r="C2152">
        <v>62</v>
      </c>
      <c r="D2152" t="s">
        <v>5016</v>
      </c>
      <c r="E2152" t="s">
        <v>5018</v>
      </c>
      <c r="F2152" t="s">
        <v>5022</v>
      </c>
      <c r="G2152">
        <v>10.72</v>
      </c>
      <c r="H2152">
        <v>3</v>
      </c>
      <c r="I2152">
        <v>4.2</v>
      </c>
      <c r="J2152">
        <v>23.39</v>
      </c>
      <c r="K2152">
        <v>70.599999999999994</v>
      </c>
      <c r="L2152" t="s">
        <v>5026</v>
      </c>
      <c r="M2152">
        <v>11</v>
      </c>
      <c r="N2152">
        <v>1</v>
      </c>
      <c r="O2152">
        <v>0</v>
      </c>
    </row>
    <row r="2153" spans="1:15" x14ac:dyDescent="0.3">
      <c r="A2153" t="s">
        <v>2166</v>
      </c>
      <c r="B2153">
        <v>11</v>
      </c>
      <c r="C2153">
        <v>18</v>
      </c>
      <c r="D2153" t="s">
        <v>5016</v>
      </c>
      <c r="E2153" t="s">
        <v>5019</v>
      </c>
      <c r="F2153" t="s">
        <v>5024</v>
      </c>
      <c r="G2153">
        <v>16.989999999999998</v>
      </c>
      <c r="H2153">
        <v>5</v>
      </c>
      <c r="I2153">
        <v>7</v>
      </c>
      <c r="J2153">
        <v>4.72</v>
      </c>
      <c r="K2153">
        <v>62.4</v>
      </c>
      <c r="L2153" t="s">
        <v>5027</v>
      </c>
      <c r="M2153">
        <v>4</v>
      </c>
      <c r="N2153">
        <v>4</v>
      </c>
      <c r="O2153">
        <v>0</v>
      </c>
    </row>
    <row r="2154" spans="1:15" x14ac:dyDescent="0.3">
      <c r="A2154" t="s">
        <v>2167</v>
      </c>
      <c r="B2154">
        <v>2</v>
      </c>
      <c r="C2154">
        <v>46</v>
      </c>
      <c r="D2154" t="s">
        <v>5016</v>
      </c>
      <c r="E2154" t="s">
        <v>5017</v>
      </c>
      <c r="F2154" t="s">
        <v>5023</v>
      </c>
      <c r="G2154">
        <v>24.31</v>
      </c>
      <c r="H2154">
        <v>2</v>
      </c>
      <c r="I2154">
        <v>7.6</v>
      </c>
      <c r="J2154">
        <v>12.98</v>
      </c>
      <c r="K2154">
        <v>13</v>
      </c>
      <c r="L2154" t="s">
        <v>5027</v>
      </c>
      <c r="M2154">
        <v>10</v>
      </c>
      <c r="N2154">
        <v>1</v>
      </c>
      <c r="O2154">
        <v>0</v>
      </c>
    </row>
    <row r="2155" spans="1:15" x14ac:dyDescent="0.3">
      <c r="A2155" t="s">
        <v>2168</v>
      </c>
      <c r="B2155">
        <v>9</v>
      </c>
      <c r="C2155">
        <v>25</v>
      </c>
      <c r="D2155" t="s">
        <v>5016</v>
      </c>
      <c r="E2155" t="s">
        <v>5018</v>
      </c>
      <c r="F2155" t="s">
        <v>5021</v>
      </c>
      <c r="G2155">
        <v>20.86</v>
      </c>
      <c r="H2155">
        <v>1</v>
      </c>
      <c r="I2155">
        <v>5.2</v>
      </c>
      <c r="J2155">
        <v>18.920000000000002</v>
      </c>
      <c r="K2155">
        <v>15.5</v>
      </c>
      <c r="L2155" t="s">
        <v>5027</v>
      </c>
      <c r="M2155">
        <v>10</v>
      </c>
      <c r="N2155">
        <v>1</v>
      </c>
      <c r="O2155">
        <v>0</v>
      </c>
    </row>
    <row r="2156" spans="1:15" x14ac:dyDescent="0.3">
      <c r="A2156" t="s">
        <v>2169</v>
      </c>
      <c r="B2156">
        <v>2</v>
      </c>
      <c r="C2156">
        <v>21</v>
      </c>
      <c r="D2156" t="s">
        <v>5015</v>
      </c>
      <c r="E2156" t="s">
        <v>5018</v>
      </c>
      <c r="F2156" t="s">
        <v>5022</v>
      </c>
      <c r="G2156">
        <v>11.66</v>
      </c>
      <c r="H2156">
        <v>1</v>
      </c>
      <c r="I2156">
        <v>6.8</v>
      </c>
      <c r="J2156">
        <v>3.74</v>
      </c>
      <c r="K2156">
        <v>33.5</v>
      </c>
      <c r="L2156" t="s">
        <v>5027</v>
      </c>
      <c r="M2156">
        <v>9</v>
      </c>
      <c r="N2156">
        <v>0</v>
      </c>
      <c r="O2156">
        <v>0</v>
      </c>
    </row>
    <row r="2157" spans="1:15" x14ac:dyDescent="0.3">
      <c r="A2157" t="s">
        <v>2170</v>
      </c>
      <c r="B2157">
        <v>9</v>
      </c>
      <c r="C2157">
        <v>52</v>
      </c>
      <c r="D2157" t="s">
        <v>5016</v>
      </c>
      <c r="E2157" t="s">
        <v>5017</v>
      </c>
      <c r="F2157" t="s">
        <v>5021</v>
      </c>
      <c r="G2157">
        <v>14.45</v>
      </c>
      <c r="H2157">
        <v>1</v>
      </c>
      <c r="I2157">
        <v>2.9</v>
      </c>
      <c r="J2157">
        <v>19.559999999999999</v>
      </c>
      <c r="K2157">
        <v>77</v>
      </c>
      <c r="L2157" t="s">
        <v>5027</v>
      </c>
      <c r="M2157">
        <v>2</v>
      </c>
      <c r="N2157">
        <v>0</v>
      </c>
      <c r="O2157">
        <v>0</v>
      </c>
    </row>
    <row r="2158" spans="1:15" x14ac:dyDescent="0.3">
      <c r="A2158" t="s">
        <v>2171</v>
      </c>
      <c r="B2158">
        <v>7</v>
      </c>
      <c r="C2158">
        <v>20</v>
      </c>
      <c r="D2158" t="s">
        <v>5015</v>
      </c>
      <c r="E2158" t="s">
        <v>5017</v>
      </c>
      <c r="F2158" t="s">
        <v>5024</v>
      </c>
      <c r="G2158">
        <v>9.01</v>
      </c>
      <c r="H2158">
        <v>4</v>
      </c>
      <c r="I2158">
        <v>8.6999999999999993</v>
      </c>
      <c r="J2158">
        <v>10.95</v>
      </c>
      <c r="K2158">
        <v>21.4</v>
      </c>
      <c r="L2158" t="s">
        <v>5029</v>
      </c>
      <c r="M2158">
        <v>11</v>
      </c>
      <c r="N2158">
        <v>3</v>
      </c>
      <c r="O2158">
        <v>0</v>
      </c>
    </row>
    <row r="2159" spans="1:15" x14ac:dyDescent="0.3">
      <c r="A2159" t="s">
        <v>2172</v>
      </c>
      <c r="B2159">
        <v>8</v>
      </c>
      <c r="C2159">
        <v>62</v>
      </c>
      <c r="D2159" t="s">
        <v>5016</v>
      </c>
      <c r="E2159" t="s">
        <v>5017</v>
      </c>
      <c r="F2159" t="s">
        <v>5021</v>
      </c>
      <c r="G2159">
        <v>5.31</v>
      </c>
      <c r="H2159">
        <v>3</v>
      </c>
      <c r="I2159">
        <v>8.8000000000000007</v>
      </c>
      <c r="J2159">
        <v>8.49</v>
      </c>
      <c r="K2159">
        <v>28.4</v>
      </c>
      <c r="L2159" t="s">
        <v>5026</v>
      </c>
      <c r="M2159">
        <v>3</v>
      </c>
      <c r="N2159">
        <v>0</v>
      </c>
      <c r="O2159">
        <v>1</v>
      </c>
    </row>
    <row r="2160" spans="1:15" x14ac:dyDescent="0.3">
      <c r="A2160" t="s">
        <v>2173</v>
      </c>
      <c r="B2160">
        <v>11</v>
      </c>
      <c r="C2160">
        <v>57</v>
      </c>
      <c r="D2160" t="s">
        <v>5016</v>
      </c>
      <c r="E2160" t="s">
        <v>5018</v>
      </c>
      <c r="F2160" t="s">
        <v>5022</v>
      </c>
      <c r="G2160">
        <v>10.79</v>
      </c>
      <c r="H2160">
        <v>3</v>
      </c>
      <c r="I2160">
        <v>3.9</v>
      </c>
      <c r="J2160">
        <v>15.67</v>
      </c>
      <c r="K2160">
        <v>91.7</v>
      </c>
      <c r="L2160" t="s">
        <v>5028</v>
      </c>
      <c r="M2160">
        <v>9</v>
      </c>
      <c r="N2160">
        <v>4</v>
      </c>
      <c r="O2160">
        <v>0</v>
      </c>
    </row>
    <row r="2161" spans="1:15" x14ac:dyDescent="0.3">
      <c r="A2161" t="s">
        <v>2174</v>
      </c>
      <c r="B2161">
        <v>2</v>
      </c>
      <c r="C2161">
        <v>24</v>
      </c>
      <c r="D2161" t="s">
        <v>5015</v>
      </c>
      <c r="E2161" t="s">
        <v>5019</v>
      </c>
      <c r="F2161" t="s">
        <v>5020</v>
      </c>
      <c r="G2161">
        <v>12.39</v>
      </c>
      <c r="H2161">
        <v>2</v>
      </c>
      <c r="I2161">
        <v>5.9</v>
      </c>
      <c r="J2161">
        <v>14.98</v>
      </c>
      <c r="K2161">
        <v>59.2</v>
      </c>
      <c r="L2161" t="s">
        <v>5028</v>
      </c>
      <c r="M2161">
        <v>1</v>
      </c>
      <c r="N2161">
        <v>4</v>
      </c>
      <c r="O2161">
        <v>0</v>
      </c>
    </row>
    <row r="2162" spans="1:15" x14ac:dyDescent="0.3">
      <c r="A2162" t="s">
        <v>2175</v>
      </c>
      <c r="B2162">
        <v>7</v>
      </c>
      <c r="C2162">
        <v>44</v>
      </c>
      <c r="D2162" t="s">
        <v>5015</v>
      </c>
      <c r="E2162" t="s">
        <v>5019</v>
      </c>
      <c r="F2162" t="s">
        <v>5022</v>
      </c>
      <c r="G2162">
        <v>16.29</v>
      </c>
      <c r="H2162">
        <v>4</v>
      </c>
      <c r="I2162">
        <v>6.5</v>
      </c>
      <c r="J2162">
        <v>22.23</v>
      </c>
      <c r="K2162">
        <v>65.900000000000006</v>
      </c>
      <c r="L2162" t="s">
        <v>5028</v>
      </c>
      <c r="M2162">
        <v>5</v>
      </c>
      <c r="N2162">
        <v>1</v>
      </c>
      <c r="O2162">
        <v>1</v>
      </c>
    </row>
    <row r="2163" spans="1:15" x14ac:dyDescent="0.3">
      <c r="A2163" t="s">
        <v>2176</v>
      </c>
      <c r="B2163">
        <v>12</v>
      </c>
      <c r="C2163">
        <v>18</v>
      </c>
      <c r="D2163" t="s">
        <v>5016</v>
      </c>
      <c r="E2163" t="s">
        <v>5018</v>
      </c>
      <c r="F2163" t="s">
        <v>5021</v>
      </c>
      <c r="G2163">
        <v>23.88</v>
      </c>
      <c r="H2163">
        <v>3</v>
      </c>
      <c r="I2163">
        <v>5.3</v>
      </c>
      <c r="J2163">
        <v>17.87</v>
      </c>
      <c r="K2163">
        <v>51</v>
      </c>
      <c r="L2163" t="s">
        <v>5028</v>
      </c>
      <c r="M2163">
        <v>3</v>
      </c>
      <c r="N2163">
        <v>0</v>
      </c>
      <c r="O2163">
        <v>0</v>
      </c>
    </row>
    <row r="2164" spans="1:15" x14ac:dyDescent="0.3">
      <c r="A2164" t="s">
        <v>2177</v>
      </c>
      <c r="B2164">
        <v>6</v>
      </c>
      <c r="C2164">
        <v>44</v>
      </c>
      <c r="D2164" t="s">
        <v>5016</v>
      </c>
      <c r="E2164" t="s">
        <v>5018</v>
      </c>
      <c r="F2164" t="s">
        <v>5024</v>
      </c>
      <c r="G2164">
        <v>23.96</v>
      </c>
      <c r="H2164">
        <v>2</v>
      </c>
      <c r="I2164">
        <v>9.1999999999999993</v>
      </c>
      <c r="J2164">
        <v>12.28</v>
      </c>
      <c r="K2164">
        <v>37</v>
      </c>
      <c r="L2164" t="s">
        <v>5028</v>
      </c>
      <c r="M2164">
        <v>3</v>
      </c>
      <c r="N2164">
        <v>3</v>
      </c>
      <c r="O2164">
        <v>1</v>
      </c>
    </row>
    <row r="2165" spans="1:15" x14ac:dyDescent="0.3">
      <c r="A2165" t="s">
        <v>2178</v>
      </c>
      <c r="B2165">
        <v>4</v>
      </c>
      <c r="C2165">
        <v>33</v>
      </c>
      <c r="D2165" t="s">
        <v>5015</v>
      </c>
      <c r="E2165" t="s">
        <v>5019</v>
      </c>
      <c r="F2165" t="s">
        <v>5023</v>
      </c>
      <c r="G2165">
        <v>6.4</v>
      </c>
      <c r="H2165">
        <v>5</v>
      </c>
      <c r="I2165">
        <v>7.7</v>
      </c>
      <c r="J2165">
        <v>17.3</v>
      </c>
      <c r="K2165">
        <v>32.4</v>
      </c>
      <c r="L2165" t="s">
        <v>5029</v>
      </c>
      <c r="M2165">
        <v>1</v>
      </c>
      <c r="N2165">
        <v>0</v>
      </c>
      <c r="O2165">
        <v>0</v>
      </c>
    </row>
    <row r="2166" spans="1:15" x14ac:dyDescent="0.3">
      <c r="A2166" t="s">
        <v>2179</v>
      </c>
      <c r="B2166">
        <v>7</v>
      </c>
      <c r="C2166">
        <v>55</v>
      </c>
      <c r="D2166" t="s">
        <v>5015</v>
      </c>
      <c r="E2166" t="s">
        <v>5017</v>
      </c>
      <c r="F2166" t="s">
        <v>5023</v>
      </c>
      <c r="G2166">
        <v>17.29</v>
      </c>
      <c r="H2166">
        <v>3</v>
      </c>
      <c r="I2166">
        <v>7.1</v>
      </c>
      <c r="J2166">
        <v>19.5</v>
      </c>
      <c r="K2166">
        <v>63</v>
      </c>
      <c r="L2166" t="s">
        <v>5026</v>
      </c>
      <c r="M2166">
        <v>8</v>
      </c>
      <c r="N2166">
        <v>3</v>
      </c>
      <c r="O2166">
        <v>0</v>
      </c>
    </row>
    <row r="2167" spans="1:15" x14ac:dyDescent="0.3">
      <c r="A2167" t="s">
        <v>2180</v>
      </c>
      <c r="B2167">
        <v>4</v>
      </c>
      <c r="C2167">
        <v>24</v>
      </c>
      <c r="D2167" t="s">
        <v>5015</v>
      </c>
      <c r="E2167" t="s">
        <v>5019</v>
      </c>
      <c r="F2167" t="s">
        <v>5024</v>
      </c>
      <c r="G2167">
        <v>5.85</v>
      </c>
      <c r="H2167">
        <v>3</v>
      </c>
      <c r="I2167">
        <v>5.7</v>
      </c>
      <c r="J2167">
        <v>23.62</v>
      </c>
      <c r="K2167">
        <v>52.4</v>
      </c>
      <c r="L2167" t="s">
        <v>5027</v>
      </c>
      <c r="M2167">
        <v>3</v>
      </c>
      <c r="N2167">
        <v>1</v>
      </c>
      <c r="O2167">
        <v>0</v>
      </c>
    </row>
    <row r="2168" spans="1:15" x14ac:dyDescent="0.3">
      <c r="A2168" t="s">
        <v>2181</v>
      </c>
      <c r="B2168">
        <v>2</v>
      </c>
      <c r="C2168">
        <v>61</v>
      </c>
      <c r="D2168" t="s">
        <v>5015</v>
      </c>
      <c r="E2168" t="s">
        <v>5019</v>
      </c>
      <c r="F2168" t="s">
        <v>5021</v>
      </c>
      <c r="G2168">
        <v>17.96</v>
      </c>
      <c r="H2168">
        <v>5</v>
      </c>
      <c r="I2168">
        <v>1.8</v>
      </c>
      <c r="J2168">
        <v>18.489999999999998</v>
      </c>
      <c r="K2168">
        <v>46.3</v>
      </c>
      <c r="L2168" t="s">
        <v>5027</v>
      </c>
      <c r="M2168">
        <v>4</v>
      </c>
      <c r="N2168">
        <v>4</v>
      </c>
      <c r="O2168">
        <v>0</v>
      </c>
    </row>
    <row r="2169" spans="1:15" x14ac:dyDescent="0.3">
      <c r="A2169" t="s">
        <v>2182</v>
      </c>
      <c r="B2169">
        <v>10</v>
      </c>
      <c r="C2169">
        <v>40</v>
      </c>
      <c r="D2169" t="s">
        <v>5016</v>
      </c>
      <c r="E2169" t="s">
        <v>5017</v>
      </c>
      <c r="F2169" t="s">
        <v>5024</v>
      </c>
      <c r="G2169">
        <v>7.35</v>
      </c>
      <c r="H2169">
        <v>5</v>
      </c>
      <c r="I2169">
        <v>2</v>
      </c>
      <c r="J2169">
        <v>14.97</v>
      </c>
      <c r="K2169">
        <v>72.5</v>
      </c>
      <c r="L2169" t="s">
        <v>5027</v>
      </c>
      <c r="M2169">
        <v>5</v>
      </c>
      <c r="N2169">
        <v>0</v>
      </c>
      <c r="O2169">
        <v>0</v>
      </c>
    </row>
    <row r="2170" spans="1:15" x14ac:dyDescent="0.3">
      <c r="A2170" t="s">
        <v>2183</v>
      </c>
      <c r="B2170">
        <v>12</v>
      </c>
      <c r="C2170">
        <v>58</v>
      </c>
      <c r="D2170" t="s">
        <v>5016</v>
      </c>
      <c r="E2170" t="s">
        <v>5019</v>
      </c>
      <c r="F2170" t="s">
        <v>5021</v>
      </c>
      <c r="G2170">
        <v>23.93</v>
      </c>
      <c r="H2170">
        <v>3</v>
      </c>
      <c r="I2170">
        <v>3.7</v>
      </c>
      <c r="J2170">
        <v>11.21</v>
      </c>
      <c r="K2170">
        <v>46.4</v>
      </c>
      <c r="L2170" t="s">
        <v>5026</v>
      </c>
      <c r="M2170">
        <v>5</v>
      </c>
      <c r="N2170">
        <v>0</v>
      </c>
      <c r="O2170">
        <v>0</v>
      </c>
    </row>
    <row r="2171" spans="1:15" x14ac:dyDescent="0.3">
      <c r="A2171" t="s">
        <v>2184</v>
      </c>
      <c r="B2171">
        <v>7</v>
      </c>
      <c r="C2171">
        <v>28</v>
      </c>
      <c r="D2171" t="s">
        <v>5016</v>
      </c>
      <c r="E2171" t="s">
        <v>5019</v>
      </c>
      <c r="F2171" t="s">
        <v>5022</v>
      </c>
      <c r="G2171">
        <v>22.29</v>
      </c>
      <c r="H2171">
        <v>5</v>
      </c>
      <c r="I2171">
        <v>2.9</v>
      </c>
      <c r="J2171">
        <v>22.61</v>
      </c>
      <c r="K2171">
        <v>13.3</v>
      </c>
      <c r="L2171" t="s">
        <v>5026</v>
      </c>
      <c r="M2171">
        <v>2</v>
      </c>
      <c r="N2171">
        <v>4</v>
      </c>
      <c r="O2171">
        <v>0</v>
      </c>
    </row>
    <row r="2172" spans="1:15" x14ac:dyDescent="0.3">
      <c r="A2172" t="s">
        <v>2185</v>
      </c>
      <c r="B2172">
        <v>8</v>
      </c>
      <c r="C2172">
        <v>59</v>
      </c>
      <c r="D2172" t="s">
        <v>5016</v>
      </c>
      <c r="E2172" t="s">
        <v>5017</v>
      </c>
      <c r="F2172" t="s">
        <v>5020</v>
      </c>
      <c r="G2172">
        <v>5.45</v>
      </c>
      <c r="H2172">
        <v>2</v>
      </c>
      <c r="I2172">
        <v>9.6</v>
      </c>
      <c r="J2172">
        <v>20.440000000000001</v>
      </c>
      <c r="K2172">
        <v>85.6</v>
      </c>
      <c r="L2172" t="s">
        <v>5029</v>
      </c>
      <c r="M2172">
        <v>7</v>
      </c>
      <c r="N2172">
        <v>4</v>
      </c>
      <c r="O2172">
        <v>1</v>
      </c>
    </row>
    <row r="2173" spans="1:15" x14ac:dyDescent="0.3">
      <c r="A2173" t="s">
        <v>2186</v>
      </c>
      <c r="B2173">
        <v>2</v>
      </c>
      <c r="C2173">
        <v>50</v>
      </c>
      <c r="D2173" t="s">
        <v>5016</v>
      </c>
      <c r="E2173" t="s">
        <v>5017</v>
      </c>
      <c r="F2173" t="s">
        <v>5021</v>
      </c>
      <c r="G2173">
        <v>20.64</v>
      </c>
      <c r="H2173">
        <v>3</v>
      </c>
      <c r="I2173">
        <v>4.7</v>
      </c>
      <c r="J2173">
        <v>4.7</v>
      </c>
      <c r="K2173">
        <v>38.700000000000003</v>
      </c>
      <c r="L2173" t="s">
        <v>5029</v>
      </c>
      <c r="M2173">
        <v>6</v>
      </c>
      <c r="N2173">
        <v>2</v>
      </c>
      <c r="O2173">
        <v>0</v>
      </c>
    </row>
    <row r="2174" spans="1:15" x14ac:dyDescent="0.3">
      <c r="A2174" t="s">
        <v>2187</v>
      </c>
      <c r="B2174">
        <v>5</v>
      </c>
      <c r="C2174">
        <v>67</v>
      </c>
      <c r="D2174" t="s">
        <v>5015</v>
      </c>
      <c r="E2174" t="s">
        <v>5017</v>
      </c>
      <c r="F2174" t="s">
        <v>5023</v>
      </c>
      <c r="G2174">
        <v>17.72</v>
      </c>
      <c r="H2174">
        <v>3</v>
      </c>
      <c r="I2174">
        <v>8.9</v>
      </c>
      <c r="J2174">
        <v>18.39</v>
      </c>
      <c r="K2174">
        <v>95.2</v>
      </c>
      <c r="L2174" t="s">
        <v>5027</v>
      </c>
      <c r="M2174">
        <v>11</v>
      </c>
      <c r="N2174">
        <v>2</v>
      </c>
      <c r="O2174">
        <v>0</v>
      </c>
    </row>
    <row r="2175" spans="1:15" x14ac:dyDescent="0.3">
      <c r="A2175" t="s">
        <v>2188</v>
      </c>
      <c r="B2175">
        <v>1</v>
      </c>
      <c r="C2175">
        <v>53</v>
      </c>
      <c r="D2175" t="s">
        <v>5015</v>
      </c>
      <c r="E2175" t="s">
        <v>5018</v>
      </c>
      <c r="F2175" t="s">
        <v>5023</v>
      </c>
      <c r="G2175">
        <v>14.91</v>
      </c>
      <c r="H2175">
        <v>1</v>
      </c>
      <c r="I2175">
        <v>8.4</v>
      </c>
      <c r="J2175">
        <v>14.85</v>
      </c>
      <c r="K2175">
        <v>89.2</v>
      </c>
      <c r="L2175" t="s">
        <v>5026</v>
      </c>
      <c r="M2175">
        <v>7</v>
      </c>
      <c r="N2175">
        <v>2</v>
      </c>
      <c r="O2175">
        <v>1</v>
      </c>
    </row>
    <row r="2176" spans="1:15" x14ac:dyDescent="0.3">
      <c r="A2176" t="s">
        <v>2189</v>
      </c>
      <c r="B2176">
        <v>7</v>
      </c>
      <c r="C2176">
        <v>54</v>
      </c>
      <c r="D2176" t="s">
        <v>5015</v>
      </c>
      <c r="E2176" t="s">
        <v>5018</v>
      </c>
      <c r="F2176" t="s">
        <v>5020</v>
      </c>
      <c r="G2176">
        <v>17.05</v>
      </c>
      <c r="H2176">
        <v>3</v>
      </c>
      <c r="I2176">
        <v>8.3000000000000007</v>
      </c>
      <c r="J2176">
        <v>5.28</v>
      </c>
      <c r="K2176">
        <v>31.1</v>
      </c>
      <c r="L2176" t="s">
        <v>5027</v>
      </c>
      <c r="M2176">
        <v>10</v>
      </c>
      <c r="N2176">
        <v>4</v>
      </c>
      <c r="O2176">
        <v>0</v>
      </c>
    </row>
    <row r="2177" spans="1:15" x14ac:dyDescent="0.3">
      <c r="A2177" t="s">
        <v>2190</v>
      </c>
      <c r="B2177">
        <v>8</v>
      </c>
      <c r="C2177">
        <v>58</v>
      </c>
      <c r="D2177" t="s">
        <v>5016</v>
      </c>
      <c r="E2177" t="s">
        <v>5018</v>
      </c>
      <c r="F2177" t="s">
        <v>5021</v>
      </c>
      <c r="G2177">
        <v>18.57</v>
      </c>
      <c r="H2177">
        <v>1</v>
      </c>
      <c r="I2177">
        <v>2.9</v>
      </c>
      <c r="J2177">
        <v>15.43</v>
      </c>
      <c r="K2177">
        <v>96.9</v>
      </c>
      <c r="L2177" t="s">
        <v>5029</v>
      </c>
      <c r="M2177">
        <v>10</v>
      </c>
      <c r="N2177">
        <v>2</v>
      </c>
      <c r="O2177">
        <v>0</v>
      </c>
    </row>
    <row r="2178" spans="1:15" x14ac:dyDescent="0.3">
      <c r="A2178" t="s">
        <v>2191</v>
      </c>
      <c r="B2178">
        <v>6</v>
      </c>
      <c r="C2178">
        <v>34</v>
      </c>
      <c r="D2178" t="s">
        <v>5015</v>
      </c>
      <c r="E2178" t="s">
        <v>5017</v>
      </c>
      <c r="F2178" t="s">
        <v>5020</v>
      </c>
      <c r="G2178">
        <v>22.69</v>
      </c>
      <c r="H2178">
        <v>5</v>
      </c>
      <c r="I2178">
        <v>5</v>
      </c>
      <c r="J2178">
        <v>7.24</v>
      </c>
      <c r="K2178">
        <v>86.8</v>
      </c>
      <c r="L2178" t="s">
        <v>5027</v>
      </c>
      <c r="M2178">
        <v>3</v>
      </c>
      <c r="N2178">
        <v>0</v>
      </c>
      <c r="O2178">
        <v>1</v>
      </c>
    </row>
    <row r="2179" spans="1:15" x14ac:dyDescent="0.3">
      <c r="A2179" t="s">
        <v>2192</v>
      </c>
      <c r="B2179">
        <v>5</v>
      </c>
      <c r="C2179">
        <v>52</v>
      </c>
      <c r="D2179" t="s">
        <v>5016</v>
      </c>
      <c r="E2179" t="s">
        <v>5019</v>
      </c>
      <c r="F2179" t="s">
        <v>5022</v>
      </c>
      <c r="G2179">
        <v>20.350000000000001</v>
      </c>
      <c r="H2179">
        <v>5</v>
      </c>
      <c r="I2179">
        <v>3.9</v>
      </c>
      <c r="J2179">
        <v>18.579999999999998</v>
      </c>
      <c r="K2179">
        <v>98.7</v>
      </c>
      <c r="L2179" t="s">
        <v>5029</v>
      </c>
      <c r="M2179">
        <v>8</v>
      </c>
      <c r="N2179">
        <v>4</v>
      </c>
      <c r="O2179">
        <v>0</v>
      </c>
    </row>
    <row r="2180" spans="1:15" x14ac:dyDescent="0.3">
      <c r="A2180" t="s">
        <v>2193</v>
      </c>
      <c r="B2180">
        <v>6</v>
      </c>
      <c r="C2180">
        <v>65</v>
      </c>
      <c r="D2180" t="s">
        <v>5016</v>
      </c>
      <c r="E2180" t="s">
        <v>5018</v>
      </c>
      <c r="F2180" t="s">
        <v>5020</v>
      </c>
      <c r="G2180">
        <v>16.510000000000002</v>
      </c>
      <c r="H2180">
        <v>2</v>
      </c>
      <c r="I2180">
        <v>9.6999999999999993</v>
      </c>
      <c r="J2180">
        <v>9.1300000000000008</v>
      </c>
      <c r="K2180">
        <v>71</v>
      </c>
      <c r="L2180" t="s">
        <v>5025</v>
      </c>
      <c r="M2180">
        <v>6</v>
      </c>
      <c r="N2180">
        <v>0</v>
      </c>
      <c r="O2180">
        <v>1</v>
      </c>
    </row>
    <row r="2181" spans="1:15" x14ac:dyDescent="0.3">
      <c r="A2181" t="s">
        <v>2194</v>
      </c>
      <c r="B2181">
        <v>2</v>
      </c>
      <c r="C2181">
        <v>22</v>
      </c>
      <c r="D2181" t="s">
        <v>5016</v>
      </c>
      <c r="E2181" t="s">
        <v>5017</v>
      </c>
      <c r="F2181" t="s">
        <v>5022</v>
      </c>
      <c r="G2181">
        <v>21.49</v>
      </c>
      <c r="H2181">
        <v>1</v>
      </c>
      <c r="I2181">
        <v>8.9</v>
      </c>
      <c r="J2181">
        <v>6.31</v>
      </c>
      <c r="K2181">
        <v>93.8</v>
      </c>
      <c r="L2181" t="s">
        <v>5028</v>
      </c>
      <c r="M2181">
        <v>7</v>
      </c>
      <c r="N2181">
        <v>4</v>
      </c>
      <c r="O2181">
        <v>0</v>
      </c>
    </row>
    <row r="2182" spans="1:15" x14ac:dyDescent="0.3">
      <c r="A2182" t="s">
        <v>2195</v>
      </c>
      <c r="B2182">
        <v>1</v>
      </c>
      <c r="C2182">
        <v>65</v>
      </c>
      <c r="D2182" t="s">
        <v>5015</v>
      </c>
      <c r="E2182" t="s">
        <v>5018</v>
      </c>
      <c r="F2182" t="s">
        <v>5023</v>
      </c>
      <c r="G2182">
        <v>24.74</v>
      </c>
      <c r="H2182">
        <v>3</v>
      </c>
      <c r="I2182">
        <v>3.2</v>
      </c>
      <c r="J2182">
        <v>4.8</v>
      </c>
      <c r="K2182">
        <v>72.099999999999994</v>
      </c>
      <c r="L2182" t="s">
        <v>5025</v>
      </c>
      <c r="M2182">
        <v>9</v>
      </c>
      <c r="N2182">
        <v>1</v>
      </c>
      <c r="O2182">
        <v>0</v>
      </c>
    </row>
    <row r="2183" spans="1:15" x14ac:dyDescent="0.3">
      <c r="A2183" t="s">
        <v>2196</v>
      </c>
      <c r="B2183">
        <v>7</v>
      </c>
      <c r="C2183">
        <v>49</v>
      </c>
      <c r="D2183" t="s">
        <v>5016</v>
      </c>
      <c r="E2183" t="s">
        <v>5018</v>
      </c>
      <c r="F2183" t="s">
        <v>5022</v>
      </c>
      <c r="G2183">
        <v>11</v>
      </c>
      <c r="H2183">
        <v>1</v>
      </c>
      <c r="I2183">
        <v>3.8</v>
      </c>
      <c r="J2183">
        <v>13.8</v>
      </c>
      <c r="K2183">
        <v>87</v>
      </c>
      <c r="L2183" t="s">
        <v>5027</v>
      </c>
      <c r="M2183">
        <v>8</v>
      </c>
      <c r="N2183">
        <v>0</v>
      </c>
      <c r="O2183">
        <v>1</v>
      </c>
    </row>
    <row r="2184" spans="1:15" x14ac:dyDescent="0.3">
      <c r="A2184" t="s">
        <v>2197</v>
      </c>
      <c r="B2184">
        <v>7</v>
      </c>
      <c r="C2184">
        <v>20</v>
      </c>
      <c r="D2184" t="s">
        <v>5016</v>
      </c>
      <c r="E2184" t="s">
        <v>5018</v>
      </c>
      <c r="F2184" t="s">
        <v>5021</v>
      </c>
      <c r="G2184">
        <v>7.37</v>
      </c>
      <c r="H2184">
        <v>5</v>
      </c>
      <c r="I2184">
        <v>5.8</v>
      </c>
      <c r="J2184">
        <v>7.39</v>
      </c>
      <c r="K2184">
        <v>64.900000000000006</v>
      </c>
      <c r="L2184" t="s">
        <v>5027</v>
      </c>
      <c r="M2184">
        <v>8</v>
      </c>
      <c r="N2184">
        <v>4</v>
      </c>
      <c r="O2184">
        <v>0</v>
      </c>
    </row>
    <row r="2185" spans="1:15" x14ac:dyDescent="0.3">
      <c r="A2185" t="s">
        <v>2198</v>
      </c>
      <c r="B2185">
        <v>10</v>
      </c>
      <c r="C2185">
        <v>69</v>
      </c>
      <c r="D2185" t="s">
        <v>5015</v>
      </c>
      <c r="E2185" t="s">
        <v>5017</v>
      </c>
      <c r="F2185" t="s">
        <v>5021</v>
      </c>
      <c r="G2185">
        <v>19.63</v>
      </c>
      <c r="H2185">
        <v>5</v>
      </c>
      <c r="I2185">
        <v>3.5</v>
      </c>
      <c r="J2185">
        <v>21.81</v>
      </c>
      <c r="K2185">
        <v>93.6</v>
      </c>
      <c r="L2185" t="s">
        <v>5026</v>
      </c>
      <c r="M2185">
        <v>3</v>
      </c>
      <c r="N2185">
        <v>3</v>
      </c>
      <c r="O2185">
        <v>0</v>
      </c>
    </row>
    <row r="2186" spans="1:15" x14ac:dyDescent="0.3">
      <c r="A2186" t="s">
        <v>2199</v>
      </c>
      <c r="B2186">
        <v>11</v>
      </c>
      <c r="C2186">
        <v>64</v>
      </c>
      <c r="D2186" t="s">
        <v>5016</v>
      </c>
      <c r="E2186" t="s">
        <v>5017</v>
      </c>
      <c r="F2186" t="s">
        <v>5021</v>
      </c>
      <c r="G2186">
        <v>24.57</v>
      </c>
      <c r="H2186">
        <v>2</v>
      </c>
      <c r="I2186">
        <v>8.4</v>
      </c>
      <c r="J2186">
        <v>3.07</v>
      </c>
      <c r="K2186">
        <v>56.6</v>
      </c>
      <c r="L2186" t="s">
        <v>5028</v>
      </c>
      <c r="M2186">
        <v>1</v>
      </c>
      <c r="N2186">
        <v>4</v>
      </c>
      <c r="O2186">
        <v>0</v>
      </c>
    </row>
    <row r="2187" spans="1:15" x14ac:dyDescent="0.3">
      <c r="A2187" t="s">
        <v>2200</v>
      </c>
      <c r="B2187">
        <v>10</v>
      </c>
      <c r="C2187">
        <v>52</v>
      </c>
      <c r="D2187" t="s">
        <v>5015</v>
      </c>
      <c r="E2187" t="s">
        <v>5019</v>
      </c>
      <c r="F2187" t="s">
        <v>5021</v>
      </c>
      <c r="G2187">
        <v>7.33</v>
      </c>
      <c r="H2187">
        <v>5</v>
      </c>
      <c r="I2187">
        <v>8.4</v>
      </c>
      <c r="J2187">
        <v>21.56</v>
      </c>
      <c r="K2187">
        <v>76.3</v>
      </c>
      <c r="L2187" t="s">
        <v>5029</v>
      </c>
      <c r="M2187">
        <v>1</v>
      </c>
      <c r="N2187">
        <v>1</v>
      </c>
      <c r="O2187">
        <v>0</v>
      </c>
    </row>
    <row r="2188" spans="1:15" x14ac:dyDescent="0.3">
      <c r="A2188" t="s">
        <v>2201</v>
      </c>
      <c r="B2188">
        <v>2</v>
      </c>
      <c r="C2188">
        <v>69</v>
      </c>
      <c r="D2188" t="s">
        <v>5016</v>
      </c>
      <c r="E2188" t="s">
        <v>5019</v>
      </c>
      <c r="F2188" t="s">
        <v>5024</v>
      </c>
      <c r="G2188">
        <v>13.63</v>
      </c>
      <c r="H2188">
        <v>1</v>
      </c>
      <c r="I2188">
        <v>7.5</v>
      </c>
      <c r="J2188">
        <v>14.46</v>
      </c>
      <c r="K2188">
        <v>92.5</v>
      </c>
      <c r="L2188" t="s">
        <v>5027</v>
      </c>
      <c r="M2188">
        <v>10</v>
      </c>
      <c r="N2188">
        <v>4</v>
      </c>
      <c r="O2188">
        <v>0</v>
      </c>
    </row>
    <row r="2189" spans="1:15" x14ac:dyDescent="0.3">
      <c r="A2189" t="s">
        <v>2202</v>
      </c>
      <c r="B2189">
        <v>2</v>
      </c>
      <c r="C2189">
        <v>31</v>
      </c>
      <c r="D2189" t="s">
        <v>5015</v>
      </c>
      <c r="E2189" t="s">
        <v>5018</v>
      </c>
      <c r="F2189" t="s">
        <v>5022</v>
      </c>
      <c r="G2189">
        <v>6.25</v>
      </c>
      <c r="H2189">
        <v>3</v>
      </c>
      <c r="I2189">
        <v>7.2</v>
      </c>
      <c r="J2189">
        <v>23.29</v>
      </c>
      <c r="K2189">
        <v>48</v>
      </c>
      <c r="L2189" t="s">
        <v>5029</v>
      </c>
      <c r="M2189">
        <v>2</v>
      </c>
      <c r="N2189">
        <v>1</v>
      </c>
      <c r="O2189">
        <v>0</v>
      </c>
    </row>
    <row r="2190" spans="1:15" x14ac:dyDescent="0.3">
      <c r="A2190" t="s">
        <v>2203</v>
      </c>
      <c r="B2190">
        <v>1</v>
      </c>
      <c r="C2190">
        <v>65</v>
      </c>
      <c r="D2190" t="s">
        <v>5016</v>
      </c>
      <c r="E2190" t="s">
        <v>5018</v>
      </c>
      <c r="F2190" t="s">
        <v>5021</v>
      </c>
      <c r="G2190">
        <v>20.53</v>
      </c>
      <c r="H2190">
        <v>3</v>
      </c>
      <c r="I2190">
        <v>5.9</v>
      </c>
      <c r="J2190">
        <v>7.5</v>
      </c>
      <c r="K2190">
        <v>12.4</v>
      </c>
      <c r="L2190" t="s">
        <v>5029</v>
      </c>
      <c r="M2190">
        <v>8</v>
      </c>
      <c r="N2190">
        <v>2</v>
      </c>
      <c r="O2190">
        <v>0</v>
      </c>
    </row>
    <row r="2191" spans="1:15" x14ac:dyDescent="0.3">
      <c r="A2191" t="s">
        <v>2204</v>
      </c>
      <c r="B2191">
        <v>10</v>
      </c>
      <c r="C2191">
        <v>48</v>
      </c>
      <c r="D2191" t="s">
        <v>5016</v>
      </c>
      <c r="E2191" t="s">
        <v>5018</v>
      </c>
      <c r="F2191" t="s">
        <v>5020</v>
      </c>
      <c r="G2191">
        <v>23.97</v>
      </c>
      <c r="H2191">
        <v>1</v>
      </c>
      <c r="I2191">
        <v>4.0999999999999996</v>
      </c>
      <c r="J2191">
        <v>5.25</v>
      </c>
      <c r="K2191">
        <v>20.2</v>
      </c>
      <c r="L2191" t="s">
        <v>5029</v>
      </c>
      <c r="M2191">
        <v>10</v>
      </c>
      <c r="N2191">
        <v>0</v>
      </c>
      <c r="O2191">
        <v>0</v>
      </c>
    </row>
    <row r="2192" spans="1:15" x14ac:dyDescent="0.3">
      <c r="A2192" t="s">
        <v>2205</v>
      </c>
      <c r="B2192">
        <v>8</v>
      </c>
      <c r="C2192">
        <v>48</v>
      </c>
      <c r="D2192" t="s">
        <v>5015</v>
      </c>
      <c r="E2192" t="s">
        <v>5019</v>
      </c>
      <c r="F2192" t="s">
        <v>5020</v>
      </c>
      <c r="G2192">
        <v>14.98</v>
      </c>
      <c r="H2192">
        <v>2</v>
      </c>
      <c r="I2192">
        <v>8.5</v>
      </c>
      <c r="J2192">
        <v>16.75</v>
      </c>
      <c r="K2192">
        <v>97.5</v>
      </c>
      <c r="L2192" t="s">
        <v>5025</v>
      </c>
      <c r="M2192">
        <v>6</v>
      </c>
      <c r="N2192">
        <v>1</v>
      </c>
      <c r="O2192">
        <v>0</v>
      </c>
    </row>
    <row r="2193" spans="1:15" x14ac:dyDescent="0.3">
      <c r="A2193" t="s">
        <v>2206</v>
      </c>
      <c r="B2193">
        <v>8</v>
      </c>
      <c r="C2193">
        <v>34</v>
      </c>
      <c r="D2193" t="s">
        <v>5016</v>
      </c>
      <c r="E2193" t="s">
        <v>5018</v>
      </c>
      <c r="F2193" t="s">
        <v>5024</v>
      </c>
      <c r="G2193">
        <v>13.19</v>
      </c>
      <c r="H2193">
        <v>3</v>
      </c>
      <c r="I2193">
        <v>8.6999999999999993</v>
      </c>
      <c r="J2193">
        <v>18.55</v>
      </c>
      <c r="K2193">
        <v>88.6</v>
      </c>
      <c r="L2193" t="s">
        <v>5029</v>
      </c>
      <c r="M2193">
        <v>6</v>
      </c>
      <c r="N2193">
        <v>3</v>
      </c>
      <c r="O2193">
        <v>0</v>
      </c>
    </row>
    <row r="2194" spans="1:15" x14ac:dyDescent="0.3">
      <c r="A2194" t="s">
        <v>2207</v>
      </c>
      <c r="B2194">
        <v>1</v>
      </c>
      <c r="C2194">
        <v>41</v>
      </c>
      <c r="D2194" t="s">
        <v>5015</v>
      </c>
      <c r="E2194" t="s">
        <v>5019</v>
      </c>
      <c r="F2194" t="s">
        <v>5022</v>
      </c>
      <c r="G2194">
        <v>23.15</v>
      </c>
      <c r="H2194">
        <v>1</v>
      </c>
      <c r="I2194">
        <v>1.4</v>
      </c>
      <c r="J2194">
        <v>11.2</v>
      </c>
      <c r="K2194">
        <v>53.5</v>
      </c>
      <c r="L2194" t="s">
        <v>5026</v>
      </c>
      <c r="M2194">
        <v>1</v>
      </c>
      <c r="N2194">
        <v>0</v>
      </c>
      <c r="O2194">
        <v>0</v>
      </c>
    </row>
    <row r="2195" spans="1:15" x14ac:dyDescent="0.3">
      <c r="A2195" t="s">
        <v>2208</v>
      </c>
      <c r="B2195">
        <v>12</v>
      </c>
      <c r="C2195">
        <v>69</v>
      </c>
      <c r="D2195" t="s">
        <v>5016</v>
      </c>
      <c r="E2195" t="s">
        <v>5018</v>
      </c>
      <c r="F2195" t="s">
        <v>5022</v>
      </c>
      <c r="G2195">
        <v>7.67</v>
      </c>
      <c r="H2195">
        <v>1</v>
      </c>
      <c r="I2195">
        <v>4.5999999999999996</v>
      </c>
      <c r="J2195">
        <v>3.3</v>
      </c>
      <c r="K2195">
        <v>96.5</v>
      </c>
      <c r="L2195" t="s">
        <v>5025</v>
      </c>
      <c r="M2195">
        <v>2</v>
      </c>
      <c r="N2195">
        <v>4</v>
      </c>
      <c r="O2195">
        <v>0</v>
      </c>
    </row>
    <row r="2196" spans="1:15" x14ac:dyDescent="0.3">
      <c r="A2196" t="s">
        <v>2209</v>
      </c>
      <c r="B2196">
        <v>11</v>
      </c>
      <c r="C2196">
        <v>40</v>
      </c>
      <c r="D2196" t="s">
        <v>5015</v>
      </c>
      <c r="E2196" t="s">
        <v>5018</v>
      </c>
      <c r="F2196" t="s">
        <v>5022</v>
      </c>
      <c r="G2196">
        <v>22.83</v>
      </c>
      <c r="H2196">
        <v>5</v>
      </c>
      <c r="I2196">
        <v>1.2</v>
      </c>
      <c r="J2196">
        <v>11.95</v>
      </c>
      <c r="K2196">
        <v>26.7</v>
      </c>
      <c r="L2196" t="s">
        <v>5025</v>
      </c>
      <c r="M2196">
        <v>5</v>
      </c>
      <c r="N2196">
        <v>4</v>
      </c>
      <c r="O2196">
        <v>0</v>
      </c>
    </row>
    <row r="2197" spans="1:15" x14ac:dyDescent="0.3">
      <c r="A2197" t="s">
        <v>2210</v>
      </c>
      <c r="B2197">
        <v>8</v>
      </c>
      <c r="C2197">
        <v>35</v>
      </c>
      <c r="D2197" t="s">
        <v>5016</v>
      </c>
      <c r="E2197" t="s">
        <v>5018</v>
      </c>
      <c r="F2197" t="s">
        <v>5024</v>
      </c>
      <c r="G2197">
        <v>12.84</v>
      </c>
      <c r="H2197">
        <v>5</v>
      </c>
      <c r="I2197">
        <v>8.6</v>
      </c>
      <c r="J2197">
        <v>8.14</v>
      </c>
      <c r="K2197">
        <v>20</v>
      </c>
      <c r="L2197" t="s">
        <v>5027</v>
      </c>
      <c r="M2197">
        <v>3</v>
      </c>
      <c r="N2197">
        <v>1</v>
      </c>
      <c r="O2197">
        <v>0</v>
      </c>
    </row>
    <row r="2198" spans="1:15" x14ac:dyDescent="0.3">
      <c r="A2198" t="s">
        <v>2211</v>
      </c>
      <c r="B2198">
        <v>9</v>
      </c>
      <c r="C2198">
        <v>67</v>
      </c>
      <c r="D2198" t="s">
        <v>5016</v>
      </c>
      <c r="E2198" t="s">
        <v>5019</v>
      </c>
      <c r="F2198" t="s">
        <v>5022</v>
      </c>
      <c r="G2198">
        <v>16.190000000000001</v>
      </c>
      <c r="H2198">
        <v>2</v>
      </c>
      <c r="I2198">
        <v>2.6</v>
      </c>
      <c r="J2198">
        <v>10.64</v>
      </c>
      <c r="K2198">
        <v>64.099999999999994</v>
      </c>
      <c r="L2198" t="s">
        <v>5028</v>
      </c>
      <c r="M2198">
        <v>2</v>
      </c>
      <c r="N2198">
        <v>3</v>
      </c>
      <c r="O2198">
        <v>0</v>
      </c>
    </row>
    <row r="2199" spans="1:15" x14ac:dyDescent="0.3">
      <c r="A2199" t="s">
        <v>2212</v>
      </c>
      <c r="B2199">
        <v>4</v>
      </c>
      <c r="C2199">
        <v>31</v>
      </c>
      <c r="D2199" t="s">
        <v>5016</v>
      </c>
      <c r="E2199" t="s">
        <v>5019</v>
      </c>
      <c r="F2199" t="s">
        <v>5022</v>
      </c>
      <c r="G2199">
        <v>15.57</v>
      </c>
      <c r="H2199">
        <v>2</v>
      </c>
      <c r="I2199">
        <v>7.1</v>
      </c>
      <c r="J2199">
        <v>14.15</v>
      </c>
      <c r="K2199">
        <v>44.4</v>
      </c>
      <c r="L2199" t="s">
        <v>5028</v>
      </c>
      <c r="M2199">
        <v>9</v>
      </c>
      <c r="N2199">
        <v>1</v>
      </c>
      <c r="O2199">
        <v>1</v>
      </c>
    </row>
    <row r="2200" spans="1:15" x14ac:dyDescent="0.3">
      <c r="A2200" t="s">
        <v>2213</v>
      </c>
      <c r="B2200">
        <v>1</v>
      </c>
      <c r="C2200">
        <v>67</v>
      </c>
      <c r="D2200" t="s">
        <v>5015</v>
      </c>
      <c r="E2200" t="s">
        <v>5017</v>
      </c>
      <c r="F2200" t="s">
        <v>5021</v>
      </c>
      <c r="G2200">
        <v>17.32</v>
      </c>
      <c r="H2200">
        <v>2</v>
      </c>
      <c r="I2200">
        <v>4.2</v>
      </c>
      <c r="J2200">
        <v>18.45</v>
      </c>
      <c r="K2200">
        <v>40.6</v>
      </c>
      <c r="L2200" t="s">
        <v>5027</v>
      </c>
      <c r="M2200">
        <v>10</v>
      </c>
      <c r="N2200">
        <v>3</v>
      </c>
      <c r="O2200">
        <v>0</v>
      </c>
    </row>
    <row r="2201" spans="1:15" x14ac:dyDescent="0.3">
      <c r="A2201" t="s">
        <v>2214</v>
      </c>
      <c r="B2201">
        <v>1</v>
      </c>
      <c r="C2201">
        <v>32</v>
      </c>
      <c r="D2201" t="s">
        <v>5015</v>
      </c>
      <c r="E2201" t="s">
        <v>5018</v>
      </c>
      <c r="F2201" t="s">
        <v>5022</v>
      </c>
      <c r="G2201">
        <v>23.84</v>
      </c>
      <c r="H2201">
        <v>1</v>
      </c>
      <c r="I2201">
        <v>8.3000000000000007</v>
      </c>
      <c r="J2201">
        <v>24.19</v>
      </c>
      <c r="K2201">
        <v>76.099999999999994</v>
      </c>
      <c r="L2201" t="s">
        <v>5028</v>
      </c>
      <c r="M2201">
        <v>7</v>
      </c>
      <c r="N2201">
        <v>1</v>
      </c>
      <c r="O2201">
        <v>1</v>
      </c>
    </row>
    <row r="2202" spans="1:15" x14ac:dyDescent="0.3">
      <c r="A2202" t="s">
        <v>2215</v>
      </c>
      <c r="B2202">
        <v>3</v>
      </c>
      <c r="C2202">
        <v>32</v>
      </c>
      <c r="D2202" t="s">
        <v>5015</v>
      </c>
      <c r="E2202" t="s">
        <v>5018</v>
      </c>
      <c r="F2202" t="s">
        <v>5021</v>
      </c>
      <c r="G2202">
        <v>24.02</v>
      </c>
      <c r="H2202">
        <v>1</v>
      </c>
      <c r="I2202">
        <v>5.6</v>
      </c>
      <c r="J2202">
        <v>6.17</v>
      </c>
      <c r="K2202">
        <v>23.5</v>
      </c>
      <c r="L2202" t="s">
        <v>5029</v>
      </c>
      <c r="M2202">
        <v>1</v>
      </c>
      <c r="N2202">
        <v>2</v>
      </c>
      <c r="O2202">
        <v>0</v>
      </c>
    </row>
    <row r="2203" spans="1:15" x14ac:dyDescent="0.3">
      <c r="A2203" t="s">
        <v>2216</v>
      </c>
      <c r="B2203">
        <v>5</v>
      </c>
      <c r="C2203">
        <v>23</v>
      </c>
      <c r="D2203" t="s">
        <v>5015</v>
      </c>
      <c r="E2203" t="s">
        <v>5018</v>
      </c>
      <c r="F2203" t="s">
        <v>5021</v>
      </c>
      <c r="G2203">
        <v>21.62</v>
      </c>
      <c r="H2203">
        <v>5</v>
      </c>
      <c r="I2203">
        <v>3.9</v>
      </c>
      <c r="J2203">
        <v>17.96</v>
      </c>
      <c r="K2203">
        <v>80.099999999999994</v>
      </c>
      <c r="L2203" t="s">
        <v>5026</v>
      </c>
      <c r="M2203">
        <v>11</v>
      </c>
      <c r="N2203">
        <v>2</v>
      </c>
      <c r="O2203">
        <v>0</v>
      </c>
    </row>
    <row r="2204" spans="1:15" x14ac:dyDescent="0.3">
      <c r="A2204" t="s">
        <v>2217</v>
      </c>
      <c r="B2204">
        <v>5</v>
      </c>
      <c r="C2204">
        <v>44</v>
      </c>
      <c r="D2204" t="s">
        <v>5015</v>
      </c>
      <c r="E2204" t="s">
        <v>5019</v>
      </c>
      <c r="F2204" t="s">
        <v>5022</v>
      </c>
      <c r="G2204">
        <v>8.83</v>
      </c>
      <c r="H2204">
        <v>3</v>
      </c>
      <c r="I2204">
        <v>3.9</v>
      </c>
      <c r="J2204">
        <v>8.1300000000000008</v>
      </c>
      <c r="K2204">
        <v>42.4</v>
      </c>
      <c r="L2204" t="s">
        <v>5029</v>
      </c>
      <c r="M2204">
        <v>1</v>
      </c>
      <c r="N2204">
        <v>2</v>
      </c>
      <c r="O2204">
        <v>0</v>
      </c>
    </row>
    <row r="2205" spans="1:15" x14ac:dyDescent="0.3">
      <c r="A2205" t="s">
        <v>2218</v>
      </c>
      <c r="B2205">
        <v>9</v>
      </c>
      <c r="C2205">
        <v>32</v>
      </c>
      <c r="D2205" t="s">
        <v>5016</v>
      </c>
      <c r="E2205" t="s">
        <v>5019</v>
      </c>
      <c r="F2205" t="s">
        <v>5020</v>
      </c>
      <c r="G2205">
        <v>11.67</v>
      </c>
      <c r="H2205">
        <v>2</v>
      </c>
      <c r="I2205">
        <v>3.9</v>
      </c>
      <c r="J2205">
        <v>7.86</v>
      </c>
      <c r="K2205">
        <v>98.8</v>
      </c>
      <c r="L2205" t="s">
        <v>5028</v>
      </c>
      <c r="M2205">
        <v>3</v>
      </c>
      <c r="N2205">
        <v>1</v>
      </c>
      <c r="O2205">
        <v>0</v>
      </c>
    </row>
    <row r="2206" spans="1:15" x14ac:dyDescent="0.3">
      <c r="A2206" t="s">
        <v>2219</v>
      </c>
      <c r="B2206">
        <v>10</v>
      </c>
      <c r="C2206">
        <v>67</v>
      </c>
      <c r="D2206" t="s">
        <v>5016</v>
      </c>
      <c r="E2206" t="s">
        <v>5019</v>
      </c>
      <c r="F2206" t="s">
        <v>5023</v>
      </c>
      <c r="G2206">
        <v>14.76</v>
      </c>
      <c r="H2206">
        <v>4</v>
      </c>
      <c r="I2206">
        <v>8.1</v>
      </c>
      <c r="J2206">
        <v>16.940000000000001</v>
      </c>
      <c r="K2206">
        <v>82.8</v>
      </c>
      <c r="L2206" t="s">
        <v>5028</v>
      </c>
      <c r="M2206">
        <v>10</v>
      </c>
      <c r="N2206">
        <v>0</v>
      </c>
      <c r="O2206">
        <v>0</v>
      </c>
    </row>
    <row r="2207" spans="1:15" x14ac:dyDescent="0.3">
      <c r="A2207" t="s">
        <v>2220</v>
      </c>
      <c r="B2207">
        <v>12</v>
      </c>
      <c r="C2207">
        <v>53</v>
      </c>
      <c r="D2207" t="s">
        <v>5016</v>
      </c>
      <c r="E2207" t="s">
        <v>5019</v>
      </c>
      <c r="F2207" t="s">
        <v>5020</v>
      </c>
      <c r="G2207">
        <v>23.11</v>
      </c>
      <c r="H2207">
        <v>2</v>
      </c>
      <c r="I2207">
        <v>7.4</v>
      </c>
      <c r="J2207">
        <v>20.07</v>
      </c>
      <c r="K2207">
        <v>68.2</v>
      </c>
      <c r="L2207" t="s">
        <v>5026</v>
      </c>
      <c r="M2207">
        <v>6</v>
      </c>
      <c r="N2207">
        <v>4</v>
      </c>
      <c r="O2207">
        <v>0</v>
      </c>
    </row>
    <row r="2208" spans="1:15" x14ac:dyDescent="0.3">
      <c r="A2208" t="s">
        <v>2221</v>
      </c>
      <c r="B2208">
        <v>2</v>
      </c>
      <c r="C2208">
        <v>25</v>
      </c>
      <c r="D2208" t="s">
        <v>5016</v>
      </c>
      <c r="E2208" t="s">
        <v>5017</v>
      </c>
      <c r="F2208" t="s">
        <v>5022</v>
      </c>
      <c r="G2208">
        <v>15.42</v>
      </c>
      <c r="H2208">
        <v>5</v>
      </c>
      <c r="I2208">
        <v>3.9</v>
      </c>
      <c r="J2208">
        <v>24.51</v>
      </c>
      <c r="K2208">
        <v>30.7</v>
      </c>
      <c r="L2208" t="s">
        <v>5025</v>
      </c>
      <c r="M2208">
        <v>2</v>
      </c>
      <c r="N2208">
        <v>0</v>
      </c>
      <c r="O2208">
        <v>0</v>
      </c>
    </row>
    <row r="2209" spans="1:15" x14ac:dyDescent="0.3">
      <c r="A2209" t="s">
        <v>2222</v>
      </c>
      <c r="B2209">
        <v>2</v>
      </c>
      <c r="C2209">
        <v>32</v>
      </c>
      <c r="D2209" t="s">
        <v>5016</v>
      </c>
      <c r="E2209" t="s">
        <v>5019</v>
      </c>
      <c r="F2209" t="s">
        <v>5022</v>
      </c>
      <c r="G2209">
        <v>24.55</v>
      </c>
      <c r="H2209">
        <v>1</v>
      </c>
      <c r="I2209">
        <v>5.4</v>
      </c>
      <c r="J2209">
        <v>19.91</v>
      </c>
      <c r="K2209">
        <v>96.1</v>
      </c>
      <c r="L2209" t="s">
        <v>5025</v>
      </c>
      <c r="M2209">
        <v>11</v>
      </c>
      <c r="N2209">
        <v>4</v>
      </c>
      <c r="O2209">
        <v>0</v>
      </c>
    </row>
    <row r="2210" spans="1:15" x14ac:dyDescent="0.3">
      <c r="A2210" t="s">
        <v>2223</v>
      </c>
      <c r="B2210">
        <v>6</v>
      </c>
      <c r="C2210">
        <v>20</v>
      </c>
      <c r="D2210" t="s">
        <v>5015</v>
      </c>
      <c r="E2210" t="s">
        <v>5019</v>
      </c>
      <c r="F2210" t="s">
        <v>5020</v>
      </c>
      <c r="G2210">
        <v>24.68</v>
      </c>
      <c r="H2210">
        <v>5</v>
      </c>
      <c r="I2210">
        <v>1.7</v>
      </c>
      <c r="J2210">
        <v>6.46</v>
      </c>
      <c r="K2210">
        <v>13</v>
      </c>
      <c r="L2210" t="s">
        <v>5026</v>
      </c>
      <c r="M2210">
        <v>8</v>
      </c>
      <c r="N2210">
        <v>3</v>
      </c>
      <c r="O2210">
        <v>1</v>
      </c>
    </row>
    <row r="2211" spans="1:15" x14ac:dyDescent="0.3">
      <c r="A2211" t="s">
        <v>2224</v>
      </c>
      <c r="B2211">
        <v>9</v>
      </c>
      <c r="C2211">
        <v>64</v>
      </c>
      <c r="D2211" t="s">
        <v>5016</v>
      </c>
      <c r="E2211" t="s">
        <v>5018</v>
      </c>
      <c r="F2211" t="s">
        <v>5022</v>
      </c>
      <c r="G2211">
        <v>16.97</v>
      </c>
      <c r="H2211">
        <v>5</v>
      </c>
      <c r="I2211">
        <v>8.4</v>
      </c>
      <c r="J2211">
        <v>7.96</v>
      </c>
      <c r="K2211">
        <v>30.1</v>
      </c>
      <c r="L2211" t="s">
        <v>5025</v>
      </c>
      <c r="M2211">
        <v>4</v>
      </c>
      <c r="N2211">
        <v>2</v>
      </c>
      <c r="O2211">
        <v>0</v>
      </c>
    </row>
    <row r="2212" spans="1:15" x14ac:dyDescent="0.3">
      <c r="A2212" t="s">
        <v>2225</v>
      </c>
      <c r="B2212">
        <v>1</v>
      </c>
      <c r="C2212">
        <v>30</v>
      </c>
      <c r="D2212" t="s">
        <v>5015</v>
      </c>
      <c r="E2212" t="s">
        <v>5019</v>
      </c>
      <c r="F2212" t="s">
        <v>5021</v>
      </c>
      <c r="G2212">
        <v>22.55</v>
      </c>
      <c r="H2212">
        <v>5</v>
      </c>
      <c r="I2212">
        <v>3.4</v>
      </c>
      <c r="J2212">
        <v>19.75</v>
      </c>
      <c r="K2212">
        <v>13.3</v>
      </c>
      <c r="L2212" t="s">
        <v>5028</v>
      </c>
      <c r="M2212">
        <v>8</v>
      </c>
      <c r="N2212">
        <v>2</v>
      </c>
      <c r="O2212">
        <v>0</v>
      </c>
    </row>
    <row r="2213" spans="1:15" x14ac:dyDescent="0.3">
      <c r="A2213" t="s">
        <v>2226</v>
      </c>
      <c r="B2213">
        <v>9</v>
      </c>
      <c r="C2213">
        <v>58</v>
      </c>
      <c r="D2213" t="s">
        <v>5016</v>
      </c>
      <c r="E2213" t="s">
        <v>5017</v>
      </c>
      <c r="F2213" t="s">
        <v>5024</v>
      </c>
      <c r="G2213">
        <v>24.98</v>
      </c>
      <c r="H2213">
        <v>4</v>
      </c>
      <c r="I2213">
        <v>9</v>
      </c>
      <c r="J2213">
        <v>14.59</v>
      </c>
      <c r="K2213">
        <v>97</v>
      </c>
      <c r="L2213" t="s">
        <v>5025</v>
      </c>
      <c r="M2213">
        <v>7</v>
      </c>
      <c r="N2213">
        <v>4</v>
      </c>
      <c r="O2213">
        <v>1</v>
      </c>
    </row>
    <row r="2214" spans="1:15" x14ac:dyDescent="0.3">
      <c r="A2214" t="s">
        <v>2227</v>
      </c>
      <c r="B2214">
        <v>9</v>
      </c>
      <c r="C2214">
        <v>51</v>
      </c>
      <c r="D2214" t="s">
        <v>5015</v>
      </c>
      <c r="E2214" t="s">
        <v>5019</v>
      </c>
      <c r="F2214" t="s">
        <v>5022</v>
      </c>
      <c r="G2214">
        <v>21.99</v>
      </c>
      <c r="H2214">
        <v>4</v>
      </c>
      <c r="I2214">
        <v>6.4</v>
      </c>
      <c r="J2214">
        <v>9.5</v>
      </c>
      <c r="K2214">
        <v>88.4</v>
      </c>
      <c r="L2214" t="s">
        <v>5028</v>
      </c>
      <c r="M2214">
        <v>2</v>
      </c>
      <c r="N2214">
        <v>2</v>
      </c>
      <c r="O2214">
        <v>1</v>
      </c>
    </row>
    <row r="2215" spans="1:15" x14ac:dyDescent="0.3">
      <c r="A2215" t="s">
        <v>2228</v>
      </c>
      <c r="B2215">
        <v>9</v>
      </c>
      <c r="C2215">
        <v>41</v>
      </c>
      <c r="D2215" t="s">
        <v>5015</v>
      </c>
      <c r="E2215" t="s">
        <v>5018</v>
      </c>
      <c r="F2215" t="s">
        <v>5022</v>
      </c>
      <c r="G2215">
        <v>18.14</v>
      </c>
      <c r="H2215">
        <v>2</v>
      </c>
      <c r="I2215">
        <v>6.1</v>
      </c>
      <c r="J2215">
        <v>13.38</v>
      </c>
      <c r="K2215">
        <v>95.7</v>
      </c>
      <c r="L2215" t="s">
        <v>5027</v>
      </c>
      <c r="M2215">
        <v>9</v>
      </c>
      <c r="N2215">
        <v>0</v>
      </c>
      <c r="O2215">
        <v>0</v>
      </c>
    </row>
    <row r="2216" spans="1:15" x14ac:dyDescent="0.3">
      <c r="A2216" t="s">
        <v>2229</v>
      </c>
      <c r="B2216">
        <v>5</v>
      </c>
      <c r="C2216">
        <v>57</v>
      </c>
      <c r="D2216" t="s">
        <v>5015</v>
      </c>
      <c r="E2216" t="s">
        <v>5017</v>
      </c>
      <c r="F2216" t="s">
        <v>5020</v>
      </c>
      <c r="G2216">
        <v>21.9</v>
      </c>
      <c r="H2216">
        <v>1</v>
      </c>
      <c r="I2216">
        <v>2.5</v>
      </c>
      <c r="J2216">
        <v>23.13</v>
      </c>
      <c r="K2216">
        <v>74.400000000000006</v>
      </c>
      <c r="L2216" t="s">
        <v>5029</v>
      </c>
      <c r="M2216">
        <v>5</v>
      </c>
      <c r="N2216">
        <v>1</v>
      </c>
      <c r="O2216">
        <v>1</v>
      </c>
    </row>
    <row r="2217" spans="1:15" x14ac:dyDescent="0.3">
      <c r="A2217" t="s">
        <v>2230</v>
      </c>
      <c r="B2217">
        <v>9</v>
      </c>
      <c r="C2217">
        <v>49</v>
      </c>
      <c r="D2217" t="s">
        <v>5016</v>
      </c>
      <c r="E2217" t="s">
        <v>5018</v>
      </c>
      <c r="F2217" t="s">
        <v>5021</v>
      </c>
      <c r="G2217">
        <v>6.65</v>
      </c>
      <c r="H2217">
        <v>5</v>
      </c>
      <c r="I2217">
        <v>1.6</v>
      </c>
      <c r="J2217">
        <v>19.62</v>
      </c>
      <c r="K2217">
        <v>12.5</v>
      </c>
      <c r="L2217" t="s">
        <v>5025</v>
      </c>
      <c r="M2217">
        <v>6</v>
      </c>
      <c r="N2217">
        <v>2</v>
      </c>
      <c r="O2217">
        <v>0</v>
      </c>
    </row>
    <row r="2218" spans="1:15" x14ac:dyDescent="0.3">
      <c r="A2218" t="s">
        <v>2231</v>
      </c>
      <c r="B2218">
        <v>11</v>
      </c>
      <c r="C2218">
        <v>49</v>
      </c>
      <c r="D2218" t="s">
        <v>5016</v>
      </c>
      <c r="E2218" t="s">
        <v>5018</v>
      </c>
      <c r="F2218" t="s">
        <v>5020</v>
      </c>
      <c r="G2218">
        <v>17.7</v>
      </c>
      <c r="H2218">
        <v>3</v>
      </c>
      <c r="I2218">
        <v>6</v>
      </c>
      <c r="J2218">
        <v>12.92</v>
      </c>
      <c r="K2218">
        <v>93.8</v>
      </c>
      <c r="L2218" t="s">
        <v>5027</v>
      </c>
      <c r="M2218">
        <v>2</v>
      </c>
      <c r="N2218">
        <v>2</v>
      </c>
      <c r="O2218">
        <v>0</v>
      </c>
    </row>
    <row r="2219" spans="1:15" x14ac:dyDescent="0.3">
      <c r="A2219" t="s">
        <v>2232</v>
      </c>
      <c r="B2219">
        <v>4</v>
      </c>
      <c r="C2219">
        <v>47</v>
      </c>
      <c r="D2219" t="s">
        <v>5016</v>
      </c>
      <c r="E2219" t="s">
        <v>5017</v>
      </c>
      <c r="F2219" t="s">
        <v>5020</v>
      </c>
      <c r="G2219">
        <v>9.33</v>
      </c>
      <c r="H2219">
        <v>2</v>
      </c>
      <c r="I2219">
        <v>5.2</v>
      </c>
      <c r="J2219">
        <v>24.57</v>
      </c>
      <c r="K2219">
        <v>47.9</v>
      </c>
      <c r="L2219" t="s">
        <v>5025</v>
      </c>
      <c r="M2219">
        <v>3</v>
      </c>
      <c r="N2219">
        <v>3</v>
      </c>
      <c r="O2219">
        <v>1</v>
      </c>
    </row>
    <row r="2220" spans="1:15" x14ac:dyDescent="0.3">
      <c r="A2220" t="s">
        <v>2233</v>
      </c>
      <c r="B2220">
        <v>2</v>
      </c>
      <c r="C2220">
        <v>69</v>
      </c>
      <c r="D2220" t="s">
        <v>5016</v>
      </c>
      <c r="E2220" t="s">
        <v>5017</v>
      </c>
      <c r="F2220" t="s">
        <v>5022</v>
      </c>
      <c r="G2220">
        <v>7.32</v>
      </c>
      <c r="H2220">
        <v>2</v>
      </c>
      <c r="I2220">
        <v>2.1</v>
      </c>
      <c r="J2220">
        <v>20.49</v>
      </c>
      <c r="K2220">
        <v>43.1</v>
      </c>
      <c r="L2220" t="s">
        <v>5027</v>
      </c>
      <c r="M2220">
        <v>10</v>
      </c>
      <c r="N2220">
        <v>1</v>
      </c>
      <c r="O2220">
        <v>0</v>
      </c>
    </row>
    <row r="2221" spans="1:15" x14ac:dyDescent="0.3">
      <c r="A2221" t="s">
        <v>2234</v>
      </c>
      <c r="B2221">
        <v>6</v>
      </c>
      <c r="C2221">
        <v>66</v>
      </c>
      <c r="D2221" t="s">
        <v>5015</v>
      </c>
      <c r="E2221" t="s">
        <v>5018</v>
      </c>
      <c r="F2221" t="s">
        <v>5021</v>
      </c>
      <c r="G2221">
        <v>22.86</v>
      </c>
      <c r="H2221">
        <v>5</v>
      </c>
      <c r="I2221">
        <v>8.5</v>
      </c>
      <c r="J2221">
        <v>3.13</v>
      </c>
      <c r="K2221">
        <v>35.6</v>
      </c>
      <c r="L2221" t="s">
        <v>5026</v>
      </c>
      <c r="M2221">
        <v>8</v>
      </c>
      <c r="N2221">
        <v>4</v>
      </c>
      <c r="O2221">
        <v>0</v>
      </c>
    </row>
    <row r="2222" spans="1:15" x14ac:dyDescent="0.3">
      <c r="A2222" t="s">
        <v>2235</v>
      </c>
      <c r="B2222">
        <v>4</v>
      </c>
      <c r="C2222">
        <v>30</v>
      </c>
      <c r="D2222" t="s">
        <v>5015</v>
      </c>
      <c r="E2222" t="s">
        <v>5018</v>
      </c>
      <c r="F2222" t="s">
        <v>5022</v>
      </c>
      <c r="G2222">
        <v>17.79</v>
      </c>
      <c r="H2222">
        <v>2</v>
      </c>
      <c r="I2222">
        <v>4.8</v>
      </c>
      <c r="J2222">
        <v>5.47</v>
      </c>
      <c r="K2222">
        <v>35.799999999999997</v>
      </c>
      <c r="L2222" t="s">
        <v>5027</v>
      </c>
      <c r="M2222">
        <v>11</v>
      </c>
      <c r="N2222">
        <v>1</v>
      </c>
      <c r="O2222">
        <v>0</v>
      </c>
    </row>
    <row r="2223" spans="1:15" x14ac:dyDescent="0.3">
      <c r="A2223" t="s">
        <v>2236</v>
      </c>
      <c r="B2223">
        <v>6</v>
      </c>
      <c r="C2223">
        <v>18</v>
      </c>
      <c r="D2223" t="s">
        <v>5015</v>
      </c>
      <c r="E2223" t="s">
        <v>5019</v>
      </c>
      <c r="F2223" t="s">
        <v>5022</v>
      </c>
      <c r="G2223">
        <v>9.8699999999999992</v>
      </c>
      <c r="H2223">
        <v>5</v>
      </c>
      <c r="I2223">
        <v>3.3</v>
      </c>
      <c r="J2223">
        <v>15.19</v>
      </c>
      <c r="K2223">
        <v>82.1</v>
      </c>
      <c r="L2223" t="s">
        <v>5028</v>
      </c>
      <c r="M2223">
        <v>5</v>
      </c>
      <c r="N2223">
        <v>1</v>
      </c>
      <c r="O2223">
        <v>0</v>
      </c>
    </row>
    <row r="2224" spans="1:15" x14ac:dyDescent="0.3">
      <c r="A2224" t="s">
        <v>2237</v>
      </c>
      <c r="B2224">
        <v>3</v>
      </c>
      <c r="C2224">
        <v>51</v>
      </c>
      <c r="D2224" t="s">
        <v>5015</v>
      </c>
      <c r="E2224" t="s">
        <v>5019</v>
      </c>
      <c r="F2224" t="s">
        <v>5022</v>
      </c>
      <c r="G2224">
        <v>12.74</v>
      </c>
      <c r="H2224">
        <v>2</v>
      </c>
      <c r="I2224">
        <v>8.1</v>
      </c>
      <c r="J2224">
        <v>10.7</v>
      </c>
      <c r="K2224">
        <v>33.1</v>
      </c>
      <c r="L2224" t="s">
        <v>5026</v>
      </c>
      <c r="M2224">
        <v>10</v>
      </c>
      <c r="N2224">
        <v>4</v>
      </c>
      <c r="O2224">
        <v>0</v>
      </c>
    </row>
    <row r="2225" spans="1:15" x14ac:dyDescent="0.3">
      <c r="A2225" t="s">
        <v>2238</v>
      </c>
      <c r="B2225">
        <v>6</v>
      </c>
      <c r="C2225">
        <v>32</v>
      </c>
      <c r="D2225" t="s">
        <v>5016</v>
      </c>
      <c r="E2225" t="s">
        <v>5018</v>
      </c>
      <c r="F2225" t="s">
        <v>5022</v>
      </c>
      <c r="G2225">
        <v>24.47</v>
      </c>
      <c r="H2225">
        <v>1</v>
      </c>
      <c r="I2225">
        <v>9.1999999999999993</v>
      </c>
      <c r="J2225">
        <v>20.88</v>
      </c>
      <c r="K2225">
        <v>30</v>
      </c>
      <c r="L2225" t="s">
        <v>5026</v>
      </c>
      <c r="M2225">
        <v>1</v>
      </c>
      <c r="N2225">
        <v>1</v>
      </c>
      <c r="O2225">
        <v>0</v>
      </c>
    </row>
    <row r="2226" spans="1:15" x14ac:dyDescent="0.3">
      <c r="A2226" t="s">
        <v>2239</v>
      </c>
      <c r="B2226">
        <v>2</v>
      </c>
      <c r="C2226">
        <v>61</v>
      </c>
      <c r="D2226" t="s">
        <v>5015</v>
      </c>
      <c r="E2226" t="s">
        <v>5019</v>
      </c>
      <c r="F2226" t="s">
        <v>5024</v>
      </c>
      <c r="G2226">
        <v>22.24</v>
      </c>
      <c r="H2226">
        <v>2</v>
      </c>
      <c r="I2226">
        <v>3.8</v>
      </c>
      <c r="J2226">
        <v>22.71</v>
      </c>
      <c r="K2226">
        <v>72.8</v>
      </c>
      <c r="L2226" t="s">
        <v>5028</v>
      </c>
      <c r="M2226">
        <v>9</v>
      </c>
      <c r="N2226">
        <v>3</v>
      </c>
      <c r="O2226">
        <v>0</v>
      </c>
    </row>
    <row r="2227" spans="1:15" x14ac:dyDescent="0.3">
      <c r="A2227" t="s">
        <v>2240</v>
      </c>
      <c r="B2227">
        <v>2</v>
      </c>
      <c r="C2227">
        <v>31</v>
      </c>
      <c r="D2227" t="s">
        <v>5016</v>
      </c>
      <c r="E2227" t="s">
        <v>5018</v>
      </c>
      <c r="F2227" t="s">
        <v>5023</v>
      </c>
      <c r="G2227">
        <v>5.31</v>
      </c>
      <c r="H2227">
        <v>2</v>
      </c>
      <c r="I2227">
        <v>8</v>
      </c>
      <c r="J2227">
        <v>8.2899999999999991</v>
      </c>
      <c r="K2227">
        <v>35.9</v>
      </c>
      <c r="L2227" t="s">
        <v>5025</v>
      </c>
      <c r="M2227">
        <v>11</v>
      </c>
      <c r="N2227">
        <v>0</v>
      </c>
      <c r="O2227">
        <v>0</v>
      </c>
    </row>
    <row r="2228" spans="1:15" x14ac:dyDescent="0.3">
      <c r="A2228" t="s">
        <v>2241</v>
      </c>
      <c r="B2228">
        <v>9</v>
      </c>
      <c r="C2228">
        <v>46</v>
      </c>
      <c r="D2228" t="s">
        <v>5015</v>
      </c>
      <c r="E2228" t="s">
        <v>5019</v>
      </c>
      <c r="F2228" t="s">
        <v>5021</v>
      </c>
      <c r="G2228">
        <v>24.6</v>
      </c>
      <c r="H2228">
        <v>3</v>
      </c>
      <c r="I2228">
        <v>6.9</v>
      </c>
      <c r="J2228">
        <v>19.79</v>
      </c>
      <c r="K2228">
        <v>11.2</v>
      </c>
      <c r="L2228" t="s">
        <v>5026</v>
      </c>
      <c r="M2228">
        <v>1</v>
      </c>
      <c r="N2228">
        <v>1</v>
      </c>
      <c r="O2228">
        <v>1</v>
      </c>
    </row>
    <row r="2229" spans="1:15" x14ac:dyDescent="0.3">
      <c r="A2229" t="s">
        <v>2242</v>
      </c>
      <c r="B2229">
        <v>7</v>
      </c>
      <c r="C2229">
        <v>51</v>
      </c>
      <c r="D2229" t="s">
        <v>5015</v>
      </c>
      <c r="E2229" t="s">
        <v>5017</v>
      </c>
      <c r="F2229" t="s">
        <v>5024</v>
      </c>
      <c r="G2229">
        <v>12.37</v>
      </c>
      <c r="H2229">
        <v>1</v>
      </c>
      <c r="I2229">
        <v>9.9</v>
      </c>
      <c r="J2229">
        <v>14.78</v>
      </c>
      <c r="K2229">
        <v>93.9</v>
      </c>
      <c r="L2229" t="s">
        <v>5025</v>
      </c>
      <c r="M2229">
        <v>9</v>
      </c>
      <c r="N2229">
        <v>0</v>
      </c>
      <c r="O2229">
        <v>0</v>
      </c>
    </row>
    <row r="2230" spans="1:15" x14ac:dyDescent="0.3">
      <c r="A2230" t="s">
        <v>2243</v>
      </c>
      <c r="B2230">
        <v>3</v>
      </c>
      <c r="C2230">
        <v>35</v>
      </c>
      <c r="D2230" t="s">
        <v>5015</v>
      </c>
      <c r="E2230" t="s">
        <v>5018</v>
      </c>
      <c r="F2230" t="s">
        <v>5023</v>
      </c>
      <c r="G2230">
        <v>18.91</v>
      </c>
      <c r="H2230">
        <v>1</v>
      </c>
      <c r="I2230">
        <v>2.8</v>
      </c>
      <c r="J2230">
        <v>11.62</v>
      </c>
      <c r="K2230">
        <v>38.200000000000003</v>
      </c>
      <c r="L2230" t="s">
        <v>5029</v>
      </c>
      <c r="M2230">
        <v>10</v>
      </c>
      <c r="N2230">
        <v>3</v>
      </c>
      <c r="O2230">
        <v>0</v>
      </c>
    </row>
    <row r="2231" spans="1:15" x14ac:dyDescent="0.3">
      <c r="A2231" t="s">
        <v>2244</v>
      </c>
      <c r="B2231">
        <v>11</v>
      </c>
      <c r="C2231">
        <v>24</v>
      </c>
      <c r="D2231" t="s">
        <v>5016</v>
      </c>
      <c r="E2231" t="s">
        <v>5018</v>
      </c>
      <c r="F2231" t="s">
        <v>5023</v>
      </c>
      <c r="G2231">
        <v>19.25</v>
      </c>
      <c r="H2231">
        <v>1</v>
      </c>
      <c r="I2231">
        <v>9.6</v>
      </c>
      <c r="J2231">
        <v>20.309999999999999</v>
      </c>
      <c r="K2231">
        <v>78.8</v>
      </c>
      <c r="L2231" t="s">
        <v>5027</v>
      </c>
      <c r="M2231">
        <v>6</v>
      </c>
      <c r="N2231">
        <v>3</v>
      </c>
      <c r="O2231">
        <v>0</v>
      </c>
    </row>
    <row r="2232" spans="1:15" x14ac:dyDescent="0.3">
      <c r="A2232" t="s">
        <v>2245</v>
      </c>
      <c r="B2232">
        <v>1</v>
      </c>
      <c r="C2232">
        <v>46</v>
      </c>
      <c r="D2232" t="s">
        <v>5016</v>
      </c>
      <c r="E2232" t="s">
        <v>5017</v>
      </c>
      <c r="F2232" t="s">
        <v>5023</v>
      </c>
      <c r="G2232">
        <v>23.23</v>
      </c>
      <c r="H2232">
        <v>2</v>
      </c>
      <c r="I2232">
        <v>3.8</v>
      </c>
      <c r="J2232">
        <v>15.43</v>
      </c>
      <c r="K2232">
        <v>52.2</v>
      </c>
      <c r="L2232" t="s">
        <v>5027</v>
      </c>
      <c r="M2232">
        <v>7</v>
      </c>
      <c r="N2232">
        <v>1</v>
      </c>
      <c r="O2232">
        <v>0</v>
      </c>
    </row>
    <row r="2233" spans="1:15" x14ac:dyDescent="0.3">
      <c r="A2233" t="s">
        <v>2246</v>
      </c>
      <c r="B2233">
        <v>8</v>
      </c>
      <c r="C2233">
        <v>48</v>
      </c>
      <c r="D2233" t="s">
        <v>5015</v>
      </c>
      <c r="E2233" t="s">
        <v>5019</v>
      </c>
      <c r="F2233" t="s">
        <v>5024</v>
      </c>
      <c r="G2233">
        <v>22.7</v>
      </c>
      <c r="H2233">
        <v>4</v>
      </c>
      <c r="I2233">
        <v>4.7</v>
      </c>
      <c r="J2233">
        <v>16.98</v>
      </c>
      <c r="K2233">
        <v>22.1</v>
      </c>
      <c r="L2233" t="s">
        <v>5028</v>
      </c>
      <c r="M2233">
        <v>1</v>
      </c>
      <c r="N2233">
        <v>2</v>
      </c>
      <c r="O2233">
        <v>1</v>
      </c>
    </row>
    <row r="2234" spans="1:15" x14ac:dyDescent="0.3">
      <c r="A2234" t="s">
        <v>2247</v>
      </c>
      <c r="B2234">
        <v>6</v>
      </c>
      <c r="C2234">
        <v>42</v>
      </c>
      <c r="D2234" t="s">
        <v>5015</v>
      </c>
      <c r="E2234" t="s">
        <v>5019</v>
      </c>
      <c r="F2234" t="s">
        <v>5021</v>
      </c>
      <c r="G2234">
        <v>10.63</v>
      </c>
      <c r="H2234">
        <v>2</v>
      </c>
      <c r="I2234">
        <v>4.2</v>
      </c>
      <c r="J2234">
        <v>4.37</v>
      </c>
      <c r="K2234">
        <v>69.599999999999994</v>
      </c>
      <c r="L2234" t="s">
        <v>5028</v>
      </c>
      <c r="M2234">
        <v>10</v>
      </c>
      <c r="N2234">
        <v>1</v>
      </c>
      <c r="O2234">
        <v>1</v>
      </c>
    </row>
    <row r="2235" spans="1:15" x14ac:dyDescent="0.3">
      <c r="A2235" t="s">
        <v>2248</v>
      </c>
      <c r="B2235">
        <v>7</v>
      </c>
      <c r="C2235">
        <v>55</v>
      </c>
      <c r="D2235" t="s">
        <v>5015</v>
      </c>
      <c r="E2235" t="s">
        <v>5018</v>
      </c>
      <c r="F2235" t="s">
        <v>5020</v>
      </c>
      <c r="G2235">
        <v>17.87</v>
      </c>
      <c r="H2235">
        <v>5</v>
      </c>
      <c r="I2235">
        <v>3.4</v>
      </c>
      <c r="J2235">
        <v>15.89</v>
      </c>
      <c r="K2235">
        <v>30.8</v>
      </c>
      <c r="L2235" t="s">
        <v>5027</v>
      </c>
      <c r="M2235">
        <v>11</v>
      </c>
      <c r="N2235">
        <v>0</v>
      </c>
      <c r="O2235">
        <v>0</v>
      </c>
    </row>
    <row r="2236" spans="1:15" x14ac:dyDescent="0.3">
      <c r="A2236" t="s">
        <v>2249</v>
      </c>
      <c r="B2236">
        <v>9</v>
      </c>
      <c r="C2236">
        <v>31</v>
      </c>
      <c r="D2236" t="s">
        <v>5016</v>
      </c>
      <c r="E2236" t="s">
        <v>5018</v>
      </c>
      <c r="F2236" t="s">
        <v>5023</v>
      </c>
      <c r="G2236">
        <v>12.87</v>
      </c>
      <c r="H2236">
        <v>3</v>
      </c>
      <c r="I2236">
        <v>7.2</v>
      </c>
      <c r="J2236">
        <v>9.6199999999999992</v>
      </c>
      <c r="K2236">
        <v>35.9</v>
      </c>
      <c r="L2236" t="s">
        <v>5029</v>
      </c>
      <c r="M2236">
        <v>1</v>
      </c>
      <c r="N2236">
        <v>3</v>
      </c>
      <c r="O2236">
        <v>0</v>
      </c>
    </row>
    <row r="2237" spans="1:15" x14ac:dyDescent="0.3">
      <c r="A2237" t="s">
        <v>2250</v>
      </c>
      <c r="B2237">
        <v>5</v>
      </c>
      <c r="C2237">
        <v>25</v>
      </c>
      <c r="D2237" t="s">
        <v>5016</v>
      </c>
      <c r="E2237" t="s">
        <v>5019</v>
      </c>
      <c r="F2237" t="s">
        <v>5020</v>
      </c>
      <c r="G2237">
        <v>15.51</v>
      </c>
      <c r="H2237">
        <v>1</v>
      </c>
      <c r="I2237">
        <v>6.3</v>
      </c>
      <c r="J2237">
        <v>13.85</v>
      </c>
      <c r="K2237">
        <v>12.9</v>
      </c>
      <c r="L2237" t="s">
        <v>5028</v>
      </c>
      <c r="M2237">
        <v>5</v>
      </c>
      <c r="N2237">
        <v>0</v>
      </c>
      <c r="O2237">
        <v>0</v>
      </c>
    </row>
    <row r="2238" spans="1:15" x14ac:dyDescent="0.3">
      <c r="A2238" t="s">
        <v>2251</v>
      </c>
      <c r="B2238">
        <v>1</v>
      </c>
      <c r="C2238">
        <v>44</v>
      </c>
      <c r="D2238" t="s">
        <v>5016</v>
      </c>
      <c r="E2238" t="s">
        <v>5019</v>
      </c>
      <c r="F2238" t="s">
        <v>5020</v>
      </c>
      <c r="G2238">
        <v>16.09</v>
      </c>
      <c r="H2238">
        <v>5</v>
      </c>
      <c r="I2238">
        <v>3.8</v>
      </c>
      <c r="J2238">
        <v>7.88</v>
      </c>
      <c r="K2238">
        <v>11.5</v>
      </c>
      <c r="L2238" t="s">
        <v>5029</v>
      </c>
      <c r="M2238">
        <v>2</v>
      </c>
      <c r="N2238">
        <v>0</v>
      </c>
      <c r="O2238">
        <v>0</v>
      </c>
    </row>
    <row r="2239" spans="1:15" x14ac:dyDescent="0.3">
      <c r="A2239" t="s">
        <v>2252</v>
      </c>
      <c r="B2239">
        <v>12</v>
      </c>
      <c r="C2239">
        <v>19</v>
      </c>
      <c r="D2239" t="s">
        <v>5015</v>
      </c>
      <c r="E2239" t="s">
        <v>5017</v>
      </c>
      <c r="F2239" t="s">
        <v>5022</v>
      </c>
      <c r="G2239">
        <v>12.93</v>
      </c>
      <c r="H2239">
        <v>5</v>
      </c>
      <c r="I2239">
        <v>2.2000000000000002</v>
      </c>
      <c r="J2239">
        <v>16.52</v>
      </c>
      <c r="K2239">
        <v>56.2</v>
      </c>
      <c r="L2239" t="s">
        <v>5028</v>
      </c>
      <c r="M2239">
        <v>11</v>
      </c>
      <c r="N2239">
        <v>4</v>
      </c>
      <c r="O2239">
        <v>0</v>
      </c>
    </row>
    <row r="2240" spans="1:15" x14ac:dyDescent="0.3">
      <c r="A2240" t="s">
        <v>2253</v>
      </c>
      <c r="B2240">
        <v>10</v>
      </c>
      <c r="C2240">
        <v>34</v>
      </c>
      <c r="D2240" t="s">
        <v>5016</v>
      </c>
      <c r="E2240" t="s">
        <v>5018</v>
      </c>
      <c r="F2240" t="s">
        <v>5020</v>
      </c>
      <c r="G2240">
        <v>14.28</v>
      </c>
      <c r="H2240">
        <v>4</v>
      </c>
      <c r="I2240">
        <v>3.9</v>
      </c>
      <c r="J2240">
        <v>6.24</v>
      </c>
      <c r="K2240">
        <v>15.2</v>
      </c>
      <c r="L2240" t="s">
        <v>5026</v>
      </c>
      <c r="M2240">
        <v>10</v>
      </c>
      <c r="N2240">
        <v>3</v>
      </c>
      <c r="O2240">
        <v>1</v>
      </c>
    </row>
    <row r="2241" spans="1:15" x14ac:dyDescent="0.3">
      <c r="A2241" t="s">
        <v>2254</v>
      </c>
      <c r="B2241">
        <v>7</v>
      </c>
      <c r="C2241">
        <v>54</v>
      </c>
      <c r="D2241" t="s">
        <v>5015</v>
      </c>
      <c r="E2241" t="s">
        <v>5018</v>
      </c>
      <c r="F2241" t="s">
        <v>5022</v>
      </c>
      <c r="G2241">
        <v>9.17</v>
      </c>
      <c r="H2241">
        <v>1</v>
      </c>
      <c r="I2241">
        <v>4.4000000000000004</v>
      </c>
      <c r="J2241">
        <v>5.7</v>
      </c>
      <c r="K2241">
        <v>28.8</v>
      </c>
      <c r="L2241" t="s">
        <v>5025</v>
      </c>
      <c r="M2241">
        <v>5</v>
      </c>
      <c r="N2241">
        <v>3</v>
      </c>
      <c r="O2241">
        <v>0</v>
      </c>
    </row>
    <row r="2242" spans="1:15" x14ac:dyDescent="0.3">
      <c r="A2242" t="s">
        <v>2255</v>
      </c>
      <c r="B2242">
        <v>5</v>
      </c>
      <c r="C2242">
        <v>31</v>
      </c>
      <c r="D2242" t="s">
        <v>5016</v>
      </c>
      <c r="E2242" t="s">
        <v>5018</v>
      </c>
      <c r="F2242" t="s">
        <v>5021</v>
      </c>
      <c r="G2242">
        <v>17.149999999999999</v>
      </c>
      <c r="H2242">
        <v>2</v>
      </c>
      <c r="I2242">
        <v>4.4000000000000004</v>
      </c>
      <c r="J2242">
        <v>7.15</v>
      </c>
      <c r="K2242">
        <v>93.1</v>
      </c>
      <c r="L2242" t="s">
        <v>5027</v>
      </c>
      <c r="M2242">
        <v>5</v>
      </c>
      <c r="N2242">
        <v>0</v>
      </c>
      <c r="O2242">
        <v>0</v>
      </c>
    </row>
    <row r="2243" spans="1:15" x14ac:dyDescent="0.3">
      <c r="A2243" t="s">
        <v>2256</v>
      </c>
      <c r="B2243">
        <v>3</v>
      </c>
      <c r="C2243">
        <v>42</v>
      </c>
      <c r="D2243" t="s">
        <v>5015</v>
      </c>
      <c r="E2243" t="s">
        <v>5017</v>
      </c>
      <c r="F2243" t="s">
        <v>5021</v>
      </c>
      <c r="G2243">
        <v>20.18</v>
      </c>
      <c r="H2243">
        <v>1</v>
      </c>
      <c r="I2243">
        <v>4.2</v>
      </c>
      <c r="J2243">
        <v>20.98</v>
      </c>
      <c r="K2243">
        <v>17.5</v>
      </c>
      <c r="L2243" t="s">
        <v>5025</v>
      </c>
      <c r="M2243">
        <v>6</v>
      </c>
      <c r="N2243">
        <v>3</v>
      </c>
      <c r="O2243">
        <v>0</v>
      </c>
    </row>
    <row r="2244" spans="1:15" x14ac:dyDescent="0.3">
      <c r="A2244" t="s">
        <v>2257</v>
      </c>
      <c r="B2244">
        <v>12</v>
      </c>
      <c r="C2244">
        <v>47</v>
      </c>
      <c r="D2244" t="s">
        <v>5015</v>
      </c>
      <c r="E2244" t="s">
        <v>5018</v>
      </c>
      <c r="F2244" t="s">
        <v>5022</v>
      </c>
      <c r="G2244">
        <v>13.59</v>
      </c>
      <c r="H2244">
        <v>3</v>
      </c>
      <c r="I2244">
        <v>1.4</v>
      </c>
      <c r="J2244">
        <v>3.74</v>
      </c>
      <c r="K2244">
        <v>36.200000000000003</v>
      </c>
      <c r="L2244" t="s">
        <v>5027</v>
      </c>
      <c r="M2244">
        <v>9</v>
      </c>
      <c r="N2244">
        <v>1</v>
      </c>
      <c r="O2244">
        <v>0</v>
      </c>
    </row>
    <row r="2245" spans="1:15" x14ac:dyDescent="0.3">
      <c r="A2245" t="s">
        <v>2258</v>
      </c>
      <c r="B2245">
        <v>9</v>
      </c>
      <c r="C2245">
        <v>46</v>
      </c>
      <c r="D2245" t="s">
        <v>5016</v>
      </c>
      <c r="E2245" t="s">
        <v>5019</v>
      </c>
      <c r="F2245" t="s">
        <v>5021</v>
      </c>
      <c r="G2245">
        <v>24.55</v>
      </c>
      <c r="H2245">
        <v>1</v>
      </c>
      <c r="I2245">
        <v>5.2</v>
      </c>
      <c r="J2245">
        <v>19.05</v>
      </c>
      <c r="K2245">
        <v>75.400000000000006</v>
      </c>
      <c r="L2245" t="s">
        <v>5028</v>
      </c>
      <c r="M2245">
        <v>6</v>
      </c>
      <c r="N2245">
        <v>4</v>
      </c>
      <c r="O2245">
        <v>0</v>
      </c>
    </row>
    <row r="2246" spans="1:15" x14ac:dyDescent="0.3">
      <c r="A2246" t="s">
        <v>2259</v>
      </c>
      <c r="B2246">
        <v>1</v>
      </c>
      <c r="C2246">
        <v>37</v>
      </c>
      <c r="D2246" t="s">
        <v>5015</v>
      </c>
      <c r="E2246" t="s">
        <v>5018</v>
      </c>
      <c r="F2246" t="s">
        <v>5023</v>
      </c>
      <c r="G2246">
        <v>6.14</v>
      </c>
      <c r="H2246">
        <v>5</v>
      </c>
      <c r="I2246">
        <v>8.5</v>
      </c>
      <c r="J2246">
        <v>4.24</v>
      </c>
      <c r="K2246">
        <v>89.6</v>
      </c>
      <c r="L2246" t="s">
        <v>5025</v>
      </c>
      <c r="M2246">
        <v>10</v>
      </c>
      <c r="N2246">
        <v>1</v>
      </c>
      <c r="O2246">
        <v>0</v>
      </c>
    </row>
    <row r="2247" spans="1:15" x14ac:dyDescent="0.3">
      <c r="A2247" t="s">
        <v>2260</v>
      </c>
      <c r="B2247">
        <v>1</v>
      </c>
      <c r="C2247">
        <v>38</v>
      </c>
      <c r="D2247" t="s">
        <v>5015</v>
      </c>
      <c r="E2247" t="s">
        <v>5019</v>
      </c>
      <c r="F2247" t="s">
        <v>5021</v>
      </c>
      <c r="G2247">
        <v>16.78</v>
      </c>
      <c r="H2247">
        <v>5</v>
      </c>
      <c r="I2247">
        <v>2.6</v>
      </c>
      <c r="J2247">
        <v>16.02</v>
      </c>
      <c r="K2247">
        <v>14.2</v>
      </c>
      <c r="L2247" t="s">
        <v>5029</v>
      </c>
      <c r="M2247">
        <v>11</v>
      </c>
      <c r="N2247">
        <v>2</v>
      </c>
      <c r="O2247">
        <v>0</v>
      </c>
    </row>
    <row r="2248" spans="1:15" x14ac:dyDescent="0.3">
      <c r="A2248" t="s">
        <v>2261</v>
      </c>
      <c r="B2248">
        <v>1</v>
      </c>
      <c r="C2248">
        <v>39</v>
      </c>
      <c r="D2248" t="s">
        <v>5015</v>
      </c>
      <c r="E2248" t="s">
        <v>5019</v>
      </c>
      <c r="F2248" t="s">
        <v>5022</v>
      </c>
      <c r="G2248">
        <v>16.670000000000002</v>
      </c>
      <c r="H2248">
        <v>2</v>
      </c>
      <c r="I2248">
        <v>2.2999999999999998</v>
      </c>
      <c r="J2248">
        <v>20.02</v>
      </c>
      <c r="K2248">
        <v>26.7</v>
      </c>
      <c r="L2248" t="s">
        <v>5028</v>
      </c>
      <c r="M2248">
        <v>1</v>
      </c>
      <c r="N2248">
        <v>2</v>
      </c>
      <c r="O2248">
        <v>0</v>
      </c>
    </row>
    <row r="2249" spans="1:15" x14ac:dyDescent="0.3">
      <c r="A2249" t="s">
        <v>2262</v>
      </c>
      <c r="B2249">
        <v>3</v>
      </c>
      <c r="C2249">
        <v>52</v>
      </c>
      <c r="D2249" t="s">
        <v>5016</v>
      </c>
      <c r="E2249" t="s">
        <v>5019</v>
      </c>
      <c r="F2249" t="s">
        <v>5023</v>
      </c>
      <c r="G2249">
        <v>5.73</v>
      </c>
      <c r="H2249">
        <v>2</v>
      </c>
      <c r="I2249">
        <v>5.2</v>
      </c>
      <c r="J2249">
        <v>8.08</v>
      </c>
      <c r="K2249">
        <v>44.9</v>
      </c>
      <c r="L2249" t="s">
        <v>5026</v>
      </c>
      <c r="M2249">
        <v>5</v>
      </c>
      <c r="N2249">
        <v>0</v>
      </c>
      <c r="O2249">
        <v>0</v>
      </c>
    </row>
    <row r="2250" spans="1:15" x14ac:dyDescent="0.3">
      <c r="A2250" t="s">
        <v>2263</v>
      </c>
      <c r="B2250">
        <v>12</v>
      </c>
      <c r="C2250">
        <v>54</v>
      </c>
      <c r="D2250" t="s">
        <v>5015</v>
      </c>
      <c r="E2250" t="s">
        <v>5017</v>
      </c>
      <c r="F2250" t="s">
        <v>5020</v>
      </c>
      <c r="G2250">
        <v>9.49</v>
      </c>
      <c r="H2250">
        <v>2</v>
      </c>
      <c r="I2250">
        <v>4.3</v>
      </c>
      <c r="J2250">
        <v>7.31</v>
      </c>
      <c r="K2250">
        <v>42.5</v>
      </c>
      <c r="L2250" t="s">
        <v>5025</v>
      </c>
      <c r="M2250">
        <v>2</v>
      </c>
      <c r="N2250">
        <v>2</v>
      </c>
      <c r="O2250">
        <v>0</v>
      </c>
    </row>
    <row r="2251" spans="1:15" x14ac:dyDescent="0.3">
      <c r="A2251" t="s">
        <v>2264</v>
      </c>
      <c r="B2251">
        <v>6</v>
      </c>
      <c r="C2251">
        <v>33</v>
      </c>
      <c r="D2251" t="s">
        <v>5016</v>
      </c>
      <c r="E2251" t="s">
        <v>5019</v>
      </c>
      <c r="F2251" t="s">
        <v>5020</v>
      </c>
      <c r="G2251">
        <v>23.11</v>
      </c>
      <c r="H2251">
        <v>3</v>
      </c>
      <c r="I2251">
        <v>6.1</v>
      </c>
      <c r="J2251">
        <v>9.36</v>
      </c>
      <c r="K2251">
        <v>36</v>
      </c>
      <c r="L2251" t="s">
        <v>5025</v>
      </c>
      <c r="M2251">
        <v>11</v>
      </c>
      <c r="N2251">
        <v>1</v>
      </c>
      <c r="O2251">
        <v>0</v>
      </c>
    </row>
    <row r="2252" spans="1:15" x14ac:dyDescent="0.3">
      <c r="A2252" t="s">
        <v>2265</v>
      </c>
      <c r="B2252">
        <v>10</v>
      </c>
      <c r="C2252">
        <v>67</v>
      </c>
      <c r="D2252" t="s">
        <v>5016</v>
      </c>
      <c r="E2252" t="s">
        <v>5017</v>
      </c>
      <c r="F2252" t="s">
        <v>5020</v>
      </c>
      <c r="G2252">
        <v>15.89</v>
      </c>
      <c r="H2252">
        <v>1</v>
      </c>
      <c r="I2252">
        <v>9.5</v>
      </c>
      <c r="J2252">
        <v>18.39</v>
      </c>
      <c r="K2252">
        <v>31.8</v>
      </c>
      <c r="L2252" t="s">
        <v>5026</v>
      </c>
      <c r="M2252">
        <v>8</v>
      </c>
      <c r="N2252">
        <v>2</v>
      </c>
      <c r="O2252">
        <v>1</v>
      </c>
    </row>
    <row r="2253" spans="1:15" x14ac:dyDescent="0.3">
      <c r="A2253" t="s">
        <v>2266</v>
      </c>
      <c r="B2253">
        <v>11</v>
      </c>
      <c r="C2253">
        <v>66</v>
      </c>
      <c r="D2253" t="s">
        <v>5015</v>
      </c>
      <c r="E2253" t="s">
        <v>5018</v>
      </c>
      <c r="F2253" t="s">
        <v>5022</v>
      </c>
      <c r="G2253">
        <v>13.73</v>
      </c>
      <c r="H2253">
        <v>4</v>
      </c>
      <c r="I2253">
        <v>7.8</v>
      </c>
      <c r="J2253">
        <v>8.61</v>
      </c>
      <c r="K2253">
        <v>34.200000000000003</v>
      </c>
      <c r="L2253" t="s">
        <v>5027</v>
      </c>
      <c r="M2253">
        <v>7</v>
      </c>
      <c r="N2253">
        <v>0</v>
      </c>
      <c r="O2253">
        <v>1</v>
      </c>
    </row>
    <row r="2254" spans="1:15" x14ac:dyDescent="0.3">
      <c r="A2254" t="s">
        <v>2267</v>
      </c>
      <c r="B2254">
        <v>3</v>
      </c>
      <c r="C2254">
        <v>60</v>
      </c>
      <c r="D2254" t="s">
        <v>5016</v>
      </c>
      <c r="E2254" t="s">
        <v>5018</v>
      </c>
      <c r="F2254" t="s">
        <v>5020</v>
      </c>
      <c r="G2254">
        <v>13.31</v>
      </c>
      <c r="H2254">
        <v>1</v>
      </c>
      <c r="I2254">
        <v>7.2</v>
      </c>
      <c r="J2254">
        <v>14.04</v>
      </c>
      <c r="K2254">
        <v>22</v>
      </c>
      <c r="L2254" t="s">
        <v>5028</v>
      </c>
      <c r="M2254">
        <v>11</v>
      </c>
      <c r="N2254">
        <v>3</v>
      </c>
      <c r="O2254">
        <v>0</v>
      </c>
    </row>
    <row r="2255" spans="1:15" x14ac:dyDescent="0.3">
      <c r="A2255" t="s">
        <v>2268</v>
      </c>
      <c r="B2255">
        <v>8</v>
      </c>
      <c r="C2255">
        <v>34</v>
      </c>
      <c r="D2255" t="s">
        <v>5015</v>
      </c>
      <c r="E2255" t="s">
        <v>5018</v>
      </c>
      <c r="F2255" t="s">
        <v>5021</v>
      </c>
      <c r="G2255">
        <v>22.76</v>
      </c>
      <c r="H2255">
        <v>2</v>
      </c>
      <c r="I2255">
        <v>4.7</v>
      </c>
      <c r="J2255">
        <v>5.96</v>
      </c>
      <c r="K2255">
        <v>24.7</v>
      </c>
      <c r="L2255" t="s">
        <v>5026</v>
      </c>
      <c r="M2255">
        <v>6</v>
      </c>
      <c r="N2255">
        <v>4</v>
      </c>
      <c r="O2255">
        <v>0</v>
      </c>
    </row>
    <row r="2256" spans="1:15" x14ac:dyDescent="0.3">
      <c r="A2256" t="s">
        <v>2269</v>
      </c>
      <c r="B2256">
        <v>10</v>
      </c>
      <c r="C2256">
        <v>33</v>
      </c>
      <c r="D2256" t="s">
        <v>5016</v>
      </c>
      <c r="E2256" t="s">
        <v>5019</v>
      </c>
      <c r="F2256" t="s">
        <v>5020</v>
      </c>
      <c r="G2256">
        <v>12.34</v>
      </c>
      <c r="H2256">
        <v>3</v>
      </c>
      <c r="I2256">
        <v>3.6</v>
      </c>
      <c r="J2256">
        <v>13.15</v>
      </c>
      <c r="K2256">
        <v>64.599999999999994</v>
      </c>
      <c r="L2256" t="s">
        <v>5029</v>
      </c>
      <c r="M2256">
        <v>2</v>
      </c>
      <c r="N2256">
        <v>0</v>
      </c>
      <c r="O2256">
        <v>0</v>
      </c>
    </row>
    <row r="2257" spans="1:15" x14ac:dyDescent="0.3">
      <c r="A2257" t="s">
        <v>2270</v>
      </c>
      <c r="B2257">
        <v>2</v>
      </c>
      <c r="C2257">
        <v>19</v>
      </c>
      <c r="D2257" t="s">
        <v>5015</v>
      </c>
      <c r="E2257" t="s">
        <v>5019</v>
      </c>
      <c r="F2257" t="s">
        <v>5024</v>
      </c>
      <c r="G2257">
        <v>22.18</v>
      </c>
      <c r="H2257">
        <v>1</v>
      </c>
      <c r="I2257">
        <v>5.9</v>
      </c>
      <c r="J2257">
        <v>16.739999999999998</v>
      </c>
      <c r="K2257">
        <v>36.299999999999997</v>
      </c>
      <c r="L2257" t="s">
        <v>5028</v>
      </c>
      <c r="M2257">
        <v>3</v>
      </c>
      <c r="N2257">
        <v>0</v>
      </c>
      <c r="O2257">
        <v>0</v>
      </c>
    </row>
    <row r="2258" spans="1:15" x14ac:dyDescent="0.3">
      <c r="A2258" t="s">
        <v>2271</v>
      </c>
      <c r="B2258">
        <v>9</v>
      </c>
      <c r="C2258">
        <v>21</v>
      </c>
      <c r="D2258" t="s">
        <v>5016</v>
      </c>
      <c r="E2258" t="s">
        <v>5017</v>
      </c>
      <c r="F2258" t="s">
        <v>5024</v>
      </c>
      <c r="G2258">
        <v>11.18</v>
      </c>
      <c r="H2258">
        <v>5</v>
      </c>
      <c r="I2258">
        <v>9</v>
      </c>
      <c r="J2258">
        <v>4.58</v>
      </c>
      <c r="K2258">
        <v>46</v>
      </c>
      <c r="L2258" t="s">
        <v>5026</v>
      </c>
      <c r="M2258">
        <v>9</v>
      </c>
      <c r="N2258">
        <v>0</v>
      </c>
      <c r="O2258">
        <v>0</v>
      </c>
    </row>
    <row r="2259" spans="1:15" x14ac:dyDescent="0.3">
      <c r="A2259" t="s">
        <v>2272</v>
      </c>
      <c r="B2259">
        <v>3</v>
      </c>
      <c r="C2259">
        <v>38</v>
      </c>
      <c r="D2259" t="s">
        <v>5015</v>
      </c>
      <c r="E2259" t="s">
        <v>5018</v>
      </c>
      <c r="F2259" t="s">
        <v>5020</v>
      </c>
      <c r="G2259">
        <v>15.63</v>
      </c>
      <c r="H2259">
        <v>1</v>
      </c>
      <c r="I2259">
        <v>8.9</v>
      </c>
      <c r="J2259">
        <v>20.94</v>
      </c>
      <c r="K2259">
        <v>47.1</v>
      </c>
      <c r="L2259" t="s">
        <v>5026</v>
      </c>
      <c r="M2259">
        <v>9</v>
      </c>
      <c r="N2259">
        <v>1</v>
      </c>
      <c r="O2259">
        <v>0</v>
      </c>
    </row>
    <row r="2260" spans="1:15" x14ac:dyDescent="0.3">
      <c r="A2260" t="s">
        <v>2273</v>
      </c>
      <c r="B2260">
        <v>5</v>
      </c>
      <c r="C2260">
        <v>56</v>
      </c>
      <c r="D2260" t="s">
        <v>5015</v>
      </c>
      <c r="E2260" t="s">
        <v>5018</v>
      </c>
      <c r="F2260" t="s">
        <v>5020</v>
      </c>
      <c r="G2260">
        <v>7.88</v>
      </c>
      <c r="H2260">
        <v>5</v>
      </c>
      <c r="I2260">
        <v>5</v>
      </c>
      <c r="J2260">
        <v>23.62</v>
      </c>
      <c r="K2260">
        <v>19.899999999999999</v>
      </c>
      <c r="L2260" t="s">
        <v>5025</v>
      </c>
      <c r="M2260">
        <v>7</v>
      </c>
      <c r="N2260">
        <v>3</v>
      </c>
      <c r="O2260">
        <v>0</v>
      </c>
    </row>
    <row r="2261" spans="1:15" x14ac:dyDescent="0.3">
      <c r="A2261" t="s">
        <v>2274</v>
      </c>
      <c r="B2261">
        <v>10</v>
      </c>
      <c r="C2261">
        <v>51</v>
      </c>
      <c r="D2261" t="s">
        <v>5015</v>
      </c>
      <c r="E2261" t="s">
        <v>5018</v>
      </c>
      <c r="F2261" t="s">
        <v>5024</v>
      </c>
      <c r="G2261">
        <v>21.5</v>
      </c>
      <c r="H2261">
        <v>1</v>
      </c>
      <c r="I2261">
        <v>3.2</v>
      </c>
      <c r="J2261">
        <v>7.26</v>
      </c>
      <c r="K2261">
        <v>83.8</v>
      </c>
      <c r="L2261" t="s">
        <v>5025</v>
      </c>
      <c r="M2261">
        <v>2</v>
      </c>
      <c r="N2261">
        <v>0</v>
      </c>
      <c r="O2261">
        <v>1</v>
      </c>
    </row>
    <row r="2262" spans="1:15" x14ac:dyDescent="0.3">
      <c r="A2262" t="s">
        <v>2275</v>
      </c>
      <c r="B2262">
        <v>8</v>
      </c>
      <c r="C2262">
        <v>47</v>
      </c>
      <c r="D2262" t="s">
        <v>5015</v>
      </c>
      <c r="E2262" t="s">
        <v>5019</v>
      </c>
      <c r="F2262" t="s">
        <v>5020</v>
      </c>
      <c r="G2262">
        <v>19.72</v>
      </c>
      <c r="H2262">
        <v>1</v>
      </c>
      <c r="I2262">
        <v>3</v>
      </c>
      <c r="J2262">
        <v>19.71</v>
      </c>
      <c r="K2262">
        <v>96.1</v>
      </c>
      <c r="L2262" t="s">
        <v>5025</v>
      </c>
      <c r="M2262">
        <v>7</v>
      </c>
      <c r="N2262">
        <v>3</v>
      </c>
      <c r="O2262">
        <v>0</v>
      </c>
    </row>
    <row r="2263" spans="1:15" x14ac:dyDescent="0.3">
      <c r="A2263" t="s">
        <v>2276</v>
      </c>
      <c r="B2263">
        <v>2</v>
      </c>
      <c r="C2263">
        <v>23</v>
      </c>
      <c r="D2263" t="s">
        <v>5016</v>
      </c>
      <c r="E2263" t="s">
        <v>5018</v>
      </c>
      <c r="F2263" t="s">
        <v>5023</v>
      </c>
      <c r="G2263">
        <v>15.6</v>
      </c>
      <c r="H2263">
        <v>1</v>
      </c>
      <c r="I2263">
        <v>1.3</v>
      </c>
      <c r="J2263">
        <v>9.9</v>
      </c>
      <c r="K2263">
        <v>33.700000000000003</v>
      </c>
      <c r="L2263" t="s">
        <v>5028</v>
      </c>
      <c r="M2263">
        <v>1</v>
      </c>
      <c r="N2263">
        <v>0</v>
      </c>
      <c r="O2263">
        <v>0</v>
      </c>
    </row>
    <row r="2264" spans="1:15" x14ac:dyDescent="0.3">
      <c r="A2264" t="s">
        <v>2277</v>
      </c>
      <c r="B2264">
        <v>6</v>
      </c>
      <c r="C2264">
        <v>34</v>
      </c>
      <c r="D2264" t="s">
        <v>5016</v>
      </c>
      <c r="E2264" t="s">
        <v>5019</v>
      </c>
      <c r="F2264" t="s">
        <v>5024</v>
      </c>
      <c r="G2264">
        <v>5.52</v>
      </c>
      <c r="H2264">
        <v>2</v>
      </c>
      <c r="I2264">
        <v>8.6</v>
      </c>
      <c r="J2264">
        <v>17.89</v>
      </c>
      <c r="K2264">
        <v>36.5</v>
      </c>
      <c r="L2264" t="s">
        <v>5027</v>
      </c>
      <c r="M2264">
        <v>9</v>
      </c>
      <c r="N2264">
        <v>1</v>
      </c>
      <c r="O2264">
        <v>1</v>
      </c>
    </row>
    <row r="2265" spans="1:15" x14ac:dyDescent="0.3">
      <c r="A2265" t="s">
        <v>2278</v>
      </c>
      <c r="B2265">
        <v>12</v>
      </c>
      <c r="C2265">
        <v>56</v>
      </c>
      <c r="D2265" t="s">
        <v>5015</v>
      </c>
      <c r="E2265" t="s">
        <v>5017</v>
      </c>
      <c r="F2265" t="s">
        <v>5022</v>
      </c>
      <c r="G2265">
        <v>14.63</v>
      </c>
      <c r="H2265">
        <v>5</v>
      </c>
      <c r="I2265">
        <v>3.4</v>
      </c>
      <c r="J2265">
        <v>9.75</v>
      </c>
      <c r="K2265">
        <v>72.400000000000006</v>
      </c>
      <c r="L2265" t="s">
        <v>5028</v>
      </c>
      <c r="M2265">
        <v>9</v>
      </c>
      <c r="N2265">
        <v>0</v>
      </c>
      <c r="O2265">
        <v>0</v>
      </c>
    </row>
    <row r="2266" spans="1:15" x14ac:dyDescent="0.3">
      <c r="A2266" t="s">
        <v>2279</v>
      </c>
      <c r="B2266">
        <v>5</v>
      </c>
      <c r="C2266">
        <v>42</v>
      </c>
      <c r="D2266" t="s">
        <v>5016</v>
      </c>
      <c r="E2266" t="s">
        <v>5018</v>
      </c>
      <c r="F2266" t="s">
        <v>5024</v>
      </c>
      <c r="G2266">
        <v>9.5</v>
      </c>
      <c r="H2266">
        <v>3</v>
      </c>
      <c r="I2266">
        <v>4.2</v>
      </c>
      <c r="J2266">
        <v>21.97</v>
      </c>
      <c r="K2266">
        <v>17.3</v>
      </c>
      <c r="L2266" t="s">
        <v>5025</v>
      </c>
      <c r="M2266">
        <v>6</v>
      </c>
      <c r="N2266">
        <v>2</v>
      </c>
      <c r="O2266">
        <v>0</v>
      </c>
    </row>
    <row r="2267" spans="1:15" x14ac:dyDescent="0.3">
      <c r="A2267" t="s">
        <v>2280</v>
      </c>
      <c r="B2267">
        <v>10</v>
      </c>
      <c r="C2267">
        <v>22</v>
      </c>
      <c r="D2267" t="s">
        <v>5015</v>
      </c>
      <c r="E2267" t="s">
        <v>5018</v>
      </c>
      <c r="F2267" t="s">
        <v>5021</v>
      </c>
      <c r="G2267">
        <v>13.27</v>
      </c>
      <c r="H2267">
        <v>4</v>
      </c>
      <c r="I2267">
        <v>8.3000000000000007</v>
      </c>
      <c r="J2267">
        <v>10.64</v>
      </c>
      <c r="K2267">
        <v>91.7</v>
      </c>
      <c r="L2267" t="s">
        <v>5025</v>
      </c>
      <c r="M2267">
        <v>10</v>
      </c>
      <c r="N2267">
        <v>1</v>
      </c>
      <c r="O2267">
        <v>1</v>
      </c>
    </row>
    <row r="2268" spans="1:15" x14ac:dyDescent="0.3">
      <c r="A2268" t="s">
        <v>2281</v>
      </c>
      <c r="B2268">
        <v>9</v>
      </c>
      <c r="C2268">
        <v>22</v>
      </c>
      <c r="D2268" t="s">
        <v>5015</v>
      </c>
      <c r="E2268" t="s">
        <v>5017</v>
      </c>
      <c r="F2268" t="s">
        <v>5023</v>
      </c>
      <c r="G2268">
        <v>22.13</v>
      </c>
      <c r="H2268">
        <v>5</v>
      </c>
      <c r="I2268">
        <v>2.1</v>
      </c>
      <c r="J2268">
        <v>21.67</v>
      </c>
      <c r="K2268">
        <v>20.9</v>
      </c>
      <c r="L2268" t="s">
        <v>5028</v>
      </c>
      <c r="M2268">
        <v>1</v>
      </c>
      <c r="N2268">
        <v>0</v>
      </c>
      <c r="O2268">
        <v>0</v>
      </c>
    </row>
    <row r="2269" spans="1:15" x14ac:dyDescent="0.3">
      <c r="A2269" t="s">
        <v>2282</v>
      </c>
      <c r="B2269">
        <v>12</v>
      </c>
      <c r="C2269">
        <v>37</v>
      </c>
      <c r="D2269" t="s">
        <v>5016</v>
      </c>
      <c r="E2269" t="s">
        <v>5018</v>
      </c>
      <c r="F2269" t="s">
        <v>5022</v>
      </c>
      <c r="G2269">
        <v>20.39</v>
      </c>
      <c r="H2269">
        <v>2</v>
      </c>
      <c r="I2269">
        <v>5.2</v>
      </c>
      <c r="J2269">
        <v>19.86</v>
      </c>
      <c r="K2269">
        <v>75.900000000000006</v>
      </c>
      <c r="L2269" t="s">
        <v>5026</v>
      </c>
      <c r="M2269">
        <v>8</v>
      </c>
      <c r="N2269">
        <v>0</v>
      </c>
      <c r="O2269">
        <v>0</v>
      </c>
    </row>
    <row r="2270" spans="1:15" x14ac:dyDescent="0.3">
      <c r="A2270" t="s">
        <v>2283</v>
      </c>
      <c r="B2270">
        <v>5</v>
      </c>
      <c r="C2270">
        <v>33</v>
      </c>
      <c r="D2270" t="s">
        <v>5016</v>
      </c>
      <c r="E2270" t="s">
        <v>5019</v>
      </c>
      <c r="F2270" t="s">
        <v>5020</v>
      </c>
      <c r="G2270">
        <v>9.84</v>
      </c>
      <c r="H2270">
        <v>5</v>
      </c>
      <c r="I2270">
        <v>2.1</v>
      </c>
      <c r="J2270">
        <v>7.32</v>
      </c>
      <c r="K2270">
        <v>36.200000000000003</v>
      </c>
      <c r="L2270" t="s">
        <v>5026</v>
      </c>
      <c r="M2270">
        <v>6</v>
      </c>
      <c r="N2270">
        <v>0</v>
      </c>
      <c r="O2270">
        <v>0</v>
      </c>
    </row>
    <row r="2271" spans="1:15" x14ac:dyDescent="0.3">
      <c r="A2271" t="s">
        <v>2284</v>
      </c>
      <c r="B2271">
        <v>2</v>
      </c>
      <c r="C2271">
        <v>68</v>
      </c>
      <c r="D2271" t="s">
        <v>5015</v>
      </c>
      <c r="E2271" t="s">
        <v>5019</v>
      </c>
      <c r="F2271" t="s">
        <v>5021</v>
      </c>
      <c r="G2271">
        <v>24.7</v>
      </c>
      <c r="H2271">
        <v>3</v>
      </c>
      <c r="I2271">
        <v>5</v>
      </c>
      <c r="J2271">
        <v>6.45</v>
      </c>
      <c r="K2271">
        <v>39.1</v>
      </c>
      <c r="L2271" t="s">
        <v>5025</v>
      </c>
      <c r="M2271">
        <v>9</v>
      </c>
      <c r="N2271">
        <v>2</v>
      </c>
      <c r="O2271">
        <v>0</v>
      </c>
    </row>
    <row r="2272" spans="1:15" x14ac:dyDescent="0.3">
      <c r="A2272" t="s">
        <v>2285</v>
      </c>
      <c r="B2272">
        <v>5</v>
      </c>
      <c r="C2272">
        <v>58</v>
      </c>
      <c r="D2272" t="s">
        <v>5016</v>
      </c>
      <c r="E2272" t="s">
        <v>5018</v>
      </c>
      <c r="F2272" t="s">
        <v>5021</v>
      </c>
      <c r="G2272">
        <v>23.06</v>
      </c>
      <c r="H2272">
        <v>5</v>
      </c>
      <c r="I2272">
        <v>1.4</v>
      </c>
      <c r="J2272">
        <v>20.149999999999999</v>
      </c>
      <c r="K2272">
        <v>22.7</v>
      </c>
      <c r="L2272" t="s">
        <v>5025</v>
      </c>
      <c r="M2272">
        <v>9</v>
      </c>
      <c r="N2272">
        <v>2</v>
      </c>
      <c r="O2272">
        <v>0</v>
      </c>
    </row>
    <row r="2273" spans="1:15" x14ac:dyDescent="0.3">
      <c r="A2273" t="s">
        <v>2286</v>
      </c>
      <c r="B2273">
        <v>12</v>
      </c>
      <c r="C2273">
        <v>54</v>
      </c>
      <c r="D2273" t="s">
        <v>5015</v>
      </c>
      <c r="E2273" t="s">
        <v>5018</v>
      </c>
      <c r="F2273" t="s">
        <v>5023</v>
      </c>
      <c r="G2273">
        <v>15.57</v>
      </c>
      <c r="H2273">
        <v>2</v>
      </c>
      <c r="I2273">
        <v>5.7</v>
      </c>
      <c r="J2273">
        <v>11.59</v>
      </c>
      <c r="K2273">
        <v>68.2</v>
      </c>
      <c r="L2273" t="s">
        <v>5027</v>
      </c>
      <c r="M2273">
        <v>7</v>
      </c>
      <c r="N2273">
        <v>0</v>
      </c>
      <c r="O2273">
        <v>0</v>
      </c>
    </row>
    <row r="2274" spans="1:15" x14ac:dyDescent="0.3">
      <c r="A2274" t="s">
        <v>2287</v>
      </c>
      <c r="B2274">
        <v>4</v>
      </c>
      <c r="C2274">
        <v>57</v>
      </c>
      <c r="D2274" t="s">
        <v>5016</v>
      </c>
      <c r="E2274" t="s">
        <v>5017</v>
      </c>
      <c r="F2274" t="s">
        <v>5022</v>
      </c>
      <c r="G2274">
        <v>15.6</v>
      </c>
      <c r="H2274">
        <v>2</v>
      </c>
      <c r="I2274">
        <v>8.1999999999999993</v>
      </c>
      <c r="J2274">
        <v>23.89</v>
      </c>
      <c r="K2274">
        <v>81.5</v>
      </c>
      <c r="L2274" t="s">
        <v>5026</v>
      </c>
      <c r="M2274">
        <v>4</v>
      </c>
      <c r="N2274">
        <v>2</v>
      </c>
      <c r="O2274">
        <v>0</v>
      </c>
    </row>
    <row r="2275" spans="1:15" x14ac:dyDescent="0.3">
      <c r="A2275" t="s">
        <v>2288</v>
      </c>
      <c r="B2275">
        <v>11</v>
      </c>
      <c r="C2275">
        <v>26</v>
      </c>
      <c r="D2275" t="s">
        <v>5016</v>
      </c>
      <c r="E2275" t="s">
        <v>5017</v>
      </c>
      <c r="F2275" t="s">
        <v>5021</v>
      </c>
      <c r="G2275">
        <v>23.03</v>
      </c>
      <c r="H2275">
        <v>4</v>
      </c>
      <c r="I2275">
        <v>7.1</v>
      </c>
      <c r="J2275">
        <v>23.74</v>
      </c>
      <c r="K2275">
        <v>95.5</v>
      </c>
      <c r="L2275" t="s">
        <v>5027</v>
      </c>
      <c r="M2275">
        <v>11</v>
      </c>
      <c r="N2275">
        <v>0</v>
      </c>
      <c r="O2275">
        <v>0</v>
      </c>
    </row>
    <row r="2276" spans="1:15" x14ac:dyDescent="0.3">
      <c r="A2276" t="s">
        <v>2289</v>
      </c>
      <c r="B2276">
        <v>7</v>
      </c>
      <c r="C2276">
        <v>22</v>
      </c>
      <c r="D2276" t="s">
        <v>5016</v>
      </c>
      <c r="E2276" t="s">
        <v>5018</v>
      </c>
      <c r="F2276" t="s">
        <v>5022</v>
      </c>
      <c r="G2276">
        <v>17.72</v>
      </c>
      <c r="H2276">
        <v>3</v>
      </c>
      <c r="I2276">
        <v>5.6</v>
      </c>
      <c r="J2276">
        <v>18.260000000000002</v>
      </c>
      <c r="K2276">
        <v>39.799999999999997</v>
      </c>
      <c r="L2276" t="s">
        <v>5025</v>
      </c>
      <c r="M2276">
        <v>1</v>
      </c>
      <c r="N2276">
        <v>2</v>
      </c>
      <c r="O2276">
        <v>0</v>
      </c>
    </row>
    <row r="2277" spans="1:15" x14ac:dyDescent="0.3">
      <c r="A2277" t="s">
        <v>2290</v>
      </c>
      <c r="B2277">
        <v>6</v>
      </c>
      <c r="C2277">
        <v>59</v>
      </c>
      <c r="D2277" t="s">
        <v>5016</v>
      </c>
      <c r="E2277" t="s">
        <v>5017</v>
      </c>
      <c r="F2277" t="s">
        <v>5022</v>
      </c>
      <c r="G2277">
        <v>15.73</v>
      </c>
      <c r="H2277">
        <v>4</v>
      </c>
      <c r="I2277">
        <v>8.5</v>
      </c>
      <c r="J2277">
        <v>14.01</v>
      </c>
      <c r="K2277">
        <v>65.900000000000006</v>
      </c>
      <c r="L2277" t="s">
        <v>5025</v>
      </c>
      <c r="M2277">
        <v>3</v>
      </c>
      <c r="N2277">
        <v>3</v>
      </c>
      <c r="O2277">
        <v>0</v>
      </c>
    </row>
    <row r="2278" spans="1:15" x14ac:dyDescent="0.3">
      <c r="A2278" t="s">
        <v>2291</v>
      </c>
      <c r="B2278">
        <v>2</v>
      </c>
      <c r="C2278">
        <v>19</v>
      </c>
      <c r="D2278" t="s">
        <v>5016</v>
      </c>
      <c r="E2278" t="s">
        <v>5019</v>
      </c>
      <c r="F2278" t="s">
        <v>5021</v>
      </c>
      <c r="G2278">
        <v>19.98</v>
      </c>
      <c r="H2278">
        <v>1</v>
      </c>
      <c r="I2278">
        <v>3.1</v>
      </c>
      <c r="J2278">
        <v>7.29</v>
      </c>
      <c r="K2278">
        <v>47.3</v>
      </c>
      <c r="L2278" t="s">
        <v>5027</v>
      </c>
      <c r="M2278">
        <v>6</v>
      </c>
      <c r="N2278">
        <v>0</v>
      </c>
      <c r="O2278">
        <v>0</v>
      </c>
    </row>
    <row r="2279" spans="1:15" x14ac:dyDescent="0.3">
      <c r="A2279" t="s">
        <v>2292</v>
      </c>
      <c r="B2279">
        <v>12</v>
      </c>
      <c r="C2279">
        <v>26</v>
      </c>
      <c r="D2279" t="s">
        <v>5015</v>
      </c>
      <c r="E2279" t="s">
        <v>5019</v>
      </c>
      <c r="F2279" t="s">
        <v>5022</v>
      </c>
      <c r="G2279">
        <v>9.6999999999999993</v>
      </c>
      <c r="H2279">
        <v>2</v>
      </c>
      <c r="I2279">
        <v>8.5</v>
      </c>
      <c r="J2279">
        <v>22.41</v>
      </c>
      <c r="K2279">
        <v>60.2</v>
      </c>
      <c r="L2279" t="s">
        <v>5027</v>
      </c>
      <c r="M2279">
        <v>1</v>
      </c>
      <c r="N2279">
        <v>0</v>
      </c>
      <c r="O2279">
        <v>0</v>
      </c>
    </row>
    <row r="2280" spans="1:15" x14ac:dyDescent="0.3">
      <c r="A2280" t="s">
        <v>2293</v>
      </c>
      <c r="B2280">
        <v>11</v>
      </c>
      <c r="C2280">
        <v>60</v>
      </c>
      <c r="D2280" t="s">
        <v>5016</v>
      </c>
      <c r="E2280" t="s">
        <v>5019</v>
      </c>
      <c r="F2280" t="s">
        <v>5023</v>
      </c>
      <c r="G2280">
        <v>22.57</v>
      </c>
      <c r="H2280">
        <v>4</v>
      </c>
      <c r="I2280">
        <v>3.5</v>
      </c>
      <c r="J2280">
        <v>4.8</v>
      </c>
      <c r="K2280">
        <v>24.7</v>
      </c>
      <c r="L2280" t="s">
        <v>5025</v>
      </c>
      <c r="M2280">
        <v>4</v>
      </c>
      <c r="N2280">
        <v>4</v>
      </c>
      <c r="O2280">
        <v>1</v>
      </c>
    </row>
    <row r="2281" spans="1:15" x14ac:dyDescent="0.3">
      <c r="A2281" t="s">
        <v>2294</v>
      </c>
      <c r="B2281">
        <v>11</v>
      </c>
      <c r="C2281">
        <v>53</v>
      </c>
      <c r="D2281" t="s">
        <v>5016</v>
      </c>
      <c r="E2281" t="s">
        <v>5018</v>
      </c>
      <c r="F2281" t="s">
        <v>5021</v>
      </c>
      <c r="G2281">
        <v>15.63</v>
      </c>
      <c r="H2281">
        <v>2</v>
      </c>
      <c r="I2281">
        <v>4.3</v>
      </c>
      <c r="J2281">
        <v>11.15</v>
      </c>
      <c r="K2281">
        <v>62.4</v>
      </c>
      <c r="L2281" t="s">
        <v>5029</v>
      </c>
      <c r="M2281">
        <v>8</v>
      </c>
      <c r="N2281">
        <v>4</v>
      </c>
      <c r="O2281">
        <v>0</v>
      </c>
    </row>
    <row r="2282" spans="1:15" x14ac:dyDescent="0.3">
      <c r="A2282" t="s">
        <v>2295</v>
      </c>
      <c r="B2282">
        <v>5</v>
      </c>
      <c r="C2282">
        <v>39</v>
      </c>
      <c r="D2282" t="s">
        <v>5015</v>
      </c>
      <c r="E2282" t="s">
        <v>5019</v>
      </c>
      <c r="F2282" t="s">
        <v>5023</v>
      </c>
      <c r="G2282">
        <v>17.07</v>
      </c>
      <c r="H2282">
        <v>2</v>
      </c>
      <c r="I2282">
        <v>2.2000000000000002</v>
      </c>
      <c r="J2282">
        <v>10.02</v>
      </c>
      <c r="K2282">
        <v>86.4</v>
      </c>
      <c r="L2282" t="s">
        <v>5025</v>
      </c>
      <c r="M2282">
        <v>8</v>
      </c>
      <c r="N2282">
        <v>1</v>
      </c>
      <c r="O2282">
        <v>1</v>
      </c>
    </row>
    <row r="2283" spans="1:15" x14ac:dyDescent="0.3">
      <c r="A2283" t="s">
        <v>2296</v>
      </c>
      <c r="B2283">
        <v>7</v>
      </c>
      <c r="C2283">
        <v>39</v>
      </c>
      <c r="D2283" t="s">
        <v>5015</v>
      </c>
      <c r="E2283" t="s">
        <v>5018</v>
      </c>
      <c r="F2283" t="s">
        <v>5023</v>
      </c>
      <c r="G2283">
        <v>6.8</v>
      </c>
      <c r="H2283">
        <v>1</v>
      </c>
      <c r="I2283">
        <v>1.9</v>
      </c>
      <c r="J2283">
        <v>24.09</v>
      </c>
      <c r="K2283">
        <v>87.7</v>
      </c>
      <c r="L2283" t="s">
        <v>5026</v>
      </c>
      <c r="M2283">
        <v>6</v>
      </c>
      <c r="N2283">
        <v>3</v>
      </c>
      <c r="O2283">
        <v>1</v>
      </c>
    </row>
    <row r="2284" spans="1:15" x14ac:dyDescent="0.3">
      <c r="A2284" t="s">
        <v>2297</v>
      </c>
      <c r="B2284">
        <v>11</v>
      </c>
      <c r="C2284">
        <v>39</v>
      </c>
      <c r="D2284" t="s">
        <v>5015</v>
      </c>
      <c r="E2284" t="s">
        <v>5018</v>
      </c>
      <c r="F2284" t="s">
        <v>5022</v>
      </c>
      <c r="G2284">
        <v>11.19</v>
      </c>
      <c r="H2284">
        <v>2</v>
      </c>
      <c r="I2284">
        <v>9.4</v>
      </c>
      <c r="J2284">
        <v>5.6</v>
      </c>
      <c r="K2284">
        <v>53.5</v>
      </c>
      <c r="L2284" t="s">
        <v>5025</v>
      </c>
      <c r="M2284">
        <v>6</v>
      </c>
      <c r="N2284">
        <v>3</v>
      </c>
      <c r="O2284">
        <v>0</v>
      </c>
    </row>
    <row r="2285" spans="1:15" x14ac:dyDescent="0.3">
      <c r="A2285" t="s">
        <v>2298</v>
      </c>
      <c r="B2285">
        <v>7</v>
      </c>
      <c r="C2285">
        <v>51</v>
      </c>
      <c r="D2285" t="s">
        <v>5016</v>
      </c>
      <c r="E2285" t="s">
        <v>5019</v>
      </c>
      <c r="F2285" t="s">
        <v>5022</v>
      </c>
      <c r="G2285">
        <v>13.53</v>
      </c>
      <c r="H2285">
        <v>4</v>
      </c>
      <c r="I2285">
        <v>2.7</v>
      </c>
      <c r="J2285">
        <v>22.58</v>
      </c>
      <c r="K2285">
        <v>31.2</v>
      </c>
      <c r="L2285" t="s">
        <v>5028</v>
      </c>
      <c r="M2285">
        <v>3</v>
      </c>
      <c r="N2285">
        <v>1</v>
      </c>
      <c r="O2285">
        <v>0</v>
      </c>
    </row>
    <row r="2286" spans="1:15" x14ac:dyDescent="0.3">
      <c r="A2286" t="s">
        <v>2299</v>
      </c>
      <c r="B2286">
        <v>5</v>
      </c>
      <c r="C2286">
        <v>46</v>
      </c>
      <c r="D2286" t="s">
        <v>5016</v>
      </c>
      <c r="E2286" t="s">
        <v>5018</v>
      </c>
      <c r="F2286" t="s">
        <v>5021</v>
      </c>
      <c r="G2286">
        <v>13.28</v>
      </c>
      <c r="H2286">
        <v>3</v>
      </c>
      <c r="I2286">
        <v>4</v>
      </c>
      <c r="J2286">
        <v>13.04</v>
      </c>
      <c r="K2286">
        <v>85.3</v>
      </c>
      <c r="L2286" t="s">
        <v>5025</v>
      </c>
      <c r="M2286">
        <v>7</v>
      </c>
      <c r="N2286">
        <v>4</v>
      </c>
      <c r="O2286">
        <v>0</v>
      </c>
    </row>
    <row r="2287" spans="1:15" x14ac:dyDescent="0.3">
      <c r="A2287" t="s">
        <v>2300</v>
      </c>
      <c r="B2287">
        <v>12</v>
      </c>
      <c r="C2287">
        <v>55</v>
      </c>
      <c r="D2287" t="s">
        <v>5015</v>
      </c>
      <c r="E2287" t="s">
        <v>5017</v>
      </c>
      <c r="F2287" t="s">
        <v>5020</v>
      </c>
      <c r="G2287">
        <v>20.57</v>
      </c>
      <c r="H2287">
        <v>5</v>
      </c>
      <c r="I2287">
        <v>5.8</v>
      </c>
      <c r="J2287">
        <v>4.04</v>
      </c>
      <c r="K2287">
        <v>99.9</v>
      </c>
      <c r="L2287" t="s">
        <v>5029</v>
      </c>
      <c r="M2287">
        <v>8</v>
      </c>
      <c r="N2287">
        <v>1</v>
      </c>
      <c r="O2287">
        <v>0</v>
      </c>
    </row>
    <row r="2288" spans="1:15" x14ac:dyDescent="0.3">
      <c r="A2288" t="s">
        <v>2301</v>
      </c>
      <c r="B2288">
        <v>9</v>
      </c>
      <c r="C2288">
        <v>63</v>
      </c>
      <c r="D2288" t="s">
        <v>5015</v>
      </c>
      <c r="E2288" t="s">
        <v>5019</v>
      </c>
      <c r="F2288" t="s">
        <v>5021</v>
      </c>
      <c r="G2288">
        <v>10.65</v>
      </c>
      <c r="H2288">
        <v>4</v>
      </c>
      <c r="I2288">
        <v>4.0999999999999996</v>
      </c>
      <c r="J2288">
        <v>19.04</v>
      </c>
      <c r="K2288">
        <v>43.9</v>
      </c>
      <c r="L2288" t="s">
        <v>5026</v>
      </c>
      <c r="M2288">
        <v>2</v>
      </c>
      <c r="N2288">
        <v>4</v>
      </c>
      <c r="O2288">
        <v>1</v>
      </c>
    </row>
    <row r="2289" spans="1:15" x14ac:dyDescent="0.3">
      <c r="A2289" t="s">
        <v>2302</v>
      </c>
      <c r="B2289">
        <v>4</v>
      </c>
      <c r="C2289">
        <v>50</v>
      </c>
      <c r="D2289" t="s">
        <v>5015</v>
      </c>
      <c r="E2289" t="s">
        <v>5019</v>
      </c>
      <c r="F2289" t="s">
        <v>5023</v>
      </c>
      <c r="G2289">
        <v>8.64</v>
      </c>
      <c r="H2289">
        <v>1</v>
      </c>
      <c r="I2289">
        <v>8.8000000000000007</v>
      </c>
      <c r="J2289">
        <v>5.22</v>
      </c>
      <c r="K2289">
        <v>93.2</v>
      </c>
      <c r="L2289" t="s">
        <v>5025</v>
      </c>
      <c r="M2289">
        <v>5</v>
      </c>
      <c r="N2289">
        <v>0</v>
      </c>
      <c r="O2289">
        <v>0</v>
      </c>
    </row>
    <row r="2290" spans="1:15" x14ac:dyDescent="0.3">
      <c r="A2290" t="s">
        <v>2303</v>
      </c>
      <c r="B2290">
        <v>11</v>
      </c>
      <c r="C2290">
        <v>35</v>
      </c>
      <c r="D2290" t="s">
        <v>5015</v>
      </c>
      <c r="E2290" t="s">
        <v>5019</v>
      </c>
      <c r="F2290" t="s">
        <v>5022</v>
      </c>
      <c r="G2290">
        <v>16.649999999999999</v>
      </c>
      <c r="H2290">
        <v>5</v>
      </c>
      <c r="I2290">
        <v>9.1</v>
      </c>
      <c r="J2290">
        <v>8.2100000000000009</v>
      </c>
      <c r="K2290">
        <v>98.5</v>
      </c>
      <c r="L2290" t="s">
        <v>5027</v>
      </c>
      <c r="M2290">
        <v>6</v>
      </c>
      <c r="N2290">
        <v>1</v>
      </c>
      <c r="O2290">
        <v>0</v>
      </c>
    </row>
    <row r="2291" spans="1:15" x14ac:dyDescent="0.3">
      <c r="A2291" t="s">
        <v>2304</v>
      </c>
      <c r="B2291">
        <v>3</v>
      </c>
      <c r="C2291">
        <v>24</v>
      </c>
      <c r="D2291" t="s">
        <v>5016</v>
      </c>
      <c r="E2291" t="s">
        <v>5018</v>
      </c>
      <c r="F2291" t="s">
        <v>5023</v>
      </c>
      <c r="G2291">
        <v>17.3</v>
      </c>
      <c r="H2291">
        <v>2</v>
      </c>
      <c r="I2291">
        <v>3.9</v>
      </c>
      <c r="J2291">
        <v>20.59</v>
      </c>
      <c r="K2291">
        <v>45.6</v>
      </c>
      <c r="L2291" t="s">
        <v>5026</v>
      </c>
      <c r="M2291">
        <v>1</v>
      </c>
      <c r="N2291">
        <v>2</v>
      </c>
      <c r="O2291">
        <v>1</v>
      </c>
    </row>
    <row r="2292" spans="1:15" x14ac:dyDescent="0.3">
      <c r="A2292" t="s">
        <v>2305</v>
      </c>
      <c r="B2292">
        <v>4</v>
      </c>
      <c r="C2292">
        <v>18</v>
      </c>
      <c r="D2292" t="s">
        <v>5016</v>
      </c>
      <c r="E2292" t="s">
        <v>5018</v>
      </c>
      <c r="F2292" t="s">
        <v>5024</v>
      </c>
      <c r="G2292">
        <v>7.43</v>
      </c>
      <c r="H2292">
        <v>4</v>
      </c>
      <c r="I2292">
        <v>1.8</v>
      </c>
      <c r="J2292">
        <v>6.4</v>
      </c>
      <c r="K2292">
        <v>74.5</v>
      </c>
      <c r="L2292" t="s">
        <v>5026</v>
      </c>
      <c r="M2292">
        <v>5</v>
      </c>
      <c r="N2292">
        <v>4</v>
      </c>
      <c r="O2292">
        <v>0</v>
      </c>
    </row>
    <row r="2293" spans="1:15" x14ac:dyDescent="0.3">
      <c r="A2293" t="s">
        <v>2306</v>
      </c>
      <c r="B2293">
        <v>5</v>
      </c>
      <c r="C2293">
        <v>50</v>
      </c>
      <c r="D2293" t="s">
        <v>5016</v>
      </c>
      <c r="E2293" t="s">
        <v>5019</v>
      </c>
      <c r="F2293" t="s">
        <v>5024</v>
      </c>
      <c r="G2293">
        <v>5.05</v>
      </c>
      <c r="H2293">
        <v>5</v>
      </c>
      <c r="I2293">
        <v>2.9</v>
      </c>
      <c r="J2293">
        <v>10.16</v>
      </c>
      <c r="K2293">
        <v>62.3</v>
      </c>
      <c r="L2293" t="s">
        <v>5029</v>
      </c>
      <c r="M2293">
        <v>3</v>
      </c>
      <c r="N2293">
        <v>0</v>
      </c>
      <c r="O2293">
        <v>0</v>
      </c>
    </row>
    <row r="2294" spans="1:15" x14ac:dyDescent="0.3">
      <c r="A2294" t="s">
        <v>2307</v>
      </c>
      <c r="B2294">
        <v>6</v>
      </c>
      <c r="C2294">
        <v>18</v>
      </c>
      <c r="D2294" t="s">
        <v>5016</v>
      </c>
      <c r="E2294" t="s">
        <v>5017</v>
      </c>
      <c r="F2294" t="s">
        <v>5023</v>
      </c>
      <c r="G2294">
        <v>23.35</v>
      </c>
      <c r="H2294">
        <v>4</v>
      </c>
      <c r="I2294">
        <v>5.3</v>
      </c>
      <c r="J2294">
        <v>10.94</v>
      </c>
      <c r="K2294">
        <v>75</v>
      </c>
      <c r="L2294" t="s">
        <v>5027</v>
      </c>
      <c r="M2294">
        <v>3</v>
      </c>
      <c r="N2294">
        <v>2</v>
      </c>
      <c r="O2294">
        <v>0</v>
      </c>
    </row>
    <row r="2295" spans="1:15" x14ac:dyDescent="0.3">
      <c r="A2295" t="s">
        <v>2308</v>
      </c>
      <c r="B2295">
        <v>3</v>
      </c>
      <c r="C2295">
        <v>41</v>
      </c>
      <c r="D2295" t="s">
        <v>5016</v>
      </c>
      <c r="E2295" t="s">
        <v>5018</v>
      </c>
      <c r="F2295" t="s">
        <v>5020</v>
      </c>
      <c r="G2295">
        <v>6.59</v>
      </c>
      <c r="H2295">
        <v>2</v>
      </c>
      <c r="I2295">
        <v>3.6</v>
      </c>
      <c r="J2295">
        <v>15.95</v>
      </c>
      <c r="K2295">
        <v>23.9</v>
      </c>
      <c r="L2295" t="s">
        <v>5028</v>
      </c>
      <c r="M2295">
        <v>6</v>
      </c>
      <c r="N2295">
        <v>2</v>
      </c>
      <c r="O2295">
        <v>0</v>
      </c>
    </row>
    <row r="2296" spans="1:15" x14ac:dyDescent="0.3">
      <c r="A2296" t="s">
        <v>2309</v>
      </c>
      <c r="B2296">
        <v>2</v>
      </c>
      <c r="C2296">
        <v>21</v>
      </c>
      <c r="D2296" t="s">
        <v>5015</v>
      </c>
      <c r="E2296" t="s">
        <v>5017</v>
      </c>
      <c r="F2296" t="s">
        <v>5020</v>
      </c>
      <c r="G2296">
        <v>22.96</v>
      </c>
      <c r="H2296">
        <v>4</v>
      </c>
      <c r="I2296">
        <v>5.0999999999999996</v>
      </c>
      <c r="J2296">
        <v>20.38</v>
      </c>
      <c r="K2296">
        <v>43</v>
      </c>
      <c r="L2296" t="s">
        <v>5025</v>
      </c>
      <c r="M2296">
        <v>11</v>
      </c>
      <c r="N2296">
        <v>3</v>
      </c>
      <c r="O2296">
        <v>0</v>
      </c>
    </row>
    <row r="2297" spans="1:15" x14ac:dyDescent="0.3">
      <c r="A2297" t="s">
        <v>2310</v>
      </c>
      <c r="B2297">
        <v>4</v>
      </c>
      <c r="C2297">
        <v>21</v>
      </c>
      <c r="D2297" t="s">
        <v>5016</v>
      </c>
      <c r="E2297" t="s">
        <v>5018</v>
      </c>
      <c r="F2297" t="s">
        <v>5021</v>
      </c>
      <c r="G2297">
        <v>12.98</v>
      </c>
      <c r="H2297">
        <v>1</v>
      </c>
      <c r="I2297">
        <v>7.8</v>
      </c>
      <c r="J2297">
        <v>8.08</v>
      </c>
      <c r="K2297">
        <v>15.7</v>
      </c>
      <c r="L2297" t="s">
        <v>5028</v>
      </c>
      <c r="M2297">
        <v>1</v>
      </c>
      <c r="N2297">
        <v>4</v>
      </c>
      <c r="O2297">
        <v>0</v>
      </c>
    </row>
    <row r="2298" spans="1:15" x14ac:dyDescent="0.3">
      <c r="A2298" t="s">
        <v>2311</v>
      </c>
      <c r="B2298">
        <v>5</v>
      </c>
      <c r="C2298">
        <v>35</v>
      </c>
      <c r="D2298" t="s">
        <v>5015</v>
      </c>
      <c r="E2298" t="s">
        <v>5018</v>
      </c>
      <c r="F2298" t="s">
        <v>5021</v>
      </c>
      <c r="G2298">
        <v>18.059999999999999</v>
      </c>
      <c r="H2298">
        <v>5</v>
      </c>
      <c r="I2298">
        <v>4.8</v>
      </c>
      <c r="J2298">
        <v>7.53</v>
      </c>
      <c r="K2298">
        <v>65.2</v>
      </c>
      <c r="L2298" t="s">
        <v>5027</v>
      </c>
      <c r="M2298">
        <v>5</v>
      </c>
      <c r="N2298">
        <v>0</v>
      </c>
      <c r="O2298">
        <v>1</v>
      </c>
    </row>
    <row r="2299" spans="1:15" x14ac:dyDescent="0.3">
      <c r="A2299" t="s">
        <v>2312</v>
      </c>
      <c r="B2299">
        <v>4</v>
      </c>
      <c r="C2299">
        <v>44</v>
      </c>
      <c r="D2299" t="s">
        <v>5015</v>
      </c>
      <c r="E2299" t="s">
        <v>5017</v>
      </c>
      <c r="F2299" t="s">
        <v>5021</v>
      </c>
      <c r="G2299">
        <v>8.7100000000000009</v>
      </c>
      <c r="H2299">
        <v>5</v>
      </c>
      <c r="I2299">
        <v>2.8</v>
      </c>
      <c r="J2299">
        <v>7.88</v>
      </c>
      <c r="K2299">
        <v>93.4</v>
      </c>
      <c r="L2299" t="s">
        <v>5026</v>
      </c>
      <c r="M2299">
        <v>5</v>
      </c>
      <c r="N2299">
        <v>4</v>
      </c>
      <c r="O2299">
        <v>0</v>
      </c>
    </row>
    <row r="2300" spans="1:15" x14ac:dyDescent="0.3">
      <c r="A2300" t="s">
        <v>2313</v>
      </c>
      <c r="B2300">
        <v>11</v>
      </c>
      <c r="C2300">
        <v>60</v>
      </c>
      <c r="D2300" t="s">
        <v>5015</v>
      </c>
      <c r="E2300" t="s">
        <v>5017</v>
      </c>
      <c r="F2300" t="s">
        <v>5022</v>
      </c>
      <c r="G2300">
        <v>21.48</v>
      </c>
      <c r="H2300">
        <v>5</v>
      </c>
      <c r="I2300">
        <v>4.2</v>
      </c>
      <c r="J2300">
        <v>11.4</v>
      </c>
      <c r="K2300">
        <v>60.4</v>
      </c>
      <c r="L2300" t="s">
        <v>5029</v>
      </c>
      <c r="M2300">
        <v>5</v>
      </c>
      <c r="N2300">
        <v>0</v>
      </c>
      <c r="O2300">
        <v>1</v>
      </c>
    </row>
    <row r="2301" spans="1:15" x14ac:dyDescent="0.3">
      <c r="A2301" t="s">
        <v>2314</v>
      </c>
      <c r="B2301">
        <v>12</v>
      </c>
      <c r="C2301">
        <v>49</v>
      </c>
      <c r="D2301" t="s">
        <v>5016</v>
      </c>
      <c r="E2301" t="s">
        <v>5018</v>
      </c>
      <c r="F2301" t="s">
        <v>5020</v>
      </c>
      <c r="G2301">
        <v>8.6</v>
      </c>
      <c r="H2301">
        <v>4</v>
      </c>
      <c r="I2301">
        <v>7.7</v>
      </c>
      <c r="J2301">
        <v>14.77</v>
      </c>
      <c r="K2301">
        <v>16.3</v>
      </c>
      <c r="L2301" t="s">
        <v>5029</v>
      </c>
      <c r="M2301">
        <v>3</v>
      </c>
      <c r="N2301">
        <v>4</v>
      </c>
      <c r="O2301">
        <v>0</v>
      </c>
    </row>
    <row r="2302" spans="1:15" x14ac:dyDescent="0.3">
      <c r="A2302" t="s">
        <v>2315</v>
      </c>
      <c r="B2302">
        <v>3</v>
      </c>
      <c r="C2302">
        <v>50</v>
      </c>
      <c r="D2302" t="s">
        <v>5015</v>
      </c>
      <c r="E2302" t="s">
        <v>5017</v>
      </c>
      <c r="F2302" t="s">
        <v>5023</v>
      </c>
      <c r="G2302">
        <v>12.73</v>
      </c>
      <c r="H2302">
        <v>2</v>
      </c>
      <c r="I2302">
        <v>4.8</v>
      </c>
      <c r="J2302">
        <v>3.3</v>
      </c>
      <c r="K2302">
        <v>93.7</v>
      </c>
      <c r="L2302" t="s">
        <v>5026</v>
      </c>
      <c r="M2302">
        <v>6</v>
      </c>
      <c r="N2302">
        <v>2</v>
      </c>
      <c r="O2302">
        <v>0</v>
      </c>
    </row>
    <row r="2303" spans="1:15" x14ac:dyDescent="0.3">
      <c r="A2303" t="s">
        <v>2316</v>
      </c>
      <c r="B2303">
        <v>8</v>
      </c>
      <c r="C2303">
        <v>45</v>
      </c>
      <c r="D2303" t="s">
        <v>5016</v>
      </c>
      <c r="E2303" t="s">
        <v>5017</v>
      </c>
      <c r="F2303" t="s">
        <v>5024</v>
      </c>
      <c r="G2303">
        <v>9.76</v>
      </c>
      <c r="H2303">
        <v>4</v>
      </c>
      <c r="I2303">
        <v>3.2</v>
      </c>
      <c r="J2303">
        <v>20.170000000000002</v>
      </c>
      <c r="K2303">
        <v>22</v>
      </c>
      <c r="L2303" t="s">
        <v>5029</v>
      </c>
      <c r="M2303">
        <v>11</v>
      </c>
      <c r="N2303">
        <v>3</v>
      </c>
      <c r="O2303">
        <v>1</v>
      </c>
    </row>
    <row r="2304" spans="1:15" x14ac:dyDescent="0.3">
      <c r="A2304" t="s">
        <v>2317</v>
      </c>
      <c r="B2304">
        <v>10</v>
      </c>
      <c r="C2304">
        <v>59</v>
      </c>
      <c r="D2304" t="s">
        <v>5015</v>
      </c>
      <c r="E2304" t="s">
        <v>5019</v>
      </c>
      <c r="F2304" t="s">
        <v>5020</v>
      </c>
      <c r="G2304">
        <v>21.75</v>
      </c>
      <c r="H2304">
        <v>4</v>
      </c>
      <c r="I2304">
        <v>4.8</v>
      </c>
      <c r="J2304">
        <v>23.39</v>
      </c>
      <c r="K2304">
        <v>89.5</v>
      </c>
      <c r="L2304" t="s">
        <v>5028</v>
      </c>
      <c r="M2304">
        <v>1</v>
      </c>
      <c r="N2304">
        <v>1</v>
      </c>
      <c r="O2304">
        <v>0</v>
      </c>
    </row>
    <row r="2305" spans="1:15" x14ac:dyDescent="0.3">
      <c r="A2305" t="s">
        <v>2318</v>
      </c>
      <c r="B2305">
        <v>4</v>
      </c>
      <c r="C2305">
        <v>58</v>
      </c>
      <c r="D2305" t="s">
        <v>5016</v>
      </c>
      <c r="E2305" t="s">
        <v>5018</v>
      </c>
      <c r="F2305" t="s">
        <v>5020</v>
      </c>
      <c r="G2305">
        <v>22.17</v>
      </c>
      <c r="H2305">
        <v>5</v>
      </c>
      <c r="I2305">
        <v>5.0999999999999996</v>
      </c>
      <c r="J2305">
        <v>21.56</v>
      </c>
      <c r="K2305">
        <v>74.3</v>
      </c>
      <c r="L2305" t="s">
        <v>5026</v>
      </c>
      <c r="M2305">
        <v>10</v>
      </c>
      <c r="N2305">
        <v>4</v>
      </c>
      <c r="O2305">
        <v>0</v>
      </c>
    </row>
    <row r="2306" spans="1:15" x14ac:dyDescent="0.3">
      <c r="A2306" t="s">
        <v>2319</v>
      </c>
      <c r="B2306">
        <v>2</v>
      </c>
      <c r="C2306">
        <v>53</v>
      </c>
      <c r="D2306" t="s">
        <v>5015</v>
      </c>
      <c r="E2306" t="s">
        <v>5018</v>
      </c>
      <c r="F2306" t="s">
        <v>5020</v>
      </c>
      <c r="G2306">
        <v>12.44</v>
      </c>
      <c r="H2306">
        <v>2</v>
      </c>
      <c r="I2306">
        <v>3.7</v>
      </c>
      <c r="J2306">
        <v>3.82</v>
      </c>
      <c r="K2306">
        <v>67.3</v>
      </c>
      <c r="L2306" t="s">
        <v>5025</v>
      </c>
      <c r="M2306">
        <v>1</v>
      </c>
      <c r="N2306">
        <v>2</v>
      </c>
      <c r="O2306">
        <v>0</v>
      </c>
    </row>
    <row r="2307" spans="1:15" x14ac:dyDescent="0.3">
      <c r="A2307" t="s">
        <v>2320</v>
      </c>
      <c r="B2307">
        <v>2</v>
      </c>
      <c r="C2307">
        <v>23</v>
      </c>
      <c r="D2307" t="s">
        <v>5016</v>
      </c>
      <c r="E2307" t="s">
        <v>5019</v>
      </c>
      <c r="F2307" t="s">
        <v>5021</v>
      </c>
      <c r="G2307">
        <v>11.15</v>
      </c>
      <c r="H2307">
        <v>3</v>
      </c>
      <c r="I2307">
        <v>10</v>
      </c>
      <c r="J2307">
        <v>14.54</v>
      </c>
      <c r="K2307">
        <v>62.8</v>
      </c>
      <c r="L2307" t="s">
        <v>5025</v>
      </c>
      <c r="M2307">
        <v>11</v>
      </c>
      <c r="N2307">
        <v>1</v>
      </c>
      <c r="O2307">
        <v>0</v>
      </c>
    </row>
    <row r="2308" spans="1:15" x14ac:dyDescent="0.3">
      <c r="A2308" t="s">
        <v>2321</v>
      </c>
      <c r="B2308">
        <v>1</v>
      </c>
      <c r="C2308">
        <v>33</v>
      </c>
      <c r="D2308" t="s">
        <v>5015</v>
      </c>
      <c r="E2308" t="s">
        <v>5017</v>
      </c>
      <c r="F2308" t="s">
        <v>5022</v>
      </c>
      <c r="G2308">
        <v>20.47</v>
      </c>
      <c r="H2308">
        <v>2</v>
      </c>
      <c r="I2308">
        <v>7.9</v>
      </c>
      <c r="J2308">
        <v>20.91</v>
      </c>
      <c r="K2308">
        <v>21.8</v>
      </c>
      <c r="L2308" t="s">
        <v>5027</v>
      </c>
      <c r="M2308">
        <v>2</v>
      </c>
      <c r="N2308">
        <v>1</v>
      </c>
      <c r="O2308">
        <v>0</v>
      </c>
    </row>
    <row r="2309" spans="1:15" x14ac:dyDescent="0.3">
      <c r="A2309" t="s">
        <v>2322</v>
      </c>
      <c r="B2309">
        <v>4</v>
      </c>
      <c r="C2309">
        <v>51</v>
      </c>
      <c r="D2309" t="s">
        <v>5015</v>
      </c>
      <c r="E2309" t="s">
        <v>5018</v>
      </c>
      <c r="F2309" t="s">
        <v>5023</v>
      </c>
      <c r="G2309">
        <v>22.57</v>
      </c>
      <c r="H2309">
        <v>4</v>
      </c>
      <c r="I2309">
        <v>7.2</v>
      </c>
      <c r="J2309">
        <v>10.57</v>
      </c>
      <c r="K2309">
        <v>55.1</v>
      </c>
      <c r="L2309" t="s">
        <v>5026</v>
      </c>
      <c r="M2309">
        <v>4</v>
      </c>
      <c r="N2309">
        <v>1</v>
      </c>
      <c r="O2309">
        <v>0</v>
      </c>
    </row>
    <row r="2310" spans="1:15" x14ac:dyDescent="0.3">
      <c r="A2310" t="s">
        <v>2323</v>
      </c>
      <c r="B2310">
        <v>10</v>
      </c>
      <c r="C2310">
        <v>40</v>
      </c>
      <c r="D2310" t="s">
        <v>5015</v>
      </c>
      <c r="E2310" t="s">
        <v>5018</v>
      </c>
      <c r="F2310" t="s">
        <v>5021</v>
      </c>
      <c r="G2310">
        <v>17.48</v>
      </c>
      <c r="H2310">
        <v>1</v>
      </c>
      <c r="I2310">
        <v>8.6999999999999993</v>
      </c>
      <c r="J2310">
        <v>22.73</v>
      </c>
      <c r="K2310">
        <v>27.7</v>
      </c>
      <c r="L2310" t="s">
        <v>5028</v>
      </c>
      <c r="M2310">
        <v>10</v>
      </c>
      <c r="N2310">
        <v>2</v>
      </c>
      <c r="O2310">
        <v>0</v>
      </c>
    </row>
    <row r="2311" spans="1:15" x14ac:dyDescent="0.3">
      <c r="A2311" t="s">
        <v>2324</v>
      </c>
      <c r="B2311">
        <v>9</v>
      </c>
      <c r="C2311">
        <v>67</v>
      </c>
      <c r="D2311" t="s">
        <v>5015</v>
      </c>
      <c r="E2311" t="s">
        <v>5019</v>
      </c>
      <c r="F2311" t="s">
        <v>5022</v>
      </c>
      <c r="G2311">
        <v>23.55</v>
      </c>
      <c r="H2311">
        <v>2</v>
      </c>
      <c r="I2311">
        <v>7</v>
      </c>
      <c r="J2311">
        <v>22.51</v>
      </c>
      <c r="K2311">
        <v>61.5</v>
      </c>
      <c r="L2311" t="s">
        <v>5026</v>
      </c>
      <c r="M2311">
        <v>9</v>
      </c>
      <c r="N2311">
        <v>0</v>
      </c>
      <c r="O2311">
        <v>0</v>
      </c>
    </row>
    <row r="2312" spans="1:15" x14ac:dyDescent="0.3">
      <c r="A2312" t="s">
        <v>2325</v>
      </c>
      <c r="B2312">
        <v>11</v>
      </c>
      <c r="C2312">
        <v>59</v>
      </c>
      <c r="D2312" t="s">
        <v>5016</v>
      </c>
      <c r="E2312" t="s">
        <v>5019</v>
      </c>
      <c r="F2312" t="s">
        <v>5020</v>
      </c>
      <c r="G2312">
        <v>12.66</v>
      </c>
      <c r="H2312">
        <v>5</v>
      </c>
      <c r="I2312">
        <v>8.1</v>
      </c>
      <c r="J2312">
        <v>6.12</v>
      </c>
      <c r="K2312">
        <v>50.3</v>
      </c>
      <c r="L2312" t="s">
        <v>5026</v>
      </c>
      <c r="M2312">
        <v>10</v>
      </c>
      <c r="N2312">
        <v>1</v>
      </c>
      <c r="O2312">
        <v>0</v>
      </c>
    </row>
    <row r="2313" spans="1:15" x14ac:dyDescent="0.3">
      <c r="A2313" t="s">
        <v>2326</v>
      </c>
      <c r="B2313">
        <v>7</v>
      </c>
      <c r="C2313">
        <v>41</v>
      </c>
      <c r="D2313" t="s">
        <v>5016</v>
      </c>
      <c r="E2313" t="s">
        <v>5019</v>
      </c>
      <c r="F2313" t="s">
        <v>5022</v>
      </c>
      <c r="G2313">
        <v>8.0399999999999991</v>
      </c>
      <c r="H2313">
        <v>1</v>
      </c>
      <c r="I2313">
        <v>4.7</v>
      </c>
      <c r="J2313">
        <v>13.86</v>
      </c>
      <c r="K2313">
        <v>71.2</v>
      </c>
      <c r="L2313" t="s">
        <v>5028</v>
      </c>
      <c r="M2313">
        <v>8</v>
      </c>
      <c r="N2313">
        <v>3</v>
      </c>
      <c r="O2313">
        <v>1</v>
      </c>
    </row>
    <row r="2314" spans="1:15" x14ac:dyDescent="0.3">
      <c r="A2314" t="s">
        <v>2327</v>
      </c>
      <c r="B2314">
        <v>12</v>
      </c>
      <c r="C2314">
        <v>66</v>
      </c>
      <c r="D2314" t="s">
        <v>5016</v>
      </c>
      <c r="E2314" t="s">
        <v>5019</v>
      </c>
      <c r="F2314" t="s">
        <v>5021</v>
      </c>
      <c r="G2314">
        <v>8.59</v>
      </c>
      <c r="H2314">
        <v>3</v>
      </c>
      <c r="I2314">
        <v>5.5</v>
      </c>
      <c r="J2314">
        <v>3.56</v>
      </c>
      <c r="K2314">
        <v>98.4</v>
      </c>
      <c r="L2314" t="s">
        <v>5029</v>
      </c>
      <c r="M2314">
        <v>11</v>
      </c>
      <c r="N2314">
        <v>0</v>
      </c>
      <c r="O2314">
        <v>0</v>
      </c>
    </row>
    <row r="2315" spans="1:15" x14ac:dyDescent="0.3">
      <c r="A2315" t="s">
        <v>2328</v>
      </c>
      <c r="B2315">
        <v>10</v>
      </c>
      <c r="C2315">
        <v>30</v>
      </c>
      <c r="D2315" t="s">
        <v>5015</v>
      </c>
      <c r="E2315" t="s">
        <v>5017</v>
      </c>
      <c r="F2315" t="s">
        <v>5020</v>
      </c>
      <c r="G2315">
        <v>18.399999999999999</v>
      </c>
      <c r="H2315">
        <v>3</v>
      </c>
      <c r="I2315">
        <v>1.4</v>
      </c>
      <c r="J2315">
        <v>9.1999999999999993</v>
      </c>
      <c r="K2315">
        <v>42.5</v>
      </c>
      <c r="L2315" t="s">
        <v>5028</v>
      </c>
      <c r="M2315">
        <v>10</v>
      </c>
      <c r="N2315">
        <v>2</v>
      </c>
      <c r="O2315">
        <v>0</v>
      </c>
    </row>
    <row r="2316" spans="1:15" x14ac:dyDescent="0.3">
      <c r="A2316" t="s">
        <v>2329</v>
      </c>
      <c r="B2316">
        <v>7</v>
      </c>
      <c r="C2316">
        <v>35</v>
      </c>
      <c r="D2316" t="s">
        <v>5015</v>
      </c>
      <c r="E2316" t="s">
        <v>5017</v>
      </c>
      <c r="F2316" t="s">
        <v>5021</v>
      </c>
      <c r="G2316">
        <v>13.15</v>
      </c>
      <c r="H2316">
        <v>1</v>
      </c>
      <c r="I2316">
        <v>3.5</v>
      </c>
      <c r="J2316">
        <v>20.86</v>
      </c>
      <c r="K2316">
        <v>65.5</v>
      </c>
      <c r="L2316" t="s">
        <v>5026</v>
      </c>
      <c r="M2316">
        <v>11</v>
      </c>
      <c r="N2316">
        <v>1</v>
      </c>
      <c r="O2316">
        <v>0</v>
      </c>
    </row>
    <row r="2317" spans="1:15" x14ac:dyDescent="0.3">
      <c r="A2317" t="s">
        <v>2330</v>
      </c>
      <c r="B2317">
        <v>7</v>
      </c>
      <c r="C2317">
        <v>30</v>
      </c>
      <c r="D2317" t="s">
        <v>5015</v>
      </c>
      <c r="E2317" t="s">
        <v>5018</v>
      </c>
      <c r="F2317" t="s">
        <v>5023</v>
      </c>
      <c r="G2317">
        <v>8.1300000000000008</v>
      </c>
      <c r="H2317">
        <v>3</v>
      </c>
      <c r="I2317">
        <v>4.3</v>
      </c>
      <c r="J2317">
        <v>24.45</v>
      </c>
      <c r="K2317">
        <v>87.8</v>
      </c>
      <c r="L2317" t="s">
        <v>5026</v>
      </c>
      <c r="M2317">
        <v>2</v>
      </c>
      <c r="N2317">
        <v>2</v>
      </c>
      <c r="O2317">
        <v>0</v>
      </c>
    </row>
    <row r="2318" spans="1:15" x14ac:dyDescent="0.3">
      <c r="A2318" t="s">
        <v>2331</v>
      </c>
      <c r="B2318">
        <v>8</v>
      </c>
      <c r="C2318">
        <v>66</v>
      </c>
      <c r="D2318" t="s">
        <v>5015</v>
      </c>
      <c r="E2318" t="s">
        <v>5017</v>
      </c>
      <c r="F2318" t="s">
        <v>5020</v>
      </c>
      <c r="G2318">
        <v>10.84</v>
      </c>
      <c r="H2318">
        <v>1</v>
      </c>
      <c r="I2318">
        <v>6.6</v>
      </c>
      <c r="J2318">
        <v>23.09</v>
      </c>
      <c r="K2318">
        <v>18.399999999999999</v>
      </c>
      <c r="L2318" t="s">
        <v>5026</v>
      </c>
      <c r="M2318">
        <v>1</v>
      </c>
      <c r="N2318">
        <v>2</v>
      </c>
      <c r="O2318">
        <v>1</v>
      </c>
    </row>
    <row r="2319" spans="1:15" x14ac:dyDescent="0.3">
      <c r="A2319" t="s">
        <v>2332</v>
      </c>
      <c r="B2319">
        <v>1</v>
      </c>
      <c r="C2319">
        <v>54</v>
      </c>
      <c r="D2319" t="s">
        <v>5015</v>
      </c>
      <c r="E2319" t="s">
        <v>5019</v>
      </c>
      <c r="F2319" t="s">
        <v>5022</v>
      </c>
      <c r="G2319">
        <v>15.61</v>
      </c>
      <c r="H2319">
        <v>4</v>
      </c>
      <c r="I2319">
        <v>5.2</v>
      </c>
      <c r="J2319">
        <v>3.94</v>
      </c>
      <c r="K2319">
        <v>82</v>
      </c>
      <c r="L2319" t="s">
        <v>5026</v>
      </c>
      <c r="M2319">
        <v>4</v>
      </c>
      <c r="N2319">
        <v>1</v>
      </c>
      <c r="O2319">
        <v>0</v>
      </c>
    </row>
    <row r="2320" spans="1:15" x14ac:dyDescent="0.3">
      <c r="A2320" t="s">
        <v>2333</v>
      </c>
      <c r="B2320">
        <v>10</v>
      </c>
      <c r="C2320">
        <v>60</v>
      </c>
      <c r="D2320" t="s">
        <v>5015</v>
      </c>
      <c r="E2320" t="s">
        <v>5018</v>
      </c>
      <c r="F2320" t="s">
        <v>5021</v>
      </c>
      <c r="G2320">
        <v>7.43</v>
      </c>
      <c r="H2320">
        <v>1</v>
      </c>
      <c r="I2320">
        <v>6.5</v>
      </c>
      <c r="J2320">
        <v>23.39</v>
      </c>
      <c r="K2320">
        <v>31.5</v>
      </c>
      <c r="L2320" t="s">
        <v>5027</v>
      </c>
      <c r="M2320">
        <v>5</v>
      </c>
      <c r="N2320">
        <v>2</v>
      </c>
      <c r="O2320">
        <v>0</v>
      </c>
    </row>
    <row r="2321" spans="1:15" x14ac:dyDescent="0.3">
      <c r="A2321" t="s">
        <v>2334</v>
      </c>
      <c r="B2321">
        <v>10</v>
      </c>
      <c r="C2321">
        <v>56</v>
      </c>
      <c r="D2321" t="s">
        <v>5016</v>
      </c>
      <c r="E2321" t="s">
        <v>5017</v>
      </c>
      <c r="F2321" t="s">
        <v>5024</v>
      </c>
      <c r="G2321">
        <v>5.07</v>
      </c>
      <c r="H2321">
        <v>4</v>
      </c>
      <c r="I2321">
        <v>7.4</v>
      </c>
      <c r="J2321">
        <v>21.1</v>
      </c>
      <c r="K2321">
        <v>58.6</v>
      </c>
      <c r="L2321" t="s">
        <v>5029</v>
      </c>
      <c r="M2321">
        <v>2</v>
      </c>
      <c r="N2321">
        <v>3</v>
      </c>
      <c r="O2321">
        <v>0</v>
      </c>
    </row>
    <row r="2322" spans="1:15" x14ac:dyDescent="0.3">
      <c r="A2322" t="s">
        <v>2335</v>
      </c>
      <c r="B2322">
        <v>8</v>
      </c>
      <c r="C2322">
        <v>59</v>
      </c>
      <c r="D2322" t="s">
        <v>5016</v>
      </c>
      <c r="E2322" t="s">
        <v>5019</v>
      </c>
      <c r="F2322" t="s">
        <v>5022</v>
      </c>
      <c r="G2322">
        <v>23.35</v>
      </c>
      <c r="H2322">
        <v>5</v>
      </c>
      <c r="I2322">
        <v>1.4</v>
      </c>
      <c r="J2322">
        <v>22.09</v>
      </c>
      <c r="K2322">
        <v>99.2</v>
      </c>
      <c r="L2322" t="s">
        <v>5026</v>
      </c>
      <c r="M2322">
        <v>10</v>
      </c>
      <c r="N2322">
        <v>3</v>
      </c>
      <c r="O2322">
        <v>0</v>
      </c>
    </row>
    <row r="2323" spans="1:15" x14ac:dyDescent="0.3">
      <c r="A2323" t="s">
        <v>2336</v>
      </c>
      <c r="B2323">
        <v>4</v>
      </c>
      <c r="C2323">
        <v>34</v>
      </c>
      <c r="D2323" t="s">
        <v>5016</v>
      </c>
      <c r="E2323" t="s">
        <v>5017</v>
      </c>
      <c r="F2323" t="s">
        <v>5022</v>
      </c>
      <c r="G2323">
        <v>11.1</v>
      </c>
      <c r="H2323">
        <v>5</v>
      </c>
      <c r="I2323">
        <v>3.3</v>
      </c>
      <c r="J2323">
        <v>23.13</v>
      </c>
      <c r="K2323">
        <v>98.6</v>
      </c>
      <c r="L2323" t="s">
        <v>5027</v>
      </c>
      <c r="M2323">
        <v>6</v>
      </c>
      <c r="N2323">
        <v>4</v>
      </c>
      <c r="O2323">
        <v>1</v>
      </c>
    </row>
    <row r="2324" spans="1:15" x14ac:dyDescent="0.3">
      <c r="A2324" t="s">
        <v>2337</v>
      </c>
      <c r="B2324">
        <v>4</v>
      </c>
      <c r="C2324">
        <v>32</v>
      </c>
      <c r="D2324" t="s">
        <v>5016</v>
      </c>
      <c r="E2324" t="s">
        <v>5018</v>
      </c>
      <c r="F2324" t="s">
        <v>5020</v>
      </c>
      <c r="G2324">
        <v>9.43</v>
      </c>
      <c r="H2324">
        <v>3</v>
      </c>
      <c r="I2324">
        <v>2.5</v>
      </c>
      <c r="J2324">
        <v>13.74</v>
      </c>
      <c r="K2324">
        <v>38.4</v>
      </c>
      <c r="L2324" t="s">
        <v>5026</v>
      </c>
      <c r="M2324">
        <v>8</v>
      </c>
      <c r="N2324">
        <v>1</v>
      </c>
      <c r="O2324">
        <v>1</v>
      </c>
    </row>
    <row r="2325" spans="1:15" x14ac:dyDescent="0.3">
      <c r="A2325" t="s">
        <v>2338</v>
      </c>
      <c r="B2325">
        <v>4</v>
      </c>
      <c r="C2325">
        <v>35</v>
      </c>
      <c r="D2325" t="s">
        <v>5016</v>
      </c>
      <c r="E2325" t="s">
        <v>5018</v>
      </c>
      <c r="F2325" t="s">
        <v>5022</v>
      </c>
      <c r="G2325">
        <v>18.97</v>
      </c>
      <c r="H2325">
        <v>1</v>
      </c>
      <c r="I2325">
        <v>2.7</v>
      </c>
      <c r="J2325">
        <v>7.65</v>
      </c>
      <c r="K2325">
        <v>21.9</v>
      </c>
      <c r="L2325" t="s">
        <v>5029</v>
      </c>
      <c r="M2325">
        <v>11</v>
      </c>
      <c r="N2325">
        <v>1</v>
      </c>
      <c r="O2325">
        <v>0</v>
      </c>
    </row>
    <row r="2326" spans="1:15" x14ac:dyDescent="0.3">
      <c r="A2326" t="s">
        <v>2339</v>
      </c>
      <c r="B2326">
        <v>6</v>
      </c>
      <c r="C2326">
        <v>40</v>
      </c>
      <c r="D2326" t="s">
        <v>5016</v>
      </c>
      <c r="E2326" t="s">
        <v>5018</v>
      </c>
      <c r="F2326" t="s">
        <v>5021</v>
      </c>
      <c r="G2326">
        <v>22.07</v>
      </c>
      <c r="H2326">
        <v>4</v>
      </c>
      <c r="I2326">
        <v>5.5</v>
      </c>
      <c r="J2326">
        <v>3.46</v>
      </c>
      <c r="K2326">
        <v>94.4</v>
      </c>
      <c r="L2326" t="s">
        <v>5029</v>
      </c>
      <c r="M2326">
        <v>5</v>
      </c>
      <c r="N2326">
        <v>1</v>
      </c>
      <c r="O2326">
        <v>0</v>
      </c>
    </row>
    <row r="2327" spans="1:15" x14ac:dyDescent="0.3">
      <c r="A2327" t="s">
        <v>2340</v>
      </c>
      <c r="B2327">
        <v>7</v>
      </c>
      <c r="C2327">
        <v>68</v>
      </c>
      <c r="D2327" t="s">
        <v>5016</v>
      </c>
      <c r="E2327" t="s">
        <v>5018</v>
      </c>
      <c r="F2327" t="s">
        <v>5024</v>
      </c>
      <c r="G2327">
        <v>17.649999999999999</v>
      </c>
      <c r="H2327">
        <v>5</v>
      </c>
      <c r="I2327">
        <v>7.7</v>
      </c>
      <c r="J2327">
        <v>3.52</v>
      </c>
      <c r="K2327">
        <v>90.4</v>
      </c>
      <c r="L2327" t="s">
        <v>5028</v>
      </c>
      <c r="M2327">
        <v>4</v>
      </c>
      <c r="N2327">
        <v>4</v>
      </c>
      <c r="O2327">
        <v>0</v>
      </c>
    </row>
    <row r="2328" spans="1:15" x14ac:dyDescent="0.3">
      <c r="A2328" t="s">
        <v>2341</v>
      </c>
      <c r="B2328">
        <v>6</v>
      </c>
      <c r="C2328">
        <v>47</v>
      </c>
      <c r="D2328" t="s">
        <v>5016</v>
      </c>
      <c r="E2328" t="s">
        <v>5017</v>
      </c>
      <c r="F2328" t="s">
        <v>5023</v>
      </c>
      <c r="G2328">
        <v>10.09</v>
      </c>
      <c r="H2328">
        <v>5</v>
      </c>
      <c r="I2328">
        <v>3.5</v>
      </c>
      <c r="J2328">
        <v>17.14</v>
      </c>
      <c r="K2328">
        <v>65.400000000000006</v>
      </c>
      <c r="L2328" t="s">
        <v>5027</v>
      </c>
      <c r="M2328">
        <v>7</v>
      </c>
      <c r="N2328">
        <v>3</v>
      </c>
      <c r="O2328">
        <v>1</v>
      </c>
    </row>
    <row r="2329" spans="1:15" x14ac:dyDescent="0.3">
      <c r="A2329" t="s">
        <v>2342</v>
      </c>
      <c r="B2329">
        <v>1</v>
      </c>
      <c r="C2329">
        <v>51</v>
      </c>
      <c r="D2329" t="s">
        <v>5015</v>
      </c>
      <c r="E2329" t="s">
        <v>5018</v>
      </c>
      <c r="F2329" t="s">
        <v>5024</v>
      </c>
      <c r="G2329">
        <v>22.23</v>
      </c>
      <c r="H2329">
        <v>5</v>
      </c>
      <c r="I2329">
        <v>8.4</v>
      </c>
      <c r="J2329">
        <v>10.42</v>
      </c>
      <c r="K2329">
        <v>12.9</v>
      </c>
      <c r="L2329" t="s">
        <v>5029</v>
      </c>
      <c r="M2329">
        <v>5</v>
      </c>
      <c r="N2329">
        <v>3</v>
      </c>
      <c r="O2329">
        <v>0</v>
      </c>
    </row>
    <row r="2330" spans="1:15" x14ac:dyDescent="0.3">
      <c r="A2330" t="s">
        <v>2343</v>
      </c>
      <c r="B2330">
        <v>12</v>
      </c>
      <c r="C2330">
        <v>21</v>
      </c>
      <c r="D2330" t="s">
        <v>5015</v>
      </c>
      <c r="E2330" t="s">
        <v>5019</v>
      </c>
      <c r="F2330" t="s">
        <v>5021</v>
      </c>
      <c r="G2330">
        <v>15.21</v>
      </c>
      <c r="H2330">
        <v>3</v>
      </c>
      <c r="I2330">
        <v>9</v>
      </c>
      <c r="J2330">
        <v>13.91</v>
      </c>
      <c r="K2330">
        <v>77.599999999999994</v>
      </c>
      <c r="L2330" t="s">
        <v>5025</v>
      </c>
      <c r="M2330">
        <v>8</v>
      </c>
      <c r="N2330">
        <v>1</v>
      </c>
      <c r="O2330">
        <v>0</v>
      </c>
    </row>
    <row r="2331" spans="1:15" x14ac:dyDescent="0.3">
      <c r="A2331" t="s">
        <v>2344</v>
      </c>
      <c r="B2331">
        <v>8</v>
      </c>
      <c r="C2331">
        <v>20</v>
      </c>
      <c r="D2331" t="s">
        <v>5015</v>
      </c>
      <c r="E2331" t="s">
        <v>5019</v>
      </c>
      <c r="F2331" t="s">
        <v>5020</v>
      </c>
      <c r="G2331">
        <v>12.62</v>
      </c>
      <c r="H2331">
        <v>5</v>
      </c>
      <c r="I2331">
        <v>4.2</v>
      </c>
      <c r="J2331">
        <v>5.89</v>
      </c>
      <c r="K2331">
        <v>24.5</v>
      </c>
      <c r="L2331" t="s">
        <v>5026</v>
      </c>
      <c r="M2331">
        <v>7</v>
      </c>
      <c r="N2331">
        <v>2</v>
      </c>
      <c r="O2331">
        <v>0</v>
      </c>
    </row>
    <row r="2332" spans="1:15" x14ac:dyDescent="0.3">
      <c r="A2332" t="s">
        <v>2345</v>
      </c>
      <c r="B2332">
        <v>10</v>
      </c>
      <c r="C2332">
        <v>24</v>
      </c>
      <c r="D2332" t="s">
        <v>5015</v>
      </c>
      <c r="E2332" t="s">
        <v>5018</v>
      </c>
      <c r="F2332" t="s">
        <v>5021</v>
      </c>
      <c r="G2332">
        <v>17.09</v>
      </c>
      <c r="H2332">
        <v>2</v>
      </c>
      <c r="I2332">
        <v>7.1</v>
      </c>
      <c r="J2332">
        <v>24.46</v>
      </c>
      <c r="K2332">
        <v>94.9</v>
      </c>
      <c r="L2332" t="s">
        <v>5029</v>
      </c>
      <c r="M2332">
        <v>5</v>
      </c>
      <c r="N2332">
        <v>0</v>
      </c>
      <c r="O2332">
        <v>0</v>
      </c>
    </row>
    <row r="2333" spans="1:15" x14ac:dyDescent="0.3">
      <c r="A2333" t="s">
        <v>2346</v>
      </c>
      <c r="B2333">
        <v>11</v>
      </c>
      <c r="C2333">
        <v>35</v>
      </c>
      <c r="D2333" t="s">
        <v>5015</v>
      </c>
      <c r="E2333" t="s">
        <v>5018</v>
      </c>
      <c r="F2333" t="s">
        <v>5022</v>
      </c>
      <c r="G2333">
        <v>19.010000000000002</v>
      </c>
      <c r="H2333">
        <v>3</v>
      </c>
      <c r="I2333">
        <v>2.1</v>
      </c>
      <c r="J2333">
        <v>5.86</v>
      </c>
      <c r="K2333">
        <v>49.2</v>
      </c>
      <c r="L2333" t="s">
        <v>5027</v>
      </c>
      <c r="M2333">
        <v>11</v>
      </c>
      <c r="N2333">
        <v>0</v>
      </c>
      <c r="O2333">
        <v>0</v>
      </c>
    </row>
    <row r="2334" spans="1:15" x14ac:dyDescent="0.3">
      <c r="A2334" t="s">
        <v>2347</v>
      </c>
      <c r="B2334">
        <v>7</v>
      </c>
      <c r="C2334">
        <v>59</v>
      </c>
      <c r="D2334" t="s">
        <v>5015</v>
      </c>
      <c r="E2334" t="s">
        <v>5019</v>
      </c>
      <c r="F2334" t="s">
        <v>5020</v>
      </c>
      <c r="G2334">
        <v>16.88</v>
      </c>
      <c r="H2334">
        <v>1</v>
      </c>
      <c r="I2334">
        <v>7.7</v>
      </c>
      <c r="J2334">
        <v>12.79</v>
      </c>
      <c r="K2334">
        <v>65.400000000000006</v>
      </c>
      <c r="L2334" t="s">
        <v>5027</v>
      </c>
      <c r="M2334">
        <v>8</v>
      </c>
      <c r="N2334">
        <v>1</v>
      </c>
      <c r="O2334">
        <v>0</v>
      </c>
    </row>
    <row r="2335" spans="1:15" x14ac:dyDescent="0.3">
      <c r="A2335" t="s">
        <v>2348</v>
      </c>
      <c r="B2335">
        <v>6</v>
      </c>
      <c r="C2335">
        <v>24</v>
      </c>
      <c r="D2335" t="s">
        <v>5015</v>
      </c>
      <c r="E2335" t="s">
        <v>5019</v>
      </c>
      <c r="F2335" t="s">
        <v>5023</v>
      </c>
      <c r="G2335">
        <v>23.4</v>
      </c>
      <c r="H2335">
        <v>2</v>
      </c>
      <c r="I2335">
        <v>2.5</v>
      </c>
      <c r="J2335">
        <v>12.75</v>
      </c>
      <c r="K2335">
        <v>35.299999999999997</v>
      </c>
      <c r="L2335" t="s">
        <v>5027</v>
      </c>
      <c r="M2335">
        <v>1</v>
      </c>
      <c r="N2335">
        <v>1</v>
      </c>
      <c r="O2335">
        <v>0</v>
      </c>
    </row>
    <row r="2336" spans="1:15" x14ac:dyDescent="0.3">
      <c r="A2336" t="s">
        <v>2349</v>
      </c>
      <c r="B2336">
        <v>6</v>
      </c>
      <c r="C2336">
        <v>57</v>
      </c>
      <c r="D2336" t="s">
        <v>5016</v>
      </c>
      <c r="E2336" t="s">
        <v>5017</v>
      </c>
      <c r="F2336" t="s">
        <v>5023</v>
      </c>
      <c r="G2336">
        <v>17.559999999999999</v>
      </c>
      <c r="H2336">
        <v>3</v>
      </c>
      <c r="I2336">
        <v>7.2</v>
      </c>
      <c r="J2336">
        <v>3.19</v>
      </c>
      <c r="K2336">
        <v>52.8</v>
      </c>
      <c r="L2336" t="s">
        <v>5028</v>
      </c>
      <c r="M2336">
        <v>8</v>
      </c>
      <c r="N2336">
        <v>3</v>
      </c>
      <c r="O2336">
        <v>1</v>
      </c>
    </row>
    <row r="2337" spans="1:15" x14ac:dyDescent="0.3">
      <c r="A2337" t="s">
        <v>2350</v>
      </c>
      <c r="B2337">
        <v>5</v>
      </c>
      <c r="C2337">
        <v>23</v>
      </c>
      <c r="D2337" t="s">
        <v>5016</v>
      </c>
      <c r="E2337" t="s">
        <v>5018</v>
      </c>
      <c r="F2337" t="s">
        <v>5021</v>
      </c>
      <c r="G2337">
        <v>22.57</v>
      </c>
      <c r="H2337">
        <v>3</v>
      </c>
      <c r="I2337">
        <v>4.8</v>
      </c>
      <c r="J2337">
        <v>17.690000000000001</v>
      </c>
      <c r="K2337">
        <v>77.900000000000006</v>
      </c>
      <c r="L2337" t="s">
        <v>5026</v>
      </c>
      <c r="M2337">
        <v>3</v>
      </c>
      <c r="N2337">
        <v>3</v>
      </c>
      <c r="O2337">
        <v>0</v>
      </c>
    </row>
    <row r="2338" spans="1:15" x14ac:dyDescent="0.3">
      <c r="A2338" t="s">
        <v>2351</v>
      </c>
      <c r="B2338">
        <v>6</v>
      </c>
      <c r="C2338">
        <v>39</v>
      </c>
      <c r="D2338" t="s">
        <v>5015</v>
      </c>
      <c r="E2338" t="s">
        <v>5019</v>
      </c>
      <c r="F2338" t="s">
        <v>5022</v>
      </c>
      <c r="G2338">
        <v>16.739999999999998</v>
      </c>
      <c r="H2338">
        <v>4</v>
      </c>
      <c r="I2338">
        <v>9.4</v>
      </c>
      <c r="J2338">
        <v>14.84</v>
      </c>
      <c r="K2338">
        <v>54.3</v>
      </c>
      <c r="L2338" t="s">
        <v>5025</v>
      </c>
      <c r="M2338">
        <v>1</v>
      </c>
      <c r="N2338">
        <v>2</v>
      </c>
      <c r="O2338">
        <v>0</v>
      </c>
    </row>
    <row r="2339" spans="1:15" x14ac:dyDescent="0.3">
      <c r="A2339" t="s">
        <v>2352</v>
      </c>
      <c r="B2339">
        <v>12</v>
      </c>
      <c r="C2339">
        <v>18</v>
      </c>
      <c r="D2339" t="s">
        <v>5016</v>
      </c>
      <c r="E2339" t="s">
        <v>5018</v>
      </c>
      <c r="F2339" t="s">
        <v>5023</v>
      </c>
      <c r="G2339">
        <v>11.59</v>
      </c>
      <c r="H2339">
        <v>2</v>
      </c>
      <c r="I2339">
        <v>5.2</v>
      </c>
      <c r="J2339">
        <v>13.94</v>
      </c>
      <c r="K2339">
        <v>86.2</v>
      </c>
      <c r="L2339" t="s">
        <v>5027</v>
      </c>
      <c r="M2339">
        <v>9</v>
      </c>
      <c r="N2339">
        <v>3</v>
      </c>
      <c r="O2339">
        <v>0</v>
      </c>
    </row>
    <row r="2340" spans="1:15" x14ac:dyDescent="0.3">
      <c r="A2340" t="s">
        <v>2353</v>
      </c>
      <c r="B2340">
        <v>9</v>
      </c>
      <c r="C2340">
        <v>21</v>
      </c>
      <c r="D2340" t="s">
        <v>5016</v>
      </c>
      <c r="E2340" t="s">
        <v>5017</v>
      </c>
      <c r="F2340" t="s">
        <v>5024</v>
      </c>
      <c r="G2340">
        <v>15.65</v>
      </c>
      <c r="H2340">
        <v>2</v>
      </c>
      <c r="I2340">
        <v>1.3</v>
      </c>
      <c r="J2340">
        <v>21</v>
      </c>
      <c r="K2340">
        <v>74.2</v>
      </c>
      <c r="L2340" t="s">
        <v>5026</v>
      </c>
      <c r="M2340">
        <v>11</v>
      </c>
      <c r="N2340">
        <v>0</v>
      </c>
      <c r="O2340">
        <v>0</v>
      </c>
    </row>
    <row r="2341" spans="1:15" x14ac:dyDescent="0.3">
      <c r="A2341" t="s">
        <v>2354</v>
      </c>
      <c r="B2341">
        <v>10</v>
      </c>
      <c r="C2341">
        <v>63</v>
      </c>
      <c r="D2341" t="s">
        <v>5016</v>
      </c>
      <c r="E2341" t="s">
        <v>5018</v>
      </c>
      <c r="F2341" t="s">
        <v>5020</v>
      </c>
      <c r="G2341">
        <v>6.73</v>
      </c>
      <c r="H2341">
        <v>2</v>
      </c>
      <c r="I2341">
        <v>5.3</v>
      </c>
      <c r="J2341">
        <v>8.31</v>
      </c>
      <c r="K2341">
        <v>17</v>
      </c>
      <c r="L2341" t="s">
        <v>5027</v>
      </c>
      <c r="M2341">
        <v>6</v>
      </c>
      <c r="N2341">
        <v>0</v>
      </c>
      <c r="O2341">
        <v>0</v>
      </c>
    </row>
    <row r="2342" spans="1:15" x14ac:dyDescent="0.3">
      <c r="A2342" t="s">
        <v>2355</v>
      </c>
      <c r="B2342">
        <v>9</v>
      </c>
      <c r="C2342">
        <v>66</v>
      </c>
      <c r="D2342" t="s">
        <v>5016</v>
      </c>
      <c r="E2342" t="s">
        <v>5017</v>
      </c>
      <c r="F2342" t="s">
        <v>5024</v>
      </c>
      <c r="G2342">
        <v>9.6</v>
      </c>
      <c r="H2342">
        <v>5</v>
      </c>
      <c r="I2342">
        <v>8.1999999999999993</v>
      </c>
      <c r="J2342">
        <v>21.94</v>
      </c>
      <c r="K2342">
        <v>64.599999999999994</v>
      </c>
      <c r="L2342" t="s">
        <v>5027</v>
      </c>
      <c r="M2342">
        <v>11</v>
      </c>
      <c r="N2342">
        <v>3</v>
      </c>
      <c r="O2342">
        <v>1</v>
      </c>
    </row>
    <row r="2343" spans="1:15" x14ac:dyDescent="0.3">
      <c r="A2343" t="s">
        <v>2356</v>
      </c>
      <c r="B2343">
        <v>10</v>
      </c>
      <c r="C2343">
        <v>69</v>
      </c>
      <c r="D2343" t="s">
        <v>5016</v>
      </c>
      <c r="E2343" t="s">
        <v>5018</v>
      </c>
      <c r="F2343" t="s">
        <v>5023</v>
      </c>
      <c r="G2343">
        <v>20.32</v>
      </c>
      <c r="H2343">
        <v>5</v>
      </c>
      <c r="I2343">
        <v>6.8</v>
      </c>
      <c r="J2343">
        <v>22.03</v>
      </c>
      <c r="K2343">
        <v>65.099999999999994</v>
      </c>
      <c r="L2343" t="s">
        <v>5025</v>
      </c>
      <c r="M2343">
        <v>11</v>
      </c>
      <c r="N2343">
        <v>0</v>
      </c>
      <c r="O2343">
        <v>0</v>
      </c>
    </row>
    <row r="2344" spans="1:15" x14ac:dyDescent="0.3">
      <c r="A2344" t="s">
        <v>2357</v>
      </c>
      <c r="B2344">
        <v>8</v>
      </c>
      <c r="C2344">
        <v>67</v>
      </c>
      <c r="D2344" t="s">
        <v>5015</v>
      </c>
      <c r="E2344" t="s">
        <v>5018</v>
      </c>
      <c r="F2344" t="s">
        <v>5023</v>
      </c>
      <c r="G2344">
        <v>18.23</v>
      </c>
      <c r="H2344">
        <v>1</v>
      </c>
      <c r="I2344">
        <v>9.6999999999999993</v>
      </c>
      <c r="J2344">
        <v>21.19</v>
      </c>
      <c r="K2344">
        <v>44.3</v>
      </c>
      <c r="L2344" t="s">
        <v>5026</v>
      </c>
      <c r="M2344">
        <v>8</v>
      </c>
      <c r="N2344">
        <v>0</v>
      </c>
      <c r="O2344">
        <v>0</v>
      </c>
    </row>
    <row r="2345" spans="1:15" x14ac:dyDescent="0.3">
      <c r="A2345" t="s">
        <v>2358</v>
      </c>
      <c r="B2345">
        <v>10</v>
      </c>
      <c r="C2345">
        <v>60</v>
      </c>
      <c r="D2345" t="s">
        <v>5016</v>
      </c>
      <c r="E2345" t="s">
        <v>5019</v>
      </c>
      <c r="F2345" t="s">
        <v>5021</v>
      </c>
      <c r="G2345">
        <v>8.33</v>
      </c>
      <c r="H2345">
        <v>1</v>
      </c>
      <c r="I2345">
        <v>8.6</v>
      </c>
      <c r="J2345">
        <v>10.51</v>
      </c>
      <c r="K2345">
        <v>39</v>
      </c>
      <c r="L2345" t="s">
        <v>5027</v>
      </c>
      <c r="M2345">
        <v>11</v>
      </c>
      <c r="N2345">
        <v>0</v>
      </c>
      <c r="O2345">
        <v>0</v>
      </c>
    </row>
    <row r="2346" spans="1:15" x14ac:dyDescent="0.3">
      <c r="A2346" t="s">
        <v>2359</v>
      </c>
      <c r="B2346">
        <v>9</v>
      </c>
      <c r="C2346">
        <v>46</v>
      </c>
      <c r="D2346" t="s">
        <v>5015</v>
      </c>
      <c r="E2346" t="s">
        <v>5018</v>
      </c>
      <c r="F2346" t="s">
        <v>5021</v>
      </c>
      <c r="G2346">
        <v>13.76</v>
      </c>
      <c r="H2346">
        <v>1</v>
      </c>
      <c r="I2346">
        <v>5.7</v>
      </c>
      <c r="J2346">
        <v>6.58</v>
      </c>
      <c r="K2346">
        <v>15.7</v>
      </c>
      <c r="L2346" t="s">
        <v>5028</v>
      </c>
      <c r="M2346">
        <v>10</v>
      </c>
      <c r="N2346">
        <v>0</v>
      </c>
      <c r="O2346">
        <v>0</v>
      </c>
    </row>
    <row r="2347" spans="1:15" x14ac:dyDescent="0.3">
      <c r="A2347" t="s">
        <v>2360</v>
      </c>
      <c r="B2347">
        <v>10</v>
      </c>
      <c r="C2347">
        <v>38</v>
      </c>
      <c r="D2347" t="s">
        <v>5015</v>
      </c>
      <c r="E2347" t="s">
        <v>5017</v>
      </c>
      <c r="F2347" t="s">
        <v>5020</v>
      </c>
      <c r="G2347">
        <v>7.84</v>
      </c>
      <c r="H2347">
        <v>5</v>
      </c>
      <c r="I2347">
        <v>2.9</v>
      </c>
      <c r="J2347">
        <v>13.45</v>
      </c>
      <c r="K2347">
        <v>50.2</v>
      </c>
      <c r="L2347" t="s">
        <v>5027</v>
      </c>
      <c r="M2347">
        <v>11</v>
      </c>
      <c r="N2347">
        <v>4</v>
      </c>
      <c r="O2347">
        <v>0</v>
      </c>
    </row>
    <row r="2348" spans="1:15" x14ac:dyDescent="0.3">
      <c r="A2348" t="s">
        <v>2361</v>
      </c>
      <c r="B2348">
        <v>8</v>
      </c>
      <c r="C2348">
        <v>43</v>
      </c>
      <c r="D2348" t="s">
        <v>5015</v>
      </c>
      <c r="E2348" t="s">
        <v>5017</v>
      </c>
      <c r="F2348" t="s">
        <v>5021</v>
      </c>
      <c r="G2348">
        <v>22.12</v>
      </c>
      <c r="H2348">
        <v>4</v>
      </c>
      <c r="I2348">
        <v>1</v>
      </c>
      <c r="J2348">
        <v>8.7200000000000006</v>
      </c>
      <c r="K2348">
        <v>40.299999999999997</v>
      </c>
      <c r="L2348" t="s">
        <v>5026</v>
      </c>
      <c r="M2348">
        <v>4</v>
      </c>
      <c r="N2348">
        <v>1</v>
      </c>
      <c r="O2348">
        <v>0</v>
      </c>
    </row>
    <row r="2349" spans="1:15" x14ac:dyDescent="0.3">
      <c r="A2349" t="s">
        <v>2362</v>
      </c>
      <c r="B2349">
        <v>8</v>
      </c>
      <c r="C2349">
        <v>31</v>
      </c>
      <c r="D2349" t="s">
        <v>5016</v>
      </c>
      <c r="E2349" t="s">
        <v>5019</v>
      </c>
      <c r="F2349" t="s">
        <v>5022</v>
      </c>
      <c r="G2349">
        <v>7.18</v>
      </c>
      <c r="H2349">
        <v>1</v>
      </c>
      <c r="I2349">
        <v>9.8000000000000007</v>
      </c>
      <c r="J2349">
        <v>4.1500000000000004</v>
      </c>
      <c r="K2349">
        <v>95.6</v>
      </c>
      <c r="L2349" t="s">
        <v>5029</v>
      </c>
      <c r="M2349">
        <v>2</v>
      </c>
      <c r="N2349">
        <v>2</v>
      </c>
      <c r="O2349">
        <v>0</v>
      </c>
    </row>
    <row r="2350" spans="1:15" x14ac:dyDescent="0.3">
      <c r="A2350" t="s">
        <v>2363</v>
      </c>
      <c r="B2350">
        <v>1</v>
      </c>
      <c r="C2350">
        <v>26</v>
      </c>
      <c r="D2350" t="s">
        <v>5015</v>
      </c>
      <c r="E2350" t="s">
        <v>5017</v>
      </c>
      <c r="F2350" t="s">
        <v>5020</v>
      </c>
      <c r="G2350">
        <v>18.079999999999998</v>
      </c>
      <c r="H2350">
        <v>3</v>
      </c>
      <c r="I2350">
        <v>9.4</v>
      </c>
      <c r="J2350">
        <v>9.15</v>
      </c>
      <c r="K2350">
        <v>70.7</v>
      </c>
      <c r="L2350" t="s">
        <v>5027</v>
      </c>
      <c r="M2350">
        <v>6</v>
      </c>
      <c r="N2350">
        <v>4</v>
      </c>
      <c r="O2350">
        <v>0</v>
      </c>
    </row>
    <row r="2351" spans="1:15" x14ac:dyDescent="0.3">
      <c r="A2351" t="s">
        <v>2364</v>
      </c>
      <c r="B2351">
        <v>10</v>
      </c>
      <c r="C2351">
        <v>64</v>
      </c>
      <c r="D2351" t="s">
        <v>5015</v>
      </c>
      <c r="E2351" t="s">
        <v>5018</v>
      </c>
      <c r="F2351" t="s">
        <v>5022</v>
      </c>
      <c r="G2351">
        <v>17.14</v>
      </c>
      <c r="H2351">
        <v>5</v>
      </c>
      <c r="I2351">
        <v>3.5</v>
      </c>
      <c r="J2351">
        <v>13.32</v>
      </c>
      <c r="K2351">
        <v>51.4</v>
      </c>
      <c r="L2351" t="s">
        <v>5028</v>
      </c>
      <c r="M2351">
        <v>2</v>
      </c>
      <c r="N2351">
        <v>2</v>
      </c>
      <c r="O2351">
        <v>1</v>
      </c>
    </row>
    <row r="2352" spans="1:15" x14ac:dyDescent="0.3">
      <c r="A2352" t="s">
        <v>2365</v>
      </c>
      <c r="B2352">
        <v>11</v>
      </c>
      <c r="C2352">
        <v>29</v>
      </c>
      <c r="D2352" t="s">
        <v>5015</v>
      </c>
      <c r="E2352" t="s">
        <v>5017</v>
      </c>
      <c r="F2352" t="s">
        <v>5021</v>
      </c>
      <c r="G2352">
        <v>14.46</v>
      </c>
      <c r="H2352">
        <v>4</v>
      </c>
      <c r="I2352">
        <v>6.7</v>
      </c>
      <c r="J2352">
        <v>5.48</v>
      </c>
      <c r="K2352">
        <v>77.900000000000006</v>
      </c>
      <c r="L2352" t="s">
        <v>5028</v>
      </c>
      <c r="M2352">
        <v>1</v>
      </c>
      <c r="N2352">
        <v>4</v>
      </c>
      <c r="O2352">
        <v>0</v>
      </c>
    </row>
    <row r="2353" spans="1:15" x14ac:dyDescent="0.3">
      <c r="A2353" t="s">
        <v>2366</v>
      </c>
      <c r="B2353">
        <v>5</v>
      </c>
      <c r="C2353">
        <v>59</v>
      </c>
      <c r="D2353" t="s">
        <v>5015</v>
      </c>
      <c r="E2353" t="s">
        <v>5019</v>
      </c>
      <c r="F2353" t="s">
        <v>5020</v>
      </c>
      <c r="G2353">
        <v>10.56</v>
      </c>
      <c r="H2353">
        <v>3</v>
      </c>
      <c r="I2353">
        <v>7.6</v>
      </c>
      <c r="J2353">
        <v>23.78</v>
      </c>
      <c r="K2353">
        <v>80.099999999999994</v>
      </c>
      <c r="L2353" t="s">
        <v>5027</v>
      </c>
      <c r="M2353">
        <v>7</v>
      </c>
      <c r="N2353">
        <v>4</v>
      </c>
      <c r="O2353">
        <v>0</v>
      </c>
    </row>
    <row r="2354" spans="1:15" x14ac:dyDescent="0.3">
      <c r="A2354" t="s">
        <v>2367</v>
      </c>
      <c r="B2354">
        <v>4</v>
      </c>
      <c r="C2354">
        <v>68</v>
      </c>
      <c r="D2354" t="s">
        <v>5016</v>
      </c>
      <c r="E2354" t="s">
        <v>5018</v>
      </c>
      <c r="F2354" t="s">
        <v>5023</v>
      </c>
      <c r="G2354">
        <v>13.08</v>
      </c>
      <c r="H2354">
        <v>3</v>
      </c>
      <c r="I2354">
        <v>6.2</v>
      </c>
      <c r="J2354">
        <v>17.43</v>
      </c>
      <c r="K2354">
        <v>53.2</v>
      </c>
      <c r="L2354" t="s">
        <v>5026</v>
      </c>
      <c r="M2354">
        <v>7</v>
      </c>
      <c r="N2354">
        <v>2</v>
      </c>
      <c r="O2354">
        <v>0</v>
      </c>
    </row>
    <row r="2355" spans="1:15" x14ac:dyDescent="0.3">
      <c r="A2355" t="s">
        <v>2368</v>
      </c>
      <c r="B2355">
        <v>2</v>
      </c>
      <c r="C2355">
        <v>68</v>
      </c>
      <c r="D2355" t="s">
        <v>5015</v>
      </c>
      <c r="E2355" t="s">
        <v>5018</v>
      </c>
      <c r="F2355" t="s">
        <v>5024</v>
      </c>
      <c r="G2355">
        <v>21.13</v>
      </c>
      <c r="H2355">
        <v>5</v>
      </c>
      <c r="I2355">
        <v>8.6</v>
      </c>
      <c r="J2355">
        <v>6</v>
      </c>
      <c r="K2355">
        <v>16.8</v>
      </c>
      <c r="L2355" t="s">
        <v>5027</v>
      </c>
      <c r="M2355">
        <v>6</v>
      </c>
      <c r="N2355">
        <v>1</v>
      </c>
      <c r="O2355">
        <v>0</v>
      </c>
    </row>
    <row r="2356" spans="1:15" x14ac:dyDescent="0.3">
      <c r="A2356" t="s">
        <v>2369</v>
      </c>
      <c r="B2356">
        <v>8</v>
      </c>
      <c r="C2356">
        <v>23</v>
      </c>
      <c r="D2356" t="s">
        <v>5015</v>
      </c>
      <c r="E2356" t="s">
        <v>5018</v>
      </c>
      <c r="F2356" t="s">
        <v>5023</v>
      </c>
      <c r="G2356">
        <v>20.23</v>
      </c>
      <c r="H2356">
        <v>2</v>
      </c>
      <c r="I2356">
        <v>1.7</v>
      </c>
      <c r="J2356">
        <v>20.87</v>
      </c>
      <c r="K2356">
        <v>80.2</v>
      </c>
      <c r="L2356" t="s">
        <v>5028</v>
      </c>
      <c r="M2356">
        <v>2</v>
      </c>
      <c r="N2356">
        <v>3</v>
      </c>
      <c r="O2356">
        <v>0</v>
      </c>
    </row>
    <row r="2357" spans="1:15" x14ac:dyDescent="0.3">
      <c r="A2357" t="s">
        <v>2370</v>
      </c>
      <c r="B2357">
        <v>3</v>
      </c>
      <c r="C2357">
        <v>37</v>
      </c>
      <c r="D2357" t="s">
        <v>5015</v>
      </c>
      <c r="E2357" t="s">
        <v>5019</v>
      </c>
      <c r="F2357" t="s">
        <v>5022</v>
      </c>
      <c r="G2357">
        <v>19.78</v>
      </c>
      <c r="H2357">
        <v>4</v>
      </c>
      <c r="I2357">
        <v>9.1</v>
      </c>
      <c r="J2357">
        <v>23.42</v>
      </c>
      <c r="K2357">
        <v>18.100000000000001</v>
      </c>
      <c r="L2357" t="s">
        <v>5027</v>
      </c>
      <c r="M2357">
        <v>5</v>
      </c>
      <c r="N2357">
        <v>4</v>
      </c>
      <c r="O2357">
        <v>1</v>
      </c>
    </row>
    <row r="2358" spans="1:15" x14ac:dyDescent="0.3">
      <c r="A2358" t="s">
        <v>2371</v>
      </c>
      <c r="B2358">
        <v>4</v>
      </c>
      <c r="C2358">
        <v>41</v>
      </c>
      <c r="D2358" t="s">
        <v>5015</v>
      </c>
      <c r="E2358" t="s">
        <v>5018</v>
      </c>
      <c r="F2358" t="s">
        <v>5023</v>
      </c>
      <c r="G2358">
        <v>20</v>
      </c>
      <c r="H2358">
        <v>5</v>
      </c>
      <c r="I2358">
        <v>4.5</v>
      </c>
      <c r="J2358">
        <v>8.7799999999999994</v>
      </c>
      <c r="K2358">
        <v>86.3</v>
      </c>
      <c r="L2358" t="s">
        <v>5028</v>
      </c>
      <c r="M2358">
        <v>1</v>
      </c>
      <c r="N2358">
        <v>1</v>
      </c>
      <c r="O2358">
        <v>0</v>
      </c>
    </row>
    <row r="2359" spans="1:15" x14ac:dyDescent="0.3">
      <c r="A2359" t="s">
        <v>2372</v>
      </c>
      <c r="B2359">
        <v>12</v>
      </c>
      <c r="C2359">
        <v>44</v>
      </c>
      <c r="D2359" t="s">
        <v>5016</v>
      </c>
      <c r="E2359" t="s">
        <v>5019</v>
      </c>
      <c r="F2359" t="s">
        <v>5023</v>
      </c>
      <c r="G2359">
        <v>7.88</v>
      </c>
      <c r="H2359">
        <v>2</v>
      </c>
      <c r="I2359">
        <v>5.3</v>
      </c>
      <c r="J2359">
        <v>6.15</v>
      </c>
      <c r="K2359">
        <v>40.1</v>
      </c>
      <c r="L2359" t="s">
        <v>5029</v>
      </c>
      <c r="M2359">
        <v>2</v>
      </c>
      <c r="N2359">
        <v>3</v>
      </c>
      <c r="O2359">
        <v>0</v>
      </c>
    </row>
    <row r="2360" spans="1:15" x14ac:dyDescent="0.3">
      <c r="A2360" t="s">
        <v>2373</v>
      </c>
      <c r="B2360">
        <v>7</v>
      </c>
      <c r="C2360">
        <v>55</v>
      </c>
      <c r="D2360" t="s">
        <v>5015</v>
      </c>
      <c r="E2360" t="s">
        <v>5019</v>
      </c>
      <c r="F2360" t="s">
        <v>5024</v>
      </c>
      <c r="G2360">
        <v>6.98</v>
      </c>
      <c r="H2360">
        <v>5</v>
      </c>
      <c r="I2360">
        <v>5</v>
      </c>
      <c r="J2360">
        <v>10.09</v>
      </c>
      <c r="K2360">
        <v>67.400000000000006</v>
      </c>
      <c r="L2360" t="s">
        <v>5027</v>
      </c>
      <c r="M2360">
        <v>5</v>
      </c>
      <c r="N2360">
        <v>2</v>
      </c>
      <c r="O2360">
        <v>1</v>
      </c>
    </row>
    <row r="2361" spans="1:15" x14ac:dyDescent="0.3">
      <c r="A2361" t="s">
        <v>2374</v>
      </c>
      <c r="B2361">
        <v>10</v>
      </c>
      <c r="C2361">
        <v>25</v>
      </c>
      <c r="D2361" t="s">
        <v>5015</v>
      </c>
      <c r="E2361" t="s">
        <v>5019</v>
      </c>
      <c r="F2361" t="s">
        <v>5024</v>
      </c>
      <c r="G2361">
        <v>22.23</v>
      </c>
      <c r="H2361">
        <v>5</v>
      </c>
      <c r="I2361">
        <v>5.8</v>
      </c>
      <c r="J2361">
        <v>21.31</v>
      </c>
      <c r="K2361">
        <v>76.599999999999994</v>
      </c>
      <c r="L2361" t="s">
        <v>5025</v>
      </c>
      <c r="M2361">
        <v>5</v>
      </c>
      <c r="N2361">
        <v>4</v>
      </c>
      <c r="O2361">
        <v>0</v>
      </c>
    </row>
    <row r="2362" spans="1:15" x14ac:dyDescent="0.3">
      <c r="A2362" t="s">
        <v>2375</v>
      </c>
      <c r="B2362">
        <v>9</v>
      </c>
      <c r="C2362">
        <v>18</v>
      </c>
      <c r="D2362" t="s">
        <v>5015</v>
      </c>
      <c r="E2362" t="s">
        <v>5018</v>
      </c>
      <c r="F2362" t="s">
        <v>5023</v>
      </c>
      <c r="G2362">
        <v>21.74</v>
      </c>
      <c r="H2362">
        <v>3</v>
      </c>
      <c r="I2362">
        <v>6.4</v>
      </c>
      <c r="J2362">
        <v>6.85</v>
      </c>
      <c r="K2362">
        <v>13.2</v>
      </c>
      <c r="L2362" t="s">
        <v>5027</v>
      </c>
      <c r="M2362">
        <v>7</v>
      </c>
      <c r="N2362">
        <v>3</v>
      </c>
      <c r="O2362">
        <v>0</v>
      </c>
    </row>
    <row r="2363" spans="1:15" x14ac:dyDescent="0.3">
      <c r="A2363" t="s">
        <v>2376</v>
      </c>
      <c r="B2363">
        <v>2</v>
      </c>
      <c r="C2363">
        <v>66</v>
      </c>
      <c r="D2363" t="s">
        <v>5015</v>
      </c>
      <c r="E2363" t="s">
        <v>5019</v>
      </c>
      <c r="F2363" t="s">
        <v>5024</v>
      </c>
      <c r="G2363">
        <v>18.63</v>
      </c>
      <c r="H2363">
        <v>5</v>
      </c>
      <c r="I2363">
        <v>7.4</v>
      </c>
      <c r="J2363">
        <v>20.149999999999999</v>
      </c>
      <c r="K2363">
        <v>44.6</v>
      </c>
      <c r="L2363" t="s">
        <v>5028</v>
      </c>
      <c r="M2363">
        <v>5</v>
      </c>
      <c r="N2363">
        <v>1</v>
      </c>
      <c r="O2363">
        <v>0</v>
      </c>
    </row>
    <row r="2364" spans="1:15" x14ac:dyDescent="0.3">
      <c r="A2364" t="s">
        <v>2377</v>
      </c>
      <c r="B2364">
        <v>3</v>
      </c>
      <c r="C2364">
        <v>66</v>
      </c>
      <c r="D2364" t="s">
        <v>5015</v>
      </c>
      <c r="E2364" t="s">
        <v>5017</v>
      </c>
      <c r="F2364" t="s">
        <v>5023</v>
      </c>
      <c r="G2364">
        <v>17.12</v>
      </c>
      <c r="H2364">
        <v>2</v>
      </c>
      <c r="I2364">
        <v>5.7</v>
      </c>
      <c r="J2364">
        <v>18.760000000000002</v>
      </c>
      <c r="K2364">
        <v>64.400000000000006</v>
      </c>
      <c r="L2364" t="s">
        <v>5026</v>
      </c>
      <c r="M2364">
        <v>11</v>
      </c>
      <c r="N2364">
        <v>3</v>
      </c>
      <c r="O2364">
        <v>1</v>
      </c>
    </row>
    <row r="2365" spans="1:15" x14ac:dyDescent="0.3">
      <c r="A2365" t="s">
        <v>2378</v>
      </c>
      <c r="B2365">
        <v>4</v>
      </c>
      <c r="C2365">
        <v>41</v>
      </c>
      <c r="D2365" t="s">
        <v>5015</v>
      </c>
      <c r="E2365" t="s">
        <v>5018</v>
      </c>
      <c r="F2365" t="s">
        <v>5020</v>
      </c>
      <c r="G2365">
        <v>12.34</v>
      </c>
      <c r="H2365">
        <v>3</v>
      </c>
      <c r="I2365">
        <v>7.2</v>
      </c>
      <c r="J2365">
        <v>17.329999999999998</v>
      </c>
      <c r="K2365">
        <v>86.3</v>
      </c>
      <c r="L2365" t="s">
        <v>5028</v>
      </c>
      <c r="M2365">
        <v>6</v>
      </c>
      <c r="N2365">
        <v>2</v>
      </c>
      <c r="O2365">
        <v>0</v>
      </c>
    </row>
    <row r="2366" spans="1:15" x14ac:dyDescent="0.3">
      <c r="A2366" t="s">
        <v>2379</v>
      </c>
      <c r="B2366">
        <v>10</v>
      </c>
      <c r="C2366">
        <v>64</v>
      </c>
      <c r="D2366" t="s">
        <v>5016</v>
      </c>
      <c r="E2366" t="s">
        <v>5019</v>
      </c>
      <c r="F2366" t="s">
        <v>5023</v>
      </c>
      <c r="G2366">
        <v>9.48</v>
      </c>
      <c r="H2366">
        <v>2</v>
      </c>
      <c r="I2366">
        <v>4</v>
      </c>
      <c r="J2366">
        <v>12.53</v>
      </c>
      <c r="K2366">
        <v>74.599999999999994</v>
      </c>
      <c r="L2366" t="s">
        <v>5029</v>
      </c>
      <c r="M2366">
        <v>2</v>
      </c>
      <c r="N2366">
        <v>3</v>
      </c>
      <c r="O2366">
        <v>0</v>
      </c>
    </row>
    <row r="2367" spans="1:15" x14ac:dyDescent="0.3">
      <c r="A2367" t="s">
        <v>2380</v>
      </c>
      <c r="B2367">
        <v>1</v>
      </c>
      <c r="C2367">
        <v>24</v>
      </c>
      <c r="D2367" t="s">
        <v>5015</v>
      </c>
      <c r="E2367" t="s">
        <v>5017</v>
      </c>
      <c r="F2367" t="s">
        <v>5021</v>
      </c>
      <c r="G2367">
        <v>18.350000000000001</v>
      </c>
      <c r="H2367">
        <v>2</v>
      </c>
      <c r="I2367">
        <v>9.4</v>
      </c>
      <c r="J2367">
        <v>11.07</v>
      </c>
      <c r="K2367">
        <v>90.7</v>
      </c>
      <c r="L2367" t="s">
        <v>5026</v>
      </c>
      <c r="M2367">
        <v>5</v>
      </c>
      <c r="N2367">
        <v>0</v>
      </c>
      <c r="O2367">
        <v>0</v>
      </c>
    </row>
    <row r="2368" spans="1:15" x14ac:dyDescent="0.3">
      <c r="A2368" t="s">
        <v>2381</v>
      </c>
      <c r="B2368">
        <v>7</v>
      </c>
      <c r="C2368">
        <v>36</v>
      </c>
      <c r="D2368" t="s">
        <v>5016</v>
      </c>
      <c r="E2368" t="s">
        <v>5017</v>
      </c>
      <c r="F2368" t="s">
        <v>5024</v>
      </c>
      <c r="G2368">
        <v>23.26</v>
      </c>
      <c r="H2368">
        <v>3</v>
      </c>
      <c r="I2368">
        <v>1.6</v>
      </c>
      <c r="J2368">
        <v>4.88</v>
      </c>
      <c r="K2368">
        <v>17.399999999999999</v>
      </c>
      <c r="L2368" t="s">
        <v>5025</v>
      </c>
      <c r="M2368">
        <v>8</v>
      </c>
      <c r="N2368">
        <v>4</v>
      </c>
      <c r="O2368">
        <v>0</v>
      </c>
    </row>
    <row r="2369" spans="1:15" x14ac:dyDescent="0.3">
      <c r="A2369" t="s">
        <v>2382</v>
      </c>
      <c r="B2369">
        <v>2</v>
      </c>
      <c r="C2369">
        <v>39</v>
      </c>
      <c r="D2369" t="s">
        <v>5016</v>
      </c>
      <c r="E2369" t="s">
        <v>5018</v>
      </c>
      <c r="F2369" t="s">
        <v>5024</v>
      </c>
      <c r="G2369">
        <v>13.74</v>
      </c>
      <c r="H2369">
        <v>2</v>
      </c>
      <c r="I2369">
        <v>5.9</v>
      </c>
      <c r="J2369">
        <v>10.86</v>
      </c>
      <c r="K2369">
        <v>16.5</v>
      </c>
      <c r="L2369" t="s">
        <v>5025</v>
      </c>
      <c r="M2369">
        <v>1</v>
      </c>
      <c r="N2369">
        <v>1</v>
      </c>
      <c r="O2369">
        <v>0</v>
      </c>
    </row>
    <row r="2370" spans="1:15" x14ac:dyDescent="0.3">
      <c r="A2370" t="s">
        <v>2383</v>
      </c>
      <c r="B2370">
        <v>5</v>
      </c>
      <c r="C2370">
        <v>52</v>
      </c>
      <c r="D2370" t="s">
        <v>5015</v>
      </c>
      <c r="E2370" t="s">
        <v>5018</v>
      </c>
      <c r="F2370" t="s">
        <v>5022</v>
      </c>
      <c r="G2370">
        <v>11.06</v>
      </c>
      <c r="H2370">
        <v>1</v>
      </c>
      <c r="I2370">
        <v>1.8</v>
      </c>
      <c r="J2370">
        <v>16.239999999999998</v>
      </c>
      <c r="K2370">
        <v>74.2</v>
      </c>
      <c r="L2370" t="s">
        <v>5029</v>
      </c>
      <c r="M2370">
        <v>11</v>
      </c>
      <c r="N2370">
        <v>1</v>
      </c>
      <c r="O2370">
        <v>0</v>
      </c>
    </row>
    <row r="2371" spans="1:15" x14ac:dyDescent="0.3">
      <c r="A2371" t="s">
        <v>2384</v>
      </c>
      <c r="B2371">
        <v>1</v>
      </c>
      <c r="C2371">
        <v>47</v>
      </c>
      <c r="D2371" t="s">
        <v>5016</v>
      </c>
      <c r="E2371" t="s">
        <v>5018</v>
      </c>
      <c r="F2371" t="s">
        <v>5022</v>
      </c>
      <c r="G2371">
        <v>10.41</v>
      </c>
      <c r="H2371">
        <v>5</v>
      </c>
      <c r="I2371">
        <v>5</v>
      </c>
      <c r="J2371">
        <v>22.76</v>
      </c>
      <c r="K2371">
        <v>45.9</v>
      </c>
      <c r="L2371" t="s">
        <v>5029</v>
      </c>
      <c r="M2371">
        <v>10</v>
      </c>
      <c r="N2371">
        <v>4</v>
      </c>
      <c r="O2371">
        <v>0</v>
      </c>
    </row>
    <row r="2372" spans="1:15" x14ac:dyDescent="0.3">
      <c r="A2372" t="s">
        <v>2385</v>
      </c>
      <c r="B2372">
        <v>3</v>
      </c>
      <c r="C2372">
        <v>46</v>
      </c>
      <c r="D2372" t="s">
        <v>5015</v>
      </c>
      <c r="E2372" t="s">
        <v>5019</v>
      </c>
      <c r="F2372" t="s">
        <v>5021</v>
      </c>
      <c r="G2372">
        <v>5.47</v>
      </c>
      <c r="H2372">
        <v>3</v>
      </c>
      <c r="I2372">
        <v>3.3</v>
      </c>
      <c r="J2372">
        <v>21.33</v>
      </c>
      <c r="K2372">
        <v>53.3</v>
      </c>
      <c r="L2372" t="s">
        <v>5029</v>
      </c>
      <c r="M2372">
        <v>7</v>
      </c>
      <c r="N2372">
        <v>4</v>
      </c>
      <c r="O2372">
        <v>0</v>
      </c>
    </row>
    <row r="2373" spans="1:15" x14ac:dyDescent="0.3">
      <c r="A2373" t="s">
        <v>2386</v>
      </c>
      <c r="B2373">
        <v>12</v>
      </c>
      <c r="C2373">
        <v>39</v>
      </c>
      <c r="D2373" t="s">
        <v>5016</v>
      </c>
      <c r="E2373" t="s">
        <v>5019</v>
      </c>
      <c r="F2373" t="s">
        <v>5024</v>
      </c>
      <c r="G2373">
        <v>15.41</v>
      </c>
      <c r="H2373">
        <v>3</v>
      </c>
      <c r="I2373">
        <v>9.4</v>
      </c>
      <c r="J2373">
        <v>3.71</v>
      </c>
      <c r="K2373">
        <v>64.400000000000006</v>
      </c>
      <c r="L2373" t="s">
        <v>5029</v>
      </c>
      <c r="M2373">
        <v>8</v>
      </c>
      <c r="N2373">
        <v>0</v>
      </c>
      <c r="O2373">
        <v>0</v>
      </c>
    </row>
    <row r="2374" spans="1:15" x14ac:dyDescent="0.3">
      <c r="A2374" t="s">
        <v>2387</v>
      </c>
      <c r="B2374">
        <v>2</v>
      </c>
      <c r="C2374">
        <v>28</v>
      </c>
      <c r="D2374" t="s">
        <v>5015</v>
      </c>
      <c r="E2374" t="s">
        <v>5018</v>
      </c>
      <c r="F2374" t="s">
        <v>5024</v>
      </c>
      <c r="G2374">
        <v>24.76</v>
      </c>
      <c r="H2374">
        <v>1</v>
      </c>
      <c r="I2374">
        <v>1.1000000000000001</v>
      </c>
      <c r="J2374">
        <v>6.05</v>
      </c>
      <c r="K2374">
        <v>98.7</v>
      </c>
      <c r="L2374" t="s">
        <v>5027</v>
      </c>
      <c r="M2374">
        <v>11</v>
      </c>
      <c r="N2374">
        <v>0</v>
      </c>
      <c r="O2374">
        <v>0</v>
      </c>
    </row>
    <row r="2375" spans="1:15" x14ac:dyDescent="0.3">
      <c r="A2375" t="s">
        <v>2388</v>
      </c>
      <c r="B2375">
        <v>1</v>
      </c>
      <c r="C2375">
        <v>37</v>
      </c>
      <c r="D2375" t="s">
        <v>5016</v>
      </c>
      <c r="E2375" t="s">
        <v>5017</v>
      </c>
      <c r="F2375" t="s">
        <v>5022</v>
      </c>
      <c r="G2375">
        <v>21.3</v>
      </c>
      <c r="H2375">
        <v>1</v>
      </c>
      <c r="I2375">
        <v>4.5</v>
      </c>
      <c r="J2375">
        <v>21.67</v>
      </c>
      <c r="K2375">
        <v>16</v>
      </c>
      <c r="L2375" t="s">
        <v>5028</v>
      </c>
      <c r="M2375">
        <v>5</v>
      </c>
      <c r="N2375">
        <v>1</v>
      </c>
      <c r="O2375">
        <v>0</v>
      </c>
    </row>
    <row r="2376" spans="1:15" x14ac:dyDescent="0.3">
      <c r="A2376" t="s">
        <v>2389</v>
      </c>
      <c r="B2376">
        <v>7</v>
      </c>
      <c r="C2376">
        <v>46</v>
      </c>
      <c r="D2376" t="s">
        <v>5016</v>
      </c>
      <c r="E2376" t="s">
        <v>5019</v>
      </c>
      <c r="F2376" t="s">
        <v>5022</v>
      </c>
      <c r="G2376">
        <v>22.95</v>
      </c>
      <c r="H2376">
        <v>1</v>
      </c>
      <c r="I2376">
        <v>8</v>
      </c>
      <c r="J2376">
        <v>23.67</v>
      </c>
      <c r="K2376">
        <v>19.8</v>
      </c>
      <c r="L2376" t="s">
        <v>5027</v>
      </c>
      <c r="M2376">
        <v>4</v>
      </c>
      <c r="N2376">
        <v>3</v>
      </c>
      <c r="O2376">
        <v>1</v>
      </c>
    </row>
    <row r="2377" spans="1:15" x14ac:dyDescent="0.3">
      <c r="A2377" t="s">
        <v>2390</v>
      </c>
      <c r="B2377">
        <v>5</v>
      </c>
      <c r="C2377">
        <v>68</v>
      </c>
      <c r="D2377" t="s">
        <v>5015</v>
      </c>
      <c r="E2377" t="s">
        <v>5017</v>
      </c>
      <c r="F2377" t="s">
        <v>5023</v>
      </c>
      <c r="G2377">
        <v>17.420000000000002</v>
      </c>
      <c r="H2377">
        <v>1</v>
      </c>
      <c r="I2377">
        <v>2.7</v>
      </c>
      <c r="J2377">
        <v>4.2300000000000004</v>
      </c>
      <c r="K2377">
        <v>84.6</v>
      </c>
      <c r="L2377" t="s">
        <v>5026</v>
      </c>
      <c r="M2377">
        <v>1</v>
      </c>
      <c r="N2377">
        <v>4</v>
      </c>
      <c r="O2377">
        <v>1</v>
      </c>
    </row>
    <row r="2378" spans="1:15" x14ac:dyDescent="0.3">
      <c r="A2378" t="s">
        <v>2391</v>
      </c>
      <c r="B2378">
        <v>1</v>
      </c>
      <c r="C2378">
        <v>58</v>
      </c>
      <c r="D2378" t="s">
        <v>5016</v>
      </c>
      <c r="E2378" t="s">
        <v>5017</v>
      </c>
      <c r="F2378" t="s">
        <v>5024</v>
      </c>
      <c r="G2378">
        <v>14.63</v>
      </c>
      <c r="H2378">
        <v>4</v>
      </c>
      <c r="I2378">
        <v>8.3000000000000007</v>
      </c>
      <c r="J2378">
        <v>18.43</v>
      </c>
      <c r="K2378">
        <v>11.8</v>
      </c>
      <c r="L2378" t="s">
        <v>5025</v>
      </c>
      <c r="M2378">
        <v>9</v>
      </c>
      <c r="N2378">
        <v>0</v>
      </c>
      <c r="O2378">
        <v>0</v>
      </c>
    </row>
    <row r="2379" spans="1:15" x14ac:dyDescent="0.3">
      <c r="A2379" t="s">
        <v>2392</v>
      </c>
      <c r="B2379">
        <v>6</v>
      </c>
      <c r="C2379">
        <v>59</v>
      </c>
      <c r="D2379" t="s">
        <v>5016</v>
      </c>
      <c r="E2379" t="s">
        <v>5017</v>
      </c>
      <c r="F2379" t="s">
        <v>5024</v>
      </c>
      <c r="G2379">
        <v>24.81</v>
      </c>
      <c r="H2379">
        <v>3</v>
      </c>
      <c r="I2379">
        <v>8.6999999999999993</v>
      </c>
      <c r="J2379">
        <v>11.05</v>
      </c>
      <c r="K2379">
        <v>50.5</v>
      </c>
      <c r="L2379" t="s">
        <v>5025</v>
      </c>
      <c r="M2379">
        <v>2</v>
      </c>
      <c r="N2379">
        <v>0</v>
      </c>
      <c r="O2379">
        <v>0</v>
      </c>
    </row>
    <row r="2380" spans="1:15" x14ac:dyDescent="0.3">
      <c r="A2380" t="s">
        <v>2393</v>
      </c>
      <c r="B2380">
        <v>5</v>
      </c>
      <c r="C2380">
        <v>51</v>
      </c>
      <c r="D2380" t="s">
        <v>5016</v>
      </c>
      <c r="E2380" t="s">
        <v>5018</v>
      </c>
      <c r="F2380" t="s">
        <v>5023</v>
      </c>
      <c r="G2380">
        <v>13.94</v>
      </c>
      <c r="H2380">
        <v>2</v>
      </c>
      <c r="I2380">
        <v>7.4</v>
      </c>
      <c r="J2380">
        <v>11.01</v>
      </c>
      <c r="K2380">
        <v>79.7</v>
      </c>
      <c r="L2380" t="s">
        <v>5026</v>
      </c>
      <c r="M2380">
        <v>11</v>
      </c>
      <c r="N2380">
        <v>0</v>
      </c>
      <c r="O2380">
        <v>0</v>
      </c>
    </row>
    <row r="2381" spans="1:15" x14ac:dyDescent="0.3">
      <c r="A2381" t="s">
        <v>2394</v>
      </c>
      <c r="B2381">
        <v>3</v>
      </c>
      <c r="C2381">
        <v>18</v>
      </c>
      <c r="D2381" t="s">
        <v>5016</v>
      </c>
      <c r="E2381" t="s">
        <v>5017</v>
      </c>
      <c r="F2381" t="s">
        <v>5024</v>
      </c>
      <c r="G2381">
        <v>23.34</v>
      </c>
      <c r="H2381">
        <v>3</v>
      </c>
      <c r="I2381">
        <v>2.9</v>
      </c>
      <c r="J2381">
        <v>17.14</v>
      </c>
      <c r="K2381">
        <v>27.6</v>
      </c>
      <c r="L2381" t="s">
        <v>5025</v>
      </c>
      <c r="M2381">
        <v>5</v>
      </c>
      <c r="N2381">
        <v>3</v>
      </c>
      <c r="O2381">
        <v>0</v>
      </c>
    </row>
    <row r="2382" spans="1:15" x14ac:dyDescent="0.3">
      <c r="A2382" t="s">
        <v>2395</v>
      </c>
      <c r="B2382">
        <v>12</v>
      </c>
      <c r="C2382">
        <v>48</v>
      </c>
      <c r="D2382" t="s">
        <v>5016</v>
      </c>
      <c r="E2382" t="s">
        <v>5017</v>
      </c>
      <c r="F2382" t="s">
        <v>5021</v>
      </c>
      <c r="G2382">
        <v>20.239999999999998</v>
      </c>
      <c r="H2382">
        <v>3</v>
      </c>
      <c r="I2382">
        <v>3.4</v>
      </c>
      <c r="J2382">
        <v>20.82</v>
      </c>
      <c r="K2382">
        <v>26.8</v>
      </c>
      <c r="L2382" t="s">
        <v>5029</v>
      </c>
      <c r="M2382">
        <v>7</v>
      </c>
      <c r="N2382">
        <v>1</v>
      </c>
      <c r="O2382">
        <v>0</v>
      </c>
    </row>
    <row r="2383" spans="1:15" x14ac:dyDescent="0.3">
      <c r="A2383" t="s">
        <v>2396</v>
      </c>
      <c r="B2383">
        <v>7</v>
      </c>
      <c r="C2383">
        <v>47</v>
      </c>
      <c r="D2383" t="s">
        <v>5015</v>
      </c>
      <c r="E2383" t="s">
        <v>5018</v>
      </c>
      <c r="F2383" t="s">
        <v>5022</v>
      </c>
      <c r="G2383">
        <v>11.62</v>
      </c>
      <c r="H2383">
        <v>3</v>
      </c>
      <c r="I2383">
        <v>2.5</v>
      </c>
      <c r="J2383">
        <v>9.0500000000000007</v>
      </c>
      <c r="K2383">
        <v>37.9</v>
      </c>
      <c r="L2383" t="s">
        <v>5029</v>
      </c>
      <c r="M2383">
        <v>8</v>
      </c>
      <c r="N2383">
        <v>1</v>
      </c>
      <c r="O2383">
        <v>1</v>
      </c>
    </row>
    <row r="2384" spans="1:15" x14ac:dyDescent="0.3">
      <c r="A2384" t="s">
        <v>2397</v>
      </c>
      <c r="B2384">
        <v>11</v>
      </c>
      <c r="C2384">
        <v>65</v>
      </c>
      <c r="D2384" t="s">
        <v>5016</v>
      </c>
      <c r="E2384" t="s">
        <v>5017</v>
      </c>
      <c r="F2384" t="s">
        <v>5022</v>
      </c>
      <c r="G2384">
        <v>15.06</v>
      </c>
      <c r="H2384">
        <v>1</v>
      </c>
      <c r="I2384">
        <v>2.7</v>
      </c>
      <c r="J2384">
        <v>18.52</v>
      </c>
      <c r="K2384">
        <v>23.5</v>
      </c>
      <c r="L2384" t="s">
        <v>5029</v>
      </c>
      <c r="M2384">
        <v>11</v>
      </c>
      <c r="N2384">
        <v>0</v>
      </c>
      <c r="O2384">
        <v>0</v>
      </c>
    </row>
    <row r="2385" spans="1:15" x14ac:dyDescent="0.3">
      <c r="A2385" t="s">
        <v>2398</v>
      </c>
      <c r="B2385">
        <v>10</v>
      </c>
      <c r="C2385">
        <v>35</v>
      </c>
      <c r="D2385" t="s">
        <v>5016</v>
      </c>
      <c r="E2385" t="s">
        <v>5018</v>
      </c>
      <c r="F2385" t="s">
        <v>5022</v>
      </c>
      <c r="G2385">
        <v>12.69</v>
      </c>
      <c r="H2385">
        <v>1</v>
      </c>
      <c r="I2385">
        <v>1.3</v>
      </c>
      <c r="J2385">
        <v>16.989999999999998</v>
      </c>
      <c r="K2385">
        <v>71.099999999999994</v>
      </c>
      <c r="L2385" t="s">
        <v>5026</v>
      </c>
      <c r="M2385">
        <v>10</v>
      </c>
      <c r="N2385">
        <v>3</v>
      </c>
      <c r="O2385">
        <v>1</v>
      </c>
    </row>
    <row r="2386" spans="1:15" x14ac:dyDescent="0.3">
      <c r="A2386" t="s">
        <v>2399</v>
      </c>
      <c r="B2386">
        <v>9</v>
      </c>
      <c r="C2386">
        <v>34</v>
      </c>
      <c r="D2386" t="s">
        <v>5015</v>
      </c>
      <c r="E2386" t="s">
        <v>5019</v>
      </c>
      <c r="F2386" t="s">
        <v>5020</v>
      </c>
      <c r="G2386">
        <v>7.72</v>
      </c>
      <c r="H2386">
        <v>4</v>
      </c>
      <c r="I2386">
        <v>8.6999999999999993</v>
      </c>
      <c r="J2386">
        <v>14.38</v>
      </c>
      <c r="K2386">
        <v>28</v>
      </c>
      <c r="L2386" t="s">
        <v>5028</v>
      </c>
      <c r="M2386">
        <v>4</v>
      </c>
      <c r="N2386">
        <v>3</v>
      </c>
      <c r="O2386">
        <v>0</v>
      </c>
    </row>
    <row r="2387" spans="1:15" x14ac:dyDescent="0.3">
      <c r="A2387" t="s">
        <v>2400</v>
      </c>
      <c r="B2387">
        <v>9</v>
      </c>
      <c r="C2387">
        <v>55</v>
      </c>
      <c r="D2387" t="s">
        <v>5015</v>
      </c>
      <c r="E2387" t="s">
        <v>5019</v>
      </c>
      <c r="F2387" t="s">
        <v>5021</v>
      </c>
      <c r="G2387">
        <v>12.14</v>
      </c>
      <c r="H2387">
        <v>3</v>
      </c>
      <c r="I2387">
        <v>5.8</v>
      </c>
      <c r="J2387">
        <v>16.25</v>
      </c>
      <c r="K2387">
        <v>30.4</v>
      </c>
      <c r="L2387" t="s">
        <v>5026</v>
      </c>
      <c r="M2387">
        <v>10</v>
      </c>
      <c r="N2387">
        <v>1</v>
      </c>
      <c r="O2387">
        <v>1</v>
      </c>
    </row>
    <row r="2388" spans="1:15" x14ac:dyDescent="0.3">
      <c r="A2388" t="s">
        <v>2401</v>
      </c>
      <c r="B2388">
        <v>9</v>
      </c>
      <c r="C2388">
        <v>31</v>
      </c>
      <c r="D2388" t="s">
        <v>5015</v>
      </c>
      <c r="E2388" t="s">
        <v>5017</v>
      </c>
      <c r="F2388" t="s">
        <v>5021</v>
      </c>
      <c r="G2388">
        <v>22.78</v>
      </c>
      <c r="H2388">
        <v>5</v>
      </c>
      <c r="I2388">
        <v>3.9</v>
      </c>
      <c r="J2388">
        <v>3.4</v>
      </c>
      <c r="K2388">
        <v>61.7</v>
      </c>
      <c r="L2388" t="s">
        <v>5028</v>
      </c>
      <c r="M2388">
        <v>1</v>
      </c>
      <c r="N2388">
        <v>4</v>
      </c>
      <c r="O2388">
        <v>1</v>
      </c>
    </row>
    <row r="2389" spans="1:15" x14ac:dyDescent="0.3">
      <c r="A2389" t="s">
        <v>2402</v>
      </c>
      <c r="B2389">
        <v>2</v>
      </c>
      <c r="C2389">
        <v>40</v>
      </c>
      <c r="D2389" t="s">
        <v>5016</v>
      </c>
      <c r="E2389" t="s">
        <v>5017</v>
      </c>
      <c r="F2389" t="s">
        <v>5023</v>
      </c>
      <c r="G2389">
        <v>20.05</v>
      </c>
      <c r="H2389">
        <v>4</v>
      </c>
      <c r="I2389">
        <v>3.6</v>
      </c>
      <c r="J2389">
        <v>3.09</v>
      </c>
      <c r="K2389">
        <v>97.1</v>
      </c>
      <c r="L2389" t="s">
        <v>5025</v>
      </c>
      <c r="M2389">
        <v>7</v>
      </c>
      <c r="N2389">
        <v>0</v>
      </c>
      <c r="O2389">
        <v>0</v>
      </c>
    </row>
    <row r="2390" spans="1:15" x14ac:dyDescent="0.3">
      <c r="A2390" t="s">
        <v>2403</v>
      </c>
      <c r="B2390">
        <v>3</v>
      </c>
      <c r="C2390">
        <v>42</v>
      </c>
      <c r="D2390" t="s">
        <v>5016</v>
      </c>
      <c r="E2390" t="s">
        <v>5019</v>
      </c>
      <c r="F2390" t="s">
        <v>5020</v>
      </c>
      <c r="G2390">
        <v>10.55</v>
      </c>
      <c r="H2390">
        <v>1</v>
      </c>
      <c r="I2390">
        <v>5.9</v>
      </c>
      <c r="J2390">
        <v>15.11</v>
      </c>
      <c r="K2390">
        <v>92.2</v>
      </c>
      <c r="L2390" t="s">
        <v>5025</v>
      </c>
      <c r="M2390">
        <v>10</v>
      </c>
      <c r="N2390">
        <v>3</v>
      </c>
      <c r="O2390">
        <v>1</v>
      </c>
    </row>
    <row r="2391" spans="1:15" x14ac:dyDescent="0.3">
      <c r="A2391" t="s">
        <v>2404</v>
      </c>
      <c r="B2391">
        <v>7</v>
      </c>
      <c r="C2391">
        <v>32</v>
      </c>
      <c r="D2391" t="s">
        <v>5016</v>
      </c>
      <c r="E2391" t="s">
        <v>5017</v>
      </c>
      <c r="F2391" t="s">
        <v>5024</v>
      </c>
      <c r="G2391">
        <v>12.36</v>
      </c>
      <c r="H2391">
        <v>3</v>
      </c>
      <c r="I2391">
        <v>3.9</v>
      </c>
      <c r="J2391">
        <v>14.53</v>
      </c>
      <c r="K2391">
        <v>87.8</v>
      </c>
      <c r="L2391" t="s">
        <v>5025</v>
      </c>
      <c r="M2391">
        <v>11</v>
      </c>
      <c r="N2391">
        <v>4</v>
      </c>
      <c r="O2391">
        <v>0</v>
      </c>
    </row>
    <row r="2392" spans="1:15" x14ac:dyDescent="0.3">
      <c r="A2392" t="s">
        <v>2405</v>
      </c>
      <c r="B2392">
        <v>5</v>
      </c>
      <c r="C2392">
        <v>63</v>
      </c>
      <c r="D2392" t="s">
        <v>5016</v>
      </c>
      <c r="E2392" t="s">
        <v>5019</v>
      </c>
      <c r="F2392" t="s">
        <v>5021</v>
      </c>
      <c r="G2392">
        <v>17.329999999999998</v>
      </c>
      <c r="H2392">
        <v>1</v>
      </c>
      <c r="I2392">
        <v>8.8000000000000007</v>
      </c>
      <c r="J2392">
        <v>4.57</v>
      </c>
      <c r="K2392">
        <v>57.8</v>
      </c>
      <c r="L2392" t="s">
        <v>5028</v>
      </c>
      <c r="M2392">
        <v>11</v>
      </c>
      <c r="N2392">
        <v>2</v>
      </c>
      <c r="O2392">
        <v>0</v>
      </c>
    </row>
    <row r="2393" spans="1:15" x14ac:dyDescent="0.3">
      <c r="A2393" t="s">
        <v>2406</v>
      </c>
      <c r="B2393">
        <v>2</v>
      </c>
      <c r="C2393">
        <v>39</v>
      </c>
      <c r="D2393" t="s">
        <v>5015</v>
      </c>
      <c r="E2393" t="s">
        <v>5017</v>
      </c>
      <c r="F2393" t="s">
        <v>5020</v>
      </c>
      <c r="G2393">
        <v>13.32</v>
      </c>
      <c r="H2393">
        <v>2</v>
      </c>
      <c r="I2393">
        <v>2.9</v>
      </c>
      <c r="J2393">
        <v>13.82</v>
      </c>
      <c r="K2393">
        <v>36.799999999999997</v>
      </c>
      <c r="L2393" t="s">
        <v>5025</v>
      </c>
      <c r="M2393">
        <v>9</v>
      </c>
      <c r="N2393">
        <v>0</v>
      </c>
      <c r="O2393">
        <v>1</v>
      </c>
    </row>
    <row r="2394" spans="1:15" x14ac:dyDescent="0.3">
      <c r="A2394" t="s">
        <v>2407</v>
      </c>
      <c r="B2394">
        <v>3</v>
      </c>
      <c r="C2394">
        <v>20</v>
      </c>
      <c r="D2394" t="s">
        <v>5015</v>
      </c>
      <c r="E2394" t="s">
        <v>5019</v>
      </c>
      <c r="F2394" t="s">
        <v>5020</v>
      </c>
      <c r="G2394">
        <v>15.06</v>
      </c>
      <c r="H2394">
        <v>1</v>
      </c>
      <c r="I2394">
        <v>8.9</v>
      </c>
      <c r="J2394">
        <v>19.670000000000002</v>
      </c>
      <c r="K2394">
        <v>73.5</v>
      </c>
      <c r="L2394" t="s">
        <v>5026</v>
      </c>
      <c r="M2394">
        <v>1</v>
      </c>
      <c r="N2394">
        <v>2</v>
      </c>
      <c r="O2394">
        <v>0</v>
      </c>
    </row>
    <row r="2395" spans="1:15" x14ac:dyDescent="0.3">
      <c r="A2395" t="s">
        <v>2408</v>
      </c>
      <c r="B2395">
        <v>10</v>
      </c>
      <c r="C2395">
        <v>36</v>
      </c>
      <c r="D2395" t="s">
        <v>5016</v>
      </c>
      <c r="E2395" t="s">
        <v>5018</v>
      </c>
      <c r="F2395" t="s">
        <v>5021</v>
      </c>
      <c r="G2395">
        <v>18.96</v>
      </c>
      <c r="H2395">
        <v>1</v>
      </c>
      <c r="I2395">
        <v>7</v>
      </c>
      <c r="J2395">
        <v>14.91</v>
      </c>
      <c r="K2395">
        <v>45.1</v>
      </c>
      <c r="L2395" t="s">
        <v>5028</v>
      </c>
      <c r="M2395">
        <v>1</v>
      </c>
      <c r="N2395">
        <v>1</v>
      </c>
      <c r="O2395">
        <v>1</v>
      </c>
    </row>
    <row r="2396" spans="1:15" x14ac:dyDescent="0.3">
      <c r="A2396" t="s">
        <v>2409</v>
      </c>
      <c r="B2396">
        <v>6</v>
      </c>
      <c r="C2396">
        <v>61</v>
      </c>
      <c r="D2396" t="s">
        <v>5016</v>
      </c>
      <c r="E2396" t="s">
        <v>5018</v>
      </c>
      <c r="F2396" t="s">
        <v>5023</v>
      </c>
      <c r="G2396">
        <v>14.35</v>
      </c>
      <c r="H2396">
        <v>4</v>
      </c>
      <c r="I2396">
        <v>9.6</v>
      </c>
      <c r="J2396">
        <v>14.39</v>
      </c>
      <c r="K2396">
        <v>80</v>
      </c>
      <c r="L2396" t="s">
        <v>5029</v>
      </c>
      <c r="M2396">
        <v>7</v>
      </c>
      <c r="N2396">
        <v>1</v>
      </c>
      <c r="O2396">
        <v>0</v>
      </c>
    </row>
    <row r="2397" spans="1:15" x14ac:dyDescent="0.3">
      <c r="A2397" t="s">
        <v>2410</v>
      </c>
      <c r="B2397">
        <v>7</v>
      </c>
      <c r="C2397">
        <v>51</v>
      </c>
      <c r="D2397" t="s">
        <v>5016</v>
      </c>
      <c r="E2397" t="s">
        <v>5019</v>
      </c>
      <c r="F2397" t="s">
        <v>5020</v>
      </c>
      <c r="G2397">
        <v>8.82</v>
      </c>
      <c r="H2397">
        <v>2</v>
      </c>
      <c r="I2397">
        <v>1.1000000000000001</v>
      </c>
      <c r="J2397">
        <v>18.79</v>
      </c>
      <c r="K2397">
        <v>11.5</v>
      </c>
      <c r="L2397" t="s">
        <v>5028</v>
      </c>
      <c r="M2397">
        <v>9</v>
      </c>
      <c r="N2397">
        <v>1</v>
      </c>
      <c r="O2397">
        <v>0</v>
      </c>
    </row>
    <row r="2398" spans="1:15" x14ac:dyDescent="0.3">
      <c r="A2398" t="s">
        <v>2411</v>
      </c>
      <c r="B2398">
        <v>9</v>
      </c>
      <c r="C2398">
        <v>52</v>
      </c>
      <c r="D2398" t="s">
        <v>5016</v>
      </c>
      <c r="E2398" t="s">
        <v>5018</v>
      </c>
      <c r="F2398" t="s">
        <v>5022</v>
      </c>
      <c r="G2398">
        <v>15.41</v>
      </c>
      <c r="H2398">
        <v>5</v>
      </c>
      <c r="I2398">
        <v>1.5</v>
      </c>
      <c r="J2398">
        <v>6.78</v>
      </c>
      <c r="K2398">
        <v>57.7</v>
      </c>
      <c r="L2398" t="s">
        <v>5026</v>
      </c>
      <c r="M2398">
        <v>5</v>
      </c>
      <c r="N2398">
        <v>3</v>
      </c>
      <c r="O2398">
        <v>0</v>
      </c>
    </row>
    <row r="2399" spans="1:15" x14ac:dyDescent="0.3">
      <c r="A2399" t="s">
        <v>2412</v>
      </c>
      <c r="B2399">
        <v>1</v>
      </c>
      <c r="C2399">
        <v>67</v>
      </c>
      <c r="D2399" t="s">
        <v>5015</v>
      </c>
      <c r="E2399" t="s">
        <v>5018</v>
      </c>
      <c r="F2399" t="s">
        <v>5020</v>
      </c>
      <c r="G2399">
        <v>12.12</v>
      </c>
      <c r="H2399">
        <v>5</v>
      </c>
      <c r="I2399">
        <v>5.5</v>
      </c>
      <c r="J2399">
        <v>13.06</v>
      </c>
      <c r="K2399">
        <v>40.4</v>
      </c>
      <c r="L2399" t="s">
        <v>5026</v>
      </c>
      <c r="M2399">
        <v>4</v>
      </c>
      <c r="N2399">
        <v>3</v>
      </c>
      <c r="O2399">
        <v>0</v>
      </c>
    </row>
    <row r="2400" spans="1:15" x14ac:dyDescent="0.3">
      <c r="A2400" t="s">
        <v>2413</v>
      </c>
      <c r="B2400">
        <v>11</v>
      </c>
      <c r="C2400">
        <v>18</v>
      </c>
      <c r="D2400" t="s">
        <v>5015</v>
      </c>
      <c r="E2400" t="s">
        <v>5018</v>
      </c>
      <c r="F2400" t="s">
        <v>5024</v>
      </c>
      <c r="G2400">
        <v>10.81</v>
      </c>
      <c r="H2400">
        <v>5</v>
      </c>
      <c r="I2400">
        <v>9.1999999999999993</v>
      </c>
      <c r="J2400">
        <v>6.26</v>
      </c>
      <c r="K2400">
        <v>32.4</v>
      </c>
      <c r="L2400" t="s">
        <v>5026</v>
      </c>
      <c r="M2400">
        <v>6</v>
      </c>
      <c r="N2400">
        <v>4</v>
      </c>
      <c r="O2400">
        <v>0</v>
      </c>
    </row>
    <row r="2401" spans="1:15" x14ac:dyDescent="0.3">
      <c r="A2401" t="s">
        <v>2414</v>
      </c>
      <c r="B2401">
        <v>7</v>
      </c>
      <c r="C2401">
        <v>69</v>
      </c>
      <c r="D2401" t="s">
        <v>5016</v>
      </c>
      <c r="E2401" t="s">
        <v>5019</v>
      </c>
      <c r="F2401" t="s">
        <v>5021</v>
      </c>
      <c r="G2401">
        <v>11.56</v>
      </c>
      <c r="H2401">
        <v>3</v>
      </c>
      <c r="I2401">
        <v>7.6</v>
      </c>
      <c r="J2401">
        <v>14.52</v>
      </c>
      <c r="K2401">
        <v>69.599999999999994</v>
      </c>
      <c r="L2401" t="s">
        <v>5025</v>
      </c>
      <c r="M2401">
        <v>9</v>
      </c>
      <c r="N2401">
        <v>2</v>
      </c>
      <c r="O2401">
        <v>0</v>
      </c>
    </row>
    <row r="2402" spans="1:15" x14ac:dyDescent="0.3">
      <c r="A2402" t="s">
        <v>2415</v>
      </c>
      <c r="B2402">
        <v>8</v>
      </c>
      <c r="C2402">
        <v>38</v>
      </c>
      <c r="D2402" t="s">
        <v>5015</v>
      </c>
      <c r="E2402" t="s">
        <v>5017</v>
      </c>
      <c r="F2402" t="s">
        <v>5024</v>
      </c>
      <c r="G2402">
        <v>13.78</v>
      </c>
      <c r="H2402">
        <v>5</v>
      </c>
      <c r="I2402">
        <v>6.6</v>
      </c>
      <c r="J2402">
        <v>16.02</v>
      </c>
      <c r="K2402">
        <v>69.3</v>
      </c>
      <c r="L2402" t="s">
        <v>5029</v>
      </c>
      <c r="M2402">
        <v>2</v>
      </c>
      <c r="N2402">
        <v>1</v>
      </c>
      <c r="O2402">
        <v>1</v>
      </c>
    </row>
    <row r="2403" spans="1:15" x14ac:dyDescent="0.3">
      <c r="A2403" t="s">
        <v>2416</v>
      </c>
      <c r="B2403">
        <v>12</v>
      </c>
      <c r="C2403">
        <v>46</v>
      </c>
      <c r="D2403" t="s">
        <v>5016</v>
      </c>
      <c r="E2403" t="s">
        <v>5017</v>
      </c>
      <c r="F2403" t="s">
        <v>5023</v>
      </c>
      <c r="G2403">
        <v>22.73</v>
      </c>
      <c r="H2403">
        <v>3</v>
      </c>
      <c r="I2403">
        <v>1.3</v>
      </c>
      <c r="J2403">
        <v>5.68</v>
      </c>
      <c r="K2403">
        <v>13.3</v>
      </c>
      <c r="L2403" t="s">
        <v>5029</v>
      </c>
      <c r="M2403">
        <v>5</v>
      </c>
      <c r="N2403">
        <v>1</v>
      </c>
      <c r="O2403">
        <v>0</v>
      </c>
    </row>
    <row r="2404" spans="1:15" x14ac:dyDescent="0.3">
      <c r="A2404" t="s">
        <v>2417</v>
      </c>
      <c r="B2404">
        <v>3</v>
      </c>
      <c r="C2404">
        <v>23</v>
      </c>
      <c r="D2404" t="s">
        <v>5016</v>
      </c>
      <c r="E2404" t="s">
        <v>5018</v>
      </c>
      <c r="F2404" t="s">
        <v>5022</v>
      </c>
      <c r="G2404">
        <v>19.68</v>
      </c>
      <c r="H2404">
        <v>1</v>
      </c>
      <c r="I2404">
        <v>4.2</v>
      </c>
      <c r="J2404">
        <v>4.66</v>
      </c>
      <c r="K2404">
        <v>95.3</v>
      </c>
      <c r="L2404" t="s">
        <v>5027</v>
      </c>
      <c r="M2404">
        <v>4</v>
      </c>
      <c r="N2404">
        <v>3</v>
      </c>
      <c r="O2404">
        <v>0</v>
      </c>
    </row>
    <row r="2405" spans="1:15" x14ac:dyDescent="0.3">
      <c r="A2405" t="s">
        <v>2418</v>
      </c>
      <c r="B2405">
        <v>4</v>
      </c>
      <c r="C2405">
        <v>54</v>
      </c>
      <c r="D2405" t="s">
        <v>5015</v>
      </c>
      <c r="E2405" t="s">
        <v>5017</v>
      </c>
      <c r="F2405" t="s">
        <v>5021</v>
      </c>
      <c r="G2405">
        <v>18.36</v>
      </c>
      <c r="H2405">
        <v>5</v>
      </c>
      <c r="I2405">
        <v>4.0999999999999996</v>
      </c>
      <c r="J2405">
        <v>6.67</v>
      </c>
      <c r="K2405">
        <v>42.6</v>
      </c>
      <c r="L2405" t="s">
        <v>5026</v>
      </c>
      <c r="M2405">
        <v>3</v>
      </c>
      <c r="N2405">
        <v>3</v>
      </c>
      <c r="O2405">
        <v>1</v>
      </c>
    </row>
    <row r="2406" spans="1:15" x14ac:dyDescent="0.3">
      <c r="A2406" t="s">
        <v>2419</v>
      </c>
      <c r="B2406">
        <v>10</v>
      </c>
      <c r="C2406">
        <v>18</v>
      </c>
      <c r="D2406" t="s">
        <v>5016</v>
      </c>
      <c r="E2406" t="s">
        <v>5018</v>
      </c>
      <c r="F2406" t="s">
        <v>5020</v>
      </c>
      <c r="G2406">
        <v>14.43</v>
      </c>
      <c r="H2406">
        <v>4</v>
      </c>
      <c r="I2406">
        <v>5.9</v>
      </c>
      <c r="J2406">
        <v>15.9</v>
      </c>
      <c r="K2406">
        <v>92.6</v>
      </c>
      <c r="L2406" t="s">
        <v>5025</v>
      </c>
      <c r="M2406">
        <v>5</v>
      </c>
      <c r="N2406">
        <v>3</v>
      </c>
      <c r="O2406">
        <v>1</v>
      </c>
    </row>
    <row r="2407" spans="1:15" x14ac:dyDescent="0.3">
      <c r="A2407" t="s">
        <v>2420</v>
      </c>
      <c r="B2407">
        <v>6</v>
      </c>
      <c r="C2407">
        <v>68</v>
      </c>
      <c r="D2407" t="s">
        <v>5015</v>
      </c>
      <c r="E2407" t="s">
        <v>5017</v>
      </c>
      <c r="F2407" t="s">
        <v>5022</v>
      </c>
      <c r="G2407">
        <v>5.04</v>
      </c>
      <c r="H2407">
        <v>2</v>
      </c>
      <c r="I2407">
        <v>3.3</v>
      </c>
      <c r="J2407">
        <v>7.17</v>
      </c>
      <c r="K2407">
        <v>62.5</v>
      </c>
      <c r="L2407" t="s">
        <v>5028</v>
      </c>
      <c r="M2407">
        <v>7</v>
      </c>
      <c r="N2407">
        <v>0</v>
      </c>
      <c r="O2407">
        <v>0</v>
      </c>
    </row>
    <row r="2408" spans="1:15" x14ac:dyDescent="0.3">
      <c r="A2408" t="s">
        <v>2421</v>
      </c>
      <c r="B2408">
        <v>10</v>
      </c>
      <c r="C2408">
        <v>18</v>
      </c>
      <c r="D2408" t="s">
        <v>5016</v>
      </c>
      <c r="E2408" t="s">
        <v>5018</v>
      </c>
      <c r="F2408" t="s">
        <v>5020</v>
      </c>
      <c r="G2408">
        <v>11.81</v>
      </c>
      <c r="H2408">
        <v>2</v>
      </c>
      <c r="I2408">
        <v>3.4</v>
      </c>
      <c r="J2408">
        <v>9.06</v>
      </c>
      <c r="K2408">
        <v>68.7</v>
      </c>
      <c r="L2408" t="s">
        <v>5025</v>
      </c>
      <c r="M2408">
        <v>11</v>
      </c>
      <c r="N2408">
        <v>2</v>
      </c>
      <c r="O2408">
        <v>0</v>
      </c>
    </row>
    <row r="2409" spans="1:15" x14ac:dyDescent="0.3">
      <c r="A2409" t="s">
        <v>2422</v>
      </c>
      <c r="B2409">
        <v>7</v>
      </c>
      <c r="C2409">
        <v>44</v>
      </c>
      <c r="D2409" t="s">
        <v>5015</v>
      </c>
      <c r="E2409" t="s">
        <v>5017</v>
      </c>
      <c r="F2409" t="s">
        <v>5023</v>
      </c>
      <c r="G2409">
        <v>21.26</v>
      </c>
      <c r="H2409">
        <v>1</v>
      </c>
      <c r="I2409">
        <v>6.6</v>
      </c>
      <c r="J2409">
        <v>18.46</v>
      </c>
      <c r="K2409">
        <v>96.4</v>
      </c>
      <c r="L2409" t="s">
        <v>5026</v>
      </c>
      <c r="M2409">
        <v>3</v>
      </c>
      <c r="N2409">
        <v>2</v>
      </c>
      <c r="O2409">
        <v>1</v>
      </c>
    </row>
    <row r="2410" spans="1:15" x14ac:dyDescent="0.3">
      <c r="A2410" t="s">
        <v>2423</v>
      </c>
      <c r="B2410">
        <v>4</v>
      </c>
      <c r="C2410">
        <v>38</v>
      </c>
      <c r="D2410" t="s">
        <v>5016</v>
      </c>
      <c r="E2410" t="s">
        <v>5018</v>
      </c>
      <c r="F2410" t="s">
        <v>5021</v>
      </c>
      <c r="G2410">
        <v>12.76</v>
      </c>
      <c r="H2410">
        <v>2</v>
      </c>
      <c r="I2410">
        <v>9.5</v>
      </c>
      <c r="J2410">
        <v>8.4600000000000009</v>
      </c>
      <c r="K2410">
        <v>84</v>
      </c>
      <c r="L2410" t="s">
        <v>5025</v>
      </c>
      <c r="M2410">
        <v>3</v>
      </c>
      <c r="N2410">
        <v>0</v>
      </c>
      <c r="O2410">
        <v>0</v>
      </c>
    </row>
    <row r="2411" spans="1:15" x14ac:dyDescent="0.3">
      <c r="A2411" t="s">
        <v>2424</v>
      </c>
      <c r="B2411">
        <v>8</v>
      </c>
      <c r="C2411">
        <v>33</v>
      </c>
      <c r="D2411" t="s">
        <v>5015</v>
      </c>
      <c r="E2411" t="s">
        <v>5017</v>
      </c>
      <c r="F2411" t="s">
        <v>5023</v>
      </c>
      <c r="G2411">
        <v>16.28</v>
      </c>
      <c r="H2411">
        <v>2</v>
      </c>
      <c r="I2411">
        <v>6.9</v>
      </c>
      <c r="J2411">
        <v>11.75</v>
      </c>
      <c r="K2411">
        <v>22.6</v>
      </c>
      <c r="L2411" t="s">
        <v>5026</v>
      </c>
      <c r="M2411">
        <v>6</v>
      </c>
      <c r="N2411">
        <v>1</v>
      </c>
      <c r="O2411">
        <v>1</v>
      </c>
    </row>
    <row r="2412" spans="1:15" x14ac:dyDescent="0.3">
      <c r="A2412" t="s">
        <v>2425</v>
      </c>
      <c r="B2412">
        <v>5</v>
      </c>
      <c r="C2412">
        <v>61</v>
      </c>
      <c r="D2412" t="s">
        <v>5016</v>
      </c>
      <c r="E2412" t="s">
        <v>5017</v>
      </c>
      <c r="F2412" t="s">
        <v>5023</v>
      </c>
      <c r="G2412">
        <v>9.09</v>
      </c>
      <c r="H2412">
        <v>1</v>
      </c>
      <c r="I2412">
        <v>7</v>
      </c>
      <c r="J2412">
        <v>23.43</v>
      </c>
      <c r="K2412">
        <v>10.5</v>
      </c>
      <c r="L2412" t="s">
        <v>5028</v>
      </c>
      <c r="M2412">
        <v>5</v>
      </c>
      <c r="N2412">
        <v>4</v>
      </c>
      <c r="O2412">
        <v>0</v>
      </c>
    </row>
    <row r="2413" spans="1:15" x14ac:dyDescent="0.3">
      <c r="A2413" t="s">
        <v>2426</v>
      </c>
      <c r="B2413">
        <v>1</v>
      </c>
      <c r="C2413">
        <v>57</v>
      </c>
      <c r="D2413" t="s">
        <v>5016</v>
      </c>
      <c r="E2413" t="s">
        <v>5017</v>
      </c>
      <c r="F2413" t="s">
        <v>5023</v>
      </c>
      <c r="G2413">
        <v>23.32</v>
      </c>
      <c r="H2413">
        <v>1</v>
      </c>
      <c r="I2413">
        <v>9.9</v>
      </c>
      <c r="J2413">
        <v>21.15</v>
      </c>
      <c r="K2413">
        <v>37.799999999999997</v>
      </c>
      <c r="L2413" t="s">
        <v>5028</v>
      </c>
      <c r="M2413">
        <v>3</v>
      </c>
      <c r="N2413">
        <v>4</v>
      </c>
      <c r="O2413">
        <v>1</v>
      </c>
    </row>
    <row r="2414" spans="1:15" x14ac:dyDescent="0.3">
      <c r="A2414" t="s">
        <v>2427</v>
      </c>
      <c r="B2414">
        <v>4</v>
      </c>
      <c r="C2414">
        <v>43</v>
      </c>
      <c r="D2414" t="s">
        <v>5015</v>
      </c>
      <c r="E2414" t="s">
        <v>5019</v>
      </c>
      <c r="F2414" t="s">
        <v>5023</v>
      </c>
      <c r="G2414">
        <v>23.46</v>
      </c>
      <c r="H2414">
        <v>1</v>
      </c>
      <c r="I2414">
        <v>2.4</v>
      </c>
      <c r="J2414">
        <v>8.6199999999999992</v>
      </c>
      <c r="K2414">
        <v>54</v>
      </c>
      <c r="L2414" t="s">
        <v>5029</v>
      </c>
      <c r="M2414">
        <v>1</v>
      </c>
      <c r="N2414">
        <v>1</v>
      </c>
      <c r="O2414">
        <v>0</v>
      </c>
    </row>
    <row r="2415" spans="1:15" x14ac:dyDescent="0.3">
      <c r="A2415" t="s">
        <v>2428</v>
      </c>
      <c r="B2415">
        <v>3</v>
      </c>
      <c r="C2415">
        <v>33</v>
      </c>
      <c r="D2415" t="s">
        <v>5016</v>
      </c>
      <c r="E2415" t="s">
        <v>5017</v>
      </c>
      <c r="F2415" t="s">
        <v>5020</v>
      </c>
      <c r="G2415">
        <v>7.92</v>
      </c>
      <c r="H2415">
        <v>4</v>
      </c>
      <c r="I2415">
        <v>1.3</v>
      </c>
      <c r="J2415">
        <v>16.149999999999999</v>
      </c>
      <c r="K2415">
        <v>75.900000000000006</v>
      </c>
      <c r="L2415" t="s">
        <v>5027</v>
      </c>
      <c r="M2415">
        <v>10</v>
      </c>
      <c r="N2415">
        <v>4</v>
      </c>
      <c r="O2415">
        <v>0</v>
      </c>
    </row>
    <row r="2416" spans="1:15" x14ac:dyDescent="0.3">
      <c r="A2416" t="s">
        <v>2429</v>
      </c>
      <c r="B2416">
        <v>9</v>
      </c>
      <c r="C2416">
        <v>45</v>
      </c>
      <c r="D2416" t="s">
        <v>5015</v>
      </c>
      <c r="E2416" t="s">
        <v>5019</v>
      </c>
      <c r="F2416" t="s">
        <v>5024</v>
      </c>
      <c r="G2416">
        <v>19.48</v>
      </c>
      <c r="H2416">
        <v>1</v>
      </c>
      <c r="I2416">
        <v>7.7</v>
      </c>
      <c r="J2416">
        <v>17.649999999999999</v>
      </c>
      <c r="K2416">
        <v>69.5</v>
      </c>
      <c r="L2416" t="s">
        <v>5025</v>
      </c>
      <c r="M2416">
        <v>2</v>
      </c>
      <c r="N2416">
        <v>3</v>
      </c>
      <c r="O2416">
        <v>0</v>
      </c>
    </row>
    <row r="2417" spans="1:15" x14ac:dyDescent="0.3">
      <c r="A2417" t="s">
        <v>2430</v>
      </c>
      <c r="B2417">
        <v>8</v>
      </c>
      <c r="C2417">
        <v>18</v>
      </c>
      <c r="D2417" t="s">
        <v>5015</v>
      </c>
      <c r="E2417" t="s">
        <v>5017</v>
      </c>
      <c r="F2417" t="s">
        <v>5020</v>
      </c>
      <c r="G2417">
        <v>6.5</v>
      </c>
      <c r="H2417">
        <v>1</v>
      </c>
      <c r="I2417">
        <v>4.9000000000000004</v>
      </c>
      <c r="J2417">
        <v>22.81</v>
      </c>
      <c r="K2417">
        <v>38.200000000000003</v>
      </c>
      <c r="L2417" t="s">
        <v>5027</v>
      </c>
      <c r="M2417">
        <v>3</v>
      </c>
      <c r="N2417">
        <v>2</v>
      </c>
      <c r="O2417">
        <v>0</v>
      </c>
    </row>
    <row r="2418" spans="1:15" x14ac:dyDescent="0.3">
      <c r="A2418" t="s">
        <v>2431</v>
      </c>
      <c r="B2418">
        <v>1</v>
      </c>
      <c r="C2418">
        <v>53</v>
      </c>
      <c r="D2418" t="s">
        <v>5016</v>
      </c>
      <c r="E2418" t="s">
        <v>5017</v>
      </c>
      <c r="F2418" t="s">
        <v>5022</v>
      </c>
      <c r="G2418">
        <v>16.97</v>
      </c>
      <c r="H2418">
        <v>1</v>
      </c>
      <c r="I2418">
        <v>4.9000000000000004</v>
      </c>
      <c r="J2418">
        <v>15.04</v>
      </c>
      <c r="K2418">
        <v>58.8</v>
      </c>
      <c r="L2418" t="s">
        <v>5025</v>
      </c>
      <c r="M2418">
        <v>4</v>
      </c>
      <c r="N2418">
        <v>3</v>
      </c>
      <c r="O2418">
        <v>0</v>
      </c>
    </row>
    <row r="2419" spans="1:15" x14ac:dyDescent="0.3">
      <c r="A2419" t="s">
        <v>2432</v>
      </c>
      <c r="B2419">
        <v>11</v>
      </c>
      <c r="C2419">
        <v>27</v>
      </c>
      <c r="D2419" t="s">
        <v>5016</v>
      </c>
      <c r="E2419" t="s">
        <v>5018</v>
      </c>
      <c r="F2419" t="s">
        <v>5023</v>
      </c>
      <c r="G2419">
        <v>8.57</v>
      </c>
      <c r="H2419">
        <v>5</v>
      </c>
      <c r="I2419">
        <v>3</v>
      </c>
      <c r="J2419">
        <v>15.35</v>
      </c>
      <c r="K2419">
        <v>68.599999999999994</v>
      </c>
      <c r="L2419" t="s">
        <v>5029</v>
      </c>
      <c r="M2419">
        <v>5</v>
      </c>
      <c r="N2419">
        <v>4</v>
      </c>
      <c r="O2419">
        <v>0</v>
      </c>
    </row>
    <row r="2420" spans="1:15" x14ac:dyDescent="0.3">
      <c r="A2420" t="s">
        <v>2433</v>
      </c>
      <c r="B2420">
        <v>6</v>
      </c>
      <c r="C2420">
        <v>60</v>
      </c>
      <c r="D2420" t="s">
        <v>5016</v>
      </c>
      <c r="E2420" t="s">
        <v>5018</v>
      </c>
      <c r="F2420" t="s">
        <v>5022</v>
      </c>
      <c r="G2420">
        <v>7.91</v>
      </c>
      <c r="H2420">
        <v>5</v>
      </c>
      <c r="I2420">
        <v>5.6</v>
      </c>
      <c r="J2420">
        <v>22.55</v>
      </c>
      <c r="K2420">
        <v>56.2</v>
      </c>
      <c r="L2420" t="s">
        <v>5029</v>
      </c>
      <c r="M2420">
        <v>10</v>
      </c>
      <c r="N2420">
        <v>4</v>
      </c>
      <c r="O2420">
        <v>0</v>
      </c>
    </row>
    <row r="2421" spans="1:15" x14ac:dyDescent="0.3">
      <c r="A2421" t="s">
        <v>2434</v>
      </c>
      <c r="B2421">
        <v>9</v>
      </c>
      <c r="C2421">
        <v>34</v>
      </c>
      <c r="D2421" t="s">
        <v>5016</v>
      </c>
      <c r="E2421" t="s">
        <v>5019</v>
      </c>
      <c r="F2421" t="s">
        <v>5020</v>
      </c>
      <c r="G2421">
        <v>5.08</v>
      </c>
      <c r="H2421">
        <v>4</v>
      </c>
      <c r="I2421">
        <v>5</v>
      </c>
      <c r="J2421">
        <v>4.2</v>
      </c>
      <c r="K2421">
        <v>72</v>
      </c>
      <c r="L2421" t="s">
        <v>5028</v>
      </c>
      <c r="M2421">
        <v>9</v>
      </c>
      <c r="N2421">
        <v>2</v>
      </c>
      <c r="O2421">
        <v>0</v>
      </c>
    </row>
    <row r="2422" spans="1:15" x14ac:dyDescent="0.3">
      <c r="A2422" t="s">
        <v>2435</v>
      </c>
      <c r="B2422">
        <v>7</v>
      </c>
      <c r="C2422">
        <v>40</v>
      </c>
      <c r="D2422" t="s">
        <v>5015</v>
      </c>
      <c r="E2422" t="s">
        <v>5019</v>
      </c>
      <c r="F2422" t="s">
        <v>5023</v>
      </c>
      <c r="G2422">
        <v>23.82</v>
      </c>
      <c r="H2422">
        <v>4</v>
      </c>
      <c r="I2422">
        <v>4.0999999999999996</v>
      </c>
      <c r="J2422">
        <v>16.82</v>
      </c>
      <c r="K2422">
        <v>53.7</v>
      </c>
      <c r="L2422" t="s">
        <v>5028</v>
      </c>
      <c r="M2422">
        <v>4</v>
      </c>
      <c r="N2422">
        <v>3</v>
      </c>
      <c r="O2422">
        <v>0</v>
      </c>
    </row>
    <row r="2423" spans="1:15" x14ac:dyDescent="0.3">
      <c r="A2423" t="s">
        <v>2436</v>
      </c>
      <c r="B2423">
        <v>4</v>
      </c>
      <c r="C2423">
        <v>24</v>
      </c>
      <c r="D2423" t="s">
        <v>5016</v>
      </c>
      <c r="E2423" t="s">
        <v>5019</v>
      </c>
      <c r="F2423" t="s">
        <v>5020</v>
      </c>
      <c r="G2423">
        <v>21.59</v>
      </c>
      <c r="H2423">
        <v>2</v>
      </c>
      <c r="I2423">
        <v>5</v>
      </c>
      <c r="J2423">
        <v>12.17</v>
      </c>
      <c r="K2423">
        <v>57.7</v>
      </c>
      <c r="L2423" t="s">
        <v>5028</v>
      </c>
      <c r="M2423">
        <v>9</v>
      </c>
      <c r="N2423">
        <v>2</v>
      </c>
      <c r="O2423">
        <v>0</v>
      </c>
    </row>
    <row r="2424" spans="1:15" x14ac:dyDescent="0.3">
      <c r="A2424" t="s">
        <v>2437</v>
      </c>
      <c r="B2424">
        <v>1</v>
      </c>
      <c r="C2424">
        <v>61</v>
      </c>
      <c r="D2424" t="s">
        <v>5016</v>
      </c>
      <c r="E2424" t="s">
        <v>5018</v>
      </c>
      <c r="F2424" t="s">
        <v>5023</v>
      </c>
      <c r="G2424">
        <v>6.55</v>
      </c>
      <c r="H2424">
        <v>5</v>
      </c>
      <c r="I2424">
        <v>4.5</v>
      </c>
      <c r="J2424">
        <v>23.01</v>
      </c>
      <c r="K2424">
        <v>94.7</v>
      </c>
      <c r="L2424" t="s">
        <v>5025</v>
      </c>
      <c r="M2424">
        <v>5</v>
      </c>
      <c r="N2424">
        <v>4</v>
      </c>
      <c r="O2424">
        <v>1</v>
      </c>
    </row>
    <row r="2425" spans="1:15" x14ac:dyDescent="0.3">
      <c r="A2425" t="s">
        <v>2438</v>
      </c>
      <c r="B2425">
        <v>12</v>
      </c>
      <c r="C2425">
        <v>24</v>
      </c>
      <c r="D2425" t="s">
        <v>5016</v>
      </c>
      <c r="E2425" t="s">
        <v>5018</v>
      </c>
      <c r="F2425" t="s">
        <v>5020</v>
      </c>
      <c r="G2425">
        <v>16.989999999999998</v>
      </c>
      <c r="H2425">
        <v>4</v>
      </c>
      <c r="I2425">
        <v>9.5</v>
      </c>
      <c r="J2425">
        <v>24.13</v>
      </c>
      <c r="K2425">
        <v>45</v>
      </c>
      <c r="L2425" t="s">
        <v>5027</v>
      </c>
      <c r="M2425">
        <v>3</v>
      </c>
      <c r="N2425">
        <v>2</v>
      </c>
      <c r="O2425">
        <v>0</v>
      </c>
    </row>
    <row r="2426" spans="1:15" x14ac:dyDescent="0.3">
      <c r="A2426" t="s">
        <v>2439</v>
      </c>
      <c r="B2426">
        <v>2</v>
      </c>
      <c r="C2426">
        <v>61</v>
      </c>
      <c r="D2426" t="s">
        <v>5015</v>
      </c>
      <c r="E2426" t="s">
        <v>5018</v>
      </c>
      <c r="F2426" t="s">
        <v>5021</v>
      </c>
      <c r="G2426">
        <v>9.66</v>
      </c>
      <c r="H2426">
        <v>4</v>
      </c>
      <c r="I2426">
        <v>9.8000000000000007</v>
      </c>
      <c r="J2426">
        <v>6.75</v>
      </c>
      <c r="K2426">
        <v>78</v>
      </c>
      <c r="L2426" t="s">
        <v>5027</v>
      </c>
      <c r="M2426">
        <v>7</v>
      </c>
      <c r="N2426">
        <v>2</v>
      </c>
      <c r="O2426">
        <v>0</v>
      </c>
    </row>
    <row r="2427" spans="1:15" x14ac:dyDescent="0.3">
      <c r="A2427" t="s">
        <v>2440</v>
      </c>
      <c r="B2427">
        <v>12</v>
      </c>
      <c r="C2427">
        <v>32</v>
      </c>
      <c r="D2427" t="s">
        <v>5016</v>
      </c>
      <c r="E2427" t="s">
        <v>5019</v>
      </c>
      <c r="F2427" t="s">
        <v>5024</v>
      </c>
      <c r="G2427">
        <v>10.28</v>
      </c>
      <c r="H2427">
        <v>2</v>
      </c>
      <c r="I2427">
        <v>8.6</v>
      </c>
      <c r="J2427">
        <v>9.19</v>
      </c>
      <c r="K2427">
        <v>40.1</v>
      </c>
      <c r="L2427" t="s">
        <v>5028</v>
      </c>
      <c r="M2427">
        <v>8</v>
      </c>
      <c r="N2427">
        <v>4</v>
      </c>
      <c r="O2427">
        <v>0</v>
      </c>
    </row>
    <row r="2428" spans="1:15" x14ac:dyDescent="0.3">
      <c r="A2428" t="s">
        <v>2441</v>
      </c>
      <c r="B2428">
        <v>5</v>
      </c>
      <c r="C2428">
        <v>51</v>
      </c>
      <c r="D2428" t="s">
        <v>5015</v>
      </c>
      <c r="E2428" t="s">
        <v>5018</v>
      </c>
      <c r="F2428" t="s">
        <v>5024</v>
      </c>
      <c r="G2428">
        <v>22.48</v>
      </c>
      <c r="H2428">
        <v>1</v>
      </c>
      <c r="I2428">
        <v>9.9</v>
      </c>
      <c r="J2428">
        <v>9.02</v>
      </c>
      <c r="K2428">
        <v>39.9</v>
      </c>
      <c r="L2428" t="s">
        <v>5029</v>
      </c>
      <c r="M2428">
        <v>9</v>
      </c>
      <c r="N2428">
        <v>2</v>
      </c>
      <c r="O2428">
        <v>0</v>
      </c>
    </row>
    <row r="2429" spans="1:15" x14ac:dyDescent="0.3">
      <c r="A2429" t="s">
        <v>2442</v>
      </c>
      <c r="B2429">
        <v>12</v>
      </c>
      <c r="C2429">
        <v>63</v>
      </c>
      <c r="D2429" t="s">
        <v>5016</v>
      </c>
      <c r="E2429" t="s">
        <v>5018</v>
      </c>
      <c r="F2429" t="s">
        <v>5023</v>
      </c>
      <c r="G2429">
        <v>7.29</v>
      </c>
      <c r="H2429">
        <v>3</v>
      </c>
      <c r="I2429">
        <v>3.4</v>
      </c>
      <c r="J2429">
        <v>5.21</v>
      </c>
      <c r="K2429">
        <v>93.4</v>
      </c>
      <c r="L2429" t="s">
        <v>5027</v>
      </c>
      <c r="M2429">
        <v>9</v>
      </c>
      <c r="N2429">
        <v>3</v>
      </c>
      <c r="O2429">
        <v>0</v>
      </c>
    </row>
    <row r="2430" spans="1:15" x14ac:dyDescent="0.3">
      <c r="A2430" t="s">
        <v>2443</v>
      </c>
      <c r="B2430">
        <v>11</v>
      </c>
      <c r="C2430">
        <v>62</v>
      </c>
      <c r="D2430" t="s">
        <v>5015</v>
      </c>
      <c r="E2430" t="s">
        <v>5017</v>
      </c>
      <c r="F2430" t="s">
        <v>5021</v>
      </c>
      <c r="G2430">
        <v>17.03</v>
      </c>
      <c r="H2430">
        <v>2</v>
      </c>
      <c r="I2430">
        <v>8.6</v>
      </c>
      <c r="J2430">
        <v>13.62</v>
      </c>
      <c r="K2430">
        <v>72.900000000000006</v>
      </c>
      <c r="L2430" t="s">
        <v>5029</v>
      </c>
      <c r="M2430">
        <v>6</v>
      </c>
      <c r="N2430">
        <v>4</v>
      </c>
      <c r="O2430">
        <v>0</v>
      </c>
    </row>
    <row r="2431" spans="1:15" x14ac:dyDescent="0.3">
      <c r="A2431" t="s">
        <v>2444</v>
      </c>
      <c r="B2431">
        <v>5</v>
      </c>
      <c r="C2431">
        <v>21</v>
      </c>
      <c r="D2431" t="s">
        <v>5016</v>
      </c>
      <c r="E2431" t="s">
        <v>5017</v>
      </c>
      <c r="F2431" t="s">
        <v>5022</v>
      </c>
      <c r="G2431">
        <v>13.03</v>
      </c>
      <c r="H2431">
        <v>3</v>
      </c>
      <c r="I2431">
        <v>4.7</v>
      </c>
      <c r="J2431">
        <v>14.29</v>
      </c>
      <c r="K2431">
        <v>93.6</v>
      </c>
      <c r="L2431" t="s">
        <v>5028</v>
      </c>
      <c r="M2431">
        <v>9</v>
      </c>
      <c r="N2431">
        <v>2</v>
      </c>
      <c r="O2431">
        <v>0</v>
      </c>
    </row>
    <row r="2432" spans="1:15" x14ac:dyDescent="0.3">
      <c r="A2432" t="s">
        <v>2445</v>
      </c>
      <c r="B2432">
        <v>8</v>
      </c>
      <c r="C2432">
        <v>31</v>
      </c>
      <c r="D2432" t="s">
        <v>5016</v>
      </c>
      <c r="E2432" t="s">
        <v>5019</v>
      </c>
      <c r="F2432" t="s">
        <v>5021</v>
      </c>
      <c r="G2432">
        <v>8.82</v>
      </c>
      <c r="H2432">
        <v>2</v>
      </c>
      <c r="I2432">
        <v>7.7</v>
      </c>
      <c r="J2432">
        <v>15.61</v>
      </c>
      <c r="K2432">
        <v>99.5</v>
      </c>
      <c r="L2432" t="s">
        <v>5025</v>
      </c>
      <c r="M2432">
        <v>3</v>
      </c>
      <c r="N2432">
        <v>1</v>
      </c>
      <c r="O2432">
        <v>0</v>
      </c>
    </row>
    <row r="2433" spans="1:15" x14ac:dyDescent="0.3">
      <c r="A2433" t="s">
        <v>2446</v>
      </c>
      <c r="B2433">
        <v>6</v>
      </c>
      <c r="C2433">
        <v>31</v>
      </c>
      <c r="D2433" t="s">
        <v>5015</v>
      </c>
      <c r="E2433" t="s">
        <v>5018</v>
      </c>
      <c r="F2433" t="s">
        <v>5023</v>
      </c>
      <c r="G2433">
        <v>14.04</v>
      </c>
      <c r="H2433">
        <v>2</v>
      </c>
      <c r="I2433">
        <v>2.8</v>
      </c>
      <c r="J2433">
        <v>17.59</v>
      </c>
      <c r="K2433">
        <v>10</v>
      </c>
      <c r="L2433" t="s">
        <v>5026</v>
      </c>
      <c r="M2433">
        <v>2</v>
      </c>
      <c r="N2433">
        <v>3</v>
      </c>
      <c r="O2433">
        <v>0</v>
      </c>
    </row>
    <row r="2434" spans="1:15" x14ac:dyDescent="0.3">
      <c r="A2434" t="s">
        <v>2447</v>
      </c>
      <c r="B2434">
        <v>8</v>
      </c>
      <c r="C2434">
        <v>33</v>
      </c>
      <c r="D2434" t="s">
        <v>5016</v>
      </c>
      <c r="E2434" t="s">
        <v>5018</v>
      </c>
      <c r="F2434" t="s">
        <v>5021</v>
      </c>
      <c r="G2434">
        <v>23.81</v>
      </c>
      <c r="H2434">
        <v>1</v>
      </c>
      <c r="I2434">
        <v>8.3000000000000007</v>
      </c>
      <c r="J2434">
        <v>4.38</v>
      </c>
      <c r="K2434">
        <v>98.5</v>
      </c>
      <c r="L2434" t="s">
        <v>5027</v>
      </c>
      <c r="M2434">
        <v>5</v>
      </c>
      <c r="N2434">
        <v>3</v>
      </c>
      <c r="O2434">
        <v>1</v>
      </c>
    </row>
    <row r="2435" spans="1:15" x14ac:dyDescent="0.3">
      <c r="A2435" t="s">
        <v>2448</v>
      </c>
      <c r="B2435">
        <v>2</v>
      </c>
      <c r="C2435">
        <v>24</v>
      </c>
      <c r="D2435" t="s">
        <v>5016</v>
      </c>
      <c r="E2435" t="s">
        <v>5017</v>
      </c>
      <c r="F2435" t="s">
        <v>5022</v>
      </c>
      <c r="G2435">
        <v>20.63</v>
      </c>
      <c r="H2435">
        <v>4</v>
      </c>
      <c r="I2435">
        <v>1.8</v>
      </c>
      <c r="J2435">
        <v>16.690000000000001</v>
      </c>
      <c r="K2435">
        <v>19.100000000000001</v>
      </c>
      <c r="L2435" t="s">
        <v>5028</v>
      </c>
      <c r="M2435">
        <v>7</v>
      </c>
      <c r="N2435">
        <v>3</v>
      </c>
      <c r="O2435">
        <v>1</v>
      </c>
    </row>
    <row r="2436" spans="1:15" x14ac:dyDescent="0.3">
      <c r="A2436" t="s">
        <v>2449</v>
      </c>
      <c r="B2436">
        <v>3</v>
      </c>
      <c r="C2436">
        <v>49</v>
      </c>
      <c r="D2436" t="s">
        <v>5016</v>
      </c>
      <c r="E2436" t="s">
        <v>5019</v>
      </c>
      <c r="F2436" t="s">
        <v>5023</v>
      </c>
      <c r="G2436">
        <v>7.64</v>
      </c>
      <c r="H2436">
        <v>5</v>
      </c>
      <c r="I2436">
        <v>3.4</v>
      </c>
      <c r="J2436">
        <v>23.1</v>
      </c>
      <c r="K2436">
        <v>16.3</v>
      </c>
      <c r="L2436" t="s">
        <v>5028</v>
      </c>
      <c r="M2436">
        <v>11</v>
      </c>
      <c r="N2436">
        <v>0</v>
      </c>
      <c r="O2436">
        <v>0</v>
      </c>
    </row>
    <row r="2437" spans="1:15" x14ac:dyDescent="0.3">
      <c r="A2437" t="s">
        <v>2450</v>
      </c>
      <c r="B2437">
        <v>6</v>
      </c>
      <c r="C2437">
        <v>36</v>
      </c>
      <c r="D2437" t="s">
        <v>5015</v>
      </c>
      <c r="E2437" t="s">
        <v>5017</v>
      </c>
      <c r="F2437" t="s">
        <v>5024</v>
      </c>
      <c r="G2437">
        <v>21.99</v>
      </c>
      <c r="H2437">
        <v>2</v>
      </c>
      <c r="I2437">
        <v>8.4</v>
      </c>
      <c r="J2437">
        <v>13.01</v>
      </c>
      <c r="K2437">
        <v>79.099999999999994</v>
      </c>
      <c r="L2437" t="s">
        <v>5027</v>
      </c>
      <c r="M2437">
        <v>7</v>
      </c>
      <c r="N2437">
        <v>4</v>
      </c>
      <c r="O2437">
        <v>0</v>
      </c>
    </row>
    <row r="2438" spans="1:15" x14ac:dyDescent="0.3">
      <c r="A2438" t="s">
        <v>2451</v>
      </c>
      <c r="B2438">
        <v>12</v>
      </c>
      <c r="C2438">
        <v>19</v>
      </c>
      <c r="D2438" t="s">
        <v>5016</v>
      </c>
      <c r="E2438" t="s">
        <v>5019</v>
      </c>
      <c r="F2438" t="s">
        <v>5021</v>
      </c>
      <c r="G2438">
        <v>23.75</v>
      </c>
      <c r="H2438">
        <v>1</v>
      </c>
      <c r="I2438">
        <v>7.7</v>
      </c>
      <c r="J2438">
        <v>5.35</v>
      </c>
      <c r="K2438">
        <v>41.5</v>
      </c>
      <c r="L2438" t="s">
        <v>5026</v>
      </c>
      <c r="M2438">
        <v>11</v>
      </c>
      <c r="N2438">
        <v>0</v>
      </c>
      <c r="O2438">
        <v>1</v>
      </c>
    </row>
    <row r="2439" spans="1:15" x14ac:dyDescent="0.3">
      <c r="A2439" t="s">
        <v>2452</v>
      </c>
      <c r="B2439">
        <v>10</v>
      </c>
      <c r="C2439">
        <v>27</v>
      </c>
      <c r="D2439" t="s">
        <v>5015</v>
      </c>
      <c r="E2439" t="s">
        <v>5017</v>
      </c>
      <c r="F2439" t="s">
        <v>5024</v>
      </c>
      <c r="G2439">
        <v>10.54</v>
      </c>
      <c r="H2439">
        <v>3</v>
      </c>
      <c r="I2439">
        <v>5.5</v>
      </c>
      <c r="J2439">
        <v>4.8899999999999997</v>
      </c>
      <c r="K2439">
        <v>92.6</v>
      </c>
      <c r="L2439" t="s">
        <v>5025</v>
      </c>
      <c r="M2439">
        <v>6</v>
      </c>
      <c r="N2439">
        <v>2</v>
      </c>
      <c r="O2439">
        <v>0</v>
      </c>
    </row>
    <row r="2440" spans="1:15" x14ac:dyDescent="0.3">
      <c r="A2440" t="s">
        <v>2453</v>
      </c>
      <c r="B2440">
        <v>3</v>
      </c>
      <c r="C2440">
        <v>67</v>
      </c>
      <c r="D2440" t="s">
        <v>5015</v>
      </c>
      <c r="E2440" t="s">
        <v>5019</v>
      </c>
      <c r="F2440" t="s">
        <v>5024</v>
      </c>
      <c r="G2440">
        <v>11.67</v>
      </c>
      <c r="H2440">
        <v>4</v>
      </c>
      <c r="I2440">
        <v>7.1</v>
      </c>
      <c r="J2440">
        <v>9.1999999999999993</v>
      </c>
      <c r="K2440">
        <v>59</v>
      </c>
      <c r="L2440" t="s">
        <v>5027</v>
      </c>
      <c r="M2440">
        <v>3</v>
      </c>
      <c r="N2440">
        <v>4</v>
      </c>
      <c r="O2440">
        <v>0</v>
      </c>
    </row>
    <row r="2441" spans="1:15" x14ac:dyDescent="0.3">
      <c r="A2441" t="s">
        <v>2454</v>
      </c>
      <c r="B2441">
        <v>6</v>
      </c>
      <c r="C2441">
        <v>34</v>
      </c>
      <c r="D2441" t="s">
        <v>5015</v>
      </c>
      <c r="E2441" t="s">
        <v>5019</v>
      </c>
      <c r="F2441" t="s">
        <v>5020</v>
      </c>
      <c r="G2441">
        <v>7.53</v>
      </c>
      <c r="H2441">
        <v>2</v>
      </c>
      <c r="I2441">
        <v>2.7</v>
      </c>
      <c r="J2441">
        <v>19.559999999999999</v>
      </c>
      <c r="K2441">
        <v>44.8</v>
      </c>
      <c r="L2441" t="s">
        <v>5025</v>
      </c>
      <c r="M2441">
        <v>6</v>
      </c>
      <c r="N2441">
        <v>3</v>
      </c>
      <c r="O2441">
        <v>0</v>
      </c>
    </row>
    <row r="2442" spans="1:15" x14ac:dyDescent="0.3">
      <c r="A2442" t="s">
        <v>2455</v>
      </c>
      <c r="B2442">
        <v>6</v>
      </c>
      <c r="C2442">
        <v>54</v>
      </c>
      <c r="D2442" t="s">
        <v>5016</v>
      </c>
      <c r="E2442" t="s">
        <v>5017</v>
      </c>
      <c r="F2442" t="s">
        <v>5022</v>
      </c>
      <c r="G2442">
        <v>11.9</v>
      </c>
      <c r="H2442">
        <v>3</v>
      </c>
      <c r="I2442">
        <v>7</v>
      </c>
      <c r="J2442">
        <v>8.74</v>
      </c>
      <c r="K2442">
        <v>16.600000000000001</v>
      </c>
      <c r="L2442" t="s">
        <v>5028</v>
      </c>
      <c r="M2442">
        <v>1</v>
      </c>
      <c r="N2442">
        <v>3</v>
      </c>
      <c r="O2442">
        <v>0</v>
      </c>
    </row>
    <row r="2443" spans="1:15" x14ac:dyDescent="0.3">
      <c r="A2443" t="s">
        <v>2456</v>
      </c>
      <c r="B2443">
        <v>2</v>
      </c>
      <c r="C2443">
        <v>29</v>
      </c>
      <c r="D2443" t="s">
        <v>5015</v>
      </c>
      <c r="E2443" t="s">
        <v>5018</v>
      </c>
      <c r="F2443" t="s">
        <v>5021</v>
      </c>
      <c r="G2443">
        <v>18.46</v>
      </c>
      <c r="H2443">
        <v>2</v>
      </c>
      <c r="I2443">
        <v>1.1000000000000001</v>
      </c>
      <c r="J2443">
        <v>20.92</v>
      </c>
      <c r="K2443">
        <v>51.8</v>
      </c>
      <c r="L2443" t="s">
        <v>5027</v>
      </c>
      <c r="M2443">
        <v>3</v>
      </c>
      <c r="N2443">
        <v>3</v>
      </c>
      <c r="O2443">
        <v>1</v>
      </c>
    </row>
    <row r="2444" spans="1:15" x14ac:dyDescent="0.3">
      <c r="A2444" t="s">
        <v>2457</v>
      </c>
      <c r="B2444">
        <v>7</v>
      </c>
      <c r="C2444">
        <v>23</v>
      </c>
      <c r="D2444" t="s">
        <v>5015</v>
      </c>
      <c r="E2444" t="s">
        <v>5018</v>
      </c>
      <c r="F2444" t="s">
        <v>5024</v>
      </c>
      <c r="G2444">
        <v>10.44</v>
      </c>
      <c r="H2444">
        <v>5</v>
      </c>
      <c r="I2444">
        <v>8.5</v>
      </c>
      <c r="J2444">
        <v>21.03</v>
      </c>
      <c r="K2444">
        <v>35</v>
      </c>
      <c r="L2444" t="s">
        <v>5025</v>
      </c>
      <c r="M2444">
        <v>2</v>
      </c>
      <c r="N2444">
        <v>3</v>
      </c>
      <c r="O2444">
        <v>1</v>
      </c>
    </row>
    <row r="2445" spans="1:15" x14ac:dyDescent="0.3">
      <c r="A2445" t="s">
        <v>2458</v>
      </c>
      <c r="B2445">
        <v>12</v>
      </c>
      <c r="C2445">
        <v>39</v>
      </c>
      <c r="D2445" t="s">
        <v>5016</v>
      </c>
      <c r="E2445" t="s">
        <v>5017</v>
      </c>
      <c r="F2445" t="s">
        <v>5024</v>
      </c>
      <c r="G2445">
        <v>5.14</v>
      </c>
      <c r="H2445">
        <v>5</v>
      </c>
      <c r="I2445">
        <v>5.6</v>
      </c>
      <c r="J2445">
        <v>13.06</v>
      </c>
      <c r="K2445">
        <v>16.899999999999999</v>
      </c>
      <c r="L2445" t="s">
        <v>5029</v>
      </c>
      <c r="M2445">
        <v>4</v>
      </c>
      <c r="N2445">
        <v>2</v>
      </c>
      <c r="O2445">
        <v>0</v>
      </c>
    </row>
    <row r="2446" spans="1:15" x14ac:dyDescent="0.3">
      <c r="A2446" t="s">
        <v>2459</v>
      </c>
      <c r="B2446">
        <v>2</v>
      </c>
      <c r="C2446">
        <v>49</v>
      </c>
      <c r="D2446" t="s">
        <v>5015</v>
      </c>
      <c r="E2446" t="s">
        <v>5019</v>
      </c>
      <c r="F2446" t="s">
        <v>5022</v>
      </c>
      <c r="G2446">
        <v>11.77</v>
      </c>
      <c r="H2446">
        <v>4</v>
      </c>
      <c r="I2446">
        <v>9.5</v>
      </c>
      <c r="J2446">
        <v>9.6199999999999992</v>
      </c>
      <c r="K2446">
        <v>70.3</v>
      </c>
      <c r="L2446" t="s">
        <v>5029</v>
      </c>
      <c r="M2446">
        <v>8</v>
      </c>
      <c r="N2446">
        <v>1</v>
      </c>
      <c r="O2446">
        <v>0</v>
      </c>
    </row>
    <row r="2447" spans="1:15" x14ac:dyDescent="0.3">
      <c r="A2447" t="s">
        <v>2460</v>
      </c>
      <c r="B2447">
        <v>6</v>
      </c>
      <c r="C2447">
        <v>58</v>
      </c>
      <c r="D2447" t="s">
        <v>5015</v>
      </c>
      <c r="E2447" t="s">
        <v>5018</v>
      </c>
      <c r="F2447" t="s">
        <v>5024</v>
      </c>
      <c r="G2447">
        <v>14.06</v>
      </c>
      <c r="H2447">
        <v>3</v>
      </c>
      <c r="I2447">
        <v>5.3</v>
      </c>
      <c r="J2447">
        <v>16.149999999999999</v>
      </c>
      <c r="K2447">
        <v>98</v>
      </c>
      <c r="L2447" t="s">
        <v>5029</v>
      </c>
      <c r="M2447">
        <v>3</v>
      </c>
      <c r="N2447">
        <v>4</v>
      </c>
      <c r="O2447">
        <v>0</v>
      </c>
    </row>
    <row r="2448" spans="1:15" x14ac:dyDescent="0.3">
      <c r="A2448" t="s">
        <v>2461</v>
      </c>
      <c r="B2448">
        <v>1</v>
      </c>
      <c r="C2448">
        <v>37</v>
      </c>
      <c r="D2448" t="s">
        <v>5016</v>
      </c>
      <c r="E2448" t="s">
        <v>5018</v>
      </c>
      <c r="F2448" t="s">
        <v>5024</v>
      </c>
      <c r="G2448">
        <v>16.329999999999998</v>
      </c>
      <c r="H2448">
        <v>5</v>
      </c>
      <c r="I2448">
        <v>4.9000000000000004</v>
      </c>
      <c r="J2448">
        <v>20.83</v>
      </c>
      <c r="K2448">
        <v>44.1</v>
      </c>
      <c r="L2448" t="s">
        <v>5025</v>
      </c>
      <c r="M2448">
        <v>6</v>
      </c>
      <c r="N2448">
        <v>1</v>
      </c>
      <c r="O2448">
        <v>1</v>
      </c>
    </row>
    <row r="2449" spans="1:15" x14ac:dyDescent="0.3">
      <c r="A2449" t="s">
        <v>2462</v>
      </c>
      <c r="B2449">
        <v>3</v>
      </c>
      <c r="C2449">
        <v>18</v>
      </c>
      <c r="D2449" t="s">
        <v>5016</v>
      </c>
      <c r="E2449" t="s">
        <v>5017</v>
      </c>
      <c r="F2449" t="s">
        <v>5024</v>
      </c>
      <c r="G2449">
        <v>18.68</v>
      </c>
      <c r="H2449">
        <v>1</v>
      </c>
      <c r="I2449">
        <v>5.0999999999999996</v>
      </c>
      <c r="J2449">
        <v>4.42</v>
      </c>
      <c r="K2449">
        <v>36.799999999999997</v>
      </c>
      <c r="L2449" t="s">
        <v>5029</v>
      </c>
      <c r="M2449">
        <v>10</v>
      </c>
      <c r="N2449">
        <v>4</v>
      </c>
      <c r="O2449">
        <v>0</v>
      </c>
    </row>
    <row r="2450" spans="1:15" x14ac:dyDescent="0.3">
      <c r="A2450" t="s">
        <v>2463</v>
      </c>
      <c r="B2450">
        <v>2</v>
      </c>
      <c r="C2450">
        <v>64</v>
      </c>
      <c r="D2450" t="s">
        <v>5015</v>
      </c>
      <c r="E2450" t="s">
        <v>5018</v>
      </c>
      <c r="F2450" t="s">
        <v>5024</v>
      </c>
      <c r="G2450">
        <v>6.24</v>
      </c>
      <c r="H2450">
        <v>4</v>
      </c>
      <c r="I2450">
        <v>4.2</v>
      </c>
      <c r="J2450">
        <v>23.98</v>
      </c>
      <c r="K2450">
        <v>18.100000000000001</v>
      </c>
      <c r="L2450" t="s">
        <v>5028</v>
      </c>
      <c r="M2450">
        <v>1</v>
      </c>
      <c r="N2450">
        <v>3</v>
      </c>
      <c r="O2450">
        <v>0</v>
      </c>
    </row>
    <row r="2451" spans="1:15" x14ac:dyDescent="0.3">
      <c r="A2451" t="s">
        <v>2464</v>
      </c>
      <c r="B2451">
        <v>7</v>
      </c>
      <c r="C2451">
        <v>23</v>
      </c>
      <c r="D2451" t="s">
        <v>5016</v>
      </c>
      <c r="E2451" t="s">
        <v>5019</v>
      </c>
      <c r="F2451" t="s">
        <v>5020</v>
      </c>
      <c r="G2451">
        <v>14.4</v>
      </c>
      <c r="H2451">
        <v>2</v>
      </c>
      <c r="I2451">
        <v>2.5</v>
      </c>
      <c r="J2451">
        <v>17.21</v>
      </c>
      <c r="K2451">
        <v>30.1</v>
      </c>
      <c r="L2451" t="s">
        <v>5025</v>
      </c>
      <c r="M2451">
        <v>4</v>
      </c>
      <c r="N2451">
        <v>0</v>
      </c>
      <c r="O2451">
        <v>0</v>
      </c>
    </row>
    <row r="2452" spans="1:15" x14ac:dyDescent="0.3">
      <c r="A2452" t="s">
        <v>2465</v>
      </c>
      <c r="B2452">
        <v>4</v>
      </c>
      <c r="C2452">
        <v>36</v>
      </c>
      <c r="D2452" t="s">
        <v>5016</v>
      </c>
      <c r="E2452" t="s">
        <v>5018</v>
      </c>
      <c r="F2452" t="s">
        <v>5020</v>
      </c>
      <c r="G2452">
        <v>10.33</v>
      </c>
      <c r="H2452">
        <v>3</v>
      </c>
      <c r="I2452">
        <v>8.6</v>
      </c>
      <c r="J2452">
        <v>11.76</v>
      </c>
      <c r="K2452">
        <v>35.6</v>
      </c>
      <c r="L2452" t="s">
        <v>5028</v>
      </c>
      <c r="M2452">
        <v>5</v>
      </c>
      <c r="N2452">
        <v>2</v>
      </c>
      <c r="O2452">
        <v>0</v>
      </c>
    </row>
    <row r="2453" spans="1:15" x14ac:dyDescent="0.3">
      <c r="A2453" t="s">
        <v>2466</v>
      </c>
      <c r="B2453">
        <v>8</v>
      </c>
      <c r="C2453">
        <v>35</v>
      </c>
      <c r="D2453" t="s">
        <v>5016</v>
      </c>
      <c r="E2453" t="s">
        <v>5019</v>
      </c>
      <c r="F2453" t="s">
        <v>5023</v>
      </c>
      <c r="G2453">
        <v>23.96</v>
      </c>
      <c r="H2453">
        <v>3</v>
      </c>
      <c r="I2453">
        <v>4.5</v>
      </c>
      <c r="J2453">
        <v>14.13</v>
      </c>
      <c r="K2453">
        <v>41</v>
      </c>
      <c r="L2453" t="s">
        <v>5026</v>
      </c>
      <c r="M2453">
        <v>5</v>
      </c>
      <c r="N2453">
        <v>4</v>
      </c>
      <c r="O2453">
        <v>1</v>
      </c>
    </row>
    <row r="2454" spans="1:15" x14ac:dyDescent="0.3">
      <c r="A2454" t="s">
        <v>2467</v>
      </c>
      <c r="B2454">
        <v>6</v>
      </c>
      <c r="C2454">
        <v>23</v>
      </c>
      <c r="D2454" t="s">
        <v>5015</v>
      </c>
      <c r="E2454" t="s">
        <v>5019</v>
      </c>
      <c r="F2454" t="s">
        <v>5021</v>
      </c>
      <c r="G2454">
        <v>12.2</v>
      </c>
      <c r="H2454">
        <v>1</v>
      </c>
      <c r="I2454">
        <v>5.8</v>
      </c>
      <c r="J2454">
        <v>11.48</v>
      </c>
      <c r="K2454">
        <v>67.099999999999994</v>
      </c>
      <c r="L2454" t="s">
        <v>5025</v>
      </c>
      <c r="M2454">
        <v>1</v>
      </c>
      <c r="N2454">
        <v>3</v>
      </c>
      <c r="O2454">
        <v>1</v>
      </c>
    </row>
    <row r="2455" spans="1:15" x14ac:dyDescent="0.3">
      <c r="A2455" t="s">
        <v>2468</v>
      </c>
      <c r="B2455">
        <v>12</v>
      </c>
      <c r="C2455">
        <v>62</v>
      </c>
      <c r="D2455" t="s">
        <v>5015</v>
      </c>
      <c r="E2455" t="s">
        <v>5017</v>
      </c>
      <c r="F2455" t="s">
        <v>5022</v>
      </c>
      <c r="G2455">
        <v>7</v>
      </c>
      <c r="H2455">
        <v>5</v>
      </c>
      <c r="I2455">
        <v>1.2</v>
      </c>
      <c r="J2455">
        <v>12.08</v>
      </c>
      <c r="K2455">
        <v>20.3</v>
      </c>
      <c r="L2455" t="s">
        <v>5029</v>
      </c>
      <c r="M2455">
        <v>9</v>
      </c>
      <c r="N2455">
        <v>0</v>
      </c>
      <c r="O2455">
        <v>0</v>
      </c>
    </row>
    <row r="2456" spans="1:15" x14ac:dyDescent="0.3">
      <c r="A2456" t="s">
        <v>2469</v>
      </c>
      <c r="B2456">
        <v>10</v>
      </c>
      <c r="C2456">
        <v>50</v>
      </c>
      <c r="D2456" t="s">
        <v>5016</v>
      </c>
      <c r="E2456" t="s">
        <v>5017</v>
      </c>
      <c r="F2456" t="s">
        <v>5023</v>
      </c>
      <c r="G2456">
        <v>5.83</v>
      </c>
      <c r="H2456">
        <v>3</v>
      </c>
      <c r="I2456">
        <v>1.5</v>
      </c>
      <c r="J2456">
        <v>16.100000000000001</v>
      </c>
      <c r="K2456">
        <v>15.3</v>
      </c>
      <c r="L2456" t="s">
        <v>5029</v>
      </c>
      <c r="M2456">
        <v>5</v>
      </c>
      <c r="N2456">
        <v>3</v>
      </c>
      <c r="O2456">
        <v>0</v>
      </c>
    </row>
    <row r="2457" spans="1:15" x14ac:dyDescent="0.3">
      <c r="A2457" t="s">
        <v>2470</v>
      </c>
      <c r="B2457">
        <v>4</v>
      </c>
      <c r="C2457">
        <v>40</v>
      </c>
      <c r="D2457" t="s">
        <v>5015</v>
      </c>
      <c r="E2457" t="s">
        <v>5019</v>
      </c>
      <c r="F2457" t="s">
        <v>5020</v>
      </c>
      <c r="G2457">
        <v>10.31</v>
      </c>
      <c r="H2457">
        <v>1</v>
      </c>
      <c r="I2457">
        <v>6.4</v>
      </c>
      <c r="J2457">
        <v>4.33</v>
      </c>
      <c r="K2457">
        <v>93.8</v>
      </c>
      <c r="L2457" t="s">
        <v>5026</v>
      </c>
      <c r="M2457">
        <v>9</v>
      </c>
      <c r="N2457">
        <v>2</v>
      </c>
      <c r="O2457">
        <v>0</v>
      </c>
    </row>
    <row r="2458" spans="1:15" x14ac:dyDescent="0.3">
      <c r="A2458" t="s">
        <v>2471</v>
      </c>
      <c r="B2458">
        <v>5</v>
      </c>
      <c r="C2458">
        <v>40</v>
      </c>
      <c r="D2458" t="s">
        <v>5016</v>
      </c>
      <c r="E2458" t="s">
        <v>5018</v>
      </c>
      <c r="F2458" t="s">
        <v>5020</v>
      </c>
      <c r="G2458">
        <v>8.58</v>
      </c>
      <c r="H2458">
        <v>1</v>
      </c>
      <c r="I2458">
        <v>8.9</v>
      </c>
      <c r="J2458">
        <v>6.86</v>
      </c>
      <c r="K2458">
        <v>81.900000000000006</v>
      </c>
      <c r="L2458" t="s">
        <v>5027</v>
      </c>
      <c r="M2458">
        <v>7</v>
      </c>
      <c r="N2458">
        <v>0</v>
      </c>
      <c r="O2458">
        <v>1</v>
      </c>
    </row>
    <row r="2459" spans="1:15" x14ac:dyDescent="0.3">
      <c r="A2459" t="s">
        <v>2472</v>
      </c>
      <c r="B2459">
        <v>9</v>
      </c>
      <c r="C2459">
        <v>43</v>
      </c>
      <c r="D2459" t="s">
        <v>5016</v>
      </c>
      <c r="E2459" t="s">
        <v>5017</v>
      </c>
      <c r="F2459" t="s">
        <v>5020</v>
      </c>
      <c r="G2459">
        <v>18</v>
      </c>
      <c r="H2459">
        <v>2</v>
      </c>
      <c r="I2459">
        <v>5.4</v>
      </c>
      <c r="J2459">
        <v>7.99</v>
      </c>
      <c r="K2459">
        <v>35</v>
      </c>
      <c r="L2459" t="s">
        <v>5026</v>
      </c>
      <c r="M2459">
        <v>5</v>
      </c>
      <c r="N2459">
        <v>4</v>
      </c>
      <c r="O2459">
        <v>0</v>
      </c>
    </row>
    <row r="2460" spans="1:15" x14ac:dyDescent="0.3">
      <c r="A2460" t="s">
        <v>2473</v>
      </c>
      <c r="B2460">
        <v>7</v>
      </c>
      <c r="C2460">
        <v>30</v>
      </c>
      <c r="D2460" t="s">
        <v>5016</v>
      </c>
      <c r="E2460" t="s">
        <v>5017</v>
      </c>
      <c r="F2460" t="s">
        <v>5023</v>
      </c>
      <c r="G2460">
        <v>21.94</v>
      </c>
      <c r="H2460">
        <v>1</v>
      </c>
      <c r="I2460">
        <v>2.5</v>
      </c>
      <c r="J2460">
        <v>11.97</v>
      </c>
      <c r="K2460">
        <v>67.5</v>
      </c>
      <c r="L2460" t="s">
        <v>5029</v>
      </c>
      <c r="M2460">
        <v>9</v>
      </c>
      <c r="N2460">
        <v>4</v>
      </c>
      <c r="O2460">
        <v>0</v>
      </c>
    </row>
    <row r="2461" spans="1:15" x14ac:dyDescent="0.3">
      <c r="A2461" t="s">
        <v>2474</v>
      </c>
      <c r="B2461">
        <v>10</v>
      </c>
      <c r="C2461">
        <v>24</v>
      </c>
      <c r="D2461" t="s">
        <v>5016</v>
      </c>
      <c r="E2461" t="s">
        <v>5018</v>
      </c>
      <c r="F2461" t="s">
        <v>5020</v>
      </c>
      <c r="G2461">
        <v>11.25</v>
      </c>
      <c r="H2461">
        <v>4</v>
      </c>
      <c r="I2461">
        <v>2</v>
      </c>
      <c r="J2461">
        <v>11.16</v>
      </c>
      <c r="K2461">
        <v>63.3</v>
      </c>
      <c r="L2461" t="s">
        <v>5029</v>
      </c>
      <c r="M2461">
        <v>5</v>
      </c>
      <c r="N2461">
        <v>4</v>
      </c>
      <c r="O2461">
        <v>0</v>
      </c>
    </row>
    <row r="2462" spans="1:15" x14ac:dyDescent="0.3">
      <c r="A2462" t="s">
        <v>2475</v>
      </c>
      <c r="B2462">
        <v>9</v>
      </c>
      <c r="C2462">
        <v>32</v>
      </c>
      <c r="D2462" t="s">
        <v>5016</v>
      </c>
      <c r="E2462" t="s">
        <v>5019</v>
      </c>
      <c r="F2462" t="s">
        <v>5023</v>
      </c>
      <c r="G2462">
        <v>16.559999999999999</v>
      </c>
      <c r="H2462">
        <v>3</v>
      </c>
      <c r="I2462">
        <v>9.1</v>
      </c>
      <c r="J2462">
        <v>18.89</v>
      </c>
      <c r="K2462">
        <v>76.900000000000006</v>
      </c>
      <c r="L2462" t="s">
        <v>5027</v>
      </c>
      <c r="M2462">
        <v>10</v>
      </c>
      <c r="N2462">
        <v>4</v>
      </c>
      <c r="O2462">
        <v>0</v>
      </c>
    </row>
    <row r="2463" spans="1:15" x14ac:dyDescent="0.3">
      <c r="A2463" t="s">
        <v>2476</v>
      </c>
      <c r="B2463">
        <v>7</v>
      </c>
      <c r="C2463">
        <v>61</v>
      </c>
      <c r="D2463" t="s">
        <v>5015</v>
      </c>
      <c r="E2463" t="s">
        <v>5017</v>
      </c>
      <c r="F2463" t="s">
        <v>5020</v>
      </c>
      <c r="G2463">
        <v>19.61</v>
      </c>
      <c r="H2463">
        <v>4</v>
      </c>
      <c r="I2463">
        <v>7.3</v>
      </c>
      <c r="J2463">
        <v>8.6999999999999993</v>
      </c>
      <c r="K2463">
        <v>87.3</v>
      </c>
      <c r="L2463" t="s">
        <v>5026</v>
      </c>
      <c r="M2463">
        <v>9</v>
      </c>
      <c r="N2463">
        <v>0</v>
      </c>
      <c r="O2463">
        <v>1</v>
      </c>
    </row>
    <row r="2464" spans="1:15" x14ac:dyDescent="0.3">
      <c r="A2464" t="s">
        <v>2477</v>
      </c>
      <c r="B2464">
        <v>12</v>
      </c>
      <c r="C2464">
        <v>44</v>
      </c>
      <c r="D2464" t="s">
        <v>5015</v>
      </c>
      <c r="E2464" t="s">
        <v>5017</v>
      </c>
      <c r="F2464" t="s">
        <v>5024</v>
      </c>
      <c r="G2464">
        <v>12.97</v>
      </c>
      <c r="H2464">
        <v>1</v>
      </c>
      <c r="I2464">
        <v>9.6999999999999993</v>
      </c>
      <c r="J2464">
        <v>4.26</v>
      </c>
      <c r="K2464">
        <v>42.2</v>
      </c>
      <c r="L2464" t="s">
        <v>5028</v>
      </c>
      <c r="M2464">
        <v>5</v>
      </c>
      <c r="N2464">
        <v>2</v>
      </c>
      <c r="O2464">
        <v>0</v>
      </c>
    </row>
    <row r="2465" spans="1:15" x14ac:dyDescent="0.3">
      <c r="A2465" t="s">
        <v>2478</v>
      </c>
      <c r="B2465">
        <v>1</v>
      </c>
      <c r="C2465">
        <v>43</v>
      </c>
      <c r="D2465" t="s">
        <v>5015</v>
      </c>
      <c r="E2465" t="s">
        <v>5019</v>
      </c>
      <c r="F2465" t="s">
        <v>5024</v>
      </c>
      <c r="G2465">
        <v>6.33</v>
      </c>
      <c r="H2465">
        <v>1</v>
      </c>
      <c r="I2465">
        <v>1.7</v>
      </c>
      <c r="J2465">
        <v>4.22</v>
      </c>
      <c r="K2465">
        <v>69.5</v>
      </c>
      <c r="L2465" t="s">
        <v>5026</v>
      </c>
      <c r="M2465">
        <v>1</v>
      </c>
      <c r="N2465">
        <v>0</v>
      </c>
      <c r="O2465">
        <v>0</v>
      </c>
    </row>
    <row r="2466" spans="1:15" x14ac:dyDescent="0.3">
      <c r="A2466" t="s">
        <v>2479</v>
      </c>
      <c r="B2466">
        <v>12</v>
      </c>
      <c r="C2466">
        <v>50</v>
      </c>
      <c r="D2466" t="s">
        <v>5015</v>
      </c>
      <c r="E2466" t="s">
        <v>5019</v>
      </c>
      <c r="F2466" t="s">
        <v>5021</v>
      </c>
      <c r="G2466">
        <v>9.58</v>
      </c>
      <c r="H2466">
        <v>4</v>
      </c>
      <c r="I2466">
        <v>9.1</v>
      </c>
      <c r="J2466">
        <v>3.25</v>
      </c>
      <c r="K2466">
        <v>82.2</v>
      </c>
      <c r="L2466" t="s">
        <v>5028</v>
      </c>
      <c r="M2466">
        <v>7</v>
      </c>
      <c r="N2466">
        <v>4</v>
      </c>
      <c r="O2466">
        <v>1</v>
      </c>
    </row>
    <row r="2467" spans="1:15" x14ac:dyDescent="0.3">
      <c r="A2467" t="s">
        <v>2480</v>
      </c>
      <c r="B2467">
        <v>8</v>
      </c>
      <c r="C2467">
        <v>32</v>
      </c>
      <c r="D2467" t="s">
        <v>5016</v>
      </c>
      <c r="E2467" t="s">
        <v>5018</v>
      </c>
      <c r="F2467" t="s">
        <v>5020</v>
      </c>
      <c r="G2467">
        <v>22.66</v>
      </c>
      <c r="H2467">
        <v>2</v>
      </c>
      <c r="I2467">
        <v>8.6</v>
      </c>
      <c r="J2467">
        <v>3.84</v>
      </c>
      <c r="K2467">
        <v>72.900000000000006</v>
      </c>
      <c r="L2467" t="s">
        <v>5029</v>
      </c>
      <c r="M2467">
        <v>5</v>
      </c>
      <c r="N2467">
        <v>2</v>
      </c>
      <c r="O2467">
        <v>1</v>
      </c>
    </row>
    <row r="2468" spans="1:15" x14ac:dyDescent="0.3">
      <c r="A2468" t="s">
        <v>2481</v>
      </c>
      <c r="B2468">
        <v>4</v>
      </c>
      <c r="C2468">
        <v>53</v>
      </c>
      <c r="D2468" t="s">
        <v>5016</v>
      </c>
      <c r="E2468" t="s">
        <v>5019</v>
      </c>
      <c r="F2468" t="s">
        <v>5021</v>
      </c>
      <c r="G2468">
        <v>21.49</v>
      </c>
      <c r="H2468">
        <v>1</v>
      </c>
      <c r="I2468">
        <v>9</v>
      </c>
      <c r="J2468">
        <v>21.89</v>
      </c>
      <c r="K2468">
        <v>93</v>
      </c>
      <c r="L2468" t="s">
        <v>5029</v>
      </c>
      <c r="M2468">
        <v>5</v>
      </c>
      <c r="N2468">
        <v>1</v>
      </c>
      <c r="O2468">
        <v>0</v>
      </c>
    </row>
    <row r="2469" spans="1:15" x14ac:dyDescent="0.3">
      <c r="A2469" t="s">
        <v>2482</v>
      </c>
      <c r="B2469">
        <v>3</v>
      </c>
      <c r="C2469">
        <v>62</v>
      </c>
      <c r="D2469" t="s">
        <v>5015</v>
      </c>
      <c r="E2469" t="s">
        <v>5018</v>
      </c>
      <c r="F2469" t="s">
        <v>5023</v>
      </c>
      <c r="G2469">
        <v>6.73</v>
      </c>
      <c r="H2469">
        <v>4</v>
      </c>
      <c r="I2469">
        <v>1.1000000000000001</v>
      </c>
      <c r="J2469">
        <v>18.34</v>
      </c>
      <c r="K2469">
        <v>54.5</v>
      </c>
      <c r="L2469" t="s">
        <v>5026</v>
      </c>
      <c r="M2469">
        <v>6</v>
      </c>
      <c r="N2469">
        <v>1</v>
      </c>
      <c r="O2469">
        <v>0</v>
      </c>
    </row>
    <row r="2470" spans="1:15" x14ac:dyDescent="0.3">
      <c r="A2470" t="s">
        <v>2483</v>
      </c>
      <c r="B2470">
        <v>7</v>
      </c>
      <c r="C2470">
        <v>44</v>
      </c>
      <c r="D2470" t="s">
        <v>5015</v>
      </c>
      <c r="E2470" t="s">
        <v>5019</v>
      </c>
      <c r="F2470" t="s">
        <v>5021</v>
      </c>
      <c r="G2470">
        <v>9.48</v>
      </c>
      <c r="H2470">
        <v>4</v>
      </c>
      <c r="I2470">
        <v>7.7</v>
      </c>
      <c r="J2470">
        <v>24.91</v>
      </c>
      <c r="K2470">
        <v>82.2</v>
      </c>
      <c r="L2470" t="s">
        <v>5029</v>
      </c>
      <c r="M2470">
        <v>6</v>
      </c>
      <c r="N2470">
        <v>0</v>
      </c>
      <c r="O2470">
        <v>1</v>
      </c>
    </row>
    <row r="2471" spans="1:15" x14ac:dyDescent="0.3">
      <c r="A2471" t="s">
        <v>2484</v>
      </c>
      <c r="B2471">
        <v>12</v>
      </c>
      <c r="C2471">
        <v>22</v>
      </c>
      <c r="D2471" t="s">
        <v>5016</v>
      </c>
      <c r="E2471" t="s">
        <v>5018</v>
      </c>
      <c r="F2471" t="s">
        <v>5020</v>
      </c>
      <c r="G2471">
        <v>20.38</v>
      </c>
      <c r="H2471">
        <v>3</v>
      </c>
      <c r="I2471">
        <v>5.9</v>
      </c>
      <c r="J2471">
        <v>3.45</v>
      </c>
      <c r="K2471">
        <v>91.9</v>
      </c>
      <c r="L2471" t="s">
        <v>5027</v>
      </c>
      <c r="M2471">
        <v>7</v>
      </c>
      <c r="N2471">
        <v>4</v>
      </c>
      <c r="O2471">
        <v>0</v>
      </c>
    </row>
    <row r="2472" spans="1:15" x14ac:dyDescent="0.3">
      <c r="A2472" t="s">
        <v>2485</v>
      </c>
      <c r="B2472">
        <v>3</v>
      </c>
      <c r="C2472">
        <v>19</v>
      </c>
      <c r="D2472" t="s">
        <v>5016</v>
      </c>
      <c r="E2472" t="s">
        <v>5017</v>
      </c>
      <c r="F2472" t="s">
        <v>5023</v>
      </c>
      <c r="G2472">
        <v>14.72</v>
      </c>
      <c r="H2472">
        <v>2</v>
      </c>
      <c r="I2472">
        <v>6.2</v>
      </c>
      <c r="J2472">
        <v>21.68</v>
      </c>
      <c r="K2472">
        <v>60.1</v>
      </c>
      <c r="L2472" t="s">
        <v>5025</v>
      </c>
      <c r="M2472">
        <v>8</v>
      </c>
      <c r="N2472">
        <v>1</v>
      </c>
      <c r="O2472">
        <v>0</v>
      </c>
    </row>
    <row r="2473" spans="1:15" x14ac:dyDescent="0.3">
      <c r="A2473" t="s">
        <v>2486</v>
      </c>
      <c r="B2473">
        <v>8</v>
      </c>
      <c r="C2473">
        <v>50</v>
      </c>
      <c r="D2473" t="s">
        <v>5016</v>
      </c>
      <c r="E2473" t="s">
        <v>5019</v>
      </c>
      <c r="F2473" t="s">
        <v>5023</v>
      </c>
      <c r="G2473">
        <v>20.2</v>
      </c>
      <c r="H2473">
        <v>5</v>
      </c>
      <c r="I2473">
        <v>5.2</v>
      </c>
      <c r="J2473">
        <v>18.309999999999999</v>
      </c>
      <c r="K2473">
        <v>11.6</v>
      </c>
      <c r="L2473" t="s">
        <v>5028</v>
      </c>
      <c r="M2473">
        <v>1</v>
      </c>
      <c r="N2473">
        <v>1</v>
      </c>
      <c r="O2473">
        <v>0</v>
      </c>
    </row>
    <row r="2474" spans="1:15" x14ac:dyDescent="0.3">
      <c r="A2474" t="s">
        <v>2487</v>
      </c>
      <c r="B2474">
        <v>6</v>
      </c>
      <c r="C2474">
        <v>33</v>
      </c>
      <c r="D2474" t="s">
        <v>5015</v>
      </c>
      <c r="E2474" t="s">
        <v>5018</v>
      </c>
      <c r="F2474" t="s">
        <v>5024</v>
      </c>
      <c r="G2474">
        <v>9.2200000000000006</v>
      </c>
      <c r="H2474">
        <v>4</v>
      </c>
      <c r="I2474">
        <v>7.7</v>
      </c>
      <c r="J2474">
        <v>17.09</v>
      </c>
      <c r="K2474">
        <v>83.6</v>
      </c>
      <c r="L2474" t="s">
        <v>5029</v>
      </c>
      <c r="M2474">
        <v>10</v>
      </c>
      <c r="N2474">
        <v>3</v>
      </c>
      <c r="O2474">
        <v>0</v>
      </c>
    </row>
    <row r="2475" spans="1:15" x14ac:dyDescent="0.3">
      <c r="A2475" t="s">
        <v>2488</v>
      </c>
      <c r="B2475">
        <v>5</v>
      </c>
      <c r="C2475">
        <v>40</v>
      </c>
      <c r="D2475" t="s">
        <v>5016</v>
      </c>
      <c r="E2475" t="s">
        <v>5019</v>
      </c>
      <c r="F2475" t="s">
        <v>5023</v>
      </c>
      <c r="G2475">
        <v>24.05</v>
      </c>
      <c r="H2475">
        <v>3</v>
      </c>
      <c r="I2475">
        <v>10</v>
      </c>
      <c r="J2475">
        <v>10.84</v>
      </c>
      <c r="K2475">
        <v>86.1</v>
      </c>
      <c r="L2475" t="s">
        <v>5028</v>
      </c>
      <c r="M2475">
        <v>11</v>
      </c>
      <c r="N2475">
        <v>3</v>
      </c>
      <c r="O2475">
        <v>0</v>
      </c>
    </row>
    <row r="2476" spans="1:15" x14ac:dyDescent="0.3">
      <c r="A2476" t="s">
        <v>2489</v>
      </c>
      <c r="B2476">
        <v>4</v>
      </c>
      <c r="C2476">
        <v>55</v>
      </c>
      <c r="D2476" t="s">
        <v>5016</v>
      </c>
      <c r="E2476" t="s">
        <v>5018</v>
      </c>
      <c r="F2476" t="s">
        <v>5023</v>
      </c>
      <c r="G2476">
        <v>20.67</v>
      </c>
      <c r="H2476">
        <v>5</v>
      </c>
      <c r="I2476">
        <v>7.4</v>
      </c>
      <c r="J2476">
        <v>11.29</v>
      </c>
      <c r="K2476">
        <v>46</v>
      </c>
      <c r="L2476" t="s">
        <v>5026</v>
      </c>
      <c r="M2476">
        <v>3</v>
      </c>
      <c r="N2476">
        <v>2</v>
      </c>
      <c r="O2476">
        <v>0</v>
      </c>
    </row>
    <row r="2477" spans="1:15" x14ac:dyDescent="0.3">
      <c r="A2477" t="s">
        <v>2490</v>
      </c>
      <c r="B2477">
        <v>8</v>
      </c>
      <c r="C2477">
        <v>33</v>
      </c>
      <c r="D2477" t="s">
        <v>5015</v>
      </c>
      <c r="E2477" t="s">
        <v>5019</v>
      </c>
      <c r="F2477" t="s">
        <v>5021</v>
      </c>
      <c r="G2477">
        <v>8.9499999999999993</v>
      </c>
      <c r="H2477">
        <v>3</v>
      </c>
      <c r="I2477">
        <v>7.1</v>
      </c>
      <c r="J2477">
        <v>21.6</v>
      </c>
      <c r="K2477">
        <v>30.6</v>
      </c>
      <c r="L2477" t="s">
        <v>5027</v>
      </c>
      <c r="M2477">
        <v>6</v>
      </c>
      <c r="N2477">
        <v>2</v>
      </c>
      <c r="O2477">
        <v>0</v>
      </c>
    </row>
    <row r="2478" spans="1:15" x14ac:dyDescent="0.3">
      <c r="A2478" t="s">
        <v>2491</v>
      </c>
      <c r="B2478">
        <v>8</v>
      </c>
      <c r="C2478">
        <v>31</v>
      </c>
      <c r="D2478" t="s">
        <v>5015</v>
      </c>
      <c r="E2478" t="s">
        <v>5019</v>
      </c>
      <c r="F2478" t="s">
        <v>5023</v>
      </c>
      <c r="G2478">
        <v>16.170000000000002</v>
      </c>
      <c r="H2478">
        <v>3</v>
      </c>
      <c r="I2478">
        <v>6.9</v>
      </c>
      <c r="J2478">
        <v>18.7</v>
      </c>
      <c r="K2478">
        <v>98</v>
      </c>
      <c r="L2478" t="s">
        <v>5028</v>
      </c>
      <c r="M2478">
        <v>1</v>
      </c>
      <c r="N2478">
        <v>4</v>
      </c>
      <c r="O2478">
        <v>1</v>
      </c>
    </row>
    <row r="2479" spans="1:15" x14ac:dyDescent="0.3">
      <c r="A2479" t="s">
        <v>2492</v>
      </c>
      <c r="B2479">
        <v>12</v>
      </c>
      <c r="C2479">
        <v>46</v>
      </c>
      <c r="D2479" t="s">
        <v>5015</v>
      </c>
      <c r="E2479" t="s">
        <v>5017</v>
      </c>
      <c r="F2479" t="s">
        <v>5022</v>
      </c>
      <c r="G2479">
        <v>7.26</v>
      </c>
      <c r="H2479">
        <v>2</v>
      </c>
      <c r="I2479">
        <v>7.3</v>
      </c>
      <c r="J2479">
        <v>17.75</v>
      </c>
      <c r="K2479">
        <v>59.6</v>
      </c>
      <c r="L2479" t="s">
        <v>5029</v>
      </c>
      <c r="M2479">
        <v>5</v>
      </c>
      <c r="N2479">
        <v>1</v>
      </c>
      <c r="O2479">
        <v>0</v>
      </c>
    </row>
    <row r="2480" spans="1:15" x14ac:dyDescent="0.3">
      <c r="A2480" t="s">
        <v>2493</v>
      </c>
      <c r="B2480">
        <v>1</v>
      </c>
      <c r="C2480">
        <v>43</v>
      </c>
      <c r="D2480" t="s">
        <v>5016</v>
      </c>
      <c r="E2480" t="s">
        <v>5019</v>
      </c>
      <c r="F2480" t="s">
        <v>5024</v>
      </c>
      <c r="G2480">
        <v>12.23</v>
      </c>
      <c r="H2480">
        <v>1</v>
      </c>
      <c r="I2480">
        <v>4.0999999999999996</v>
      </c>
      <c r="J2480">
        <v>3.67</v>
      </c>
      <c r="K2480">
        <v>56.5</v>
      </c>
      <c r="L2480" t="s">
        <v>5025</v>
      </c>
      <c r="M2480">
        <v>5</v>
      </c>
      <c r="N2480">
        <v>0</v>
      </c>
      <c r="O2480">
        <v>0</v>
      </c>
    </row>
    <row r="2481" spans="1:15" x14ac:dyDescent="0.3">
      <c r="A2481" t="s">
        <v>2494</v>
      </c>
      <c r="B2481">
        <v>9</v>
      </c>
      <c r="C2481">
        <v>52</v>
      </c>
      <c r="D2481" t="s">
        <v>5016</v>
      </c>
      <c r="E2481" t="s">
        <v>5018</v>
      </c>
      <c r="F2481" t="s">
        <v>5024</v>
      </c>
      <c r="G2481">
        <v>18.190000000000001</v>
      </c>
      <c r="H2481">
        <v>2</v>
      </c>
      <c r="I2481">
        <v>3.9</v>
      </c>
      <c r="J2481">
        <v>7.06</v>
      </c>
      <c r="K2481">
        <v>95.1</v>
      </c>
      <c r="L2481" t="s">
        <v>5027</v>
      </c>
      <c r="M2481">
        <v>10</v>
      </c>
      <c r="N2481">
        <v>0</v>
      </c>
      <c r="O2481">
        <v>0</v>
      </c>
    </row>
    <row r="2482" spans="1:15" x14ac:dyDescent="0.3">
      <c r="A2482" t="s">
        <v>2495</v>
      </c>
      <c r="B2482">
        <v>5</v>
      </c>
      <c r="C2482">
        <v>32</v>
      </c>
      <c r="D2482" t="s">
        <v>5015</v>
      </c>
      <c r="E2482" t="s">
        <v>5019</v>
      </c>
      <c r="F2482" t="s">
        <v>5023</v>
      </c>
      <c r="G2482">
        <v>11.6</v>
      </c>
      <c r="H2482">
        <v>5</v>
      </c>
      <c r="I2482">
        <v>8.1</v>
      </c>
      <c r="J2482">
        <v>24.18</v>
      </c>
      <c r="K2482">
        <v>46.7</v>
      </c>
      <c r="L2482" t="s">
        <v>5026</v>
      </c>
      <c r="M2482">
        <v>9</v>
      </c>
      <c r="N2482">
        <v>3</v>
      </c>
      <c r="O2482">
        <v>0</v>
      </c>
    </row>
    <row r="2483" spans="1:15" x14ac:dyDescent="0.3">
      <c r="A2483" t="s">
        <v>2496</v>
      </c>
      <c r="B2483">
        <v>4</v>
      </c>
      <c r="C2483">
        <v>20</v>
      </c>
      <c r="D2483" t="s">
        <v>5016</v>
      </c>
      <c r="E2483" t="s">
        <v>5018</v>
      </c>
      <c r="F2483" t="s">
        <v>5021</v>
      </c>
      <c r="G2483">
        <v>18.14</v>
      </c>
      <c r="H2483">
        <v>2</v>
      </c>
      <c r="I2483">
        <v>1.5</v>
      </c>
      <c r="J2483">
        <v>13</v>
      </c>
      <c r="K2483">
        <v>86.3</v>
      </c>
      <c r="L2483" t="s">
        <v>5029</v>
      </c>
      <c r="M2483">
        <v>11</v>
      </c>
      <c r="N2483">
        <v>2</v>
      </c>
      <c r="O2483">
        <v>1</v>
      </c>
    </row>
    <row r="2484" spans="1:15" x14ac:dyDescent="0.3">
      <c r="A2484" t="s">
        <v>2497</v>
      </c>
      <c r="B2484">
        <v>6</v>
      </c>
      <c r="C2484">
        <v>40</v>
      </c>
      <c r="D2484" t="s">
        <v>5016</v>
      </c>
      <c r="E2484" t="s">
        <v>5019</v>
      </c>
      <c r="F2484" t="s">
        <v>5024</v>
      </c>
      <c r="G2484">
        <v>9.9</v>
      </c>
      <c r="H2484">
        <v>1</v>
      </c>
      <c r="I2484">
        <v>7.8</v>
      </c>
      <c r="J2484">
        <v>20.190000000000001</v>
      </c>
      <c r="K2484">
        <v>73.099999999999994</v>
      </c>
      <c r="L2484" t="s">
        <v>5027</v>
      </c>
      <c r="M2484">
        <v>2</v>
      </c>
      <c r="N2484">
        <v>4</v>
      </c>
      <c r="O2484">
        <v>1</v>
      </c>
    </row>
    <row r="2485" spans="1:15" x14ac:dyDescent="0.3">
      <c r="A2485" t="s">
        <v>2498</v>
      </c>
      <c r="B2485">
        <v>6</v>
      </c>
      <c r="C2485">
        <v>46</v>
      </c>
      <c r="D2485" t="s">
        <v>5016</v>
      </c>
      <c r="E2485" t="s">
        <v>5018</v>
      </c>
      <c r="F2485" t="s">
        <v>5024</v>
      </c>
      <c r="G2485">
        <v>19.420000000000002</v>
      </c>
      <c r="H2485">
        <v>2</v>
      </c>
      <c r="I2485">
        <v>8.3000000000000007</v>
      </c>
      <c r="J2485">
        <v>11.57</v>
      </c>
      <c r="K2485">
        <v>97.1</v>
      </c>
      <c r="L2485" t="s">
        <v>5029</v>
      </c>
      <c r="M2485">
        <v>7</v>
      </c>
      <c r="N2485">
        <v>3</v>
      </c>
      <c r="O2485">
        <v>0</v>
      </c>
    </row>
    <row r="2486" spans="1:15" x14ac:dyDescent="0.3">
      <c r="A2486" t="s">
        <v>2499</v>
      </c>
      <c r="B2486">
        <v>2</v>
      </c>
      <c r="C2486">
        <v>51</v>
      </c>
      <c r="D2486" t="s">
        <v>5015</v>
      </c>
      <c r="E2486" t="s">
        <v>5017</v>
      </c>
      <c r="F2486" t="s">
        <v>5022</v>
      </c>
      <c r="G2486">
        <v>12.19</v>
      </c>
      <c r="H2486">
        <v>2</v>
      </c>
      <c r="I2486">
        <v>5.7</v>
      </c>
      <c r="J2486">
        <v>19.82</v>
      </c>
      <c r="K2486">
        <v>48.6</v>
      </c>
      <c r="L2486" t="s">
        <v>5026</v>
      </c>
      <c r="M2486">
        <v>9</v>
      </c>
      <c r="N2486">
        <v>3</v>
      </c>
      <c r="O2486">
        <v>0</v>
      </c>
    </row>
    <row r="2487" spans="1:15" x14ac:dyDescent="0.3">
      <c r="A2487" t="s">
        <v>2500</v>
      </c>
      <c r="B2487">
        <v>8</v>
      </c>
      <c r="C2487">
        <v>50</v>
      </c>
      <c r="D2487" t="s">
        <v>5015</v>
      </c>
      <c r="E2487" t="s">
        <v>5017</v>
      </c>
      <c r="F2487" t="s">
        <v>5023</v>
      </c>
      <c r="G2487">
        <v>20.81</v>
      </c>
      <c r="H2487">
        <v>2</v>
      </c>
      <c r="I2487">
        <v>9.1999999999999993</v>
      </c>
      <c r="J2487">
        <v>5.62</v>
      </c>
      <c r="K2487">
        <v>91.7</v>
      </c>
      <c r="L2487" t="s">
        <v>5026</v>
      </c>
      <c r="M2487">
        <v>8</v>
      </c>
      <c r="N2487">
        <v>4</v>
      </c>
      <c r="O2487">
        <v>1</v>
      </c>
    </row>
    <row r="2488" spans="1:15" x14ac:dyDescent="0.3">
      <c r="A2488" t="s">
        <v>2501</v>
      </c>
      <c r="B2488">
        <v>7</v>
      </c>
      <c r="C2488">
        <v>58</v>
      </c>
      <c r="D2488" t="s">
        <v>5016</v>
      </c>
      <c r="E2488" t="s">
        <v>5018</v>
      </c>
      <c r="F2488" t="s">
        <v>5024</v>
      </c>
      <c r="G2488">
        <v>7.73</v>
      </c>
      <c r="H2488">
        <v>4</v>
      </c>
      <c r="I2488">
        <v>5.3</v>
      </c>
      <c r="J2488">
        <v>3.93</v>
      </c>
      <c r="K2488">
        <v>61.2</v>
      </c>
      <c r="L2488" t="s">
        <v>5025</v>
      </c>
      <c r="M2488">
        <v>1</v>
      </c>
      <c r="N2488">
        <v>4</v>
      </c>
      <c r="O2488">
        <v>0</v>
      </c>
    </row>
    <row r="2489" spans="1:15" x14ac:dyDescent="0.3">
      <c r="A2489" t="s">
        <v>2502</v>
      </c>
      <c r="B2489">
        <v>1</v>
      </c>
      <c r="C2489">
        <v>58</v>
      </c>
      <c r="D2489" t="s">
        <v>5016</v>
      </c>
      <c r="E2489" t="s">
        <v>5019</v>
      </c>
      <c r="F2489" t="s">
        <v>5024</v>
      </c>
      <c r="G2489">
        <v>12.24</v>
      </c>
      <c r="H2489">
        <v>4</v>
      </c>
      <c r="I2489">
        <v>2.6</v>
      </c>
      <c r="J2489">
        <v>13.26</v>
      </c>
      <c r="K2489">
        <v>52.8</v>
      </c>
      <c r="L2489" t="s">
        <v>5027</v>
      </c>
      <c r="M2489">
        <v>1</v>
      </c>
      <c r="N2489">
        <v>1</v>
      </c>
      <c r="O2489">
        <v>0</v>
      </c>
    </row>
    <row r="2490" spans="1:15" x14ac:dyDescent="0.3">
      <c r="A2490" t="s">
        <v>2503</v>
      </c>
      <c r="B2490">
        <v>5</v>
      </c>
      <c r="C2490">
        <v>40</v>
      </c>
      <c r="D2490" t="s">
        <v>5016</v>
      </c>
      <c r="E2490" t="s">
        <v>5018</v>
      </c>
      <c r="F2490" t="s">
        <v>5024</v>
      </c>
      <c r="G2490">
        <v>14.28</v>
      </c>
      <c r="H2490">
        <v>2</v>
      </c>
      <c r="I2490">
        <v>4.3</v>
      </c>
      <c r="J2490">
        <v>16.02</v>
      </c>
      <c r="K2490">
        <v>37.5</v>
      </c>
      <c r="L2490" t="s">
        <v>5025</v>
      </c>
      <c r="M2490">
        <v>2</v>
      </c>
      <c r="N2490">
        <v>4</v>
      </c>
      <c r="O2490">
        <v>1</v>
      </c>
    </row>
    <row r="2491" spans="1:15" x14ac:dyDescent="0.3">
      <c r="A2491" t="s">
        <v>2504</v>
      </c>
      <c r="B2491">
        <v>12</v>
      </c>
      <c r="C2491">
        <v>24</v>
      </c>
      <c r="D2491" t="s">
        <v>5016</v>
      </c>
      <c r="E2491" t="s">
        <v>5018</v>
      </c>
      <c r="F2491" t="s">
        <v>5024</v>
      </c>
      <c r="G2491">
        <v>13.48</v>
      </c>
      <c r="H2491">
        <v>1</v>
      </c>
      <c r="I2491">
        <v>9.1999999999999993</v>
      </c>
      <c r="J2491">
        <v>10.119999999999999</v>
      </c>
      <c r="K2491">
        <v>59.7</v>
      </c>
      <c r="L2491" t="s">
        <v>5025</v>
      </c>
      <c r="M2491">
        <v>1</v>
      </c>
      <c r="N2491">
        <v>4</v>
      </c>
      <c r="O2491">
        <v>0</v>
      </c>
    </row>
    <row r="2492" spans="1:15" x14ac:dyDescent="0.3">
      <c r="A2492" t="s">
        <v>2505</v>
      </c>
      <c r="B2492">
        <v>6</v>
      </c>
      <c r="C2492">
        <v>20</v>
      </c>
      <c r="D2492" t="s">
        <v>5015</v>
      </c>
      <c r="E2492" t="s">
        <v>5017</v>
      </c>
      <c r="F2492" t="s">
        <v>5021</v>
      </c>
      <c r="G2492">
        <v>13.66</v>
      </c>
      <c r="H2492">
        <v>1</v>
      </c>
      <c r="I2492">
        <v>9.9</v>
      </c>
      <c r="J2492">
        <v>18.75</v>
      </c>
      <c r="K2492">
        <v>61.5</v>
      </c>
      <c r="L2492" t="s">
        <v>5025</v>
      </c>
      <c r="M2492">
        <v>8</v>
      </c>
      <c r="N2492">
        <v>3</v>
      </c>
      <c r="O2492">
        <v>0</v>
      </c>
    </row>
    <row r="2493" spans="1:15" x14ac:dyDescent="0.3">
      <c r="A2493" t="s">
        <v>2506</v>
      </c>
      <c r="B2493">
        <v>4</v>
      </c>
      <c r="C2493">
        <v>49</v>
      </c>
      <c r="D2493" t="s">
        <v>5015</v>
      </c>
      <c r="E2493" t="s">
        <v>5018</v>
      </c>
      <c r="F2493" t="s">
        <v>5020</v>
      </c>
      <c r="G2493">
        <v>13.9</v>
      </c>
      <c r="H2493">
        <v>1</v>
      </c>
      <c r="I2493">
        <v>4.8</v>
      </c>
      <c r="J2493">
        <v>13.91</v>
      </c>
      <c r="K2493">
        <v>90.9</v>
      </c>
      <c r="L2493" t="s">
        <v>5028</v>
      </c>
      <c r="M2493">
        <v>7</v>
      </c>
      <c r="N2493">
        <v>3</v>
      </c>
      <c r="O2493">
        <v>1</v>
      </c>
    </row>
    <row r="2494" spans="1:15" x14ac:dyDescent="0.3">
      <c r="A2494" t="s">
        <v>2507</v>
      </c>
      <c r="B2494">
        <v>2</v>
      </c>
      <c r="C2494">
        <v>48</v>
      </c>
      <c r="D2494" t="s">
        <v>5016</v>
      </c>
      <c r="E2494" t="s">
        <v>5017</v>
      </c>
      <c r="F2494" t="s">
        <v>5022</v>
      </c>
      <c r="G2494">
        <v>24.78</v>
      </c>
      <c r="H2494">
        <v>1</v>
      </c>
      <c r="I2494">
        <v>2.5</v>
      </c>
      <c r="J2494">
        <v>23.42</v>
      </c>
      <c r="K2494">
        <v>73.400000000000006</v>
      </c>
      <c r="L2494" t="s">
        <v>5026</v>
      </c>
      <c r="M2494">
        <v>6</v>
      </c>
      <c r="N2494">
        <v>0</v>
      </c>
      <c r="O2494">
        <v>0</v>
      </c>
    </row>
    <row r="2495" spans="1:15" x14ac:dyDescent="0.3">
      <c r="A2495" t="s">
        <v>2508</v>
      </c>
      <c r="B2495">
        <v>4</v>
      </c>
      <c r="C2495">
        <v>35</v>
      </c>
      <c r="D2495" t="s">
        <v>5016</v>
      </c>
      <c r="E2495" t="s">
        <v>5019</v>
      </c>
      <c r="F2495" t="s">
        <v>5021</v>
      </c>
      <c r="G2495">
        <v>8.86</v>
      </c>
      <c r="H2495">
        <v>3</v>
      </c>
      <c r="I2495">
        <v>3.6</v>
      </c>
      <c r="J2495">
        <v>4.87</v>
      </c>
      <c r="K2495">
        <v>84.4</v>
      </c>
      <c r="L2495" t="s">
        <v>5025</v>
      </c>
      <c r="M2495">
        <v>2</v>
      </c>
      <c r="N2495">
        <v>0</v>
      </c>
      <c r="O2495">
        <v>1</v>
      </c>
    </row>
    <row r="2496" spans="1:15" x14ac:dyDescent="0.3">
      <c r="A2496" t="s">
        <v>2509</v>
      </c>
      <c r="B2496">
        <v>1</v>
      </c>
      <c r="C2496">
        <v>60</v>
      </c>
      <c r="D2496" t="s">
        <v>5015</v>
      </c>
      <c r="E2496" t="s">
        <v>5019</v>
      </c>
      <c r="F2496" t="s">
        <v>5022</v>
      </c>
      <c r="G2496">
        <v>20.37</v>
      </c>
      <c r="H2496">
        <v>2</v>
      </c>
      <c r="I2496">
        <v>6</v>
      </c>
      <c r="J2496">
        <v>4.46</v>
      </c>
      <c r="K2496">
        <v>79.2</v>
      </c>
      <c r="L2496" t="s">
        <v>5028</v>
      </c>
      <c r="M2496">
        <v>11</v>
      </c>
      <c r="N2496">
        <v>0</v>
      </c>
      <c r="O2496">
        <v>0</v>
      </c>
    </row>
    <row r="2497" spans="1:15" x14ac:dyDescent="0.3">
      <c r="A2497" t="s">
        <v>2510</v>
      </c>
      <c r="B2497">
        <v>7</v>
      </c>
      <c r="C2497">
        <v>24</v>
      </c>
      <c r="D2497" t="s">
        <v>5016</v>
      </c>
      <c r="E2497" t="s">
        <v>5018</v>
      </c>
      <c r="F2497" t="s">
        <v>5024</v>
      </c>
      <c r="G2497">
        <v>16.04</v>
      </c>
      <c r="H2497">
        <v>2</v>
      </c>
      <c r="I2497">
        <v>6.1</v>
      </c>
      <c r="J2497">
        <v>22.91</v>
      </c>
      <c r="K2497">
        <v>34.9</v>
      </c>
      <c r="L2497" t="s">
        <v>5028</v>
      </c>
      <c r="M2497">
        <v>9</v>
      </c>
      <c r="N2497">
        <v>4</v>
      </c>
      <c r="O2497">
        <v>1</v>
      </c>
    </row>
    <row r="2498" spans="1:15" x14ac:dyDescent="0.3">
      <c r="A2498" t="s">
        <v>2511</v>
      </c>
      <c r="B2498">
        <v>2</v>
      </c>
      <c r="C2498">
        <v>58</v>
      </c>
      <c r="D2498" t="s">
        <v>5015</v>
      </c>
      <c r="E2498" t="s">
        <v>5017</v>
      </c>
      <c r="F2498" t="s">
        <v>5022</v>
      </c>
      <c r="G2498">
        <v>13.27</v>
      </c>
      <c r="H2498">
        <v>3</v>
      </c>
      <c r="I2498">
        <v>6.7</v>
      </c>
      <c r="J2498">
        <v>17.72</v>
      </c>
      <c r="K2498">
        <v>28.5</v>
      </c>
      <c r="L2498" t="s">
        <v>5028</v>
      </c>
      <c r="M2498">
        <v>1</v>
      </c>
      <c r="N2498">
        <v>1</v>
      </c>
      <c r="O2498">
        <v>0</v>
      </c>
    </row>
    <row r="2499" spans="1:15" x14ac:dyDescent="0.3">
      <c r="A2499" t="s">
        <v>2512</v>
      </c>
      <c r="B2499">
        <v>2</v>
      </c>
      <c r="C2499">
        <v>18</v>
      </c>
      <c r="D2499" t="s">
        <v>5016</v>
      </c>
      <c r="E2499" t="s">
        <v>5017</v>
      </c>
      <c r="F2499" t="s">
        <v>5023</v>
      </c>
      <c r="G2499">
        <v>17.670000000000002</v>
      </c>
      <c r="H2499">
        <v>1</v>
      </c>
      <c r="I2499">
        <v>8.5</v>
      </c>
      <c r="J2499">
        <v>17.760000000000002</v>
      </c>
      <c r="K2499">
        <v>33.299999999999997</v>
      </c>
      <c r="L2499" t="s">
        <v>5025</v>
      </c>
      <c r="M2499">
        <v>1</v>
      </c>
      <c r="N2499">
        <v>3</v>
      </c>
      <c r="O2499">
        <v>0</v>
      </c>
    </row>
    <row r="2500" spans="1:15" x14ac:dyDescent="0.3">
      <c r="A2500" t="s">
        <v>2513</v>
      </c>
      <c r="B2500">
        <v>9</v>
      </c>
      <c r="C2500">
        <v>31</v>
      </c>
      <c r="D2500" t="s">
        <v>5015</v>
      </c>
      <c r="E2500" t="s">
        <v>5018</v>
      </c>
      <c r="F2500" t="s">
        <v>5023</v>
      </c>
      <c r="G2500">
        <v>22.07</v>
      </c>
      <c r="H2500">
        <v>5</v>
      </c>
      <c r="I2500">
        <v>7.4</v>
      </c>
      <c r="J2500">
        <v>3.61</v>
      </c>
      <c r="K2500">
        <v>23.2</v>
      </c>
      <c r="L2500" t="s">
        <v>5028</v>
      </c>
      <c r="M2500">
        <v>2</v>
      </c>
      <c r="N2500">
        <v>2</v>
      </c>
      <c r="O2500">
        <v>0</v>
      </c>
    </row>
    <row r="2501" spans="1:15" x14ac:dyDescent="0.3">
      <c r="A2501" t="s">
        <v>2514</v>
      </c>
      <c r="B2501">
        <v>5</v>
      </c>
      <c r="C2501">
        <v>69</v>
      </c>
      <c r="D2501" t="s">
        <v>5016</v>
      </c>
      <c r="E2501" t="s">
        <v>5018</v>
      </c>
      <c r="F2501" t="s">
        <v>5020</v>
      </c>
      <c r="G2501">
        <v>14.33</v>
      </c>
      <c r="H2501">
        <v>5</v>
      </c>
      <c r="I2501">
        <v>3.3</v>
      </c>
      <c r="J2501">
        <v>23.63</v>
      </c>
      <c r="K2501">
        <v>44.7</v>
      </c>
      <c r="L2501" t="s">
        <v>5025</v>
      </c>
      <c r="M2501">
        <v>7</v>
      </c>
      <c r="N2501">
        <v>1</v>
      </c>
      <c r="O2501">
        <v>0</v>
      </c>
    </row>
    <row r="2502" spans="1:15" x14ac:dyDescent="0.3">
      <c r="A2502" t="s">
        <v>2515</v>
      </c>
      <c r="B2502">
        <v>2</v>
      </c>
      <c r="C2502">
        <v>49</v>
      </c>
      <c r="D2502" t="s">
        <v>5016</v>
      </c>
      <c r="E2502" t="s">
        <v>5019</v>
      </c>
      <c r="F2502" t="s">
        <v>5020</v>
      </c>
      <c r="G2502">
        <v>22.3</v>
      </c>
      <c r="H2502">
        <v>3</v>
      </c>
      <c r="I2502">
        <v>4.5999999999999996</v>
      </c>
      <c r="J2502">
        <v>19.98</v>
      </c>
      <c r="K2502">
        <v>68.900000000000006</v>
      </c>
      <c r="L2502" t="s">
        <v>5027</v>
      </c>
      <c r="M2502">
        <v>10</v>
      </c>
      <c r="N2502">
        <v>2</v>
      </c>
      <c r="O2502">
        <v>0</v>
      </c>
    </row>
    <row r="2503" spans="1:15" x14ac:dyDescent="0.3">
      <c r="A2503" t="s">
        <v>2516</v>
      </c>
      <c r="B2503">
        <v>11</v>
      </c>
      <c r="C2503">
        <v>23</v>
      </c>
      <c r="D2503" t="s">
        <v>5015</v>
      </c>
      <c r="E2503" t="s">
        <v>5017</v>
      </c>
      <c r="F2503" t="s">
        <v>5022</v>
      </c>
      <c r="G2503">
        <v>6.88</v>
      </c>
      <c r="H2503">
        <v>5</v>
      </c>
      <c r="I2503">
        <v>8.6</v>
      </c>
      <c r="J2503">
        <v>19.809999999999999</v>
      </c>
      <c r="K2503">
        <v>58.3</v>
      </c>
      <c r="L2503" t="s">
        <v>5026</v>
      </c>
      <c r="M2503">
        <v>1</v>
      </c>
      <c r="N2503">
        <v>4</v>
      </c>
      <c r="O2503">
        <v>0</v>
      </c>
    </row>
    <row r="2504" spans="1:15" x14ac:dyDescent="0.3">
      <c r="A2504" t="s">
        <v>2517</v>
      </c>
      <c r="B2504">
        <v>9</v>
      </c>
      <c r="C2504">
        <v>56</v>
      </c>
      <c r="D2504" t="s">
        <v>5015</v>
      </c>
      <c r="E2504" t="s">
        <v>5019</v>
      </c>
      <c r="F2504" t="s">
        <v>5021</v>
      </c>
      <c r="G2504">
        <v>18.059999999999999</v>
      </c>
      <c r="H2504">
        <v>4</v>
      </c>
      <c r="I2504">
        <v>6.7</v>
      </c>
      <c r="J2504">
        <v>23.06</v>
      </c>
      <c r="K2504">
        <v>71.099999999999994</v>
      </c>
      <c r="L2504" t="s">
        <v>5029</v>
      </c>
      <c r="M2504">
        <v>3</v>
      </c>
      <c r="N2504">
        <v>2</v>
      </c>
      <c r="O2504">
        <v>0</v>
      </c>
    </row>
    <row r="2505" spans="1:15" x14ac:dyDescent="0.3">
      <c r="A2505" t="s">
        <v>2518</v>
      </c>
      <c r="B2505">
        <v>9</v>
      </c>
      <c r="C2505">
        <v>27</v>
      </c>
      <c r="D2505" t="s">
        <v>5016</v>
      </c>
      <c r="E2505" t="s">
        <v>5018</v>
      </c>
      <c r="F2505" t="s">
        <v>5021</v>
      </c>
      <c r="G2505">
        <v>11.66</v>
      </c>
      <c r="H2505">
        <v>2</v>
      </c>
      <c r="I2505">
        <v>2.5</v>
      </c>
      <c r="J2505">
        <v>15.72</v>
      </c>
      <c r="K2505">
        <v>42</v>
      </c>
      <c r="L2505" t="s">
        <v>5025</v>
      </c>
      <c r="M2505">
        <v>10</v>
      </c>
      <c r="N2505">
        <v>0</v>
      </c>
      <c r="O2505">
        <v>0</v>
      </c>
    </row>
    <row r="2506" spans="1:15" x14ac:dyDescent="0.3">
      <c r="A2506" t="s">
        <v>2519</v>
      </c>
      <c r="B2506">
        <v>1</v>
      </c>
      <c r="C2506">
        <v>24</v>
      </c>
      <c r="D2506" t="s">
        <v>5016</v>
      </c>
      <c r="E2506" t="s">
        <v>5018</v>
      </c>
      <c r="F2506" t="s">
        <v>5024</v>
      </c>
      <c r="G2506">
        <v>12.73</v>
      </c>
      <c r="H2506">
        <v>5</v>
      </c>
      <c r="I2506">
        <v>3.9</v>
      </c>
      <c r="J2506">
        <v>11.68</v>
      </c>
      <c r="K2506">
        <v>28.5</v>
      </c>
      <c r="L2506" t="s">
        <v>5026</v>
      </c>
      <c r="M2506">
        <v>8</v>
      </c>
      <c r="N2506">
        <v>3</v>
      </c>
      <c r="O2506">
        <v>0</v>
      </c>
    </row>
    <row r="2507" spans="1:15" x14ac:dyDescent="0.3">
      <c r="A2507" t="s">
        <v>2520</v>
      </c>
      <c r="B2507">
        <v>11</v>
      </c>
      <c r="C2507">
        <v>43</v>
      </c>
      <c r="D2507" t="s">
        <v>5015</v>
      </c>
      <c r="E2507" t="s">
        <v>5018</v>
      </c>
      <c r="F2507" t="s">
        <v>5021</v>
      </c>
      <c r="G2507">
        <v>16.420000000000002</v>
      </c>
      <c r="H2507">
        <v>4</v>
      </c>
      <c r="I2507">
        <v>8.1</v>
      </c>
      <c r="J2507">
        <v>13.57</v>
      </c>
      <c r="K2507">
        <v>28.2</v>
      </c>
      <c r="L2507" t="s">
        <v>5025</v>
      </c>
      <c r="M2507">
        <v>7</v>
      </c>
      <c r="N2507">
        <v>1</v>
      </c>
      <c r="O2507">
        <v>0</v>
      </c>
    </row>
    <row r="2508" spans="1:15" x14ac:dyDescent="0.3">
      <c r="A2508" t="s">
        <v>2521</v>
      </c>
      <c r="B2508">
        <v>3</v>
      </c>
      <c r="C2508">
        <v>51</v>
      </c>
      <c r="D2508" t="s">
        <v>5015</v>
      </c>
      <c r="E2508" t="s">
        <v>5017</v>
      </c>
      <c r="F2508" t="s">
        <v>5020</v>
      </c>
      <c r="G2508">
        <v>14.6</v>
      </c>
      <c r="H2508">
        <v>2</v>
      </c>
      <c r="I2508">
        <v>2.5</v>
      </c>
      <c r="J2508">
        <v>20.100000000000001</v>
      </c>
      <c r="K2508">
        <v>64.099999999999994</v>
      </c>
      <c r="L2508" t="s">
        <v>5027</v>
      </c>
      <c r="M2508">
        <v>8</v>
      </c>
      <c r="N2508">
        <v>0</v>
      </c>
      <c r="O2508">
        <v>1</v>
      </c>
    </row>
    <row r="2509" spans="1:15" x14ac:dyDescent="0.3">
      <c r="A2509" t="s">
        <v>2522</v>
      </c>
      <c r="B2509">
        <v>4</v>
      </c>
      <c r="C2509">
        <v>47</v>
      </c>
      <c r="D2509" t="s">
        <v>5016</v>
      </c>
      <c r="E2509" t="s">
        <v>5018</v>
      </c>
      <c r="F2509" t="s">
        <v>5021</v>
      </c>
      <c r="G2509">
        <v>12.64</v>
      </c>
      <c r="H2509">
        <v>4</v>
      </c>
      <c r="I2509">
        <v>7.2</v>
      </c>
      <c r="J2509">
        <v>19.91</v>
      </c>
      <c r="K2509">
        <v>24.8</v>
      </c>
      <c r="L2509" t="s">
        <v>5026</v>
      </c>
      <c r="M2509">
        <v>6</v>
      </c>
      <c r="N2509">
        <v>3</v>
      </c>
      <c r="O2509">
        <v>0</v>
      </c>
    </row>
    <row r="2510" spans="1:15" x14ac:dyDescent="0.3">
      <c r="A2510" t="s">
        <v>2523</v>
      </c>
      <c r="B2510">
        <v>7</v>
      </c>
      <c r="C2510">
        <v>53</v>
      </c>
      <c r="D2510" t="s">
        <v>5016</v>
      </c>
      <c r="E2510" t="s">
        <v>5019</v>
      </c>
      <c r="F2510" t="s">
        <v>5024</v>
      </c>
      <c r="G2510">
        <v>11.17</v>
      </c>
      <c r="H2510">
        <v>2</v>
      </c>
      <c r="I2510">
        <v>6.1</v>
      </c>
      <c r="J2510">
        <v>16.41</v>
      </c>
      <c r="K2510">
        <v>45.7</v>
      </c>
      <c r="L2510" t="s">
        <v>5026</v>
      </c>
      <c r="M2510">
        <v>8</v>
      </c>
      <c r="N2510">
        <v>0</v>
      </c>
      <c r="O2510">
        <v>0</v>
      </c>
    </row>
    <row r="2511" spans="1:15" x14ac:dyDescent="0.3">
      <c r="A2511" t="s">
        <v>2524</v>
      </c>
      <c r="B2511">
        <v>10</v>
      </c>
      <c r="C2511">
        <v>38</v>
      </c>
      <c r="D2511" t="s">
        <v>5015</v>
      </c>
      <c r="E2511" t="s">
        <v>5018</v>
      </c>
      <c r="F2511" t="s">
        <v>5023</v>
      </c>
      <c r="G2511">
        <v>17.37</v>
      </c>
      <c r="H2511">
        <v>2</v>
      </c>
      <c r="I2511">
        <v>2.2999999999999998</v>
      </c>
      <c r="J2511">
        <v>7.8</v>
      </c>
      <c r="K2511">
        <v>29.2</v>
      </c>
      <c r="L2511" t="s">
        <v>5028</v>
      </c>
      <c r="M2511">
        <v>5</v>
      </c>
      <c r="N2511">
        <v>1</v>
      </c>
      <c r="O2511">
        <v>0</v>
      </c>
    </row>
    <row r="2512" spans="1:15" x14ac:dyDescent="0.3">
      <c r="A2512" t="s">
        <v>2525</v>
      </c>
      <c r="B2512">
        <v>4</v>
      </c>
      <c r="C2512">
        <v>34</v>
      </c>
      <c r="D2512" t="s">
        <v>5015</v>
      </c>
      <c r="E2512" t="s">
        <v>5019</v>
      </c>
      <c r="F2512" t="s">
        <v>5021</v>
      </c>
      <c r="G2512">
        <v>15.11</v>
      </c>
      <c r="H2512">
        <v>5</v>
      </c>
      <c r="I2512">
        <v>7.2</v>
      </c>
      <c r="J2512">
        <v>21.02</v>
      </c>
      <c r="K2512">
        <v>69.599999999999994</v>
      </c>
      <c r="L2512" t="s">
        <v>5025</v>
      </c>
      <c r="M2512">
        <v>9</v>
      </c>
      <c r="N2512">
        <v>4</v>
      </c>
      <c r="O2512">
        <v>0</v>
      </c>
    </row>
    <row r="2513" spans="1:15" x14ac:dyDescent="0.3">
      <c r="A2513" t="s">
        <v>2526</v>
      </c>
      <c r="B2513">
        <v>2</v>
      </c>
      <c r="C2513">
        <v>50</v>
      </c>
      <c r="D2513" t="s">
        <v>5015</v>
      </c>
      <c r="E2513" t="s">
        <v>5018</v>
      </c>
      <c r="F2513" t="s">
        <v>5021</v>
      </c>
      <c r="G2513">
        <v>11.47</v>
      </c>
      <c r="H2513">
        <v>3</v>
      </c>
      <c r="I2513">
        <v>2.2999999999999998</v>
      </c>
      <c r="J2513">
        <v>17.239999999999998</v>
      </c>
      <c r="K2513">
        <v>65.400000000000006</v>
      </c>
      <c r="L2513" t="s">
        <v>5025</v>
      </c>
      <c r="M2513">
        <v>10</v>
      </c>
      <c r="N2513">
        <v>2</v>
      </c>
      <c r="O2513">
        <v>1</v>
      </c>
    </row>
    <row r="2514" spans="1:15" x14ac:dyDescent="0.3">
      <c r="A2514" t="s">
        <v>2527</v>
      </c>
      <c r="B2514">
        <v>7</v>
      </c>
      <c r="C2514">
        <v>27</v>
      </c>
      <c r="D2514" t="s">
        <v>5015</v>
      </c>
      <c r="E2514" t="s">
        <v>5017</v>
      </c>
      <c r="F2514" t="s">
        <v>5020</v>
      </c>
      <c r="G2514">
        <v>9.1</v>
      </c>
      <c r="H2514">
        <v>5</v>
      </c>
      <c r="I2514">
        <v>4.5999999999999996</v>
      </c>
      <c r="J2514">
        <v>7.87</v>
      </c>
      <c r="K2514">
        <v>44.3</v>
      </c>
      <c r="L2514" t="s">
        <v>5029</v>
      </c>
      <c r="M2514">
        <v>11</v>
      </c>
      <c r="N2514">
        <v>4</v>
      </c>
      <c r="O2514">
        <v>0</v>
      </c>
    </row>
    <row r="2515" spans="1:15" x14ac:dyDescent="0.3">
      <c r="A2515" t="s">
        <v>2528</v>
      </c>
      <c r="B2515">
        <v>6</v>
      </c>
      <c r="C2515">
        <v>68</v>
      </c>
      <c r="D2515" t="s">
        <v>5015</v>
      </c>
      <c r="E2515" t="s">
        <v>5018</v>
      </c>
      <c r="F2515" t="s">
        <v>5022</v>
      </c>
      <c r="G2515">
        <v>20.49</v>
      </c>
      <c r="H2515">
        <v>1</v>
      </c>
      <c r="I2515">
        <v>3.8</v>
      </c>
      <c r="J2515">
        <v>13.57</v>
      </c>
      <c r="K2515">
        <v>21.6</v>
      </c>
      <c r="L2515" t="s">
        <v>5028</v>
      </c>
      <c r="M2515">
        <v>1</v>
      </c>
      <c r="N2515">
        <v>2</v>
      </c>
      <c r="O2515">
        <v>0</v>
      </c>
    </row>
    <row r="2516" spans="1:15" x14ac:dyDescent="0.3">
      <c r="A2516" t="s">
        <v>2529</v>
      </c>
      <c r="B2516">
        <v>3</v>
      </c>
      <c r="C2516">
        <v>64</v>
      </c>
      <c r="D2516" t="s">
        <v>5016</v>
      </c>
      <c r="E2516" t="s">
        <v>5018</v>
      </c>
      <c r="F2516" t="s">
        <v>5023</v>
      </c>
      <c r="G2516">
        <v>20.99</v>
      </c>
      <c r="H2516">
        <v>4</v>
      </c>
      <c r="I2516">
        <v>7.2</v>
      </c>
      <c r="J2516">
        <v>24.94</v>
      </c>
      <c r="K2516">
        <v>29.1</v>
      </c>
      <c r="L2516" t="s">
        <v>5028</v>
      </c>
      <c r="M2516">
        <v>7</v>
      </c>
      <c r="N2516">
        <v>2</v>
      </c>
      <c r="O2516">
        <v>0</v>
      </c>
    </row>
    <row r="2517" spans="1:15" x14ac:dyDescent="0.3">
      <c r="A2517" t="s">
        <v>2530</v>
      </c>
      <c r="B2517">
        <v>6</v>
      </c>
      <c r="C2517">
        <v>59</v>
      </c>
      <c r="D2517" t="s">
        <v>5016</v>
      </c>
      <c r="E2517" t="s">
        <v>5018</v>
      </c>
      <c r="F2517" t="s">
        <v>5022</v>
      </c>
      <c r="G2517">
        <v>9.2799999999999994</v>
      </c>
      <c r="H2517">
        <v>1</v>
      </c>
      <c r="I2517">
        <v>8</v>
      </c>
      <c r="J2517">
        <v>10.220000000000001</v>
      </c>
      <c r="K2517">
        <v>52.5</v>
      </c>
      <c r="L2517" t="s">
        <v>5029</v>
      </c>
      <c r="M2517">
        <v>6</v>
      </c>
      <c r="N2517">
        <v>1</v>
      </c>
      <c r="O2517">
        <v>1</v>
      </c>
    </row>
    <row r="2518" spans="1:15" x14ac:dyDescent="0.3">
      <c r="A2518" t="s">
        <v>2531</v>
      </c>
      <c r="B2518">
        <v>11</v>
      </c>
      <c r="C2518">
        <v>68</v>
      </c>
      <c r="D2518" t="s">
        <v>5015</v>
      </c>
      <c r="E2518" t="s">
        <v>5017</v>
      </c>
      <c r="F2518" t="s">
        <v>5024</v>
      </c>
      <c r="G2518">
        <v>10.23</v>
      </c>
      <c r="H2518">
        <v>2</v>
      </c>
      <c r="I2518">
        <v>2.5</v>
      </c>
      <c r="J2518">
        <v>5.56</v>
      </c>
      <c r="K2518">
        <v>97.5</v>
      </c>
      <c r="L2518" t="s">
        <v>5028</v>
      </c>
      <c r="M2518">
        <v>8</v>
      </c>
      <c r="N2518">
        <v>1</v>
      </c>
      <c r="O2518">
        <v>1</v>
      </c>
    </row>
    <row r="2519" spans="1:15" x14ac:dyDescent="0.3">
      <c r="A2519" t="s">
        <v>2532</v>
      </c>
      <c r="B2519">
        <v>6</v>
      </c>
      <c r="C2519">
        <v>29</v>
      </c>
      <c r="D2519" t="s">
        <v>5016</v>
      </c>
      <c r="E2519" t="s">
        <v>5018</v>
      </c>
      <c r="F2519" t="s">
        <v>5024</v>
      </c>
      <c r="G2519">
        <v>9.7799999999999994</v>
      </c>
      <c r="H2519">
        <v>5</v>
      </c>
      <c r="I2519">
        <v>8.3000000000000007</v>
      </c>
      <c r="J2519">
        <v>3.48</v>
      </c>
      <c r="K2519">
        <v>34.4</v>
      </c>
      <c r="L2519" t="s">
        <v>5028</v>
      </c>
      <c r="M2519">
        <v>2</v>
      </c>
      <c r="N2519">
        <v>4</v>
      </c>
      <c r="O2519">
        <v>0</v>
      </c>
    </row>
    <row r="2520" spans="1:15" x14ac:dyDescent="0.3">
      <c r="A2520" t="s">
        <v>2533</v>
      </c>
      <c r="B2520">
        <v>12</v>
      </c>
      <c r="C2520">
        <v>33</v>
      </c>
      <c r="D2520" t="s">
        <v>5016</v>
      </c>
      <c r="E2520" t="s">
        <v>5017</v>
      </c>
      <c r="F2520" t="s">
        <v>5022</v>
      </c>
      <c r="G2520">
        <v>22.69</v>
      </c>
      <c r="H2520">
        <v>1</v>
      </c>
      <c r="I2520">
        <v>1.1000000000000001</v>
      </c>
      <c r="J2520">
        <v>7.06</v>
      </c>
      <c r="K2520">
        <v>27.2</v>
      </c>
      <c r="L2520" t="s">
        <v>5027</v>
      </c>
      <c r="M2520">
        <v>1</v>
      </c>
      <c r="N2520">
        <v>3</v>
      </c>
      <c r="O2520">
        <v>0</v>
      </c>
    </row>
    <row r="2521" spans="1:15" x14ac:dyDescent="0.3">
      <c r="A2521" t="s">
        <v>2534</v>
      </c>
      <c r="B2521">
        <v>5</v>
      </c>
      <c r="C2521">
        <v>58</v>
      </c>
      <c r="D2521" t="s">
        <v>5015</v>
      </c>
      <c r="E2521" t="s">
        <v>5017</v>
      </c>
      <c r="F2521" t="s">
        <v>5020</v>
      </c>
      <c r="G2521">
        <v>20.48</v>
      </c>
      <c r="H2521">
        <v>1</v>
      </c>
      <c r="I2521">
        <v>5.8</v>
      </c>
      <c r="J2521">
        <v>7.11</v>
      </c>
      <c r="K2521">
        <v>29.9</v>
      </c>
      <c r="L2521" t="s">
        <v>5026</v>
      </c>
      <c r="M2521">
        <v>1</v>
      </c>
      <c r="N2521">
        <v>3</v>
      </c>
      <c r="O2521">
        <v>1</v>
      </c>
    </row>
    <row r="2522" spans="1:15" x14ac:dyDescent="0.3">
      <c r="A2522" t="s">
        <v>2535</v>
      </c>
      <c r="B2522">
        <v>4</v>
      </c>
      <c r="C2522">
        <v>49</v>
      </c>
      <c r="D2522" t="s">
        <v>5016</v>
      </c>
      <c r="E2522" t="s">
        <v>5018</v>
      </c>
      <c r="F2522" t="s">
        <v>5020</v>
      </c>
      <c r="G2522">
        <v>6.49</v>
      </c>
      <c r="H2522">
        <v>1</v>
      </c>
      <c r="I2522">
        <v>5.7</v>
      </c>
      <c r="J2522">
        <v>21.88</v>
      </c>
      <c r="K2522">
        <v>73.7</v>
      </c>
      <c r="L2522" t="s">
        <v>5029</v>
      </c>
      <c r="M2522">
        <v>2</v>
      </c>
      <c r="N2522">
        <v>4</v>
      </c>
      <c r="O2522">
        <v>1</v>
      </c>
    </row>
    <row r="2523" spans="1:15" x14ac:dyDescent="0.3">
      <c r="A2523" t="s">
        <v>2536</v>
      </c>
      <c r="B2523">
        <v>10</v>
      </c>
      <c r="C2523">
        <v>32</v>
      </c>
      <c r="D2523" t="s">
        <v>5016</v>
      </c>
      <c r="E2523" t="s">
        <v>5018</v>
      </c>
      <c r="F2523" t="s">
        <v>5020</v>
      </c>
      <c r="G2523">
        <v>21.65</v>
      </c>
      <c r="H2523">
        <v>2</v>
      </c>
      <c r="I2523">
        <v>6.6</v>
      </c>
      <c r="J2523">
        <v>6.44</v>
      </c>
      <c r="K2523">
        <v>92.3</v>
      </c>
      <c r="L2523" t="s">
        <v>5027</v>
      </c>
      <c r="M2523">
        <v>5</v>
      </c>
      <c r="N2523">
        <v>2</v>
      </c>
      <c r="O2523">
        <v>0</v>
      </c>
    </row>
    <row r="2524" spans="1:15" x14ac:dyDescent="0.3">
      <c r="A2524" t="s">
        <v>2537</v>
      </c>
      <c r="B2524">
        <v>12</v>
      </c>
      <c r="C2524">
        <v>44</v>
      </c>
      <c r="D2524" t="s">
        <v>5016</v>
      </c>
      <c r="E2524" t="s">
        <v>5019</v>
      </c>
      <c r="F2524" t="s">
        <v>5023</v>
      </c>
      <c r="G2524">
        <v>5.74</v>
      </c>
      <c r="H2524">
        <v>2</v>
      </c>
      <c r="I2524">
        <v>3.2</v>
      </c>
      <c r="J2524">
        <v>21.98</v>
      </c>
      <c r="K2524">
        <v>16.8</v>
      </c>
      <c r="L2524" t="s">
        <v>5027</v>
      </c>
      <c r="M2524">
        <v>7</v>
      </c>
      <c r="N2524">
        <v>1</v>
      </c>
      <c r="O2524">
        <v>0</v>
      </c>
    </row>
    <row r="2525" spans="1:15" x14ac:dyDescent="0.3">
      <c r="A2525" t="s">
        <v>2538</v>
      </c>
      <c r="B2525">
        <v>1</v>
      </c>
      <c r="C2525">
        <v>45</v>
      </c>
      <c r="D2525" t="s">
        <v>5015</v>
      </c>
      <c r="E2525" t="s">
        <v>5018</v>
      </c>
      <c r="F2525" t="s">
        <v>5024</v>
      </c>
      <c r="G2525">
        <v>10.06</v>
      </c>
      <c r="H2525">
        <v>2</v>
      </c>
      <c r="I2525">
        <v>1.1000000000000001</v>
      </c>
      <c r="J2525">
        <v>4.91</v>
      </c>
      <c r="K2525">
        <v>77.400000000000006</v>
      </c>
      <c r="L2525" t="s">
        <v>5027</v>
      </c>
      <c r="M2525">
        <v>9</v>
      </c>
      <c r="N2525">
        <v>4</v>
      </c>
      <c r="O2525">
        <v>1</v>
      </c>
    </row>
    <row r="2526" spans="1:15" x14ac:dyDescent="0.3">
      <c r="A2526" t="s">
        <v>2539</v>
      </c>
      <c r="B2526">
        <v>10</v>
      </c>
      <c r="C2526">
        <v>34</v>
      </c>
      <c r="D2526" t="s">
        <v>5015</v>
      </c>
      <c r="E2526" t="s">
        <v>5019</v>
      </c>
      <c r="F2526" t="s">
        <v>5024</v>
      </c>
      <c r="G2526">
        <v>23.38</v>
      </c>
      <c r="H2526">
        <v>1</v>
      </c>
      <c r="I2526">
        <v>5.0999999999999996</v>
      </c>
      <c r="J2526">
        <v>22.95</v>
      </c>
      <c r="K2526">
        <v>54.5</v>
      </c>
      <c r="L2526" t="s">
        <v>5028</v>
      </c>
      <c r="M2526">
        <v>4</v>
      </c>
      <c r="N2526">
        <v>3</v>
      </c>
      <c r="O2526">
        <v>0</v>
      </c>
    </row>
    <row r="2527" spans="1:15" x14ac:dyDescent="0.3">
      <c r="A2527" t="s">
        <v>2540</v>
      </c>
      <c r="B2527">
        <v>6</v>
      </c>
      <c r="C2527">
        <v>63</v>
      </c>
      <c r="D2527" t="s">
        <v>5016</v>
      </c>
      <c r="E2527" t="s">
        <v>5018</v>
      </c>
      <c r="F2527" t="s">
        <v>5024</v>
      </c>
      <c r="G2527">
        <v>22.29</v>
      </c>
      <c r="H2527">
        <v>4</v>
      </c>
      <c r="I2527">
        <v>1.6</v>
      </c>
      <c r="J2527">
        <v>8.64</v>
      </c>
      <c r="K2527">
        <v>84.3</v>
      </c>
      <c r="L2527" t="s">
        <v>5029</v>
      </c>
      <c r="M2527">
        <v>9</v>
      </c>
      <c r="N2527">
        <v>2</v>
      </c>
      <c r="O2527">
        <v>0</v>
      </c>
    </row>
    <row r="2528" spans="1:15" x14ac:dyDescent="0.3">
      <c r="A2528" t="s">
        <v>2541</v>
      </c>
      <c r="B2528">
        <v>2</v>
      </c>
      <c r="C2528">
        <v>67</v>
      </c>
      <c r="D2528" t="s">
        <v>5016</v>
      </c>
      <c r="E2528" t="s">
        <v>5019</v>
      </c>
      <c r="F2528" t="s">
        <v>5023</v>
      </c>
      <c r="G2528">
        <v>20.63</v>
      </c>
      <c r="H2528">
        <v>5</v>
      </c>
      <c r="I2528">
        <v>9</v>
      </c>
      <c r="J2528">
        <v>16.45</v>
      </c>
      <c r="K2528">
        <v>47.9</v>
      </c>
      <c r="L2528" t="s">
        <v>5028</v>
      </c>
      <c r="M2528">
        <v>11</v>
      </c>
      <c r="N2528">
        <v>3</v>
      </c>
      <c r="O2528">
        <v>0</v>
      </c>
    </row>
    <row r="2529" spans="1:15" x14ac:dyDescent="0.3">
      <c r="A2529" t="s">
        <v>2542</v>
      </c>
      <c r="B2529">
        <v>3</v>
      </c>
      <c r="C2529">
        <v>19</v>
      </c>
      <c r="D2529" t="s">
        <v>5016</v>
      </c>
      <c r="E2529" t="s">
        <v>5017</v>
      </c>
      <c r="F2529" t="s">
        <v>5024</v>
      </c>
      <c r="G2529">
        <v>14.15</v>
      </c>
      <c r="H2529">
        <v>5</v>
      </c>
      <c r="I2529">
        <v>2.6</v>
      </c>
      <c r="J2529">
        <v>6.51</v>
      </c>
      <c r="K2529">
        <v>10.5</v>
      </c>
      <c r="L2529" t="s">
        <v>5028</v>
      </c>
      <c r="M2529">
        <v>3</v>
      </c>
      <c r="N2529">
        <v>2</v>
      </c>
      <c r="O2529">
        <v>0</v>
      </c>
    </row>
    <row r="2530" spans="1:15" x14ac:dyDescent="0.3">
      <c r="A2530" t="s">
        <v>2543</v>
      </c>
      <c r="B2530">
        <v>8</v>
      </c>
      <c r="C2530">
        <v>53</v>
      </c>
      <c r="D2530" t="s">
        <v>5016</v>
      </c>
      <c r="E2530" t="s">
        <v>5019</v>
      </c>
      <c r="F2530" t="s">
        <v>5022</v>
      </c>
      <c r="G2530">
        <v>11.43</v>
      </c>
      <c r="H2530">
        <v>2</v>
      </c>
      <c r="I2530">
        <v>4.8</v>
      </c>
      <c r="J2530">
        <v>11.58</v>
      </c>
      <c r="K2530">
        <v>71.5</v>
      </c>
      <c r="L2530" t="s">
        <v>5027</v>
      </c>
      <c r="M2530">
        <v>6</v>
      </c>
      <c r="N2530">
        <v>3</v>
      </c>
      <c r="O2530">
        <v>0</v>
      </c>
    </row>
    <row r="2531" spans="1:15" x14ac:dyDescent="0.3">
      <c r="A2531" t="s">
        <v>2544</v>
      </c>
      <c r="B2531">
        <v>10</v>
      </c>
      <c r="C2531">
        <v>67</v>
      </c>
      <c r="D2531" t="s">
        <v>5016</v>
      </c>
      <c r="E2531" t="s">
        <v>5018</v>
      </c>
      <c r="F2531" t="s">
        <v>5021</v>
      </c>
      <c r="G2531">
        <v>22.63</v>
      </c>
      <c r="H2531">
        <v>1</v>
      </c>
      <c r="I2531">
        <v>4.9000000000000004</v>
      </c>
      <c r="J2531">
        <v>4.8899999999999997</v>
      </c>
      <c r="K2531">
        <v>82.7</v>
      </c>
      <c r="L2531" t="s">
        <v>5025</v>
      </c>
      <c r="M2531">
        <v>9</v>
      </c>
      <c r="N2531">
        <v>0</v>
      </c>
      <c r="O2531">
        <v>0</v>
      </c>
    </row>
    <row r="2532" spans="1:15" x14ac:dyDescent="0.3">
      <c r="A2532" t="s">
        <v>2545</v>
      </c>
      <c r="B2532">
        <v>6</v>
      </c>
      <c r="C2532">
        <v>24</v>
      </c>
      <c r="D2532" t="s">
        <v>5016</v>
      </c>
      <c r="E2532" t="s">
        <v>5019</v>
      </c>
      <c r="F2532" t="s">
        <v>5023</v>
      </c>
      <c r="G2532">
        <v>18.14</v>
      </c>
      <c r="H2532">
        <v>4</v>
      </c>
      <c r="I2532">
        <v>6</v>
      </c>
      <c r="J2532">
        <v>15.75</v>
      </c>
      <c r="K2532">
        <v>91.2</v>
      </c>
      <c r="L2532" t="s">
        <v>5029</v>
      </c>
      <c r="M2532">
        <v>11</v>
      </c>
      <c r="N2532">
        <v>2</v>
      </c>
      <c r="O2532">
        <v>0</v>
      </c>
    </row>
    <row r="2533" spans="1:15" x14ac:dyDescent="0.3">
      <c r="A2533" t="s">
        <v>2546</v>
      </c>
      <c r="B2533">
        <v>3</v>
      </c>
      <c r="C2533">
        <v>30</v>
      </c>
      <c r="D2533" t="s">
        <v>5015</v>
      </c>
      <c r="E2533" t="s">
        <v>5018</v>
      </c>
      <c r="F2533" t="s">
        <v>5021</v>
      </c>
      <c r="G2533">
        <v>10.91</v>
      </c>
      <c r="H2533">
        <v>3</v>
      </c>
      <c r="I2533">
        <v>8</v>
      </c>
      <c r="J2533">
        <v>10.61</v>
      </c>
      <c r="K2533">
        <v>61.2</v>
      </c>
      <c r="L2533" t="s">
        <v>5029</v>
      </c>
      <c r="M2533">
        <v>1</v>
      </c>
      <c r="N2533">
        <v>2</v>
      </c>
      <c r="O2533">
        <v>1</v>
      </c>
    </row>
    <row r="2534" spans="1:15" x14ac:dyDescent="0.3">
      <c r="A2534" t="s">
        <v>2547</v>
      </c>
      <c r="B2534">
        <v>7</v>
      </c>
      <c r="C2534">
        <v>32</v>
      </c>
      <c r="D2534" t="s">
        <v>5016</v>
      </c>
      <c r="E2534" t="s">
        <v>5017</v>
      </c>
      <c r="F2534" t="s">
        <v>5022</v>
      </c>
      <c r="G2534">
        <v>14.26</v>
      </c>
      <c r="H2534">
        <v>2</v>
      </c>
      <c r="I2534">
        <v>5.2</v>
      </c>
      <c r="J2534">
        <v>21.75</v>
      </c>
      <c r="K2534">
        <v>21</v>
      </c>
      <c r="L2534" t="s">
        <v>5027</v>
      </c>
      <c r="M2534">
        <v>4</v>
      </c>
      <c r="N2534">
        <v>2</v>
      </c>
      <c r="O2534">
        <v>1</v>
      </c>
    </row>
    <row r="2535" spans="1:15" x14ac:dyDescent="0.3">
      <c r="A2535" t="s">
        <v>2548</v>
      </c>
      <c r="B2535">
        <v>4</v>
      </c>
      <c r="C2535">
        <v>42</v>
      </c>
      <c r="D2535" t="s">
        <v>5016</v>
      </c>
      <c r="E2535" t="s">
        <v>5018</v>
      </c>
      <c r="F2535" t="s">
        <v>5020</v>
      </c>
      <c r="G2535">
        <v>22.63</v>
      </c>
      <c r="H2535">
        <v>3</v>
      </c>
      <c r="I2535">
        <v>1.2</v>
      </c>
      <c r="J2535">
        <v>7</v>
      </c>
      <c r="K2535">
        <v>43.3</v>
      </c>
      <c r="L2535" t="s">
        <v>5027</v>
      </c>
      <c r="M2535">
        <v>5</v>
      </c>
      <c r="N2535">
        <v>0</v>
      </c>
      <c r="O2535">
        <v>1</v>
      </c>
    </row>
    <row r="2536" spans="1:15" x14ac:dyDescent="0.3">
      <c r="A2536" t="s">
        <v>2549</v>
      </c>
      <c r="B2536">
        <v>9</v>
      </c>
      <c r="C2536">
        <v>40</v>
      </c>
      <c r="D2536" t="s">
        <v>5015</v>
      </c>
      <c r="E2536" t="s">
        <v>5017</v>
      </c>
      <c r="F2536" t="s">
        <v>5020</v>
      </c>
      <c r="G2536">
        <v>23.07</v>
      </c>
      <c r="H2536">
        <v>5</v>
      </c>
      <c r="I2536">
        <v>7.9</v>
      </c>
      <c r="J2536">
        <v>9.16</v>
      </c>
      <c r="K2536">
        <v>80.599999999999994</v>
      </c>
      <c r="L2536" t="s">
        <v>5026</v>
      </c>
      <c r="M2536">
        <v>11</v>
      </c>
      <c r="N2536">
        <v>0</v>
      </c>
      <c r="O2536">
        <v>0</v>
      </c>
    </row>
    <row r="2537" spans="1:15" x14ac:dyDescent="0.3">
      <c r="A2537" t="s">
        <v>2550</v>
      </c>
      <c r="B2537">
        <v>5</v>
      </c>
      <c r="C2537">
        <v>39</v>
      </c>
      <c r="D2537" t="s">
        <v>5016</v>
      </c>
      <c r="E2537" t="s">
        <v>5018</v>
      </c>
      <c r="F2537" t="s">
        <v>5020</v>
      </c>
      <c r="G2537">
        <v>18.190000000000001</v>
      </c>
      <c r="H2537">
        <v>5</v>
      </c>
      <c r="I2537">
        <v>1.7</v>
      </c>
      <c r="J2537">
        <v>6.9</v>
      </c>
      <c r="K2537">
        <v>54.5</v>
      </c>
      <c r="L2537" t="s">
        <v>5027</v>
      </c>
      <c r="M2537">
        <v>6</v>
      </c>
      <c r="N2537">
        <v>3</v>
      </c>
      <c r="O2537">
        <v>1</v>
      </c>
    </row>
    <row r="2538" spans="1:15" x14ac:dyDescent="0.3">
      <c r="A2538" t="s">
        <v>2551</v>
      </c>
      <c r="B2538">
        <v>3</v>
      </c>
      <c r="C2538">
        <v>43</v>
      </c>
      <c r="D2538" t="s">
        <v>5016</v>
      </c>
      <c r="E2538" t="s">
        <v>5017</v>
      </c>
      <c r="F2538" t="s">
        <v>5023</v>
      </c>
      <c r="G2538">
        <v>19.649999999999999</v>
      </c>
      <c r="H2538">
        <v>4</v>
      </c>
      <c r="I2538">
        <v>6.8</v>
      </c>
      <c r="J2538">
        <v>15.4</v>
      </c>
      <c r="K2538">
        <v>72.900000000000006</v>
      </c>
      <c r="L2538" t="s">
        <v>5028</v>
      </c>
      <c r="M2538">
        <v>11</v>
      </c>
      <c r="N2538">
        <v>1</v>
      </c>
      <c r="O2538">
        <v>0</v>
      </c>
    </row>
    <row r="2539" spans="1:15" x14ac:dyDescent="0.3">
      <c r="A2539" t="s">
        <v>2552</v>
      </c>
      <c r="B2539">
        <v>2</v>
      </c>
      <c r="C2539">
        <v>50</v>
      </c>
      <c r="D2539" t="s">
        <v>5016</v>
      </c>
      <c r="E2539" t="s">
        <v>5018</v>
      </c>
      <c r="F2539" t="s">
        <v>5020</v>
      </c>
      <c r="G2539">
        <v>5.79</v>
      </c>
      <c r="H2539">
        <v>4</v>
      </c>
      <c r="I2539">
        <v>8.1999999999999993</v>
      </c>
      <c r="J2539">
        <v>5.46</v>
      </c>
      <c r="K2539">
        <v>10.4</v>
      </c>
      <c r="L2539" t="s">
        <v>5027</v>
      </c>
      <c r="M2539">
        <v>8</v>
      </c>
      <c r="N2539">
        <v>3</v>
      </c>
      <c r="O2539">
        <v>0</v>
      </c>
    </row>
    <row r="2540" spans="1:15" x14ac:dyDescent="0.3">
      <c r="A2540" t="s">
        <v>2553</v>
      </c>
      <c r="B2540">
        <v>11</v>
      </c>
      <c r="C2540">
        <v>28</v>
      </c>
      <c r="D2540" t="s">
        <v>5016</v>
      </c>
      <c r="E2540" t="s">
        <v>5019</v>
      </c>
      <c r="F2540" t="s">
        <v>5023</v>
      </c>
      <c r="G2540">
        <v>17.09</v>
      </c>
      <c r="H2540">
        <v>3</v>
      </c>
      <c r="I2540">
        <v>3.5</v>
      </c>
      <c r="J2540">
        <v>7.17</v>
      </c>
      <c r="K2540">
        <v>16.600000000000001</v>
      </c>
      <c r="L2540" t="s">
        <v>5029</v>
      </c>
      <c r="M2540">
        <v>2</v>
      </c>
      <c r="N2540">
        <v>2</v>
      </c>
      <c r="O2540">
        <v>0</v>
      </c>
    </row>
    <row r="2541" spans="1:15" x14ac:dyDescent="0.3">
      <c r="A2541" t="s">
        <v>2554</v>
      </c>
      <c r="B2541">
        <v>2</v>
      </c>
      <c r="C2541">
        <v>27</v>
      </c>
      <c r="D2541" t="s">
        <v>5015</v>
      </c>
      <c r="E2541" t="s">
        <v>5018</v>
      </c>
      <c r="F2541" t="s">
        <v>5023</v>
      </c>
      <c r="G2541">
        <v>18.78</v>
      </c>
      <c r="H2541">
        <v>5</v>
      </c>
      <c r="I2541">
        <v>5</v>
      </c>
      <c r="J2541">
        <v>17.93</v>
      </c>
      <c r="K2541">
        <v>71.3</v>
      </c>
      <c r="L2541" t="s">
        <v>5025</v>
      </c>
      <c r="M2541">
        <v>6</v>
      </c>
      <c r="N2541">
        <v>2</v>
      </c>
      <c r="O2541">
        <v>0</v>
      </c>
    </row>
    <row r="2542" spans="1:15" x14ac:dyDescent="0.3">
      <c r="A2542" t="s">
        <v>2555</v>
      </c>
      <c r="B2542">
        <v>3</v>
      </c>
      <c r="C2542">
        <v>42</v>
      </c>
      <c r="D2542" t="s">
        <v>5016</v>
      </c>
      <c r="E2542" t="s">
        <v>5019</v>
      </c>
      <c r="F2542" t="s">
        <v>5021</v>
      </c>
      <c r="G2542">
        <v>5.41</v>
      </c>
      <c r="H2542">
        <v>4</v>
      </c>
      <c r="I2542">
        <v>1.1000000000000001</v>
      </c>
      <c r="J2542">
        <v>4.6399999999999997</v>
      </c>
      <c r="K2542">
        <v>36.1</v>
      </c>
      <c r="L2542" t="s">
        <v>5025</v>
      </c>
      <c r="M2542">
        <v>7</v>
      </c>
      <c r="N2542">
        <v>3</v>
      </c>
      <c r="O2542">
        <v>0</v>
      </c>
    </row>
    <row r="2543" spans="1:15" x14ac:dyDescent="0.3">
      <c r="A2543" t="s">
        <v>2556</v>
      </c>
      <c r="B2543">
        <v>2</v>
      </c>
      <c r="C2543">
        <v>54</v>
      </c>
      <c r="D2543" t="s">
        <v>5015</v>
      </c>
      <c r="E2543" t="s">
        <v>5018</v>
      </c>
      <c r="F2543" t="s">
        <v>5020</v>
      </c>
      <c r="G2543">
        <v>21.88</v>
      </c>
      <c r="H2543">
        <v>4</v>
      </c>
      <c r="I2543">
        <v>8.1999999999999993</v>
      </c>
      <c r="J2543">
        <v>19.350000000000001</v>
      </c>
      <c r="K2543">
        <v>44.9</v>
      </c>
      <c r="L2543" t="s">
        <v>5028</v>
      </c>
      <c r="M2543">
        <v>6</v>
      </c>
      <c r="N2543">
        <v>4</v>
      </c>
      <c r="O2543">
        <v>1</v>
      </c>
    </row>
    <row r="2544" spans="1:15" x14ac:dyDescent="0.3">
      <c r="A2544" t="s">
        <v>2557</v>
      </c>
      <c r="B2544">
        <v>4</v>
      </c>
      <c r="C2544">
        <v>65</v>
      </c>
      <c r="D2544" t="s">
        <v>5016</v>
      </c>
      <c r="E2544" t="s">
        <v>5018</v>
      </c>
      <c r="F2544" t="s">
        <v>5024</v>
      </c>
      <c r="G2544">
        <v>23.57</v>
      </c>
      <c r="H2544">
        <v>5</v>
      </c>
      <c r="I2544">
        <v>7.3</v>
      </c>
      <c r="J2544">
        <v>5.3</v>
      </c>
      <c r="K2544">
        <v>67.8</v>
      </c>
      <c r="L2544" t="s">
        <v>5025</v>
      </c>
      <c r="M2544">
        <v>4</v>
      </c>
      <c r="N2544">
        <v>1</v>
      </c>
      <c r="O2544">
        <v>1</v>
      </c>
    </row>
    <row r="2545" spans="1:15" x14ac:dyDescent="0.3">
      <c r="A2545" t="s">
        <v>2558</v>
      </c>
      <c r="B2545">
        <v>2</v>
      </c>
      <c r="C2545">
        <v>60</v>
      </c>
      <c r="D2545" t="s">
        <v>5016</v>
      </c>
      <c r="E2545" t="s">
        <v>5019</v>
      </c>
      <c r="F2545" t="s">
        <v>5020</v>
      </c>
      <c r="G2545">
        <v>9.76</v>
      </c>
      <c r="H2545">
        <v>5</v>
      </c>
      <c r="I2545">
        <v>3.1</v>
      </c>
      <c r="J2545">
        <v>15.88</v>
      </c>
      <c r="K2545">
        <v>20.100000000000001</v>
      </c>
      <c r="L2545" t="s">
        <v>5027</v>
      </c>
      <c r="M2545">
        <v>6</v>
      </c>
      <c r="N2545">
        <v>0</v>
      </c>
      <c r="O2545">
        <v>0</v>
      </c>
    </row>
    <row r="2546" spans="1:15" x14ac:dyDescent="0.3">
      <c r="A2546" t="s">
        <v>2559</v>
      </c>
      <c r="B2546">
        <v>10</v>
      </c>
      <c r="C2546">
        <v>55</v>
      </c>
      <c r="D2546" t="s">
        <v>5015</v>
      </c>
      <c r="E2546" t="s">
        <v>5019</v>
      </c>
      <c r="F2546" t="s">
        <v>5020</v>
      </c>
      <c r="G2546">
        <v>21.92</v>
      </c>
      <c r="H2546">
        <v>1</v>
      </c>
      <c r="I2546">
        <v>4.5</v>
      </c>
      <c r="J2546">
        <v>24.95</v>
      </c>
      <c r="K2546">
        <v>84.9</v>
      </c>
      <c r="L2546" t="s">
        <v>5025</v>
      </c>
      <c r="M2546">
        <v>4</v>
      </c>
      <c r="N2546">
        <v>1</v>
      </c>
      <c r="O2546">
        <v>0</v>
      </c>
    </row>
    <row r="2547" spans="1:15" x14ac:dyDescent="0.3">
      <c r="A2547" t="s">
        <v>2560</v>
      </c>
      <c r="B2547">
        <v>9</v>
      </c>
      <c r="C2547">
        <v>58</v>
      </c>
      <c r="D2547" t="s">
        <v>5016</v>
      </c>
      <c r="E2547" t="s">
        <v>5019</v>
      </c>
      <c r="F2547" t="s">
        <v>5020</v>
      </c>
      <c r="G2547">
        <v>18.309999999999999</v>
      </c>
      <c r="H2547">
        <v>4</v>
      </c>
      <c r="I2547">
        <v>7.3</v>
      </c>
      <c r="J2547">
        <v>6.83</v>
      </c>
      <c r="K2547">
        <v>23</v>
      </c>
      <c r="L2547" t="s">
        <v>5027</v>
      </c>
      <c r="M2547">
        <v>9</v>
      </c>
      <c r="N2547">
        <v>4</v>
      </c>
      <c r="O2547">
        <v>0</v>
      </c>
    </row>
    <row r="2548" spans="1:15" x14ac:dyDescent="0.3">
      <c r="A2548" t="s">
        <v>2561</v>
      </c>
      <c r="B2548">
        <v>2</v>
      </c>
      <c r="C2548">
        <v>62</v>
      </c>
      <c r="D2548" t="s">
        <v>5015</v>
      </c>
      <c r="E2548" t="s">
        <v>5017</v>
      </c>
      <c r="F2548" t="s">
        <v>5024</v>
      </c>
      <c r="G2548">
        <v>16.61</v>
      </c>
      <c r="H2548">
        <v>3</v>
      </c>
      <c r="I2548">
        <v>4.2</v>
      </c>
      <c r="J2548">
        <v>8.74</v>
      </c>
      <c r="K2548">
        <v>76</v>
      </c>
      <c r="L2548" t="s">
        <v>5026</v>
      </c>
      <c r="M2548">
        <v>1</v>
      </c>
      <c r="N2548">
        <v>3</v>
      </c>
      <c r="O2548">
        <v>0</v>
      </c>
    </row>
    <row r="2549" spans="1:15" x14ac:dyDescent="0.3">
      <c r="A2549" t="s">
        <v>2562</v>
      </c>
      <c r="B2549">
        <v>9</v>
      </c>
      <c r="C2549">
        <v>41</v>
      </c>
      <c r="D2549" t="s">
        <v>5015</v>
      </c>
      <c r="E2549" t="s">
        <v>5018</v>
      </c>
      <c r="F2549" t="s">
        <v>5024</v>
      </c>
      <c r="G2549">
        <v>21.86</v>
      </c>
      <c r="H2549">
        <v>2</v>
      </c>
      <c r="I2549">
        <v>2.5</v>
      </c>
      <c r="J2549">
        <v>22.77</v>
      </c>
      <c r="K2549">
        <v>36.299999999999997</v>
      </c>
      <c r="L2549" t="s">
        <v>5029</v>
      </c>
      <c r="M2549">
        <v>9</v>
      </c>
      <c r="N2549">
        <v>3</v>
      </c>
      <c r="O2549">
        <v>1</v>
      </c>
    </row>
    <row r="2550" spans="1:15" x14ac:dyDescent="0.3">
      <c r="A2550" t="s">
        <v>2563</v>
      </c>
      <c r="B2550">
        <v>6</v>
      </c>
      <c r="C2550">
        <v>57</v>
      </c>
      <c r="D2550" t="s">
        <v>5015</v>
      </c>
      <c r="E2550" t="s">
        <v>5017</v>
      </c>
      <c r="F2550" t="s">
        <v>5023</v>
      </c>
      <c r="G2550">
        <v>10.71</v>
      </c>
      <c r="H2550">
        <v>2</v>
      </c>
      <c r="I2550">
        <v>5.7</v>
      </c>
      <c r="J2550">
        <v>16.78</v>
      </c>
      <c r="K2550">
        <v>33.4</v>
      </c>
      <c r="L2550" t="s">
        <v>5028</v>
      </c>
      <c r="M2550">
        <v>11</v>
      </c>
      <c r="N2550">
        <v>2</v>
      </c>
      <c r="O2550">
        <v>0</v>
      </c>
    </row>
    <row r="2551" spans="1:15" x14ac:dyDescent="0.3">
      <c r="A2551" t="s">
        <v>2564</v>
      </c>
      <c r="B2551">
        <v>1</v>
      </c>
      <c r="C2551">
        <v>63</v>
      </c>
      <c r="D2551" t="s">
        <v>5016</v>
      </c>
      <c r="E2551" t="s">
        <v>5018</v>
      </c>
      <c r="F2551" t="s">
        <v>5024</v>
      </c>
      <c r="G2551">
        <v>20.82</v>
      </c>
      <c r="H2551">
        <v>5</v>
      </c>
      <c r="I2551">
        <v>7.5</v>
      </c>
      <c r="J2551">
        <v>13.84</v>
      </c>
      <c r="K2551">
        <v>83.9</v>
      </c>
      <c r="L2551" t="s">
        <v>5026</v>
      </c>
      <c r="M2551">
        <v>4</v>
      </c>
      <c r="N2551">
        <v>3</v>
      </c>
      <c r="O2551">
        <v>1</v>
      </c>
    </row>
    <row r="2552" spans="1:15" x14ac:dyDescent="0.3">
      <c r="A2552" t="s">
        <v>2565</v>
      </c>
      <c r="B2552">
        <v>4</v>
      </c>
      <c r="C2552">
        <v>50</v>
      </c>
      <c r="D2552" t="s">
        <v>5016</v>
      </c>
      <c r="E2552" t="s">
        <v>5018</v>
      </c>
      <c r="F2552" t="s">
        <v>5023</v>
      </c>
      <c r="G2552">
        <v>11.29</v>
      </c>
      <c r="H2552">
        <v>3</v>
      </c>
      <c r="I2552">
        <v>3.9</v>
      </c>
      <c r="J2552">
        <v>15.38</v>
      </c>
      <c r="K2552">
        <v>59.7</v>
      </c>
      <c r="L2552" t="s">
        <v>5025</v>
      </c>
      <c r="M2552">
        <v>3</v>
      </c>
      <c r="N2552">
        <v>4</v>
      </c>
      <c r="O2552">
        <v>0</v>
      </c>
    </row>
    <row r="2553" spans="1:15" x14ac:dyDescent="0.3">
      <c r="A2553" t="s">
        <v>2566</v>
      </c>
      <c r="B2553">
        <v>1</v>
      </c>
      <c r="C2553">
        <v>34</v>
      </c>
      <c r="D2553" t="s">
        <v>5016</v>
      </c>
      <c r="E2553" t="s">
        <v>5019</v>
      </c>
      <c r="F2553" t="s">
        <v>5021</v>
      </c>
      <c r="G2553">
        <v>20.75</v>
      </c>
      <c r="H2553">
        <v>1</v>
      </c>
      <c r="I2553">
        <v>2.1</v>
      </c>
      <c r="J2553">
        <v>9.5</v>
      </c>
      <c r="K2553">
        <v>28.5</v>
      </c>
      <c r="L2553" t="s">
        <v>5028</v>
      </c>
      <c r="M2553">
        <v>11</v>
      </c>
      <c r="N2553">
        <v>3</v>
      </c>
      <c r="O2553">
        <v>0</v>
      </c>
    </row>
    <row r="2554" spans="1:15" x14ac:dyDescent="0.3">
      <c r="A2554" t="s">
        <v>2567</v>
      </c>
      <c r="B2554">
        <v>6</v>
      </c>
      <c r="C2554">
        <v>41</v>
      </c>
      <c r="D2554" t="s">
        <v>5016</v>
      </c>
      <c r="E2554" t="s">
        <v>5019</v>
      </c>
      <c r="F2554" t="s">
        <v>5023</v>
      </c>
      <c r="G2554">
        <v>14.02</v>
      </c>
      <c r="H2554">
        <v>4</v>
      </c>
      <c r="I2554">
        <v>8.5</v>
      </c>
      <c r="J2554">
        <v>21.82</v>
      </c>
      <c r="K2554">
        <v>10.199999999999999</v>
      </c>
      <c r="L2554" t="s">
        <v>5027</v>
      </c>
      <c r="M2554">
        <v>5</v>
      </c>
      <c r="N2554">
        <v>3</v>
      </c>
      <c r="O2554">
        <v>0</v>
      </c>
    </row>
    <row r="2555" spans="1:15" x14ac:dyDescent="0.3">
      <c r="A2555" t="s">
        <v>2568</v>
      </c>
      <c r="B2555">
        <v>4</v>
      </c>
      <c r="C2555">
        <v>54</v>
      </c>
      <c r="D2555" t="s">
        <v>5015</v>
      </c>
      <c r="E2555" t="s">
        <v>5018</v>
      </c>
      <c r="F2555" t="s">
        <v>5020</v>
      </c>
      <c r="G2555">
        <v>7.34</v>
      </c>
      <c r="H2555">
        <v>1</v>
      </c>
      <c r="I2555">
        <v>3.3</v>
      </c>
      <c r="J2555">
        <v>19.399999999999999</v>
      </c>
      <c r="K2555">
        <v>97.6</v>
      </c>
      <c r="L2555" t="s">
        <v>5026</v>
      </c>
      <c r="M2555">
        <v>3</v>
      </c>
      <c r="N2555">
        <v>4</v>
      </c>
      <c r="O2555">
        <v>0</v>
      </c>
    </row>
    <row r="2556" spans="1:15" x14ac:dyDescent="0.3">
      <c r="A2556" t="s">
        <v>2569</v>
      </c>
      <c r="B2556">
        <v>3</v>
      </c>
      <c r="C2556">
        <v>19</v>
      </c>
      <c r="D2556" t="s">
        <v>5016</v>
      </c>
      <c r="E2556" t="s">
        <v>5017</v>
      </c>
      <c r="F2556" t="s">
        <v>5022</v>
      </c>
      <c r="G2556">
        <v>12.63</v>
      </c>
      <c r="H2556">
        <v>3</v>
      </c>
      <c r="I2556">
        <v>5.6</v>
      </c>
      <c r="J2556">
        <v>17.13</v>
      </c>
      <c r="K2556">
        <v>48.8</v>
      </c>
      <c r="L2556" t="s">
        <v>5029</v>
      </c>
      <c r="M2556">
        <v>1</v>
      </c>
      <c r="N2556">
        <v>0</v>
      </c>
      <c r="O2556">
        <v>1</v>
      </c>
    </row>
    <row r="2557" spans="1:15" x14ac:dyDescent="0.3">
      <c r="A2557" t="s">
        <v>2570</v>
      </c>
      <c r="B2557">
        <v>3</v>
      </c>
      <c r="C2557">
        <v>49</v>
      </c>
      <c r="D2557" t="s">
        <v>5016</v>
      </c>
      <c r="E2557" t="s">
        <v>5019</v>
      </c>
      <c r="F2557" t="s">
        <v>5022</v>
      </c>
      <c r="G2557">
        <v>9.67</v>
      </c>
      <c r="H2557">
        <v>1</v>
      </c>
      <c r="I2557">
        <v>7.2</v>
      </c>
      <c r="J2557">
        <v>23.5</v>
      </c>
      <c r="K2557">
        <v>45.8</v>
      </c>
      <c r="L2557" t="s">
        <v>5029</v>
      </c>
      <c r="M2557">
        <v>8</v>
      </c>
      <c r="N2557">
        <v>1</v>
      </c>
      <c r="O2557">
        <v>0</v>
      </c>
    </row>
    <row r="2558" spans="1:15" x14ac:dyDescent="0.3">
      <c r="A2558" t="s">
        <v>2571</v>
      </c>
      <c r="B2558">
        <v>9</v>
      </c>
      <c r="C2558">
        <v>41</v>
      </c>
      <c r="D2558" t="s">
        <v>5015</v>
      </c>
      <c r="E2558" t="s">
        <v>5017</v>
      </c>
      <c r="F2558" t="s">
        <v>5020</v>
      </c>
      <c r="G2558">
        <v>7.01</v>
      </c>
      <c r="H2558">
        <v>5</v>
      </c>
      <c r="I2558">
        <v>3.9</v>
      </c>
      <c r="J2558">
        <v>15.72</v>
      </c>
      <c r="K2558">
        <v>14.5</v>
      </c>
      <c r="L2558" t="s">
        <v>5026</v>
      </c>
      <c r="M2558">
        <v>9</v>
      </c>
      <c r="N2558">
        <v>3</v>
      </c>
      <c r="O2558">
        <v>0</v>
      </c>
    </row>
    <row r="2559" spans="1:15" x14ac:dyDescent="0.3">
      <c r="A2559" t="s">
        <v>2572</v>
      </c>
      <c r="B2559">
        <v>6</v>
      </c>
      <c r="C2559">
        <v>26</v>
      </c>
      <c r="D2559" t="s">
        <v>5015</v>
      </c>
      <c r="E2559" t="s">
        <v>5018</v>
      </c>
      <c r="F2559" t="s">
        <v>5023</v>
      </c>
      <c r="G2559">
        <v>7.21</v>
      </c>
      <c r="H2559">
        <v>2</v>
      </c>
      <c r="I2559">
        <v>6.8</v>
      </c>
      <c r="J2559">
        <v>14.26</v>
      </c>
      <c r="K2559">
        <v>90.5</v>
      </c>
      <c r="L2559" t="s">
        <v>5026</v>
      </c>
      <c r="M2559">
        <v>6</v>
      </c>
      <c r="N2559">
        <v>1</v>
      </c>
      <c r="O2559">
        <v>1</v>
      </c>
    </row>
    <row r="2560" spans="1:15" x14ac:dyDescent="0.3">
      <c r="A2560" t="s">
        <v>2573</v>
      </c>
      <c r="B2560">
        <v>9</v>
      </c>
      <c r="C2560">
        <v>21</v>
      </c>
      <c r="D2560" t="s">
        <v>5016</v>
      </c>
      <c r="E2560" t="s">
        <v>5017</v>
      </c>
      <c r="F2560" t="s">
        <v>5020</v>
      </c>
      <c r="G2560">
        <v>20.6</v>
      </c>
      <c r="H2560">
        <v>5</v>
      </c>
      <c r="I2560">
        <v>5.0999999999999996</v>
      </c>
      <c r="J2560">
        <v>24.47</v>
      </c>
      <c r="K2560">
        <v>22.7</v>
      </c>
      <c r="L2560" t="s">
        <v>5026</v>
      </c>
      <c r="M2560">
        <v>2</v>
      </c>
      <c r="N2560">
        <v>1</v>
      </c>
      <c r="O2560">
        <v>0</v>
      </c>
    </row>
    <row r="2561" spans="1:15" x14ac:dyDescent="0.3">
      <c r="A2561" t="s">
        <v>2574</v>
      </c>
      <c r="B2561">
        <v>5</v>
      </c>
      <c r="C2561">
        <v>34</v>
      </c>
      <c r="D2561" t="s">
        <v>5015</v>
      </c>
      <c r="E2561" t="s">
        <v>5018</v>
      </c>
      <c r="F2561" t="s">
        <v>5024</v>
      </c>
      <c r="G2561">
        <v>22.63</v>
      </c>
      <c r="H2561">
        <v>4</v>
      </c>
      <c r="I2561">
        <v>6.1</v>
      </c>
      <c r="J2561">
        <v>7.53</v>
      </c>
      <c r="K2561">
        <v>40.200000000000003</v>
      </c>
      <c r="L2561" t="s">
        <v>5025</v>
      </c>
      <c r="M2561">
        <v>6</v>
      </c>
      <c r="N2561">
        <v>2</v>
      </c>
      <c r="O2561">
        <v>1</v>
      </c>
    </row>
    <row r="2562" spans="1:15" x14ac:dyDescent="0.3">
      <c r="A2562" t="s">
        <v>2575</v>
      </c>
      <c r="B2562">
        <v>2</v>
      </c>
      <c r="C2562">
        <v>34</v>
      </c>
      <c r="D2562" t="s">
        <v>5015</v>
      </c>
      <c r="E2562" t="s">
        <v>5019</v>
      </c>
      <c r="F2562" t="s">
        <v>5023</v>
      </c>
      <c r="G2562">
        <v>23.54</v>
      </c>
      <c r="H2562">
        <v>5</v>
      </c>
      <c r="I2562">
        <v>6.3</v>
      </c>
      <c r="J2562">
        <v>6.12</v>
      </c>
      <c r="K2562">
        <v>47.9</v>
      </c>
      <c r="L2562" t="s">
        <v>5029</v>
      </c>
      <c r="M2562">
        <v>6</v>
      </c>
      <c r="N2562">
        <v>0</v>
      </c>
      <c r="O2562">
        <v>0</v>
      </c>
    </row>
    <row r="2563" spans="1:15" x14ac:dyDescent="0.3">
      <c r="A2563" t="s">
        <v>2576</v>
      </c>
      <c r="B2563">
        <v>8</v>
      </c>
      <c r="C2563">
        <v>67</v>
      </c>
      <c r="D2563" t="s">
        <v>5015</v>
      </c>
      <c r="E2563" t="s">
        <v>5017</v>
      </c>
      <c r="F2563" t="s">
        <v>5020</v>
      </c>
      <c r="G2563">
        <v>22.08</v>
      </c>
      <c r="H2563">
        <v>3</v>
      </c>
      <c r="I2563">
        <v>8.4</v>
      </c>
      <c r="J2563">
        <v>6.57</v>
      </c>
      <c r="K2563">
        <v>82.9</v>
      </c>
      <c r="L2563" t="s">
        <v>5029</v>
      </c>
      <c r="M2563">
        <v>6</v>
      </c>
      <c r="N2563">
        <v>1</v>
      </c>
      <c r="O2563">
        <v>0</v>
      </c>
    </row>
    <row r="2564" spans="1:15" x14ac:dyDescent="0.3">
      <c r="A2564" t="s">
        <v>2577</v>
      </c>
      <c r="B2564">
        <v>5</v>
      </c>
      <c r="C2564">
        <v>65</v>
      </c>
      <c r="D2564" t="s">
        <v>5015</v>
      </c>
      <c r="E2564" t="s">
        <v>5018</v>
      </c>
      <c r="F2564" t="s">
        <v>5024</v>
      </c>
      <c r="G2564">
        <v>21.6</v>
      </c>
      <c r="H2564">
        <v>3</v>
      </c>
      <c r="I2564">
        <v>6.9</v>
      </c>
      <c r="J2564">
        <v>24.77</v>
      </c>
      <c r="K2564">
        <v>42.4</v>
      </c>
      <c r="L2564" t="s">
        <v>5025</v>
      </c>
      <c r="M2564">
        <v>10</v>
      </c>
      <c r="N2564">
        <v>2</v>
      </c>
      <c r="O2564">
        <v>0</v>
      </c>
    </row>
    <row r="2565" spans="1:15" x14ac:dyDescent="0.3">
      <c r="A2565" t="s">
        <v>2578</v>
      </c>
      <c r="B2565">
        <v>2</v>
      </c>
      <c r="C2565">
        <v>47</v>
      </c>
      <c r="D2565" t="s">
        <v>5015</v>
      </c>
      <c r="E2565" t="s">
        <v>5018</v>
      </c>
      <c r="F2565" t="s">
        <v>5024</v>
      </c>
      <c r="G2565">
        <v>6.38</v>
      </c>
      <c r="H2565">
        <v>4</v>
      </c>
      <c r="I2565">
        <v>3.4</v>
      </c>
      <c r="J2565">
        <v>17.350000000000001</v>
      </c>
      <c r="K2565">
        <v>57.8</v>
      </c>
      <c r="L2565" t="s">
        <v>5028</v>
      </c>
      <c r="M2565">
        <v>11</v>
      </c>
      <c r="N2565">
        <v>4</v>
      </c>
      <c r="O2565">
        <v>0</v>
      </c>
    </row>
    <row r="2566" spans="1:15" x14ac:dyDescent="0.3">
      <c r="A2566" t="s">
        <v>2579</v>
      </c>
      <c r="B2566">
        <v>4</v>
      </c>
      <c r="C2566">
        <v>57</v>
      </c>
      <c r="D2566" t="s">
        <v>5016</v>
      </c>
      <c r="E2566" t="s">
        <v>5019</v>
      </c>
      <c r="F2566" t="s">
        <v>5023</v>
      </c>
      <c r="G2566">
        <v>20.8</v>
      </c>
      <c r="H2566">
        <v>4</v>
      </c>
      <c r="I2566">
        <v>1.5</v>
      </c>
      <c r="J2566">
        <v>9.73</v>
      </c>
      <c r="K2566">
        <v>48.6</v>
      </c>
      <c r="L2566" t="s">
        <v>5029</v>
      </c>
      <c r="M2566">
        <v>9</v>
      </c>
      <c r="N2566">
        <v>4</v>
      </c>
      <c r="O2566">
        <v>0</v>
      </c>
    </row>
    <row r="2567" spans="1:15" x14ac:dyDescent="0.3">
      <c r="A2567" t="s">
        <v>2580</v>
      </c>
      <c r="B2567">
        <v>9</v>
      </c>
      <c r="C2567">
        <v>28</v>
      </c>
      <c r="D2567" t="s">
        <v>5016</v>
      </c>
      <c r="E2567" t="s">
        <v>5019</v>
      </c>
      <c r="F2567" t="s">
        <v>5021</v>
      </c>
      <c r="G2567">
        <v>20.67</v>
      </c>
      <c r="H2567">
        <v>2</v>
      </c>
      <c r="I2567">
        <v>1</v>
      </c>
      <c r="J2567">
        <v>8.48</v>
      </c>
      <c r="K2567">
        <v>38.1</v>
      </c>
      <c r="L2567" t="s">
        <v>5028</v>
      </c>
      <c r="M2567">
        <v>4</v>
      </c>
      <c r="N2567">
        <v>4</v>
      </c>
      <c r="O2567">
        <v>0</v>
      </c>
    </row>
    <row r="2568" spans="1:15" x14ac:dyDescent="0.3">
      <c r="A2568" t="s">
        <v>2581</v>
      </c>
      <c r="B2568">
        <v>4</v>
      </c>
      <c r="C2568">
        <v>38</v>
      </c>
      <c r="D2568" t="s">
        <v>5016</v>
      </c>
      <c r="E2568" t="s">
        <v>5017</v>
      </c>
      <c r="F2568" t="s">
        <v>5021</v>
      </c>
      <c r="G2568">
        <v>7.63</v>
      </c>
      <c r="H2568">
        <v>1</v>
      </c>
      <c r="I2568">
        <v>9.1</v>
      </c>
      <c r="J2568">
        <v>4.25</v>
      </c>
      <c r="K2568">
        <v>95.2</v>
      </c>
      <c r="L2568" t="s">
        <v>5028</v>
      </c>
      <c r="M2568">
        <v>2</v>
      </c>
      <c r="N2568">
        <v>4</v>
      </c>
      <c r="O2568">
        <v>0</v>
      </c>
    </row>
    <row r="2569" spans="1:15" x14ac:dyDescent="0.3">
      <c r="A2569" t="s">
        <v>2582</v>
      </c>
      <c r="B2569">
        <v>12</v>
      </c>
      <c r="C2569">
        <v>38</v>
      </c>
      <c r="D2569" t="s">
        <v>5016</v>
      </c>
      <c r="E2569" t="s">
        <v>5017</v>
      </c>
      <c r="F2569" t="s">
        <v>5024</v>
      </c>
      <c r="G2569">
        <v>18.239999999999998</v>
      </c>
      <c r="H2569">
        <v>2</v>
      </c>
      <c r="I2569">
        <v>9.5</v>
      </c>
      <c r="J2569">
        <v>5.9</v>
      </c>
      <c r="K2569">
        <v>81.7</v>
      </c>
      <c r="L2569" t="s">
        <v>5028</v>
      </c>
      <c r="M2569">
        <v>8</v>
      </c>
      <c r="N2569">
        <v>4</v>
      </c>
      <c r="O2569">
        <v>0</v>
      </c>
    </row>
    <row r="2570" spans="1:15" x14ac:dyDescent="0.3">
      <c r="A2570" t="s">
        <v>2583</v>
      </c>
      <c r="B2570">
        <v>12</v>
      </c>
      <c r="C2570">
        <v>35</v>
      </c>
      <c r="D2570" t="s">
        <v>5016</v>
      </c>
      <c r="E2570" t="s">
        <v>5018</v>
      </c>
      <c r="F2570" t="s">
        <v>5021</v>
      </c>
      <c r="G2570">
        <v>14.05</v>
      </c>
      <c r="H2570">
        <v>5</v>
      </c>
      <c r="I2570">
        <v>1.8</v>
      </c>
      <c r="J2570">
        <v>22.98</v>
      </c>
      <c r="K2570">
        <v>25.7</v>
      </c>
      <c r="L2570" t="s">
        <v>5029</v>
      </c>
      <c r="M2570">
        <v>6</v>
      </c>
      <c r="N2570">
        <v>2</v>
      </c>
      <c r="O2570">
        <v>0</v>
      </c>
    </row>
    <row r="2571" spans="1:15" x14ac:dyDescent="0.3">
      <c r="A2571" t="s">
        <v>2584</v>
      </c>
      <c r="B2571">
        <v>12</v>
      </c>
      <c r="C2571">
        <v>46</v>
      </c>
      <c r="D2571" t="s">
        <v>5016</v>
      </c>
      <c r="E2571" t="s">
        <v>5018</v>
      </c>
      <c r="F2571" t="s">
        <v>5024</v>
      </c>
      <c r="G2571">
        <v>23</v>
      </c>
      <c r="H2571">
        <v>1</v>
      </c>
      <c r="I2571">
        <v>5.4</v>
      </c>
      <c r="J2571">
        <v>19.440000000000001</v>
      </c>
      <c r="K2571">
        <v>59.9</v>
      </c>
      <c r="L2571" t="s">
        <v>5027</v>
      </c>
      <c r="M2571">
        <v>10</v>
      </c>
      <c r="N2571">
        <v>0</v>
      </c>
      <c r="O2571">
        <v>1</v>
      </c>
    </row>
    <row r="2572" spans="1:15" x14ac:dyDescent="0.3">
      <c r="A2572" t="s">
        <v>2585</v>
      </c>
      <c r="B2572">
        <v>4</v>
      </c>
      <c r="C2572">
        <v>41</v>
      </c>
      <c r="D2572" t="s">
        <v>5016</v>
      </c>
      <c r="E2572" t="s">
        <v>5018</v>
      </c>
      <c r="F2572" t="s">
        <v>5021</v>
      </c>
      <c r="G2572">
        <v>18.91</v>
      </c>
      <c r="H2572">
        <v>4</v>
      </c>
      <c r="I2572">
        <v>2.4</v>
      </c>
      <c r="J2572">
        <v>23.71</v>
      </c>
      <c r="K2572">
        <v>81.7</v>
      </c>
      <c r="L2572" t="s">
        <v>5028</v>
      </c>
      <c r="M2572">
        <v>1</v>
      </c>
      <c r="N2572">
        <v>0</v>
      </c>
      <c r="O2572">
        <v>0</v>
      </c>
    </row>
    <row r="2573" spans="1:15" x14ac:dyDescent="0.3">
      <c r="A2573" t="s">
        <v>2586</v>
      </c>
      <c r="B2573">
        <v>2</v>
      </c>
      <c r="C2573">
        <v>27</v>
      </c>
      <c r="D2573" t="s">
        <v>5015</v>
      </c>
      <c r="E2573" t="s">
        <v>5017</v>
      </c>
      <c r="F2573" t="s">
        <v>5024</v>
      </c>
      <c r="G2573">
        <v>24.02</v>
      </c>
      <c r="H2573">
        <v>3</v>
      </c>
      <c r="I2573">
        <v>9.5</v>
      </c>
      <c r="J2573">
        <v>12.32</v>
      </c>
      <c r="K2573">
        <v>62.2</v>
      </c>
      <c r="L2573" t="s">
        <v>5027</v>
      </c>
      <c r="M2573">
        <v>6</v>
      </c>
      <c r="N2573">
        <v>2</v>
      </c>
      <c r="O2573">
        <v>0</v>
      </c>
    </row>
    <row r="2574" spans="1:15" x14ac:dyDescent="0.3">
      <c r="A2574" t="s">
        <v>2587</v>
      </c>
      <c r="B2574">
        <v>12</v>
      </c>
      <c r="C2574">
        <v>62</v>
      </c>
      <c r="D2574" t="s">
        <v>5016</v>
      </c>
      <c r="E2574" t="s">
        <v>5017</v>
      </c>
      <c r="F2574" t="s">
        <v>5024</v>
      </c>
      <c r="G2574">
        <v>7.1</v>
      </c>
      <c r="H2574">
        <v>5</v>
      </c>
      <c r="I2574">
        <v>3.2</v>
      </c>
      <c r="J2574">
        <v>16.23</v>
      </c>
      <c r="K2574">
        <v>54.4</v>
      </c>
      <c r="L2574" t="s">
        <v>5025</v>
      </c>
      <c r="M2574">
        <v>2</v>
      </c>
      <c r="N2574">
        <v>2</v>
      </c>
      <c r="O2574">
        <v>1</v>
      </c>
    </row>
    <row r="2575" spans="1:15" x14ac:dyDescent="0.3">
      <c r="A2575" t="s">
        <v>2588</v>
      </c>
      <c r="B2575">
        <v>6</v>
      </c>
      <c r="C2575">
        <v>34</v>
      </c>
      <c r="D2575" t="s">
        <v>5016</v>
      </c>
      <c r="E2575" t="s">
        <v>5018</v>
      </c>
      <c r="F2575" t="s">
        <v>5024</v>
      </c>
      <c r="G2575">
        <v>5.81</v>
      </c>
      <c r="H2575">
        <v>2</v>
      </c>
      <c r="I2575">
        <v>5.5</v>
      </c>
      <c r="J2575">
        <v>13.64</v>
      </c>
      <c r="K2575">
        <v>16.5</v>
      </c>
      <c r="L2575" t="s">
        <v>5027</v>
      </c>
      <c r="M2575">
        <v>4</v>
      </c>
      <c r="N2575">
        <v>3</v>
      </c>
      <c r="O2575">
        <v>0</v>
      </c>
    </row>
    <row r="2576" spans="1:15" x14ac:dyDescent="0.3">
      <c r="A2576" t="s">
        <v>2589</v>
      </c>
      <c r="B2576">
        <v>11</v>
      </c>
      <c r="C2576">
        <v>35</v>
      </c>
      <c r="D2576" t="s">
        <v>5016</v>
      </c>
      <c r="E2576" t="s">
        <v>5017</v>
      </c>
      <c r="F2576" t="s">
        <v>5024</v>
      </c>
      <c r="G2576">
        <v>24.47</v>
      </c>
      <c r="H2576">
        <v>4</v>
      </c>
      <c r="I2576">
        <v>2.5</v>
      </c>
      <c r="J2576">
        <v>22.39</v>
      </c>
      <c r="K2576">
        <v>19.5</v>
      </c>
      <c r="L2576" t="s">
        <v>5027</v>
      </c>
      <c r="M2576">
        <v>2</v>
      </c>
      <c r="N2576">
        <v>1</v>
      </c>
      <c r="O2576">
        <v>1</v>
      </c>
    </row>
    <row r="2577" spans="1:15" x14ac:dyDescent="0.3">
      <c r="A2577" t="s">
        <v>2590</v>
      </c>
      <c r="B2577">
        <v>2</v>
      </c>
      <c r="C2577">
        <v>59</v>
      </c>
      <c r="D2577" t="s">
        <v>5015</v>
      </c>
      <c r="E2577" t="s">
        <v>5019</v>
      </c>
      <c r="F2577" t="s">
        <v>5022</v>
      </c>
      <c r="G2577">
        <v>6.6</v>
      </c>
      <c r="H2577">
        <v>1</v>
      </c>
      <c r="I2577">
        <v>4</v>
      </c>
      <c r="J2577">
        <v>24.81</v>
      </c>
      <c r="K2577">
        <v>32.1</v>
      </c>
      <c r="L2577" t="s">
        <v>5026</v>
      </c>
      <c r="M2577">
        <v>4</v>
      </c>
      <c r="N2577">
        <v>4</v>
      </c>
      <c r="O2577">
        <v>0</v>
      </c>
    </row>
    <row r="2578" spans="1:15" x14ac:dyDescent="0.3">
      <c r="A2578" t="s">
        <v>2591</v>
      </c>
      <c r="B2578">
        <v>12</v>
      </c>
      <c r="C2578">
        <v>65</v>
      </c>
      <c r="D2578" t="s">
        <v>5016</v>
      </c>
      <c r="E2578" t="s">
        <v>5017</v>
      </c>
      <c r="F2578" t="s">
        <v>5021</v>
      </c>
      <c r="G2578">
        <v>12.72</v>
      </c>
      <c r="H2578">
        <v>1</v>
      </c>
      <c r="I2578">
        <v>3.4</v>
      </c>
      <c r="J2578">
        <v>23.52</v>
      </c>
      <c r="K2578">
        <v>56.2</v>
      </c>
      <c r="L2578" t="s">
        <v>5028</v>
      </c>
      <c r="M2578">
        <v>7</v>
      </c>
      <c r="N2578">
        <v>1</v>
      </c>
      <c r="O2578">
        <v>0</v>
      </c>
    </row>
    <row r="2579" spans="1:15" x14ac:dyDescent="0.3">
      <c r="A2579" t="s">
        <v>2592</v>
      </c>
      <c r="B2579">
        <v>7</v>
      </c>
      <c r="C2579">
        <v>37</v>
      </c>
      <c r="D2579" t="s">
        <v>5016</v>
      </c>
      <c r="E2579" t="s">
        <v>5017</v>
      </c>
      <c r="F2579" t="s">
        <v>5024</v>
      </c>
      <c r="G2579">
        <v>18</v>
      </c>
      <c r="H2579">
        <v>3</v>
      </c>
      <c r="I2579">
        <v>5.3</v>
      </c>
      <c r="J2579">
        <v>16.16</v>
      </c>
      <c r="K2579">
        <v>98.9</v>
      </c>
      <c r="L2579" t="s">
        <v>5029</v>
      </c>
      <c r="M2579">
        <v>8</v>
      </c>
      <c r="N2579">
        <v>3</v>
      </c>
      <c r="O2579">
        <v>0</v>
      </c>
    </row>
    <row r="2580" spans="1:15" x14ac:dyDescent="0.3">
      <c r="A2580" t="s">
        <v>2593</v>
      </c>
      <c r="B2580">
        <v>3</v>
      </c>
      <c r="C2580">
        <v>54</v>
      </c>
      <c r="D2580" t="s">
        <v>5015</v>
      </c>
      <c r="E2580" t="s">
        <v>5019</v>
      </c>
      <c r="F2580" t="s">
        <v>5020</v>
      </c>
      <c r="G2580">
        <v>22.6</v>
      </c>
      <c r="H2580">
        <v>4</v>
      </c>
      <c r="I2580">
        <v>4.8</v>
      </c>
      <c r="J2580">
        <v>4.3600000000000003</v>
      </c>
      <c r="K2580">
        <v>82.2</v>
      </c>
      <c r="L2580" t="s">
        <v>5026</v>
      </c>
      <c r="M2580">
        <v>3</v>
      </c>
      <c r="N2580">
        <v>0</v>
      </c>
      <c r="O2580">
        <v>0</v>
      </c>
    </row>
    <row r="2581" spans="1:15" x14ac:dyDescent="0.3">
      <c r="A2581" t="s">
        <v>2594</v>
      </c>
      <c r="B2581">
        <v>3</v>
      </c>
      <c r="C2581">
        <v>62</v>
      </c>
      <c r="D2581" t="s">
        <v>5016</v>
      </c>
      <c r="E2581" t="s">
        <v>5018</v>
      </c>
      <c r="F2581" t="s">
        <v>5023</v>
      </c>
      <c r="G2581">
        <v>10.09</v>
      </c>
      <c r="H2581">
        <v>4</v>
      </c>
      <c r="I2581">
        <v>4</v>
      </c>
      <c r="J2581">
        <v>16.59</v>
      </c>
      <c r="K2581">
        <v>19.899999999999999</v>
      </c>
      <c r="L2581" t="s">
        <v>5027</v>
      </c>
      <c r="M2581">
        <v>1</v>
      </c>
      <c r="N2581">
        <v>4</v>
      </c>
      <c r="O2581">
        <v>0</v>
      </c>
    </row>
    <row r="2582" spans="1:15" x14ac:dyDescent="0.3">
      <c r="A2582" t="s">
        <v>2595</v>
      </c>
      <c r="B2582">
        <v>5</v>
      </c>
      <c r="C2582">
        <v>35</v>
      </c>
      <c r="D2582" t="s">
        <v>5016</v>
      </c>
      <c r="E2582" t="s">
        <v>5019</v>
      </c>
      <c r="F2582" t="s">
        <v>5020</v>
      </c>
      <c r="G2582">
        <v>5.58</v>
      </c>
      <c r="H2582">
        <v>5</v>
      </c>
      <c r="I2582">
        <v>2</v>
      </c>
      <c r="J2582">
        <v>5.14</v>
      </c>
      <c r="K2582">
        <v>74.599999999999994</v>
      </c>
      <c r="L2582" t="s">
        <v>5025</v>
      </c>
      <c r="M2582">
        <v>10</v>
      </c>
      <c r="N2582">
        <v>0</v>
      </c>
      <c r="O2582">
        <v>1</v>
      </c>
    </row>
    <row r="2583" spans="1:15" x14ac:dyDescent="0.3">
      <c r="A2583" t="s">
        <v>2596</v>
      </c>
      <c r="B2583">
        <v>3</v>
      </c>
      <c r="C2583">
        <v>34</v>
      </c>
      <c r="D2583" t="s">
        <v>5015</v>
      </c>
      <c r="E2583" t="s">
        <v>5017</v>
      </c>
      <c r="F2583" t="s">
        <v>5020</v>
      </c>
      <c r="G2583">
        <v>15.43</v>
      </c>
      <c r="H2583">
        <v>5</v>
      </c>
      <c r="I2583">
        <v>5.4</v>
      </c>
      <c r="J2583">
        <v>6.05</v>
      </c>
      <c r="K2583">
        <v>82.9</v>
      </c>
      <c r="L2583" t="s">
        <v>5029</v>
      </c>
      <c r="M2583">
        <v>1</v>
      </c>
      <c r="N2583">
        <v>2</v>
      </c>
      <c r="O2583">
        <v>0</v>
      </c>
    </row>
    <row r="2584" spans="1:15" x14ac:dyDescent="0.3">
      <c r="A2584" t="s">
        <v>2597</v>
      </c>
      <c r="B2584">
        <v>2</v>
      </c>
      <c r="C2584">
        <v>26</v>
      </c>
      <c r="D2584" t="s">
        <v>5016</v>
      </c>
      <c r="E2584" t="s">
        <v>5018</v>
      </c>
      <c r="F2584" t="s">
        <v>5022</v>
      </c>
      <c r="G2584">
        <v>14.42</v>
      </c>
      <c r="H2584">
        <v>1</v>
      </c>
      <c r="I2584">
        <v>8.6999999999999993</v>
      </c>
      <c r="J2584">
        <v>7.21</v>
      </c>
      <c r="K2584">
        <v>47.3</v>
      </c>
      <c r="L2584" t="s">
        <v>5025</v>
      </c>
      <c r="M2584">
        <v>10</v>
      </c>
      <c r="N2584">
        <v>1</v>
      </c>
      <c r="O2584">
        <v>0</v>
      </c>
    </row>
    <row r="2585" spans="1:15" x14ac:dyDescent="0.3">
      <c r="A2585" t="s">
        <v>2598</v>
      </c>
      <c r="B2585">
        <v>10</v>
      </c>
      <c r="C2585">
        <v>31</v>
      </c>
      <c r="D2585" t="s">
        <v>5015</v>
      </c>
      <c r="E2585" t="s">
        <v>5019</v>
      </c>
      <c r="F2585" t="s">
        <v>5021</v>
      </c>
      <c r="G2585">
        <v>11.14</v>
      </c>
      <c r="H2585">
        <v>2</v>
      </c>
      <c r="I2585">
        <v>7.6</v>
      </c>
      <c r="J2585">
        <v>11</v>
      </c>
      <c r="K2585">
        <v>39.700000000000003</v>
      </c>
      <c r="L2585" t="s">
        <v>5027</v>
      </c>
      <c r="M2585">
        <v>11</v>
      </c>
      <c r="N2585">
        <v>0</v>
      </c>
      <c r="O2585">
        <v>1</v>
      </c>
    </row>
    <row r="2586" spans="1:15" x14ac:dyDescent="0.3">
      <c r="A2586" t="s">
        <v>2599</v>
      </c>
      <c r="B2586">
        <v>9</v>
      </c>
      <c r="C2586">
        <v>66</v>
      </c>
      <c r="D2586" t="s">
        <v>5016</v>
      </c>
      <c r="E2586" t="s">
        <v>5018</v>
      </c>
      <c r="F2586" t="s">
        <v>5022</v>
      </c>
      <c r="G2586">
        <v>22.48</v>
      </c>
      <c r="H2586">
        <v>1</v>
      </c>
      <c r="I2586">
        <v>7.5</v>
      </c>
      <c r="J2586">
        <v>16.02</v>
      </c>
      <c r="K2586">
        <v>62.6</v>
      </c>
      <c r="L2586" t="s">
        <v>5025</v>
      </c>
      <c r="M2586">
        <v>7</v>
      </c>
      <c r="N2586">
        <v>3</v>
      </c>
      <c r="O2586">
        <v>0</v>
      </c>
    </row>
    <row r="2587" spans="1:15" x14ac:dyDescent="0.3">
      <c r="A2587" t="s">
        <v>2600</v>
      </c>
      <c r="B2587">
        <v>2</v>
      </c>
      <c r="C2587">
        <v>46</v>
      </c>
      <c r="D2587" t="s">
        <v>5016</v>
      </c>
      <c r="E2587" t="s">
        <v>5019</v>
      </c>
      <c r="F2587" t="s">
        <v>5021</v>
      </c>
      <c r="G2587">
        <v>19.989999999999998</v>
      </c>
      <c r="H2587">
        <v>5</v>
      </c>
      <c r="I2587">
        <v>4.3</v>
      </c>
      <c r="J2587">
        <v>10.34</v>
      </c>
      <c r="K2587">
        <v>56.7</v>
      </c>
      <c r="L2587" t="s">
        <v>5026</v>
      </c>
      <c r="M2587">
        <v>1</v>
      </c>
      <c r="N2587">
        <v>0</v>
      </c>
      <c r="O2587">
        <v>1</v>
      </c>
    </row>
    <row r="2588" spans="1:15" x14ac:dyDescent="0.3">
      <c r="A2588" t="s">
        <v>2601</v>
      </c>
      <c r="B2588">
        <v>11</v>
      </c>
      <c r="C2588">
        <v>48</v>
      </c>
      <c r="D2588" t="s">
        <v>5016</v>
      </c>
      <c r="E2588" t="s">
        <v>5018</v>
      </c>
      <c r="F2588" t="s">
        <v>5024</v>
      </c>
      <c r="G2588">
        <v>22.16</v>
      </c>
      <c r="H2588">
        <v>5</v>
      </c>
      <c r="I2588">
        <v>7.4</v>
      </c>
      <c r="J2588">
        <v>12.95</v>
      </c>
      <c r="K2588">
        <v>33.9</v>
      </c>
      <c r="L2588" t="s">
        <v>5025</v>
      </c>
      <c r="M2588">
        <v>3</v>
      </c>
      <c r="N2588">
        <v>4</v>
      </c>
      <c r="O2588">
        <v>0</v>
      </c>
    </row>
    <row r="2589" spans="1:15" x14ac:dyDescent="0.3">
      <c r="A2589" t="s">
        <v>2602</v>
      </c>
      <c r="B2589">
        <v>2</v>
      </c>
      <c r="C2589">
        <v>21</v>
      </c>
      <c r="D2589" t="s">
        <v>5015</v>
      </c>
      <c r="E2589" t="s">
        <v>5018</v>
      </c>
      <c r="F2589" t="s">
        <v>5022</v>
      </c>
      <c r="G2589">
        <v>8.24</v>
      </c>
      <c r="H2589">
        <v>5</v>
      </c>
      <c r="I2589">
        <v>5.2</v>
      </c>
      <c r="J2589">
        <v>4.04</v>
      </c>
      <c r="K2589">
        <v>45.8</v>
      </c>
      <c r="L2589" t="s">
        <v>5026</v>
      </c>
      <c r="M2589">
        <v>11</v>
      </c>
      <c r="N2589">
        <v>4</v>
      </c>
      <c r="O2589">
        <v>0</v>
      </c>
    </row>
    <row r="2590" spans="1:15" x14ac:dyDescent="0.3">
      <c r="A2590" t="s">
        <v>2603</v>
      </c>
      <c r="B2590">
        <v>8</v>
      </c>
      <c r="C2590">
        <v>35</v>
      </c>
      <c r="D2590" t="s">
        <v>5015</v>
      </c>
      <c r="E2590" t="s">
        <v>5018</v>
      </c>
      <c r="F2590" t="s">
        <v>5023</v>
      </c>
      <c r="G2590">
        <v>18.850000000000001</v>
      </c>
      <c r="H2590">
        <v>1</v>
      </c>
      <c r="I2590">
        <v>2.4</v>
      </c>
      <c r="J2590">
        <v>16.63</v>
      </c>
      <c r="K2590">
        <v>59</v>
      </c>
      <c r="L2590" t="s">
        <v>5028</v>
      </c>
      <c r="M2590">
        <v>5</v>
      </c>
      <c r="N2590">
        <v>1</v>
      </c>
      <c r="O2590">
        <v>0</v>
      </c>
    </row>
    <row r="2591" spans="1:15" x14ac:dyDescent="0.3">
      <c r="A2591" t="s">
        <v>2604</v>
      </c>
      <c r="B2591">
        <v>9</v>
      </c>
      <c r="C2591">
        <v>37</v>
      </c>
      <c r="D2591" t="s">
        <v>5015</v>
      </c>
      <c r="E2591" t="s">
        <v>5018</v>
      </c>
      <c r="F2591" t="s">
        <v>5021</v>
      </c>
      <c r="G2591">
        <v>24.5</v>
      </c>
      <c r="H2591">
        <v>4</v>
      </c>
      <c r="I2591">
        <v>4.8</v>
      </c>
      <c r="J2591">
        <v>17.45</v>
      </c>
      <c r="K2591">
        <v>62.2</v>
      </c>
      <c r="L2591" t="s">
        <v>5029</v>
      </c>
      <c r="M2591">
        <v>11</v>
      </c>
      <c r="N2591">
        <v>2</v>
      </c>
      <c r="O2591">
        <v>1</v>
      </c>
    </row>
    <row r="2592" spans="1:15" x14ac:dyDescent="0.3">
      <c r="A2592" t="s">
        <v>2605</v>
      </c>
      <c r="B2592">
        <v>7</v>
      </c>
      <c r="C2592">
        <v>64</v>
      </c>
      <c r="D2592" t="s">
        <v>5016</v>
      </c>
      <c r="E2592" t="s">
        <v>5017</v>
      </c>
      <c r="F2592" t="s">
        <v>5022</v>
      </c>
      <c r="G2592">
        <v>17.239999999999998</v>
      </c>
      <c r="H2592">
        <v>2</v>
      </c>
      <c r="I2592">
        <v>2.2000000000000002</v>
      </c>
      <c r="J2592">
        <v>5.19</v>
      </c>
      <c r="K2592">
        <v>57.9</v>
      </c>
      <c r="L2592" t="s">
        <v>5025</v>
      </c>
      <c r="M2592">
        <v>5</v>
      </c>
      <c r="N2592">
        <v>4</v>
      </c>
      <c r="O2592">
        <v>0</v>
      </c>
    </row>
    <row r="2593" spans="1:15" x14ac:dyDescent="0.3">
      <c r="A2593" t="s">
        <v>2606</v>
      </c>
      <c r="B2593">
        <v>3</v>
      </c>
      <c r="C2593">
        <v>60</v>
      </c>
      <c r="D2593" t="s">
        <v>5016</v>
      </c>
      <c r="E2593" t="s">
        <v>5018</v>
      </c>
      <c r="F2593" t="s">
        <v>5023</v>
      </c>
      <c r="G2593">
        <v>8.43</v>
      </c>
      <c r="H2593">
        <v>2</v>
      </c>
      <c r="I2593">
        <v>2</v>
      </c>
      <c r="J2593">
        <v>20.27</v>
      </c>
      <c r="K2593">
        <v>86.1</v>
      </c>
      <c r="L2593" t="s">
        <v>5026</v>
      </c>
      <c r="M2593">
        <v>11</v>
      </c>
      <c r="N2593">
        <v>3</v>
      </c>
      <c r="O2593">
        <v>0</v>
      </c>
    </row>
    <row r="2594" spans="1:15" x14ac:dyDescent="0.3">
      <c r="A2594" t="s">
        <v>2607</v>
      </c>
      <c r="B2594">
        <v>9</v>
      </c>
      <c r="C2594">
        <v>61</v>
      </c>
      <c r="D2594" t="s">
        <v>5015</v>
      </c>
      <c r="E2594" t="s">
        <v>5018</v>
      </c>
      <c r="F2594" t="s">
        <v>5020</v>
      </c>
      <c r="G2594">
        <v>24.92</v>
      </c>
      <c r="H2594">
        <v>5</v>
      </c>
      <c r="I2594">
        <v>1.2</v>
      </c>
      <c r="J2594">
        <v>17.239999999999998</v>
      </c>
      <c r="K2594">
        <v>12.9</v>
      </c>
      <c r="L2594" t="s">
        <v>5027</v>
      </c>
      <c r="M2594">
        <v>4</v>
      </c>
      <c r="N2594">
        <v>1</v>
      </c>
      <c r="O2594">
        <v>0</v>
      </c>
    </row>
    <row r="2595" spans="1:15" x14ac:dyDescent="0.3">
      <c r="A2595" t="s">
        <v>2608</v>
      </c>
      <c r="B2595">
        <v>3</v>
      </c>
      <c r="C2595">
        <v>26</v>
      </c>
      <c r="D2595" t="s">
        <v>5015</v>
      </c>
      <c r="E2595" t="s">
        <v>5018</v>
      </c>
      <c r="F2595" t="s">
        <v>5024</v>
      </c>
      <c r="G2595">
        <v>15.57</v>
      </c>
      <c r="H2595">
        <v>3</v>
      </c>
      <c r="I2595">
        <v>3.5</v>
      </c>
      <c r="J2595">
        <v>13.77</v>
      </c>
      <c r="K2595">
        <v>40</v>
      </c>
      <c r="L2595" t="s">
        <v>5027</v>
      </c>
      <c r="M2595">
        <v>8</v>
      </c>
      <c r="N2595">
        <v>4</v>
      </c>
      <c r="O2595">
        <v>0</v>
      </c>
    </row>
    <row r="2596" spans="1:15" x14ac:dyDescent="0.3">
      <c r="A2596" t="s">
        <v>2609</v>
      </c>
      <c r="B2596">
        <v>5</v>
      </c>
      <c r="C2596">
        <v>30</v>
      </c>
      <c r="D2596" t="s">
        <v>5016</v>
      </c>
      <c r="E2596" t="s">
        <v>5019</v>
      </c>
      <c r="F2596" t="s">
        <v>5024</v>
      </c>
      <c r="G2596">
        <v>21.8</v>
      </c>
      <c r="H2596">
        <v>1</v>
      </c>
      <c r="I2596">
        <v>4</v>
      </c>
      <c r="J2596">
        <v>15.16</v>
      </c>
      <c r="K2596">
        <v>77.5</v>
      </c>
      <c r="L2596" t="s">
        <v>5026</v>
      </c>
      <c r="M2596">
        <v>3</v>
      </c>
      <c r="N2596">
        <v>3</v>
      </c>
      <c r="O2596">
        <v>0</v>
      </c>
    </row>
    <row r="2597" spans="1:15" x14ac:dyDescent="0.3">
      <c r="A2597" t="s">
        <v>2610</v>
      </c>
      <c r="B2597">
        <v>9</v>
      </c>
      <c r="C2597">
        <v>32</v>
      </c>
      <c r="D2597" t="s">
        <v>5016</v>
      </c>
      <c r="E2597" t="s">
        <v>5018</v>
      </c>
      <c r="F2597" t="s">
        <v>5020</v>
      </c>
      <c r="G2597">
        <v>7.99</v>
      </c>
      <c r="H2597">
        <v>4</v>
      </c>
      <c r="I2597">
        <v>7.3</v>
      </c>
      <c r="J2597">
        <v>14.07</v>
      </c>
      <c r="K2597">
        <v>68.7</v>
      </c>
      <c r="L2597" t="s">
        <v>5029</v>
      </c>
      <c r="M2597">
        <v>8</v>
      </c>
      <c r="N2597">
        <v>0</v>
      </c>
      <c r="O2597">
        <v>0</v>
      </c>
    </row>
    <row r="2598" spans="1:15" x14ac:dyDescent="0.3">
      <c r="A2598" t="s">
        <v>2611</v>
      </c>
      <c r="B2598">
        <v>12</v>
      </c>
      <c r="C2598">
        <v>44</v>
      </c>
      <c r="D2598" t="s">
        <v>5016</v>
      </c>
      <c r="E2598" t="s">
        <v>5019</v>
      </c>
      <c r="F2598" t="s">
        <v>5022</v>
      </c>
      <c r="G2598">
        <v>18.32</v>
      </c>
      <c r="H2598">
        <v>5</v>
      </c>
      <c r="I2598">
        <v>5.8</v>
      </c>
      <c r="J2598">
        <v>4.18</v>
      </c>
      <c r="K2598">
        <v>92.6</v>
      </c>
      <c r="L2598" t="s">
        <v>5028</v>
      </c>
      <c r="M2598">
        <v>6</v>
      </c>
      <c r="N2598">
        <v>3</v>
      </c>
      <c r="O2598">
        <v>1</v>
      </c>
    </row>
    <row r="2599" spans="1:15" x14ac:dyDescent="0.3">
      <c r="A2599" t="s">
        <v>2612</v>
      </c>
      <c r="B2599">
        <v>3</v>
      </c>
      <c r="C2599">
        <v>32</v>
      </c>
      <c r="D2599" t="s">
        <v>5016</v>
      </c>
      <c r="E2599" t="s">
        <v>5017</v>
      </c>
      <c r="F2599" t="s">
        <v>5020</v>
      </c>
      <c r="G2599">
        <v>23.25</v>
      </c>
      <c r="H2599">
        <v>3</v>
      </c>
      <c r="I2599">
        <v>8.6999999999999993</v>
      </c>
      <c r="J2599">
        <v>19.170000000000002</v>
      </c>
      <c r="K2599">
        <v>62.9</v>
      </c>
      <c r="L2599" t="s">
        <v>5028</v>
      </c>
      <c r="M2599">
        <v>4</v>
      </c>
      <c r="N2599">
        <v>1</v>
      </c>
      <c r="O2599">
        <v>1</v>
      </c>
    </row>
    <row r="2600" spans="1:15" x14ac:dyDescent="0.3">
      <c r="A2600" t="s">
        <v>2613</v>
      </c>
      <c r="B2600">
        <v>7</v>
      </c>
      <c r="C2600">
        <v>45</v>
      </c>
      <c r="D2600" t="s">
        <v>5015</v>
      </c>
      <c r="E2600" t="s">
        <v>5018</v>
      </c>
      <c r="F2600" t="s">
        <v>5023</v>
      </c>
      <c r="G2600">
        <v>15.64</v>
      </c>
      <c r="H2600">
        <v>5</v>
      </c>
      <c r="I2600">
        <v>2.6</v>
      </c>
      <c r="J2600">
        <v>14.26</v>
      </c>
      <c r="K2600">
        <v>67.400000000000006</v>
      </c>
      <c r="L2600" t="s">
        <v>5029</v>
      </c>
      <c r="M2600">
        <v>10</v>
      </c>
      <c r="N2600">
        <v>4</v>
      </c>
      <c r="O2600">
        <v>1</v>
      </c>
    </row>
    <row r="2601" spans="1:15" x14ac:dyDescent="0.3">
      <c r="A2601" t="s">
        <v>2614</v>
      </c>
      <c r="B2601">
        <v>12</v>
      </c>
      <c r="C2601">
        <v>54</v>
      </c>
      <c r="D2601" t="s">
        <v>5016</v>
      </c>
      <c r="E2601" t="s">
        <v>5019</v>
      </c>
      <c r="F2601" t="s">
        <v>5021</v>
      </c>
      <c r="G2601">
        <v>10.77</v>
      </c>
      <c r="H2601">
        <v>3</v>
      </c>
      <c r="I2601">
        <v>3.4</v>
      </c>
      <c r="J2601">
        <v>6.8</v>
      </c>
      <c r="K2601">
        <v>73.400000000000006</v>
      </c>
      <c r="L2601" t="s">
        <v>5025</v>
      </c>
      <c r="M2601">
        <v>11</v>
      </c>
      <c r="N2601">
        <v>2</v>
      </c>
      <c r="O2601">
        <v>0</v>
      </c>
    </row>
    <row r="2602" spans="1:15" x14ac:dyDescent="0.3">
      <c r="A2602" t="s">
        <v>2615</v>
      </c>
      <c r="B2602">
        <v>1</v>
      </c>
      <c r="C2602">
        <v>36</v>
      </c>
      <c r="D2602" t="s">
        <v>5016</v>
      </c>
      <c r="E2602" t="s">
        <v>5018</v>
      </c>
      <c r="F2602" t="s">
        <v>5022</v>
      </c>
      <c r="G2602">
        <v>7.55</v>
      </c>
      <c r="H2602">
        <v>2</v>
      </c>
      <c r="I2602">
        <v>9.5</v>
      </c>
      <c r="J2602">
        <v>17.98</v>
      </c>
      <c r="K2602">
        <v>26.8</v>
      </c>
      <c r="L2602" t="s">
        <v>5026</v>
      </c>
      <c r="M2602">
        <v>3</v>
      </c>
      <c r="N2602">
        <v>2</v>
      </c>
      <c r="O2602">
        <v>1</v>
      </c>
    </row>
    <row r="2603" spans="1:15" x14ac:dyDescent="0.3">
      <c r="A2603" t="s">
        <v>2616</v>
      </c>
      <c r="B2603">
        <v>4</v>
      </c>
      <c r="C2603">
        <v>43</v>
      </c>
      <c r="D2603" t="s">
        <v>5016</v>
      </c>
      <c r="E2603" t="s">
        <v>5018</v>
      </c>
      <c r="F2603" t="s">
        <v>5021</v>
      </c>
      <c r="G2603">
        <v>10.92</v>
      </c>
      <c r="H2603">
        <v>3</v>
      </c>
      <c r="I2603">
        <v>5</v>
      </c>
      <c r="J2603">
        <v>18.29</v>
      </c>
      <c r="K2603">
        <v>77.8</v>
      </c>
      <c r="L2603" t="s">
        <v>5028</v>
      </c>
      <c r="M2603">
        <v>10</v>
      </c>
      <c r="N2603">
        <v>3</v>
      </c>
      <c r="O2603">
        <v>0</v>
      </c>
    </row>
    <row r="2604" spans="1:15" x14ac:dyDescent="0.3">
      <c r="A2604" t="s">
        <v>2617</v>
      </c>
      <c r="B2604">
        <v>4</v>
      </c>
      <c r="C2604">
        <v>69</v>
      </c>
      <c r="D2604" t="s">
        <v>5016</v>
      </c>
      <c r="E2604" t="s">
        <v>5017</v>
      </c>
      <c r="F2604" t="s">
        <v>5020</v>
      </c>
      <c r="G2604">
        <v>12.1</v>
      </c>
      <c r="H2604">
        <v>2</v>
      </c>
      <c r="I2604">
        <v>8.1</v>
      </c>
      <c r="J2604">
        <v>7.7</v>
      </c>
      <c r="K2604">
        <v>37</v>
      </c>
      <c r="L2604" t="s">
        <v>5029</v>
      </c>
      <c r="M2604">
        <v>10</v>
      </c>
      <c r="N2604">
        <v>3</v>
      </c>
      <c r="O2604">
        <v>0</v>
      </c>
    </row>
    <row r="2605" spans="1:15" x14ac:dyDescent="0.3">
      <c r="A2605" t="s">
        <v>2618</v>
      </c>
      <c r="B2605">
        <v>7</v>
      </c>
      <c r="C2605">
        <v>43</v>
      </c>
      <c r="D2605" t="s">
        <v>5016</v>
      </c>
      <c r="E2605" t="s">
        <v>5018</v>
      </c>
      <c r="F2605" t="s">
        <v>5024</v>
      </c>
      <c r="G2605">
        <v>19.2</v>
      </c>
      <c r="H2605">
        <v>2</v>
      </c>
      <c r="I2605">
        <v>5.4</v>
      </c>
      <c r="J2605">
        <v>20.52</v>
      </c>
      <c r="K2605">
        <v>48.2</v>
      </c>
      <c r="L2605" t="s">
        <v>5028</v>
      </c>
      <c r="M2605">
        <v>2</v>
      </c>
      <c r="N2605">
        <v>3</v>
      </c>
      <c r="O2605">
        <v>0</v>
      </c>
    </row>
    <row r="2606" spans="1:15" x14ac:dyDescent="0.3">
      <c r="A2606" t="s">
        <v>2619</v>
      </c>
      <c r="B2606">
        <v>8</v>
      </c>
      <c r="C2606">
        <v>42</v>
      </c>
      <c r="D2606" t="s">
        <v>5016</v>
      </c>
      <c r="E2606" t="s">
        <v>5017</v>
      </c>
      <c r="F2606" t="s">
        <v>5021</v>
      </c>
      <c r="G2606">
        <v>8.57</v>
      </c>
      <c r="H2606">
        <v>1</v>
      </c>
      <c r="I2606">
        <v>5.2</v>
      </c>
      <c r="J2606">
        <v>13.04</v>
      </c>
      <c r="K2606">
        <v>11.3</v>
      </c>
      <c r="L2606" t="s">
        <v>5028</v>
      </c>
      <c r="M2606">
        <v>6</v>
      </c>
      <c r="N2606">
        <v>4</v>
      </c>
      <c r="O2606">
        <v>1</v>
      </c>
    </row>
    <row r="2607" spans="1:15" x14ac:dyDescent="0.3">
      <c r="A2607" t="s">
        <v>2620</v>
      </c>
      <c r="B2607">
        <v>1</v>
      </c>
      <c r="C2607">
        <v>43</v>
      </c>
      <c r="D2607" t="s">
        <v>5016</v>
      </c>
      <c r="E2607" t="s">
        <v>5019</v>
      </c>
      <c r="F2607" t="s">
        <v>5021</v>
      </c>
      <c r="G2607">
        <v>7.12</v>
      </c>
      <c r="H2607">
        <v>3</v>
      </c>
      <c r="I2607">
        <v>2.2999999999999998</v>
      </c>
      <c r="J2607">
        <v>6.97</v>
      </c>
      <c r="K2607">
        <v>85.9</v>
      </c>
      <c r="L2607" t="s">
        <v>5025</v>
      </c>
      <c r="M2607">
        <v>1</v>
      </c>
      <c r="N2607">
        <v>2</v>
      </c>
      <c r="O2607">
        <v>1</v>
      </c>
    </row>
    <row r="2608" spans="1:15" x14ac:dyDescent="0.3">
      <c r="A2608" t="s">
        <v>2621</v>
      </c>
      <c r="B2608">
        <v>5</v>
      </c>
      <c r="C2608">
        <v>43</v>
      </c>
      <c r="D2608" t="s">
        <v>5015</v>
      </c>
      <c r="E2608" t="s">
        <v>5018</v>
      </c>
      <c r="F2608" t="s">
        <v>5024</v>
      </c>
      <c r="G2608">
        <v>12.74</v>
      </c>
      <c r="H2608">
        <v>4</v>
      </c>
      <c r="I2608">
        <v>8.6999999999999993</v>
      </c>
      <c r="J2608">
        <v>17.47</v>
      </c>
      <c r="K2608">
        <v>95.8</v>
      </c>
      <c r="L2608" t="s">
        <v>5028</v>
      </c>
      <c r="M2608">
        <v>10</v>
      </c>
      <c r="N2608">
        <v>2</v>
      </c>
      <c r="O2608">
        <v>1</v>
      </c>
    </row>
    <row r="2609" spans="1:15" x14ac:dyDescent="0.3">
      <c r="A2609" t="s">
        <v>2622</v>
      </c>
      <c r="B2609">
        <v>7</v>
      </c>
      <c r="C2609">
        <v>63</v>
      </c>
      <c r="D2609" t="s">
        <v>5015</v>
      </c>
      <c r="E2609" t="s">
        <v>5019</v>
      </c>
      <c r="F2609" t="s">
        <v>5021</v>
      </c>
      <c r="G2609">
        <v>14.17</v>
      </c>
      <c r="H2609">
        <v>4</v>
      </c>
      <c r="I2609">
        <v>1.7</v>
      </c>
      <c r="J2609">
        <v>16.13</v>
      </c>
      <c r="K2609">
        <v>15.4</v>
      </c>
      <c r="L2609" t="s">
        <v>5026</v>
      </c>
      <c r="M2609">
        <v>8</v>
      </c>
      <c r="N2609">
        <v>1</v>
      </c>
      <c r="O2609">
        <v>0</v>
      </c>
    </row>
    <row r="2610" spans="1:15" x14ac:dyDescent="0.3">
      <c r="A2610" t="s">
        <v>2623</v>
      </c>
      <c r="B2610">
        <v>12</v>
      </c>
      <c r="C2610">
        <v>45</v>
      </c>
      <c r="D2610" t="s">
        <v>5015</v>
      </c>
      <c r="E2610" t="s">
        <v>5018</v>
      </c>
      <c r="F2610" t="s">
        <v>5021</v>
      </c>
      <c r="G2610">
        <v>17.57</v>
      </c>
      <c r="H2610">
        <v>3</v>
      </c>
      <c r="I2610">
        <v>3.8</v>
      </c>
      <c r="J2610">
        <v>6.75</v>
      </c>
      <c r="K2610">
        <v>67.2</v>
      </c>
      <c r="L2610" t="s">
        <v>5029</v>
      </c>
      <c r="M2610">
        <v>5</v>
      </c>
      <c r="N2610">
        <v>1</v>
      </c>
      <c r="O2610">
        <v>1</v>
      </c>
    </row>
    <row r="2611" spans="1:15" x14ac:dyDescent="0.3">
      <c r="A2611" t="s">
        <v>2624</v>
      </c>
      <c r="B2611">
        <v>4</v>
      </c>
      <c r="C2611">
        <v>66</v>
      </c>
      <c r="D2611" t="s">
        <v>5016</v>
      </c>
      <c r="E2611" t="s">
        <v>5018</v>
      </c>
      <c r="F2611" t="s">
        <v>5024</v>
      </c>
      <c r="G2611">
        <v>19.149999999999999</v>
      </c>
      <c r="H2611">
        <v>1</v>
      </c>
      <c r="I2611">
        <v>7.1</v>
      </c>
      <c r="J2611">
        <v>22.19</v>
      </c>
      <c r="K2611">
        <v>96.5</v>
      </c>
      <c r="L2611" t="s">
        <v>5025</v>
      </c>
      <c r="M2611">
        <v>7</v>
      </c>
      <c r="N2611">
        <v>0</v>
      </c>
      <c r="O2611">
        <v>0</v>
      </c>
    </row>
    <row r="2612" spans="1:15" x14ac:dyDescent="0.3">
      <c r="A2612" t="s">
        <v>2625</v>
      </c>
      <c r="B2612">
        <v>4</v>
      </c>
      <c r="C2612">
        <v>35</v>
      </c>
      <c r="D2612" t="s">
        <v>5015</v>
      </c>
      <c r="E2612" t="s">
        <v>5018</v>
      </c>
      <c r="F2612" t="s">
        <v>5024</v>
      </c>
      <c r="G2612">
        <v>22.79</v>
      </c>
      <c r="H2612">
        <v>4</v>
      </c>
      <c r="I2612">
        <v>5.6</v>
      </c>
      <c r="J2612">
        <v>21.8</v>
      </c>
      <c r="K2612">
        <v>64.599999999999994</v>
      </c>
      <c r="L2612" t="s">
        <v>5025</v>
      </c>
      <c r="M2612">
        <v>7</v>
      </c>
      <c r="N2612">
        <v>4</v>
      </c>
      <c r="O2612">
        <v>0</v>
      </c>
    </row>
    <row r="2613" spans="1:15" x14ac:dyDescent="0.3">
      <c r="A2613" t="s">
        <v>2626</v>
      </c>
      <c r="B2613">
        <v>4</v>
      </c>
      <c r="C2613">
        <v>49</v>
      </c>
      <c r="D2613" t="s">
        <v>5016</v>
      </c>
      <c r="E2613" t="s">
        <v>5019</v>
      </c>
      <c r="F2613" t="s">
        <v>5020</v>
      </c>
      <c r="G2613">
        <v>10.78</v>
      </c>
      <c r="H2613">
        <v>5</v>
      </c>
      <c r="I2613">
        <v>8.9</v>
      </c>
      <c r="J2613">
        <v>21.4</v>
      </c>
      <c r="K2613">
        <v>81.8</v>
      </c>
      <c r="L2613" t="s">
        <v>5029</v>
      </c>
      <c r="M2613">
        <v>11</v>
      </c>
      <c r="N2613">
        <v>3</v>
      </c>
      <c r="O2613">
        <v>0</v>
      </c>
    </row>
    <row r="2614" spans="1:15" x14ac:dyDescent="0.3">
      <c r="A2614" t="s">
        <v>2627</v>
      </c>
      <c r="B2614">
        <v>12</v>
      </c>
      <c r="C2614">
        <v>20</v>
      </c>
      <c r="D2614" t="s">
        <v>5016</v>
      </c>
      <c r="E2614" t="s">
        <v>5019</v>
      </c>
      <c r="F2614" t="s">
        <v>5020</v>
      </c>
      <c r="G2614">
        <v>15.57</v>
      </c>
      <c r="H2614">
        <v>4</v>
      </c>
      <c r="I2614">
        <v>1.4</v>
      </c>
      <c r="J2614">
        <v>11.78</v>
      </c>
      <c r="K2614">
        <v>20.6</v>
      </c>
      <c r="L2614" t="s">
        <v>5026</v>
      </c>
      <c r="M2614">
        <v>10</v>
      </c>
      <c r="N2614">
        <v>1</v>
      </c>
      <c r="O2614">
        <v>0</v>
      </c>
    </row>
    <row r="2615" spans="1:15" x14ac:dyDescent="0.3">
      <c r="A2615" t="s">
        <v>2628</v>
      </c>
      <c r="B2615">
        <v>6</v>
      </c>
      <c r="C2615">
        <v>19</v>
      </c>
      <c r="D2615" t="s">
        <v>5016</v>
      </c>
      <c r="E2615" t="s">
        <v>5017</v>
      </c>
      <c r="F2615" t="s">
        <v>5021</v>
      </c>
      <c r="G2615">
        <v>12.32</v>
      </c>
      <c r="H2615">
        <v>1</v>
      </c>
      <c r="I2615">
        <v>6.8</v>
      </c>
      <c r="J2615">
        <v>21.14</v>
      </c>
      <c r="K2615">
        <v>32</v>
      </c>
      <c r="L2615" t="s">
        <v>5028</v>
      </c>
      <c r="M2615">
        <v>6</v>
      </c>
      <c r="N2615">
        <v>0</v>
      </c>
      <c r="O2615">
        <v>1</v>
      </c>
    </row>
    <row r="2616" spans="1:15" x14ac:dyDescent="0.3">
      <c r="A2616" t="s">
        <v>2629</v>
      </c>
      <c r="B2616">
        <v>7</v>
      </c>
      <c r="C2616">
        <v>50</v>
      </c>
      <c r="D2616" t="s">
        <v>5016</v>
      </c>
      <c r="E2616" t="s">
        <v>5018</v>
      </c>
      <c r="F2616" t="s">
        <v>5022</v>
      </c>
      <c r="G2616">
        <v>5.03</v>
      </c>
      <c r="H2616">
        <v>2</v>
      </c>
      <c r="I2616">
        <v>5.3</v>
      </c>
      <c r="J2616">
        <v>21.59</v>
      </c>
      <c r="K2616">
        <v>41.1</v>
      </c>
      <c r="L2616" t="s">
        <v>5028</v>
      </c>
      <c r="M2616">
        <v>5</v>
      </c>
      <c r="N2616">
        <v>0</v>
      </c>
      <c r="O2616">
        <v>1</v>
      </c>
    </row>
    <row r="2617" spans="1:15" x14ac:dyDescent="0.3">
      <c r="A2617" t="s">
        <v>2630</v>
      </c>
      <c r="B2617">
        <v>2</v>
      </c>
      <c r="C2617">
        <v>59</v>
      </c>
      <c r="D2617" t="s">
        <v>5015</v>
      </c>
      <c r="E2617" t="s">
        <v>5018</v>
      </c>
      <c r="F2617" t="s">
        <v>5020</v>
      </c>
      <c r="G2617">
        <v>16.59</v>
      </c>
      <c r="H2617">
        <v>2</v>
      </c>
      <c r="I2617">
        <v>2.4</v>
      </c>
      <c r="J2617">
        <v>24.92</v>
      </c>
      <c r="K2617">
        <v>98.3</v>
      </c>
      <c r="L2617" t="s">
        <v>5026</v>
      </c>
      <c r="M2617">
        <v>2</v>
      </c>
      <c r="N2617">
        <v>2</v>
      </c>
      <c r="O2617">
        <v>0</v>
      </c>
    </row>
    <row r="2618" spans="1:15" x14ac:dyDescent="0.3">
      <c r="A2618" t="s">
        <v>2631</v>
      </c>
      <c r="B2618">
        <v>5</v>
      </c>
      <c r="C2618">
        <v>36</v>
      </c>
      <c r="D2618" t="s">
        <v>5016</v>
      </c>
      <c r="E2618" t="s">
        <v>5017</v>
      </c>
      <c r="F2618" t="s">
        <v>5020</v>
      </c>
      <c r="G2618">
        <v>21.32</v>
      </c>
      <c r="H2618">
        <v>2</v>
      </c>
      <c r="I2618">
        <v>7.7</v>
      </c>
      <c r="J2618">
        <v>24.07</v>
      </c>
      <c r="K2618">
        <v>80.400000000000006</v>
      </c>
      <c r="L2618" t="s">
        <v>5027</v>
      </c>
      <c r="M2618">
        <v>3</v>
      </c>
      <c r="N2618">
        <v>4</v>
      </c>
      <c r="O2618">
        <v>0</v>
      </c>
    </row>
    <row r="2619" spans="1:15" x14ac:dyDescent="0.3">
      <c r="A2619" t="s">
        <v>2632</v>
      </c>
      <c r="B2619">
        <v>4</v>
      </c>
      <c r="C2619">
        <v>34</v>
      </c>
      <c r="D2619" t="s">
        <v>5016</v>
      </c>
      <c r="E2619" t="s">
        <v>5018</v>
      </c>
      <c r="F2619" t="s">
        <v>5022</v>
      </c>
      <c r="G2619">
        <v>5.73</v>
      </c>
      <c r="H2619">
        <v>1</v>
      </c>
      <c r="I2619">
        <v>4.7</v>
      </c>
      <c r="J2619">
        <v>11.42</v>
      </c>
      <c r="K2619">
        <v>89.7</v>
      </c>
      <c r="L2619" t="s">
        <v>5029</v>
      </c>
      <c r="M2619">
        <v>3</v>
      </c>
      <c r="N2619">
        <v>4</v>
      </c>
      <c r="O2619">
        <v>0</v>
      </c>
    </row>
    <row r="2620" spans="1:15" x14ac:dyDescent="0.3">
      <c r="A2620" t="s">
        <v>2633</v>
      </c>
      <c r="B2620">
        <v>3</v>
      </c>
      <c r="C2620">
        <v>61</v>
      </c>
      <c r="D2620" t="s">
        <v>5015</v>
      </c>
      <c r="E2620" t="s">
        <v>5019</v>
      </c>
      <c r="F2620" t="s">
        <v>5022</v>
      </c>
      <c r="G2620">
        <v>5.07</v>
      </c>
      <c r="H2620">
        <v>2</v>
      </c>
      <c r="I2620">
        <v>5.8</v>
      </c>
      <c r="J2620">
        <v>7.36</v>
      </c>
      <c r="K2620">
        <v>53.8</v>
      </c>
      <c r="L2620" t="s">
        <v>5026</v>
      </c>
      <c r="M2620">
        <v>5</v>
      </c>
      <c r="N2620">
        <v>3</v>
      </c>
      <c r="O2620">
        <v>1</v>
      </c>
    </row>
    <row r="2621" spans="1:15" x14ac:dyDescent="0.3">
      <c r="A2621" t="s">
        <v>2634</v>
      </c>
      <c r="B2621">
        <v>7</v>
      </c>
      <c r="C2621">
        <v>50</v>
      </c>
      <c r="D2621" t="s">
        <v>5015</v>
      </c>
      <c r="E2621" t="s">
        <v>5018</v>
      </c>
      <c r="F2621" t="s">
        <v>5024</v>
      </c>
      <c r="G2621">
        <v>19.559999999999999</v>
      </c>
      <c r="H2621">
        <v>2</v>
      </c>
      <c r="I2621">
        <v>9.6999999999999993</v>
      </c>
      <c r="J2621">
        <v>9.43</v>
      </c>
      <c r="K2621">
        <v>74.5</v>
      </c>
      <c r="L2621" t="s">
        <v>5028</v>
      </c>
      <c r="M2621">
        <v>2</v>
      </c>
      <c r="N2621">
        <v>4</v>
      </c>
      <c r="O2621">
        <v>0</v>
      </c>
    </row>
    <row r="2622" spans="1:15" x14ac:dyDescent="0.3">
      <c r="A2622" t="s">
        <v>2635</v>
      </c>
      <c r="B2622">
        <v>11</v>
      </c>
      <c r="C2622">
        <v>29</v>
      </c>
      <c r="D2622" t="s">
        <v>5015</v>
      </c>
      <c r="E2622" t="s">
        <v>5019</v>
      </c>
      <c r="F2622" t="s">
        <v>5020</v>
      </c>
      <c r="G2622">
        <v>18.68</v>
      </c>
      <c r="H2622">
        <v>1</v>
      </c>
      <c r="I2622">
        <v>5.4</v>
      </c>
      <c r="J2622">
        <v>13.89</v>
      </c>
      <c r="K2622">
        <v>75.8</v>
      </c>
      <c r="L2622" t="s">
        <v>5029</v>
      </c>
      <c r="M2622">
        <v>11</v>
      </c>
      <c r="N2622">
        <v>3</v>
      </c>
      <c r="O2622">
        <v>0</v>
      </c>
    </row>
    <row r="2623" spans="1:15" x14ac:dyDescent="0.3">
      <c r="A2623" t="s">
        <v>2636</v>
      </c>
      <c r="B2623">
        <v>12</v>
      </c>
      <c r="C2623">
        <v>66</v>
      </c>
      <c r="D2623" t="s">
        <v>5016</v>
      </c>
      <c r="E2623" t="s">
        <v>5018</v>
      </c>
      <c r="F2623" t="s">
        <v>5023</v>
      </c>
      <c r="G2623">
        <v>13.12</v>
      </c>
      <c r="H2623">
        <v>5</v>
      </c>
      <c r="I2623">
        <v>8.4</v>
      </c>
      <c r="J2623">
        <v>20.72</v>
      </c>
      <c r="K2623">
        <v>61.2</v>
      </c>
      <c r="L2623" t="s">
        <v>5029</v>
      </c>
      <c r="M2623">
        <v>1</v>
      </c>
      <c r="N2623">
        <v>4</v>
      </c>
      <c r="O2623">
        <v>0</v>
      </c>
    </row>
    <row r="2624" spans="1:15" x14ac:dyDescent="0.3">
      <c r="A2624" t="s">
        <v>2637</v>
      </c>
      <c r="B2624">
        <v>6</v>
      </c>
      <c r="C2624">
        <v>20</v>
      </c>
      <c r="D2624" t="s">
        <v>5015</v>
      </c>
      <c r="E2624" t="s">
        <v>5018</v>
      </c>
      <c r="F2624" t="s">
        <v>5023</v>
      </c>
      <c r="G2624">
        <v>18.23</v>
      </c>
      <c r="H2624">
        <v>4</v>
      </c>
      <c r="I2624">
        <v>7.9</v>
      </c>
      <c r="J2624">
        <v>18.91</v>
      </c>
      <c r="K2624">
        <v>89</v>
      </c>
      <c r="L2624" t="s">
        <v>5028</v>
      </c>
      <c r="M2624">
        <v>4</v>
      </c>
      <c r="N2624">
        <v>2</v>
      </c>
      <c r="O2624">
        <v>0</v>
      </c>
    </row>
    <row r="2625" spans="1:15" x14ac:dyDescent="0.3">
      <c r="A2625" t="s">
        <v>2638</v>
      </c>
      <c r="B2625">
        <v>7</v>
      </c>
      <c r="C2625">
        <v>60</v>
      </c>
      <c r="D2625" t="s">
        <v>5016</v>
      </c>
      <c r="E2625" t="s">
        <v>5017</v>
      </c>
      <c r="F2625" t="s">
        <v>5021</v>
      </c>
      <c r="G2625">
        <v>24.07</v>
      </c>
      <c r="H2625">
        <v>1</v>
      </c>
      <c r="I2625">
        <v>7</v>
      </c>
      <c r="J2625">
        <v>20.329999999999998</v>
      </c>
      <c r="K2625">
        <v>24.2</v>
      </c>
      <c r="L2625" t="s">
        <v>5026</v>
      </c>
      <c r="M2625">
        <v>10</v>
      </c>
      <c r="N2625">
        <v>0</v>
      </c>
      <c r="O2625">
        <v>0</v>
      </c>
    </row>
    <row r="2626" spans="1:15" x14ac:dyDescent="0.3">
      <c r="A2626" t="s">
        <v>2639</v>
      </c>
      <c r="B2626">
        <v>5</v>
      </c>
      <c r="C2626">
        <v>66</v>
      </c>
      <c r="D2626" t="s">
        <v>5016</v>
      </c>
      <c r="E2626" t="s">
        <v>5019</v>
      </c>
      <c r="F2626" t="s">
        <v>5020</v>
      </c>
      <c r="G2626">
        <v>9.9600000000000009</v>
      </c>
      <c r="H2626">
        <v>1</v>
      </c>
      <c r="I2626">
        <v>9.1</v>
      </c>
      <c r="J2626">
        <v>11.36</v>
      </c>
      <c r="K2626">
        <v>15.2</v>
      </c>
      <c r="L2626" t="s">
        <v>5027</v>
      </c>
      <c r="M2626">
        <v>3</v>
      </c>
      <c r="N2626">
        <v>4</v>
      </c>
      <c r="O2626">
        <v>0</v>
      </c>
    </row>
    <row r="2627" spans="1:15" x14ac:dyDescent="0.3">
      <c r="A2627" t="s">
        <v>2640</v>
      </c>
      <c r="B2627">
        <v>6</v>
      </c>
      <c r="C2627">
        <v>43</v>
      </c>
      <c r="D2627" t="s">
        <v>5015</v>
      </c>
      <c r="E2627" t="s">
        <v>5019</v>
      </c>
      <c r="F2627" t="s">
        <v>5023</v>
      </c>
      <c r="G2627">
        <v>9.92</v>
      </c>
      <c r="H2627">
        <v>3</v>
      </c>
      <c r="I2627">
        <v>3.3</v>
      </c>
      <c r="J2627">
        <v>8.43</v>
      </c>
      <c r="K2627">
        <v>37.4</v>
      </c>
      <c r="L2627" t="s">
        <v>5029</v>
      </c>
      <c r="M2627">
        <v>11</v>
      </c>
      <c r="N2627">
        <v>4</v>
      </c>
      <c r="O2627">
        <v>0</v>
      </c>
    </row>
    <row r="2628" spans="1:15" x14ac:dyDescent="0.3">
      <c r="A2628" t="s">
        <v>2641</v>
      </c>
      <c r="B2628">
        <v>5</v>
      </c>
      <c r="C2628">
        <v>52</v>
      </c>
      <c r="D2628" t="s">
        <v>5015</v>
      </c>
      <c r="E2628" t="s">
        <v>5018</v>
      </c>
      <c r="F2628" t="s">
        <v>5020</v>
      </c>
      <c r="G2628">
        <v>8.7200000000000006</v>
      </c>
      <c r="H2628">
        <v>2</v>
      </c>
      <c r="I2628">
        <v>8.4</v>
      </c>
      <c r="J2628">
        <v>3.53</v>
      </c>
      <c r="K2628">
        <v>17.899999999999999</v>
      </c>
      <c r="L2628" t="s">
        <v>5029</v>
      </c>
      <c r="M2628">
        <v>3</v>
      </c>
      <c r="N2628">
        <v>2</v>
      </c>
      <c r="O2628">
        <v>1</v>
      </c>
    </row>
    <row r="2629" spans="1:15" x14ac:dyDescent="0.3">
      <c r="A2629" t="s">
        <v>2642</v>
      </c>
      <c r="B2629">
        <v>7</v>
      </c>
      <c r="C2629">
        <v>25</v>
      </c>
      <c r="D2629" t="s">
        <v>5015</v>
      </c>
      <c r="E2629" t="s">
        <v>5017</v>
      </c>
      <c r="F2629" t="s">
        <v>5020</v>
      </c>
      <c r="G2629">
        <v>19.48</v>
      </c>
      <c r="H2629">
        <v>5</v>
      </c>
      <c r="I2629">
        <v>4.4000000000000004</v>
      </c>
      <c r="J2629">
        <v>16.78</v>
      </c>
      <c r="K2629">
        <v>15.4</v>
      </c>
      <c r="L2629" t="s">
        <v>5029</v>
      </c>
      <c r="M2629">
        <v>10</v>
      </c>
      <c r="N2629">
        <v>1</v>
      </c>
      <c r="O2629">
        <v>0</v>
      </c>
    </row>
    <row r="2630" spans="1:15" x14ac:dyDescent="0.3">
      <c r="A2630" t="s">
        <v>2643</v>
      </c>
      <c r="B2630">
        <v>2</v>
      </c>
      <c r="C2630">
        <v>69</v>
      </c>
      <c r="D2630" t="s">
        <v>5016</v>
      </c>
      <c r="E2630" t="s">
        <v>5017</v>
      </c>
      <c r="F2630" t="s">
        <v>5023</v>
      </c>
      <c r="G2630">
        <v>12.06</v>
      </c>
      <c r="H2630">
        <v>3</v>
      </c>
      <c r="I2630">
        <v>8.3000000000000007</v>
      </c>
      <c r="J2630">
        <v>20.49</v>
      </c>
      <c r="K2630">
        <v>47.7</v>
      </c>
      <c r="L2630" t="s">
        <v>5026</v>
      </c>
      <c r="M2630">
        <v>11</v>
      </c>
      <c r="N2630">
        <v>3</v>
      </c>
      <c r="O2630">
        <v>1</v>
      </c>
    </row>
    <row r="2631" spans="1:15" x14ac:dyDescent="0.3">
      <c r="A2631" t="s">
        <v>2644</v>
      </c>
      <c r="B2631">
        <v>11</v>
      </c>
      <c r="C2631">
        <v>53</v>
      </c>
      <c r="D2631" t="s">
        <v>5016</v>
      </c>
      <c r="E2631" t="s">
        <v>5017</v>
      </c>
      <c r="F2631" t="s">
        <v>5020</v>
      </c>
      <c r="G2631">
        <v>24.77</v>
      </c>
      <c r="H2631">
        <v>5</v>
      </c>
      <c r="I2631">
        <v>5.4</v>
      </c>
      <c r="J2631">
        <v>22.56</v>
      </c>
      <c r="K2631">
        <v>28</v>
      </c>
      <c r="L2631" t="s">
        <v>5029</v>
      </c>
      <c r="M2631">
        <v>6</v>
      </c>
      <c r="N2631">
        <v>1</v>
      </c>
      <c r="O2631">
        <v>0</v>
      </c>
    </row>
    <row r="2632" spans="1:15" x14ac:dyDescent="0.3">
      <c r="A2632" t="s">
        <v>2645</v>
      </c>
      <c r="B2632">
        <v>5</v>
      </c>
      <c r="C2632">
        <v>24</v>
      </c>
      <c r="D2632" t="s">
        <v>5016</v>
      </c>
      <c r="E2632" t="s">
        <v>5018</v>
      </c>
      <c r="F2632" t="s">
        <v>5022</v>
      </c>
      <c r="G2632">
        <v>19.29</v>
      </c>
      <c r="H2632">
        <v>2</v>
      </c>
      <c r="I2632">
        <v>8.6999999999999993</v>
      </c>
      <c r="J2632">
        <v>13.48</v>
      </c>
      <c r="K2632">
        <v>81.099999999999994</v>
      </c>
      <c r="L2632" t="s">
        <v>5028</v>
      </c>
      <c r="M2632">
        <v>9</v>
      </c>
      <c r="N2632">
        <v>0</v>
      </c>
      <c r="O2632">
        <v>0</v>
      </c>
    </row>
    <row r="2633" spans="1:15" x14ac:dyDescent="0.3">
      <c r="A2633" t="s">
        <v>2646</v>
      </c>
      <c r="B2633">
        <v>6</v>
      </c>
      <c r="C2633">
        <v>63</v>
      </c>
      <c r="D2633" t="s">
        <v>5016</v>
      </c>
      <c r="E2633" t="s">
        <v>5019</v>
      </c>
      <c r="F2633" t="s">
        <v>5021</v>
      </c>
      <c r="G2633">
        <v>12.35</v>
      </c>
      <c r="H2633">
        <v>2</v>
      </c>
      <c r="I2633">
        <v>9.1</v>
      </c>
      <c r="J2633">
        <v>23.41</v>
      </c>
      <c r="K2633">
        <v>62.2</v>
      </c>
      <c r="L2633" t="s">
        <v>5028</v>
      </c>
      <c r="M2633">
        <v>10</v>
      </c>
      <c r="N2633">
        <v>1</v>
      </c>
      <c r="O2633">
        <v>1</v>
      </c>
    </row>
    <row r="2634" spans="1:15" x14ac:dyDescent="0.3">
      <c r="A2634" t="s">
        <v>2647</v>
      </c>
      <c r="B2634">
        <v>6</v>
      </c>
      <c r="C2634">
        <v>63</v>
      </c>
      <c r="D2634" t="s">
        <v>5016</v>
      </c>
      <c r="E2634" t="s">
        <v>5017</v>
      </c>
      <c r="F2634" t="s">
        <v>5024</v>
      </c>
      <c r="G2634">
        <v>7.98</v>
      </c>
      <c r="H2634">
        <v>2</v>
      </c>
      <c r="I2634">
        <v>6.4</v>
      </c>
      <c r="J2634">
        <v>7.45</v>
      </c>
      <c r="K2634">
        <v>42.5</v>
      </c>
      <c r="L2634" t="s">
        <v>5025</v>
      </c>
      <c r="M2634">
        <v>10</v>
      </c>
      <c r="N2634">
        <v>0</v>
      </c>
      <c r="O2634">
        <v>0</v>
      </c>
    </row>
    <row r="2635" spans="1:15" x14ac:dyDescent="0.3">
      <c r="A2635" t="s">
        <v>2648</v>
      </c>
      <c r="B2635">
        <v>5</v>
      </c>
      <c r="C2635">
        <v>53</v>
      </c>
      <c r="D2635" t="s">
        <v>5016</v>
      </c>
      <c r="E2635" t="s">
        <v>5019</v>
      </c>
      <c r="F2635" t="s">
        <v>5023</v>
      </c>
      <c r="G2635">
        <v>16.84</v>
      </c>
      <c r="H2635">
        <v>4</v>
      </c>
      <c r="I2635">
        <v>5.6</v>
      </c>
      <c r="J2635">
        <v>14.32</v>
      </c>
      <c r="K2635">
        <v>35.799999999999997</v>
      </c>
      <c r="L2635" t="s">
        <v>5029</v>
      </c>
      <c r="M2635">
        <v>11</v>
      </c>
      <c r="N2635">
        <v>3</v>
      </c>
      <c r="O2635">
        <v>0</v>
      </c>
    </row>
    <row r="2636" spans="1:15" x14ac:dyDescent="0.3">
      <c r="A2636" t="s">
        <v>2649</v>
      </c>
      <c r="B2636">
        <v>10</v>
      </c>
      <c r="C2636">
        <v>33</v>
      </c>
      <c r="D2636" t="s">
        <v>5015</v>
      </c>
      <c r="E2636" t="s">
        <v>5018</v>
      </c>
      <c r="F2636" t="s">
        <v>5024</v>
      </c>
      <c r="G2636">
        <v>10.9</v>
      </c>
      <c r="H2636">
        <v>5</v>
      </c>
      <c r="I2636">
        <v>8</v>
      </c>
      <c r="J2636">
        <v>7.7</v>
      </c>
      <c r="K2636">
        <v>60.7</v>
      </c>
      <c r="L2636" t="s">
        <v>5027</v>
      </c>
      <c r="M2636">
        <v>2</v>
      </c>
      <c r="N2636">
        <v>2</v>
      </c>
      <c r="O2636">
        <v>0</v>
      </c>
    </row>
    <row r="2637" spans="1:15" x14ac:dyDescent="0.3">
      <c r="A2637" t="s">
        <v>2650</v>
      </c>
      <c r="B2637">
        <v>7</v>
      </c>
      <c r="C2637">
        <v>41</v>
      </c>
      <c r="D2637" t="s">
        <v>5016</v>
      </c>
      <c r="E2637" t="s">
        <v>5018</v>
      </c>
      <c r="F2637" t="s">
        <v>5021</v>
      </c>
      <c r="G2637">
        <v>23.11</v>
      </c>
      <c r="H2637">
        <v>5</v>
      </c>
      <c r="I2637">
        <v>3.4</v>
      </c>
      <c r="J2637">
        <v>7.14</v>
      </c>
      <c r="K2637">
        <v>49.1</v>
      </c>
      <c r="L2637" t="s">
        <v>5025</v>
      </c>
      <c r="M2637">
        <v>5</v>
      </c>
      <c r="N2637">
        <v>0</v>
      </c>
      <c r="O2637">
        <v>0</v>
      </c>
    </row>
    <row r="2638" spans="1:15" x14ac:dyDescent="0.3">
      <c r="A2638" t="s">
        <v>2651</v>
      </c>
      <c r="B2638">
        <v>10</v>
      </c>
      <c r="C2638">
        <v>18</v>
      </c>
      <c r="D2638" t="s">
        <v>5015</v>
      </c>
      <c r="E2638" t="s">
        <v>5019</v>
      </c>
      <c r="F2638" t="s">
        <v>5022</v>
      </c>
      <c r="G2638">
        <v>13.83</v>
      </c>
      <c r="H2638">
        <v>3</v>
      </c>
      <c r="I2638">
        <v>1.1000000000000001</v>
      </c>
      <c r="J2638">
        <v>23.97</v>
      </c>
      <c r="K2638">
        <v>15</v>
      </c>
      <c r="L2638" t="s">
        <v>5029</v>
      </c>
      <c r="M2638">
        <v>2</v>
      </c>
      <c r="N2638">
        <v>3</v>
      </c>
      <c r="O2638">
        <v>0</v>
      </c>
    </row>
    <row r="2639" spans="1:15" x14ac:dyDescent="0.3">
      <c r="A2639" t="s">
        <v>2652</v>
      </c>
      <c r="B2639">
        <v>8</v>
      </c>
      <c r="C2639">
        <v>66</v>
      </c>
      <c r="D2639" t="s">
        <v>5015</v>
      </c>
      <c r="E2639" t="s">
        <v>5017</v>
      </c>
      <c r="F2639" t="s">
        <v>5022</v>
      </c>
      <c r="G2639">
        <v>10.85</v>
      </c>
      <c r="H2639">
        <v>1</v>
      </c>
      <c r="I2639">
        <v>4.7</v>
      </c>
      <c r="J2639">
        <v>20.99</v>
      </c>
      <c r="K2639">
        <v>69.900000000000006</v>
      </c>
      <c r="L2639" t="s">
        <v>5029</v>
      </c>
      <c r="M2639">
        <v>6</v>
      </c>
      <c r="N2639">
        <v>2</v>
      </c>
      <c r="O2639">
        <v>1</v>
      </c>
    </row>
    <row r="2640" spans="1:15" x14ac:dyDescent="0.3">
      <c r="A2640" t="s">
        <v>2653</v>
      </c>
      <c r="B2640">
        <v>7</v>
      </c>
      <c r="C2640">
        <v>42</v>
      </c>
      <c r="D2640" t="s">
        <v>5015</v>
      </c>
      <c r="E2640" t="s">
        <v>5019</v>
      </c>
      <c r="F2640" t="s">
        <v>5022</v>
      </c>
      <c r="G2640">
        <v>16.77</v>
      </c>
      <c r="H2640">
        <v>2</v>
      </c>
      <c r="I2640">
        <v>5.6</v>
      </c>
      <c r="J2640">
        <v>3.26</v>
      </c>
      <c r="K2640">
        <v>55</v>
      </c>
      <c r="L2640" t="s">
        <v>5026</v>
      </c>
      <c r="M2640">
        <v>1</v>
      </c>
      <c r="N2640">
        <v>1</v>
      </c>
      <c r="O2640">
        <v>1</v>
      </c>
    </row>
    <row r="2641" spans="1:15" x14ac:dyDescent="0.3">
      <c r="A2641" t="s">
        <v>2654</v>
      </c>
      <c r="B2641">
        <v>5</v>
      </c>
      <c r="C2641">
        <v>27</v>
      </c>
      <c r="D2641" t="s">
        <v>5015</v>
      </c>
      <c r="E2641" t="s">
        <v>5017</v>
      </c>
      <c r="F2641" t="s">
        <v>5022</v>
      </c>
      <c r="G2641">
        <v>7.74</v>
      </c>
      <c r="H2641">
        <v>2</v>
      </c>
      <c r="I2641">
        <v>3.7</v>
      </c>
      <c r="J2641">
        <v>8.91</v>
      </c>
      <c r="K2641">
        <v>34.9</v>
      </c>
      <c r="L2641" t="s">
        <v>5026</v>
      </c>
      <c r="M2641">
        <v>1</v>
      </c>
      <c r="N2641">
        <v>1</v>
      </c>
      <c r="O2641">
        <v>0</v>
      </c>
    </row>
    <row r="2642" spans="1:15" x14ac:dyDescent="0.3">
      <c r="A2642" t="s">
        <v>2655</v>
      </c>
      <c r="B2642">
        <v>1</v>
      </c>
      <c r="C2642">
        <v>33</v>
      </c>
      <c r="D2642" t="s">
        <v>5015</v>
      </c>
      <c r="E2642" t="s">
        <v>5018</v>
      </c>
      <c r="F2642" t="s">
        <v>5023</v>
      </c>
      <c r="G2642">
        <v>16.23</v>
      </c>
      <c r="H2642">
        <v>3</v>
      </c>
      <c r="I2642">
        <v>4.5</v>
      </c>
      <c r="J2642">
        <v>7.51</v>
      </c>
      <c r="K2642">
        <v>36.1</v>
      </c>
      <c r="L2642" t="s">
        <v>5028</v>
      </c>
      <c r="M2642">
        <v>9</v>
      </c>
      <c r="N2642">
        <v>0</v>
      </c>
      <c r="O2642">
        <v>0</v>
      </c>
    </row>
    <row r="2643" spans="1:15" x14ac:dyDescent="0.3">
      <c r="A2643" t="s">
        <v>2656</v>
      </c>
      <c r="B2643">
        <v>5</v>
      </c>
      <c r="C2643">
        <v>33</v>
      </c>
      <c r="D2643" t="s">
        <v>5016</v>
      </c>
      <c r="E2643" t="s">
        <v>5019</v>
      </c>
      <c r="F2643" t="s">
        <v>5023</v>
      </c>
      <c r="G2643">
        <v>6.12</v>
      </c>
      <c r="H2643">
        <v>5</v>
      </c>
      <c r="I2643">
        <v>2.2000000000000002</v>
      </c>
      <c r="J2643">
        <v>6.24</v>
      </c>
      <c r="K2643">
        <v>50.8</v>
      </c>
      <c r="L2643" t="s">
        <v>5025</v>
      </c>
      <c r="M2643">
        <v>10</v>
      </c>
      <c r="N2643">
        <v>4</v>
      </c>
      <c r="O2643">
        <v>0</v>
      </c>
    </row>
    <row r="2644" spans="1:15" x14ac:dyDescent="0.3">
      <c r="A2644" t="s">
        <v>2657</v>
      </c>
      <c r="B2644">
        <v>10</v>
      </c>
      <c r="C2644">
        <v>25</v>
      </c>
      <c r="D2644" t="s">
        <v>5016</v>
      </c>
      <c r="E2644" t="s">
        <v>5019</v>
      </c>
      <c r="F2644" t="s">
        <v>5020</v>
      </c>
      <c r="G2644">
        <v>17.14</v>
      </c>
      <c r="H2644">
        <v>4</v>
      </c>
      <c r="I2644">
        <v>3.5</v>
      </c>
      <c r="J2644">
        <v>18.34</v>
      </c>
      <c r="K2644">
        <v>84.5</v>
      </c>
      <c r="L2644" t="s">
        <v>5025</v>
      </c>
      <c r="M2644">
        <v>5</v>
      </c>
      <c r="N2644">
        <v>4</v>
      </c>
      <c r="O2644">
        <v>0</v>
      </c>
    </row>
    <row r="2645" spans="1:15" x14ac:dyDescent="0.3">
      <c r="A2645" t="s">
        <v>2658</v>
      </c>
      <c r="B2645">
        <v>2</v>
      </c>
      <c r="C2645">
        <v>46</v>
      </c>
      <c r="D2645" t="s">
        <v>5016</v>
      </c>
      <c r="E2645" t="s">
        <v>5018</v>
      </c>
      <c r="F2645" t="s">
        <v>5020</v>
      </c>
      <c r="G2645">
        <v>15.6</v>
      </c>
      <c r="H2645">
        <v>5</v>
      </c>
      <c r="I2645">
        <v>3.2</v>
      </c>
      <c r="J2645">
        <v>15.47</v>
      </c>
      <c r="K2645">
        <v>48.1</v>
      </c>
      <c r="L2645" t="s">
        <v>5025</v>
      </c>
      <c r="M2645">
        <v>9</v>
      </c>
      <c r="N2645">
        <v>2</v>
      </c>
      <c r="O2645">
        <v>0</v>
      </c>
    </row>
    <row r="2646" spans="1:15" x14ac:dyDescent="0.3">
      <c r="A2646" t="s">
        <v>2659</v>
      </c>
      <c r="B2646">
        <v>5</v>
      </c>
      <c r="C2646">
        <v>56</v>
      </c>
      <c r="D2646" t="s">
        <v>5016</v>
      </c>
      <c r="E2646" t="s">
        <v>5018</v>
      </c>
      <c r="F2646" t="s">
        <v>5021</v>
      </c>
      <c r="G2646">
        <v>15.42</v>
      </c>
      <c r="H2646">
        <v>4</v>
      </c>
      <c r="I2646">
        <v>3.7</v>
      </c>
      <c r="J2646">
        <v>12.99</v>
      </c>
      <c r="K2646">
        <v>85.6</v>
      </c>
      <c r="L2646" t="s">
        <v>5028</v>
      </c>
      <c r="M2646">
        <v>8</v>
      </c>
      <c r="N2646">
        <v>1</v>
      </c>
      <c r="O2646">
        <v>0</v>
      </c>
    </row>
    <row r="2647" spans="1:15" x14ac:dyDescent="0.3">
      <c r="A2647" t="s">
        <v>2660</v>
      </c>
      <c r="B2647">
        <v>5</v>
      </c>
      <c r="C2647">
        <v>45</v>
      </c>
      <c r="D2647" t="s">
        <v>5015</v>
      </c>
      <c r="E2647" t="s">
        <v>5019</v>
      </c>
      <c r="F2647" t="s">
        <v>5020</v>
      </c>
      <c r="G2647">
        <v>18.68</v>
      </c>
      <c r="H2647">
        <v>4</v>
      </c>
      <c r="I2647">
        <v>3.7</v>
      </c>
      <c r="J2647">
        <v>7.17</v>
      </c>
      <c r="K2647">
        <v>48.2</v>
      </c>
      <c r="L2647" t="s">
        <v>5027</v>
      </c>
      <c r="M2647">
        <v>9</v>
      </c>
      <c r="N2647">
        <v>3</v>
      </c>
      <c r="O2647">
        <v>0</v>
      </c>
    </row>
    <row r="2648" spans="1:15" x14ac:dyDescent="0.3">
      <c r="A2648" t="s">
        <v>2661</v>
      </c>
      <c r="B2648">
        <v>2</v>
      </c>
      <c r="C2648">
        <v>23</v>
      </c>
      <c r="D2648" t="s">
        <v>5015</v>
      </c>
      <c r="E2648" t="s">
        <v>5019</v>
      </c>
      <c r="F2648" t="s">
        <v>5021</v>
      </c>
      <c r="G2648">
        <v>5.89</v>
      </c>
      <c r="H2648">
        <v>5</v>
      </c>
      <c r="I2648">
        <v>6</v>
      </c>
      <c r="J2648">
        <v>9.11</v>
      </c>
      <c r="K2648">
        <v>84.7</v>
      </c>
      <c r="L2648" t="s">
        <v>5027</v>
      </c>
      <c r="M2648">
        <v>9</v>
      </c>
      <c r="N2648">
        <v>2</v>
      </c>
      <c r="O2648">
        <v>1</v>
      </c>
    </row>
    <row r="2649" spans="1:15" x14ac:dyDescent="0.3">
      <c r="A2649" t="s">
        <v>2662</v>
      </c>
      <c r="B2649">
        <v>5</v>
      </c>
      <c r="C2649">
        <v>33</v>
      </c>
      <c r="D2649" t="s">
        <v>5015</v>
      </c>
      <c r="E2649" t="s">
        <v>5017</v>
      </c>
      <c r="F2649" t="s">
        <v>5021</v>
      </c>
      <c r="G2649">
        <v>14.19</v>
      </c>
      <c r="H2649">
        <v>2</v>
      </c>
      <c r="I2649">
        <v>3.3</v>
      </c>
      <c r="J2649">
        <v>10.83</v>
      </c>
      <c r="K2649">
        <v>93.8</v>
      </c>
      <c r="L2649" t="s">
        <v>5027</v>
      </c>
      <c r="M2649">
        <v>8</v>
      </c>
      <c r="N2649">
        <v>0</v>
      </c>
      <c r="O2649">
        <v>0</v>
      </c>
    </row>
    <row r="2650" spans="1:15" x14ac:dyDescent="0.3">
      <c r="A2650" t="s">
        <v>2663</v>
      </c>
      <c r="B2650">
        <v>4</v>
      </c>
      <c r="C2650">
        <v>37</v>
      </c>
      <c r="D2650" t="s">
        <v>5016</v>
      </c>
      <c r="E2650" t="s">
        <v>5019</v>
      </c>
      <c r="F2650" t="s">
        <v>5021</v>
      </c>
      <c r="G2650">
        <v>13.88</v>
      </c>
      <c r="H2650">
        <v>4</v>
      </c>
      <c r="I2650">
        <v>9.5</v>
      </c>
      <c r="J2650">
        <v>20.28</v>
      </c>
      <c r="K2650">
        <v>11.9</v>
      </c>
      <c r="L2650" t="s">
        <v>5025</v>
      </c>
      <c r="M2650">
        <v>3</v>
      </c>
      <c r="N2650">
        <v>0</v>
      </c>
      <c r="O2650">
        <v>0</v>
      </c>
    </row>
    <row r="2651" spans="1:15" x14ac:dyDescent="0.3">
      <c r="A2651" t="s">
        <v>2664</v>
      </c>
      <c r="B2651">
        <v>1</v>
      </c>
      <c r="C2651">
        <v>33</v>
      </c>
      <c r="D2651" t="s">
        <v>5016</v>
      </c>
      <c r="E2651" t="s">
        <v>5018</v>
      </c>
      <c r="F2651" t="s">
        <v>5022</v>
      </c>
      <c r="G2651">
        <v>14.2</v>
      </c>
      <c r="H2651">
        <v>3</v>
      </c>
      <c r="I2651">
        <v>5.6</v>
      </c>
      <c r="J2651">
        <v>24.76</v>
      </c>
      <c r="K2651">
        <v>15.6</v>
      </c>
      <c r="L2651" t="s">
        <v>5029</v>
      </c>
      <c r="M2651">
        <v>7</v>
      </c>
      <c r="N2651">
        <v>2</v>
      </c>
      <c r="O2651">
        <v>0</v>
      </c>
    </row>
    <row r="2652" spans="1:15" x14ac:dyDescent="0.3">
      <c r="A2652" t="s">
        <v>2665</v>
      </c>
      <c r="B2652">
        <v>3</v>
      </c>
      <c r="C2652">
        <v>24</v>
      </c>
      <c r="D2652" t="s">
        <v>5016</v>
      </c>
      <c r="E2652" t="s">
        <v>5018</v>
      </c>
      <c r="F2652" t="s">
        <v>5024</v>
      </c>
      <c r="G2652">
        <v>24.6</v>
      </c>
      <c r="H2652">
        <v>3</v>
      </c>
      <c r="I2652">
        <v>2.2000000000000002</v>
      </c>
      <c r="J2652">
        <v>7.05</v>
      </c>
      <c r="K2652">
        <v>22.1</v>
      </c>
      <c r="L2652" t="s">
        <v>5025</v>
      </c>
      <c r="M2652">
        <v>4</v>
      </c>
      <c r="N2652">
        <v>3</v>
      </c>
      <c r="O2652">
        <v>0</v>
      </c>
    </row>
    <row r="2653" spans="1:15" x14ac:dyDescent="0.3">
      <c r="A2653" t="s">
        <v>2666</v>
      </c>
      <c r="B2653">
        <v>1</v>
      </c>
      <c r="C2653">
        <v>58</v>
      </c>
      <c r="D2653" t="s">
        <v>5016</v>
      </c>
      <c r="E2653" t="s">
        <v>5018</v>
      </c>
      <c r="F2653" t="s">
        <v>5024</v>
      </c>
      <c r="G2653">
        <v>7.79</v>
      </c>
      <c r="H2653">
        <v>4</v>
      </c>
      <c r="I2653">
        <v>3.5</v>
      </c>
      <c r="J2653">
        <v>10.51</v>
      </c>
      <c r="K2653">
        <v>21</v>
      </c>
      <c r="L2653" t="s">
        <v>5029</v>
      </c>
      <c r="M2653">
        <v>8</v>
      </c>
      <c r="N2653">
        <v>1</v>
      </c>
      <c r="O2653">
        <v>0</v>
      </c>
    </row>
    <row r="2654" spans="1:15" x14ac:dyDescent="0.3">
      <c r="A2654" t="s">
        <v>2667</v>
      </c>
      <c r="B2654">
        <v>12</v>
      </c>
      <c r="C2654">
        <v>31</v>
      </c>
      <c r="D2654" t="s">
        <v>5015</v>
      </c>
      <c r="E2654" t="s">
        <v>5018</v>
      </c>
      <c r="F2654" t="s">
        <v>5023</v>
      </c>
      <c r="G2654">
        <v>18.809999999999999</v>
      </c>
      <c r="H2654">
        <v>2</v>
      </c>
      <c r="I2654">
        <v>7.6</v>
      </c>
      <c r="J2654">
        <v>9.16</v>
      </c>
      <c r="K2654">
        <v>50.9</v>
      </c>
      <c r="L2654" t="s">
        <v>5026</v>
      </c>
      <c r="M2654">
        <v>7</v>
      </c>
      <c r="N2654">
        <v>1</v>
      </c>
      <c r="O2654">
        <v>0</v>
      </c>
    </row>
    <row r="2655" spans="1:15" x14ac:dyDescent="0.3">
      <c r="A2655" t="s">
        <v>2668</v>
      </c>
      <c r="B2655">
        <v>11</v>
      </c>
      <c r="C2655">
        <v>60</v>
      </c>
      <c r="D2655" t="s">
        <v>5015</v>
      </c>
      <c r="E2655" t="s">
        <v>5019</v>
      </c>
      <c r="F2655" t="s">
        <v>5021</v>
      </c>
      <c r="G2655">
        <v>13.04</v>
      </c>
      <c r="H2655">
        <v>4</v>
      </c>
      <c r="I2655">
        <v>1.1000000000000001</v>
      </c>
      <c r="J2655">
        <v>3.97</v>
      </c>
      <c r="K2655">
        <v>78.8</v>
      </c>
      <c r="L2655" t="s">
        <v>5028</v>
      </c>
      <c r="M2655">
        <v>9</v>
      </c>
      <c r="N2655">
        <v>3</v>
      </c>
      <c r="O2655">
        <v>1</v>
      </c>
    </row>
    <row r="2656" spans="1:15" x14ac:dyDescent="0.3">
      <c r="A2656" t="s">
        <v>2669</v>
      </c>
      <c r="B2656">
        <v>5</v>
      </c>
      <c r="C2656">
        <v>43</v>
      </c>
      <c r="D2656" t="s">
        <v>5016</v>
      </c>
      <c r="E2656" t="s">
        <v>5018</v>
      </c>
      <c r="F2656" t="s">
        <v>5022</v>
      </c>
      <c r="G2656">
        <v>15.23</v>
      </c>
      <c r="H2656">
        <v>3</v>
      </c>
      <c r="I2656">
        <v>9.4</v>
      </c>
      <c r="J2656">
        <v>7.82</v>
      </c>
      <c r="K2656">
        <v>96.5</v>
      </c>
      <c r="L2656" t="s">
        <v>5027</v>
      </c>
      <c r="M2656">
        <v>8</v>
      </c>
      <c r="N2656">
        <v>1</v>
      </c>
      <c r="O2656">
        <v>0</v>
      </c>
    </row>
    <row r="2657" spans="1:15" x14ac:dyDescent="0.3">
      <c r="A2657" t="s">
        <v>2670</v>
      </c>
      <c r="B2657">
        <v>4</v>
      </c>
      <c r="C2657">
        <v>43</v>
      </c>
      <c r="D2657" t="s">
        <v>5016</v>
      </c>
      <c r="E2657" t="s">
        <v>5019</v>
      </c>
      <c r="F2657" t="s">
        <v>5020</v>
      </c>
      <c r="G2657">
        <v>20.25</v>
      </c>
      <c r="H2657">
        <v>3</v>
      </c>
      <c r="I2657">
        <v>5</v>
      </c>
      <c r="J2657">
        <v>22.84</v>
      </c>
      <c r="K2657">
        <v>47.6</v>
      </c>
      <c r="L2657" t="s">
        <v>5025</v>
      </c>
      <c r="M2657">
        <v>3</v>
      </c>
      <c r="N2657">
        <v>4</v>
      </c>
      <c r="O2657">
        <v>0</v>
      </c>
    </row>
    <row r="2658" spans="1:15" x14ac:dyDescent="0.3">
      <c r="A2658" t="s">
        <v>2671</v>
      </c>
      <c r="B2658">
        <v>7</v>
      </c>
      <c r="C2658">
        <v>31</v>
      </c>
      <c r="D2658" t="s">
        <v>5015</v>
      </c>
      <c r="E2658" t="s">
        <v>5017</v>
      </c>
      <c r="F2658" t="s">
        <v>5020</v>
      </c>
      <c r="G2658">
        <v>8.15</v>
      </c>
      <c r="H2658">
        <v>5</v>
      </c>
      <c r="I2658">
        <v>5.7</v>
      </c>
      <c r="J2658">
        <v>21.54</v>
      </c>
      <c r="K2658">
        <v>72</v>
      </c>
      <c r="L2658" t="s">
        <v>5025</v>
      </c>
      <c r="M2658">
        <v>5</v>
      </c>
      <c r="N2658">
        <v>4</v>
      </c>
      <c r="O2658">
        <v>0</v>
      </c>
    </row>
    <row r="2659" spans="1:15" x14ac:dyDescent="0.3">
      <c r="A2659" t="s">
        <v>2672</v>
      </c>
      <c r="B2659">
        <v>5</v>
      </c>
      <c r="C2659">
        <v>24</v>
      </c>
      <c r="D2659" t="s">
        <v>5015</v>
      </c>
      <c r="E2659" t="s">
        <v>5019</v>
      </c>
      <c r="F2659" t="s">
        <v>5023</v>
      </c>
      <c r="G2659">
        <v>20.27</v>
      </c>
      <c r="H2659">
        <v>2</v>
      </c>
      <c r="I2659">
        <v>9.9</v>
      </c>
      <c r="J2659">
        <v>6.69</v>
      </c>
      <c r="K2659">
        <v>67.2</v>
      </c>
      <c r="L2659" t="s">
        <v>5026</v>
      </c>
      <c r="M2659">
        <v>3</v>
      </c>
      <c r="N2659">
        <v>3</v>
      </c>
      <c r="O2659">
        <v>0</v>
      </c>
    </row>
    <row r="2660" spans="1:15" x14ac:dyDescent="0.3">
      <c r="A2660" t="s">
        <v>2673</v>
      </c>
      <c r="B2660">
        <v>10</v>
      </c>
      <c r="C2660">
        <v>50</v>
      </c>
      <c r="D2660" t="s">
        <v>5015</v>
      </c>
      <c r="E2660" t="s">
        <v>5019</v>
      </c>
      <c r="F2660" t="s">
        <v>5023</v>
      </c>
      <c r="G2660">
        <v>6.41</v>
      </c>
      <c r="H2660">
        <v>5</v>
      </c>
      <c r="I2660">
        <v>5.5</v>
      </c>
      <c r="J2660">
        <v>11.06</v>
      </c>
      <c r="K2660">
        <v>45.4</v>
      </c>
      <c r="L2660" t="s">
        <v>5029</v>
      </c>
      <c r="M2660">
        <v>11</v>
      </c>
      <c r="N2660">
        <v>4</v>
      </c>
      <c r="O2660">
        <v>1</v>
      </c>
    </row>
    <row r="2661" spans="1:15" x14ac:dyDescent="0.3">
      <c r="A2661" t="s">
        <v>2674</v>
      </c>
      <c r="B2661">
        <v>4</v>
      </c>
      <c r="C2661">
        <v>43</v>
      </c>
      <c r="D2661" t="s">
        <v>5015</v>
      </c>
      <c r="E2661" t="s">
        <v>5018</v>
      </c>
      <c r="F2661" t="s">
        <v>5021</v>
      </c>
      <c r="G2661">
        <v>14.67</v>
      </c>
      <c r="H2661">
        <v>1</v>
      </c>
      <c r="I2661">
        <v>9.5</v>
      </c>
      <c r="J2661">
        <v>9.84</v>
      </c>
      <c r="K2661">
        <v>74.900000000000006</v>
      </c>
      <c r="L2661" t="s">
        <v>5027</v>
      </c>
      <c r="M2661">
        <v>9</v>
      </c>
      <c r="N2661">
        <v>2</v>
      </c>
      <c r="O2661">
        <v>0</v>
      </c>
    </row>
    <row r="2662" spans="1:15" x14ac:dyDescent="0.3">
      <c r="A2662" t="s">
        <v>2675</v>
      </c>
      <c r="B2662">
        <v>2</v>
      </c>
      <c r="C2662">
        <v>62</v>
      </c>
      <c r="D2662" t="s">
        <v>5016</v>
      </c>
      <c r="E2662" t="s">
        <v>5018</v>
      </c>
      <c r="F2662" t="s">
        <v>5021</v>
      </c>
      <c r="G2662">
        <v>19.84</v>
      </c>
      <c r="H2662">
        <v>4</v>
      </c>
      <c r="I2662">
        <v>9.1999999999999993</v>
      </c>
      <c r="J2662">
        <v>6.25</v>
      </c>
      <c r="K2662">
        <v>63.3</v>
      </c>
      <c r="L2662" t="s">
        <v>5028</v>
      </c>
      <c r="M2662">
        <v>1</v>
      </c>
      <c r="N2662">
        <v>1</v>
      </c>
      <c r="O2662">
        <v>1</v>
      </c>
    </row>
    <row r="2663" spans="1:15" x14ac:dyDescent="0.3">
      <c r="A2663" t="s">
        <v>2676</v>
      </c>
      <c r="B2663">
        <v>4</v>
      </c>
      <c r="C2663">
        <v>37</v>
      </c>
      <c r="D2663" t="s">
        <v>5015</v>
      </c>
      <c r="E2663" t="s">
        <v>5018</v>
      </c>
      <c r="F2663" t="s">
        <v>5020</v>
      </c>
      <c r="G2663">
        <v>8.85</v>
      </c>
      <c r="H2663">
        <v>5</v>
      </c>
      <c r="I2663">
        <v>9.5</v>
      </c>
      <c r="J2663">
        <v>16.690000000000001</v>
      </c>
      <c r="K2663">
        <v>78.400000000000006</v>
      </c>
      <c r="L2663" t="s">
        <v>5029</v>
      </c>
      <c r="M2663">
        <v>7</v>
      </c>
      <c r="N2663">
        <v>2</v>
      </c>
      <c r="O2663">
        <v>0</v>
      </c>
    </row>
    <row r="2664" spans="1:15" x14ac:dyDescent="0.3">
      <c r="A2664" t="s">
        <v>2677</v>
      </c>
      <c r="B2664">
        <v>12</v>
      </c>
      <c r="C2664">
        <v>20</v>
      </c>
      <c r="D2664" t="s">
        <v>5015</v>
      </c>
      <c r="E2664" t="s">
        <v>5019</v>
      </c>
      <c r="F2664" t="s">
        <v>5020</v>
      </c>
      <c r="G2664">
        <v>20.420000000000002</v>
      </c>
      <c r="H2664">
        <v>2</v>
      </c>
      <c r="I2664">
        <v>8.3000000000000007</v>
      </c>
      <c r="J2664">
        <v>15.26</v>
      </c>
      <c r="K2664">
        <v>27.4</v>
      </c>
      <c r="L2664" t="s">
        <v>5029</v>
      </c>
      <c r="M2664">
        <v>9</v>
      </c>
      <c r="N2664">
        <v>3</v>
      </c>
      <c r="O2664">
        <v>1</v>
      </c>
    </row>
    <row r="2665" spans="1:15" x14ac:dyDescent="0.3">
      <c r="A2665" t="s">
        <v>2678</v>
      </c>
      <c r="B2665">
        <v>2</v>
      </c>
      <c r="C2665">
        <v>69</v>
      </c>
      <c r="D2665" t="s">
        <v>5015</v>
      </c>
      <c r="E2665" t="s">
        <v>5019</v>
      </c>
      <c r="F2665" t="s">
        <v>5020</v>
      </c>
      <c r="G2665">
        <v>8.34</v>
      </c>
      <c r="H2665">
        <v>4</v>
      </c>
      <c r="I2665">
        <v>3.7</v>
      </c>
      <c r="J2665">
        <v>12.39</v>
      </c>
      <c r="K2665">
        <v>42.4</v>
      </c>
      <c r="L2665" t="s">
        <v>5027</v>
      </c>
      <c r="M2665">
        <v>3</v>
      </c>
      <c r="N2665">
        <v>4</v>
      </c>
      <c r="O2665">
        <v>0</v>
      </c>
    </row>
    <row r="2666" spans="1:15" x14ac:dyDescent="0.3">
      <c r="A2666" t="s">
        <v>2679</v>
      </c>
      <c r="B2666">
        <v>8</v>
      </c>
      <c r="C2666">
        <v>21</v>
      </c>
      <c r="D2666" t="s">
        <v>5015</v>
      </c>
      <c r="E2666" t="s">
        <v>5017</v>
      </c>
      <c r="F2666" t="s">
        <v>5020</v>
      </c>
      <c r="G2666">
        <v>20.98</v>
      </c>
      <c r="H2666">
        <v>4</v>
      </c>
      <c r="I2666">
        <v>4.0999999999999996</v>
      </c>
      <c r="J2666">
        <v>21.82</v>
      </c>
      <c r="K2666">
        <v>70.400000000000006</v>
      </c>
      <c r="L2666" t="s">
        <v>5028</v>
      </c>
      <c r="M2666">
        <v>7</v>
      </c>
      <c r="N2666">
        <v>2</v>
      </c>
      <c r="O2666">
        <v>1</v>
      </c>
    </row>
    <row r="2667" spans="1:15" x14ac:dyDescent="0.3">
      <c r="A2667" t="s">
        <v>2680</v>
      </c>
      <c r="B2667">
        <v>3</v>
      </c>
      <c r="C2667">
        <v>43</v>
      </c>
      <c r="D2667" t="s">
        <v>5016</v>
      </c>
      <c r="E2667" t="s">
        <v>5019</v>
      </c>
      <c r="F2667" t="s">
        <v>5024</v>
      </c>
      <c r="G2667">
        <v>14.38</v>
      </c>
      <c r="H2667">
        <v>4</v>
      </c>
      <c r="I2667">
        <v>4.3</v>
      </c>
      <c r="J2667">
        <v>16.63</v>
      </c>
      <c r="K2667">
        <v>21.2</v>
      </c>
      <c r="L2667" t="s">
        <v>5027</v>
      </c>
      <c r="M2667">
        <v>7</v>
      </c>
      <c r="N2667">
        <v>2</v>
      </c>
      <c r="O2667">
        <v>0</v>
      </c>
    </row>
    <row r="2668" spans="1:15" x14ac:dyDescent="0.3">
      <c r="A2668" t="s">
        <v>2681</v>
      </c>
      <c r="B2668">
        <v>9</v>
      </c>
      <c r="C2668">
        <v>28</v>
      </c>
      <c r="D2668" t="s">
        <v>5016</v>
      </c>
      <c r="E2668" t="s">
        <v>5018</v>
      </c>
      <c r="F2668" t="s">
        <v>5021</v>
      </c>
      <c r="G2668">
        <v>18.690000000000001</v>
      </c>
      <c r="H2668">
        <v>4</v>
      </c>
      <c r="I2668">
        <v>9.8000000000000007</v>
      </c>
      <c r="J2668">
        <v>8.6999999999999993</v>
      </c>
      <c r="K2668">
        <v>79.3</v>
      </c>
      <c r="L2668" t="s">
        <v>5027</v>
      </c>
      <c r="M2668">
        <v>11</v>
      </c>
      <c r="N2668">
        <v>0</v>
      </c>
      <c r="O2668">
        <v>1</v>
      </c>
    </row>
    <row r="2669" spans="1:15" x14ac:dyDescent="0.3">
      <c r="A2669" t="s">
        <v>2682</v>
      </c>
      <c r="B2669">
        <v>4</v>
      </c>
      <c r="C2669">
        <v>19</v>
      </c>
      <c r="D2669" t="s">
        <v>5016</v>
      </c>
      <c r="E2669" t="s">
        <v>5017</v>
      </c>
      <c r="F2669" t="s">
        <v>5021</v>
      </c>
      <c r="G2669">
        <v>23.35</v>
      </c>
      <c r="H2669">
        <v>4</v>
      </c>
      <c r="I2669">
        <v>4.2</v>
      </c>
      <c r="J2669">
        <v>11.22</v>
      </c>
      <c r="K2669">
        <v>22</v>
      </c>
      <c r="L2669" t="s">
        <v>5025</v>
      </c>
      <c r="M2669">
        <v>2</v>
      </c>
      <c r="N2669">
        <v>2</v>
      </c>
      <c r="O2669">
        <v>0</v>
      </c>
    </row>
    <row r="2670" spans="1:15" x14ac:dyDescent="0.3">
      <c r="A2670" t="s">
        <v>2683</v>
      </c>
      <c r="B2670">
        <v>6</v>
      </c>
      <c r="C2670">
        <v>31</v>
      </c>
      <c r="D2670" t="s">
        <v>5016</v>
      </c>
      <c r="E2670" t="s">
        <v>5019</v>
      </c>
      <c r="F2670" t="s">
        <v>5020</v>
      </c>
      <c r="G2670">
        <v>13.17</v>
      </c>
      <c r="H2670">
        <v>2</v>
      </c>
      <c r="I2670">
        <v>2</v>
      </c>
      <c r="J2670">
        <v>6.3</v>
      </c>
      <c r="K2670">
        <v>39.200000000000003</v>
      </c>
      <c r="L2670" t="s">
        <v>5028</v>
      </c>
      <c r="M2670">
        <v>5</v>
      </c>
      <c r="N2670">
        <v>4</v>
      </c>
      <c r="O2670">
        <v>0</v>
      </c>
    </row>
    <row r="2671" spans="1:15" x14ac:dyDescent="0.3">
      <c r="A2671" t="s">
        <v>2684</v>
      </c>
      <c r="B2671">
        <v>10</v>
      </c>
      <c r="C2671">
        <v>61</v>
      </c>
      <c r="D2671" t="s">
        <v>5016</v>
      </c>
      <c r="E2671" t="s">
        <v>5018</v>
      </c>
      <c r="F2671" t="s">
        <v>5022</v>
      </c>
      <c r="G2671">
        <v>9.66</v>
      </c>
      <c r="H2671">
        <v>1</v>
      </c>
      <c r="I2671">
        <v>8</v>
      </c>
      <c r="J2671">
        <v>16.010000000000002</v>
      </c>
      <c r="K2671">
        <v>31.4</v>
      </c>
      <c r="L2671" t="s">
        <v>5029</v>
      </c>
      <c r="M2671">
        <v>10</v>
      </c>
      <c r="N2671">
        <v>1</v>
      </c>
      <c r="O2671">
        <v>0</v>
      </c>
    </row>
    <row r="2672" spans="1:15" x14ac:dyDescent="0.3">
      <c r="A2672" t="s">
        <v>2685</v>
      </c>
      <c r="B2672">
        <v>5</v>
      </c>
      <c r="C2672">
        <v>47</v>
      </c>
      <c r="D2672" t="s">
        <v>5016</v>
      </c>
      <c r="E2672" t="s">
        <v>5019</v>
      </c>
      <c r="F2672" t="s">
        <v>5020</v>
      </c>
      <c r="G2672">
        <v>22.34</v>
      </c>
      <c r="H2672">
        <v>3</v>
      </c>
      <c r="I2672">
        <v>4.3</v>
      </c>
      <c r="J2672">
        <v>15.91</v>
      </c>
      <c r="K2672">
        <v>15.5</v>
      </c>
      <c r="L2672" t="s">
        <v>5027</v>
      </c>
      <c r="M2672">
        <v>7</v>
      </c>
      <c r="N2672">
        <v>1</v>
      </c>
      <c r="O2672">
        <v>1</v>
      </c>
    </row>
    <row r="2673" spans="1:15" x14ac:dyDescent="0.3">
      <c r="A2673" t="s">
        <v>2686</v>
      </c>
      <c r="B2673">
        <v>10</v>
      </c>
      <c r="C2673">
        <v>66</v>
      </c>
      <c r="D2673" t="s">
        <v>5015</v>
      </c>
      <c r="E2673" t="s">
        <v>5017</v>
      </c>
      <c r="F2673" t="s">
        <v>5023</v>
      </c>
      <c r="G2673">
        <v>8.23</v>
      </c>
      <c r="H2673">
        <v>1</v>
      </c>
      <c r="I2673">
        <v>6.6</v>
      </c>
      <c r="J2673">
        <v>22.14</v>
      </c>
      <c r="K2673">
        <v>34.4</v>
      </c>
      <c r="L2673" t="s">
        <v>5026</v>
      </c>
      <c r="M2673">
        <v>2</v>
      </c>
      <c r="N2673">
        <v>1</v>
      </c>
      <c r="O2673">
        <v>1</v>
      </c>
    </row>
    <row r="2674" spans="1:15" x14ac:dyDescent="0.3">
      <c r="A2674" t="s">
        <v>2687</v>
      </c>
      <c r="B2674">
        <v>1</v>
      </c>
      <c r="C2674">
        <v>29</v>
      </c>
      <c r="D2674" t="s">
        <v>5015</v>
      </c>
      <c r="E2674" t="s">
        <v>5017</v>
      </c>
      <c r="F2674" t="s">
        <v>5022</v>
      </c>
      <c r="G2674">
        <v>17.63</v>
      </c>
      <c r="H2674">
        <v>3</v>
      </c>
      <c r="I2674">
        <v>9.3000000000000007</v>
      </c>
      <c r="J2674">
        <v>21.83</v>
      </c>
      <c r="K2674">
        <v>92</v>
      </c>
      <c r="L2674" t="s">
        <v>5028</v>
      </c>
      <c r="M2674">
        <v>10</v>
      </c>
      <c r="N2674">
        <v>4</v>
      </c>
      <c r="O2674">
        <v>0</v>
      </c>
    </row>
    <row r="2675" spans="1:15" x14ac:dyDescent="0.3">
      <c r="A2675" t="s">
        <v>2688</v>
      </c>
      <c r="B2675">
        <v>9</v>
      </c>
      <c r="C2675">
        <v>43</v>
      </c>
      <c r="D2675" t="s">
        <v>5015</v>
      </c>
      <c r="E2675" t="s">
        <v>5018</v>
      </c>
      <c r="F2675" t="s">
        <v>5023</v>
      </c>
      <c r="G2675">
        <v>23.47</v>
      </c>
      <c r="H2675">
        <v>5</v>
      </c>
      <c r="I2675">
        <v>6.2</v>
      </c>
      <c r="J2675">
        <v>21.41</v>
      </c>
      <c r="K2675">
        <v>12.4</v>
      </c>
      <c r="L2675" t="s">
        <v>5026</v>
      </c>
      <c r="M2675">
        <v>10</v>
      </c>
      <c r="N2675">
        <v>1</v>
      </c>
      <c r="O2675">
        <v>0</v>
      </c>
    </row>
    <row r="2676" spans="1:15" x14ac:dyDescent="0.3">
      <c r="A2676" t="s">
        <v>2689</v>
      </c>
      <c r="B2676">
        <v>1</v>
      </c>
      <c r="C2676">
        <v>61</v>
      </c>
      <c r="D2676" t="s">
        <v>5015</v>
      </c>
      <c r="E2676" t="s">
        <v>5017</v>
      </c>
      <c r="F2676" t="s">
        <v>5022</v>
      </c>
      <c r="G2676">
        <v>18.489999999999998</v>
      </c>
      <c r="H2676">
        <v>4</v>
      </c>
      <c r="I2676">
        <v>6.7</v>
      </c>
      <c r="J2676">
        <v>15.08</v>
      </c>
      <c r="K2676">
        <v>11.5</v>
      </c>
      <c r="L2676" t="s">
        <v>5029</v>
      </c>
      <c r="M2676">
        <v>2</v>
      </c>
      <c r="N2676">
        <v>1</v>
      </c>
      <c r="O2676">
        <v>0</v>
      </c>
    </row>
    <row r="2677" spans="1:15" x14ac:dyDescent="0.3">
      <c r="A2677" t="s">
        <v>2690</v>
      </c>
      <c r="B2677">
        <v>8</v>
      </c>
      <c r="C2677">
        <v>50</v>
      </c>
      <c r="D2677" t="s">
        <v>5016</v>
      </c>
      <c r="E2677" t="s">
        <v>5019</v>
      </c>
      <c r="F2677" t="s">
        <v>5023</v>
      </c>
      <c r="G2677">
        <v>8.91</v>
      </c>
      <c r="H2677">
        <v>5</v>
      </c>
      <c r="I2677">
        <v>6.8</v>
      </c>
      <c r="J2677">
        <v>17.34</v>
      </c>
      <c r="K2677">
        <v>73.400000000000006</v>
      </c>
      <c r="L2677" t="s">
        <v>5028</v>
      </c>
      <c r="M2677">
        <v>11</v>
      </c>
      <c r="N2677">
        <v>3</v>
      </c>
      <c r="O2677">
        <v>1</v>
      </c>
    </row>
    <row r="2678" spans="1:15" x14ac:dyDescent="0.3">
      <c r="A2678" t="s">
        <v>2691</v>
      </c>
      <c r="B2678">
        <v>9</v>
      </c>
      <c r="C2678">
        <v>30</v>
      </c>
      <c r="D2678" t="s">
        <v>5015</v>
      </c>
      <c r="E2678" t="s">
        <v>5017</v>
      </c>
      <c r="F2678" t="s">
        <v>5020</v>
      </c>
      <c r="G2678">
        <v>8.0500000000000007</v>
      </c>
      <c r="H2678">
        <v>5</v>
      </c>
      <c r="I2678">
        <v>6.5</v>
      </c>
      <c r="J2678">
        <v>20.059999999999999</v>
      </c>
      <c r="K2678">
        <v>43</v>
      </c>
      <c r="L2678" t="s">
        <v>5025</v>
      </c>
      <c r="M2678">
        <v>6</v>
      </c>
      <c r="N2678">
        <v>3</v>
      </c>
      <c r="O2678">
        <v>0</v>
      </c>
    </row>
    <row r="2679" spans="1:15" x14ac:dyDescent="0.3">
      <c r="A2679" t="s">
        <v>2692</v>
      </c>
      <c r="B2679">
        <v>9</v>
      </c>
      <c r="C2679">
        <v>31</v>
      </c>
      <c r="D2679" t="s">
        <v>5016</v>
      </c>
      <c r="E2679" t="s">
        <v>5018</v>
      </c>
      <c r="F2679" t="s">
        <v>5020</v>
      </c>
      <c r="G2679">
        <v>10.050000000000001</v>
      </c>
      <c r="H2679">
        <v>3</v>
      </c>
      <c r="I2679">
        <v>2.4</v>
      </c>
      <c r="J2679">
        <v>5.0199999999999996</v>
      </c>
      <c r="K2679">
        <v>30.7</v>
      </c>
      <c r="L2679" t="s">
        <v>5028</v>
      </c>
      <c r="M2679">
        <v>2</v>
      </c>
      <c r="N2679">
        <v>0</v>
      </c>
      <c r="O2679">
        <v>1</v>
      </c>
    </row>
    <row r="2680" spans="1:15" x14ac:dyDescent="0.3">
      <c r="A2680" t="s">
        <v>2693</v>
      </c>
      <c r="B2680">
        <v>1</v>
      </c>
      <c r="C2680">
        <v>41</v>
      </c>
      <c r="D2680" t="s">
        <v>5015</v>
      </c>
      <c r="E2680" t="s">
        <v>5017</v>
      </c>
      <c r="F2680" t="s">
        <v>5022</v>
      </c>
      <c r="G2680">
        <v>12.83</v>
      </c>
      <c r="H2680">
        <v>2</v>
      </c>
      <c r="I2680">
        <v>5.0999999999999996</v>
      </c>
      <c r="J2680">
        <v>9.61</v>
      </c>
      <c r="K2680">
        <v>55.8</v>
      </c>
      <c r="L2680" t="s">
        <v>5029</v>
      </c>
      <c r="M2680">
        <v>10</v>
      </c>
      <c r="N2680">
        <v>0</v>
      </c>
      <c r="O2680">
        <v>0</v>
      </c>
    </row>
    <row r="2681" spans="1:15" x14ac:dyDescent="0.3">
      <c r="A2681" t="s">
        <v>2694</v>
      </c>
      <c r="B2681">
        <v>2</v>
      </c>
      <c r="C2681">
        <v>51</v>
      </c>
      <c r="D2681" t="s">
        <v>5015</v>
      </c>
      <c r="E2681" t="s">
        <v>5017</v>
      </c>
      <c r="F2681" t="s">
        <v>5023</v>
      </c>
      <c r="G2681">
        <v>8.18</v>
      </c>
      <c r="H2681">
        <v>4</v>
      </c>
      <c r="I2681">
        <v>1.1000000000000001</v>
      </c>
      <c r="J2681">
        <v>6.72</v>
      </c>
      <c r="K2681">
        <v>34</v>
      </c>
      <c r="L2681" t="s">
        <v>5025</v>
      </c>
      <c r="M2681">
        <v>1</v>
      </c>
      <c r="N2681">
        <v>2</v>
      </c>
      <c r="O2681">
        <v>0</v>
      </c>
    </row>
    <row r="2682" spans="1:15" x14ac:dyDescent="0.3">
      <c r="A2682" t="s">
        <v>2695</v>
      </c>
      <c r="B2682">
        <v>12</v>
      </c>
      <c r="C2682">
        <v>61</v>
      </c>
      <c r="D2682" t="s">
        <v>5015</v>
      </c>
      <c r="E2682" t="s">
        <v>5019</v>
      </c>
      <c r="F2682" t="s">
        <v>5024</v>
      </c>
      <c r="G2682">
        <v>20.96</v>
      </c>
      <c r="H2682">
        <v>5</v>
      </c>
      <c r="I2682">
        <v>6.6</v>
      </c>
      <c r="J2682">
        <v>14.25</v>
      </c>
      <c r="K2682">
        <v>45.3</v>
      </c>
      <c r="L2682" t="s">
        <v>5029</v>
      </c>
      <c r="M2682">
        <v>3</v>
      </c>
      <c r="N2682">
        <v>2</v>
      </c>
      <c r="O2682">
        <v>1</v>
      </c>
    </row>
    <row r="2683" spans="1:15" x14ac:dyDescent="0.3">
      <c r="A2683" t="s">
        <v>2696</v>
      </c>
      <c r="B2683">
        <v>1</v>
      </c>
      <c r="C2683">
        <v>43</v>
      </c>
      <c r="D2683" t="s">
        <v>5016</v>
      </c>
      <c r="E2683" t="s">
        <v>5017</v>
      </c>
      <c r="F2683" t="s">
        <v>5022</v>
      </c>
      <c r="G2683">
        <v>12.14</v>
      </c>
      <c r="H2683">
        <v>1</v>
      </c>
      <c r="I2683">
        <v>6.2</v>
      </c>
      <c r="J2683">
        <v>21.43</v>
      </c>
      <c r="K2683">
        <v>74.400000000000006</v>
      </c>
      <c r="L2683" t="s">
        <v>5028</v>
      </c>
      <c r="M2683">
        <v>1</v>
      </c>
      <c r="N2683">
        <v>2</v>
      </c>
      <c r="O2683">
        <v>0</v>
      </c>
    </row>
    <row r="2684" spans="1:15" x14ac:dyDescent="0.3">
      <c r="A2684" t="s">
        <v>2697</v>
      </c>
      <c r="B2684">
        <v>10</v>
      </c>
      <c r="C2684">
        <v>38</v>
      </c>
      <c r="D2684" t="s">
        <v>5015</v>
      </c>
      <c r="E2684" t="s">
        <v>5018</v>
      </c>
      <c r="F2684" t="s">
        <v>5022</v>
      </c>
      <c r="G2684">
        <v>23.72</v>
      </c>
      <c r="H2684">
        <v>4</v>
      </c>
      <c r="I2684">
        <v>3.9</v>
      </c>
      <c r="J2684">
        <v>8.08</v>
      </c>
      <c r="K2684">
        <v>20.5</v>
      </c>
      <c r="L2684" t="s">
        <v>5029</v>
      </c>
      <c r="M2684">
        <v>6</v>
      </c>
      <c r="N2684">
        <v>0</v>
      </c>
      <c r="O2684">
        <v>0</v>
      </c>
    </row>
    <row r="2685" spans="1:15" x14ac:dyDescent="0.3">
      <c r="A2685" t="s">
        <v>2698</v>
      </c>
      <c r="B2685">
        <v>2</v>
      </c>
      <c r="C2685">
        <v>45</v>
      </c>
      <c r="D2685" t="s">
        <v>5016</v>
      </c>
      <c r="E2685" t="s">
        <v>5019</v>
      </c>
      <c r="F2685" t="s">
        <v>5021</v>
      </c>
      <c r="G2685">
        <v>21.85</v>
      </c>
      <c r="H2685">
        <v>2</v>
      </c>
      <c r="I2685">
        <v>5.7</v>
      </c>
      <c r="J2685">
        <v>19.079999999999998</v>
      </c>
      <c r="K2685">
        <v>96.4</v>
      </c>
      <c r="L2685" t="s">
        <v>5028</v>
      </c>
      <c r="M2685">
        <v>4</v>
      </c>
      <c r="N2685">
        <v>1</v>
      </c>
      <c r="O2685">
        <v>0</v>
      </c>
    </row>
    <row r="2686" spans="1:15" x14ac:dyDescent="0.3">
      <c r="A2686" t="s">
        <v>2699</v>
      </c>
      <c r="B2686">
        <v>10</v>
      </c>
      <c r="C2686">
        <v>65</v>
      </c>
      <c r="D2686" t="s">
        <v>5016</v>
      </c>
      <c r="E2686" t="s">
        <v>5018</v>
      </c>
      <c r="F2686" t="s">
        <v>5022</v>
      </c>
      <c r="G2686">
        <v>23.18</v>
      </c>
      <c r="H2686">
        <v>4</v>
      </c>
      <c r="I2686">
        <v>5.4</v>
      </c>
      <c r="J2686">
        <v>11.93</v>
      </c>
      <c r="K2686">
        <v>13.8</v>
      </c>
      <c r="L2686" t="s">
        <v>5025</v>
      </c>
      <c r="M2686">
        <v>2</v>
      </c>
      <c r="N2686">
        <v>2</v>
      </c>
      <c r="O2686">
        <v>0</v>
      </c>
    </row>
    <row r="2687" spans="1:15" x14ac:dyDescent="0.3">
      <c r="A2687" t="s">
        <v>2700</v>
      </c>
      <c r="B2687">
        <v>12</v>
      </c>
      <c r="C2687">
        <v>53</v>
      </c>
      <c r="D2687" t="s">
        <v>5015</v>
      </c>
      <c r="E2687" t="s">
        <v>5019</v>
      </c>
      <c r="F2687" t="s">
        <v>5024</v>
      </c>
      <c r="G2687">
        <v>10.89</v>
      </c>
      <c r="H2687">
        <v>5</v>
      </c>
      <c r="I2687">
        <v>3.3</v>
      </c>
      <c r="J2687">
        <v>22.87</v>
      </c>
      <c r="K2687">
        <v>82.6</v>
      </c>
      <c r="L2687" t="s">
        <v>5028</v>
      </c>
      <c r="M2687">
        <v>7</v>
      </c>
      <c r="N2687">
        <v>1</v>
      </c>
      <c r="O2687">
        <v>0</v>
      </c>
    </row>
    <row r="2688" spans="1:15" x14ac:dyDescent="0.3">
      <c r="A2688" t="s">
        <v>2701</v>
      </c>
      <c r="B2688">
        <v>8</v>
      </c>
      <c r="C2688">
        <v>57</v>
      </c>
      <c r="D2688" t="s">
        <v>5016</v>
      </c>
      <c r="E2688" t="s">
        <v>5017</v>
      </c>
      <c r="F2688" t="s">
        <v>5020</v>
      </c>
      <c r="G2688">
        <v>16.47</v>
      </c>
      <c r="H2688">
        <v>1</v>
      </c>
      <c r="I2688">
        <v>3.6</v>
      </c>
      <c r="J2688">
        <v>16.79</v>
      </c>
      <c r="K2688">
        <v>75.2</v>
      </c>
      <c r="L2688" t="s">
        <v>5029</v>
      </c>
      <c r="M2688">
        <v>7</v>
      </c>
      <c r="N2688">
        <v>1</v>
      </c>
      <c r="O2688">
        <v>0</v>
      </c>
    </row>
    <row r="2689" spans="1:15" x14ac:dyDescent="0.3">
      <c r="A2689" t="s">
        <v>2702</v>
      </c>
      <c r="B2689">
        <v>5</v>
      </c>
      <c r="C2689">
        <v>19</v>
      </c>
      <c r="D2689" t="s">
        <v>5016</v>
      </c>
      <c r="E2689" t="s">
        <v>5017</v>
      </c>
      <c r="F2689" t="s">
        <v>5023</v>
      </c>
      <c r="G2689">
        <v>11.43</v>
      </c>
      <c r="H2689">
        <v>5</v>
      </c>
      <c r="I2689">
        <v>7.9</v>
      </c>
      <c r="J2689">
        <v>24.48</v>
      </c>
      <c r="K2689">
        <v>35.4</v>
      </c>
      <c r="L2689" t="s">
        <v>5029</v>
      </c>
      <c r="M2689">
        <v>8</v>
      </c>
      <c r="N2689">
        <v>0</v>
      </c>
      <c r="O2689">
        <v>0</v>
      </c>
    </row>
    <row r="2690" spans="1:15" x14ac:dyDescent="0.3">
      <c r="A2690" t="s">
        <v>2703</v>
      </c>
      <c r="B2690">
        <v>12</v>
      </c>
      <c r="C2690">
        <v>59</v>
      </c>
      <c r="D2690" t="s">
        <v>5015</v>
      </c>
      <c r="E2690" t="s">
        <v>5019</v>
      </c>
      <c r="F2690" t="s">
        <v>5021</v>
      </c>
      <c r="G2690">
        <v>10.14</v>
      </c>
      <c r="H2690">
        <v>2</v>
      </c>
      <c r="I2690">
        <v>7.8</v>
      </c>
      <c r="J2690">
        <v>8.4</v>
      </c>
      <c r="K2690">
        <v>20.6</v>
      </c>
      <c r="L2690" t="s">
        <v>5029</v>
      </c>
      <c r="M2690">
        <v>7</v>
      </c>
      <c r="N2690">
        <v>3</v>
      </c>
      <c r="O2690">
        <v>0</v>
      </c>
    </row>
    <row r="2691" spans="1:15" x14ac:dyDescent="0.3">
      <c r="A2691" t="s">
        <v>2704</v>
      </c>
      <c r="B2691">
        <v>11</v>
      </c>
      <c r="C2691">
        <v>26</v>
      </c>
      <c r="D2691" t="s">
        <v>5015</v>
      </c>
      <c r="E2691" t="s">
        <v>5019</v>
      </c>
      <c r="F2691" t="s">
        <v>5023</v>
      </c>
      <c r="G2691">
        <v>17.14</v>
      </c>
      <c r="H2691">
        <v>3</v>
      </c>
      <c r="I2691">
        <v>5.2</v>
      </c>
      <c r="J2691">
        <v>23.33</v>
      </c>
      <c r="K2691">
        <v>86.7</v>
      </c>
      <c r="L2691" t="s">
        <v>5026</v>
      </c>
      <c r="M2691">
        <v>1</v>
      </c>
      <c r="N2691">
        <v>3</v>
      </c>
      <c r="O2691">
        <v>1</v>
      </c>
    </row>
    <row r="2692" spans="1:15" x14ac:dyDescent="0.3">
      <c r="A2692" t="s">
        <v>2705</v>
      </c>
      <c r="B2692">
        <v>7</v>
      </c>
      <c r="C2692">
        <v>40</v>
      </c>
      <c r="D2692" t="s">
        <v>5015</v>
      </c>
      <c r="E2692" t="s">
        <v>5018</v>
      </c>
      <c r="F2692" t="s">
        <v>5020</v>
      </c>
      <c r="G2692">
        <v>21.36</v>
      </c>
      <c r="H2692">
        <v>1</v>
      </c>
      <c r="I2692">
        <v>7.5</v>
      </c>
      <c r="J2692">
        <v>10.86</v>
      </c>
      <c r="K2692">
        <v>71.2</v>
      </c>
      <c r="L2692" t="s">
        <v>5026</v>
      </c>
      <c r="M2692">
        <v>3</v>
      </c>
      <c r="N2692">
        <v>4</v>
      </c>
      <c r="O2692">
        <v>0</v>
      </c>
    </row>
    <row r="2693" spans="1:15" x14ac:dyDescent="0.3">
      <c r="A2693" t="s">
        <v>2706</v>
      </c>
      <c r="B2693">
        <v>2</v>
      </c>
      <c r="C2693">
        <v>32</v>
      </c>
      <c r="D2693" t="s">
        <v>5015</v>
      </c>
      <c r="E2693" t="s">
        <v>5018</v>
      </c>
      <c r="F2693" t="s">
        <v>5022</v>
      </c>
      <c r="G2693">
        <v>6.87</v>
      </c>
      <c r="H2693">
        <v>2</v>
      </c>
      <c r="I2693">
        <v>5.0999999999999996</v>
      </c>
      <c r="J2693">
        <v>16.68</v>
      </c>
      <c r="K2693">
        <v>36.200000000000003</v>
      </c>
      <c r="L2693" t="s">
        <v>5026</v>
      </c>
      <c r="M2693">
        <v>1</v>
      </c>
      <c r="N2693">
        <v>3</v>
      </c>
      <c r="O2693">
        <v>1</v>
      </c>
    </row>
    <row r="2694" spans="1:15" x14ac:dyDescent="0.3">
      <c r="A2694" t="s">
        <v>2707</v>
      </c>
      <c r="B2694">
        <v>8</v>
      </c>
      <c r="C2694">
        <v>30</v>
      </c>
      <c r="D2694" t="s">
        <v>5015</v>
      </c>
      <c r="E2694" t="s">
        <v>5018</v>
      </c>
      <c r="F2694" t="s">
        <v>5024</v>
      </c>
      <c r="G2694">
        <v>10.52</v>
      </c>
      <c r="H2694">
        <v>2</v>
      </c>
      <c r="I2694">
        <v>8.6999999999999993</v>
      </c>
      <c r="J2694">
        <v>6.84</v>
      </c>
      <c r="K2694">
        <v>11.5</v>
      </c>
      <c r="L2694" t="s">
        <v>5027</v>
      </c>
      <c r="M2694">
        <v>2</v>
      </c>
      <c r="N2694">
        <v>2</v>
      </c>
      <c r="O2694">
        <v>0</v>
      </c>
    </row>
    <row r="2695" spans="1:15" x14ac:dyDescent="0.3">
      <c r="A2695" t="s">
        <v>2708</v>
      </c>
      <c r="B2695">
        <v>11</v>
      </c>
      <c r="C2695">
        <v>40</v>
      </c>
      <c r="D2695" t="s">
        <v>5015</v>
      </c>
      <c r="E2695" t="s">
        <v>5017</v>
      </c>
      <c r="F2695" t="s">
        <v>5021</v>
      </c>
      <c r="G2695">
        <v>9.1</v>
      </c>
      <c r="H2695">
        <v>5</v>
      </c>
      <c r="I2695">
        <v>4</v>
      </c>
      <c r="J2695">
        <v>19.72</v>
      </c>
      <c r="K2695">
        <v>94.5</v>
      </c>
      <c r="L2695" t="s">
        <v>5028</v>
      </c>
      <c r="M2695">
        <v>1</v>
      </c>
      <c r="N2695">
        <v>0</v>
      </c>
      <c r="O2695">
        <v>1</v>
      </c>
    </row>
    <row r="2696" spans="1:15" x14ac:dyDescent="0.3">
      <c r="A2696" t="s">
        <v>2709</v>
      </c>
      <c r="B2696">
        <v>6</v>
      </c>
      <c r="C2696">
        <v>34</v>
      </c>
      <c r="D2696" t="s">
        <v>5016</v>
      </c>
      <c r="E2696" t="s">
        <v>5019</v>
      </c>
      <c r="F2696" t="s">
        <v>5024</v>
      </c>
      <c r="G2696">
        <v>20.97</v>
      </c>
      <c r="H2696">
        <v>5</v>
      </c>
      <c r="I2696">
        <v>9.3000000000000007</v>
      </c>
      <c r="J2696">
        <v>24.52</v>
      </c>
      <c r="K2696">
        <v>46.4</v>
      </c>
      <c r="L2696" t="s">
        <v>5026</v>
      </c>
      <c r="M2696">
        <v>9</v>
      </c>
      <c r="N2696">
        <v>1</v>
      </c>
      <c r="O2696">
        <v>1</v>
      </c>
    </row>
    <row r="2697" spans="1:15" x14ac:dyDescent="0.3">
      <c r="A2697" t="s">
        <v>2710</v>
      </c>
      <c r="B2697">
        <v>8</v>
      </c>
      <c r="C2697">
        <v>65</v>
      </c>
      <c r="D2697" t="s">
        <v>5015</v>
      </c>
      <c r="E2697" t="s">
        <v>5018</v>
      </c>
      <c r="F2697" t="s">
        <v>5024</v>
      </c>
      <c r="G2697">
        <v>23.67</v>
      </c>
      <c r="H2697">
        <v>5</v>
      </c>
      <c r="I2697">
        <v>5.9</v>
      </c>
      <c r="J2697">
        <v>20.32</v>
      </c>
      <c r="K2697">
        <v>25.9</v>
      </c>
      <c r="L2697" t="s">
        <v>5029</v>
      </c>
      <c r="M2697">
        <v>7</v>
      </c>
      <c r="N2697">
        <v>0</v>
      </c>
      <c r="O2697">
        <v>0</v>
      </c>
    </row>
    <row r="2698" spans="1:15" x14ac:dyDescent="0.3">
      <c r="A2698" t="s">
        <v>2711</v>
      </c>
      <c r="B2698">
        <v>1</v>
      </c>
      <c r="C2698">
        <v>19</v>
      </c>
      <c r="D2698" t="s">
        <v>5015</v>
      </c>
      <c r="E2698" t="s">
        <v>5018</v>
      </c>
      <c r="F2698" t="s">
        <v>5024</v>
      </c>
      <c r="G2698">
        <v>6.6</v>
      </c>
      <c r="H2698">
        <v>3</v>
      </c>
      <c r="I2698">
        <v>5.8</v>
      </c>
      <c r="J2698">
        <v>16.55</v>
      </c>
      <c r="K2698">
        <v>92.1</v>
      </c>
      <c r="L2698" t="s">
        <v>5029</v>
      </c>
      <c r="M2698">
        <v>9</v>
      </c>
      <c r="N2698">
        <v>4</v>
      </c>
      <c r="O2698">
        <v>1</v>
      </c>
    </row>
    <row r="2699" spans="1:15" x14ac:dyDescent="0.3">
      <c r="A2699" t="s">
        <v>2712</v>
      </c>
      <c r="B2699">
        <v>1</v>
      </c>
      <c r="C2699">
        <v>37</v>
      </c>
      <c r="D2699" t="s">
        <v>5016</v>
      </c>
      <c r="E2699" t="s">
        <v>5019</v>
      </c>
      <c r="F2699" t="s">
        <v>5024</v>
      </c>
      <c r="G2699">
        <v>12.58</v>
      </c>
      <c r="H2699">
        <v>4</v>
      </c>
      <c r="I2699">
        <v>7</v>
      </c>
      <c r="J2699">
        <v>12.86</v>
      </c>
      <c r="K2699">
        <v>42.3</v>
      </c>
      <c r="L2699" t="s">
        <v>5026</v>
      </c>
      <c r="M2699">
        <v>8</v>
      </c>
      <c r="N2699">
        <v>4</v>
      </c>
      <c r="O2699">
        <v>0</v>
      </c>
    </row>
    <row r="2700" spans="1:15" x14ac:dyDescent="0.3">
      <c r="A2700" t="s">
        <v>2713</v>
      </c>
      <c r="B2700">
        <v>12</v>
      </c>
      <c r="C2700">
        <v>37</v>
      </c>
      <c r="D2700" t="s">
        <v>5015</v>
      </c>
      <c r="E2700" t="s">
        <v>5018</v>
      </c>
      <c r="F2700" t="s">
        <v>5020</v>
      </c>
      <c r="G2700">
        <v>23.29</v>
      </c>
      <c r="H2700">
        <v>4</v>
      </c>
      <c r="I2700">
        <v>4.0999999999999996</v>
      </c>
      <c r="J2700">
        <v>10.6</v>
      </c>
      <c r="K2700">
        <v>51.7</v>
      </c>
      <c r="L2700" t="s">
        <v>5026</v>
      </c>
      <c r="M2700">
        <v>10</v>
      </c>
      <c r="N2700">
        <v>4</v>
      </c>
      <c r="O2700">
        <v>0</v>
      </c>
    </row>
    <row r="2701" spans="1:15" x14ac:dyDescent="0.3">
      <c r="A2701" t="s">
        <v>2714</v>
      </c>
      <c r="B2701">
        <v>7</v>
      </c>
      <c r="C2701">
        <v>63</v>
      </c>
      <c r="D2701" t="s">
        <v>5016</v>
      </c>
      <c r="E2701" t="s">
        <v>5017</v>
      </c>
      <c r="F2701" t="s">
        <v>5024</v>
      </c>
      <c r="G2701">
        <v>11.89</v>
      </c>
      <c r="H2701">
        <v>5</v>
      </c>
      <c r="I2701">
        <v>7.5</v>
      </c>
      <c r="J2701">
        <v>12.22</v>
      </c>
      <c r="K2701">
        <v>72.900000000000006</v>
      </c>
      <c r="L2701" t="s">
        <v>5029</v>
      </c>
      <c r="M2701">
        <v>2</v>
      </c>
      <c r="N2701">
        <v>1</v>
      </c>
      <c r="O2701">
        <v>0</v>
      </c>
    </row>
    <row r="2702" spans="1:15" x14ac:dyDescent="0.3">
      <c r="A2702" t="s">
        <v>2715</v>
      </c>
      <c r="B2702">
        <v>8</v>
      </c>
      <c r="C2702">
        <v>20</v>
      </c>
      <c r="D2702" t="s">
        <v>5015</v>
      </c>
      <c r="E2702" t="s">
        <v>5019</v>
      </c>
      <c r="F2702" t="s">
        <v>5024</v>
      </c>
      <c r="G2702">
        <v>19.25</v>
      </c>
      <c r="H2702">
        <v>5</v>
      </c>
      <c r="I2702">
        <v>3.9</v>
      </c>
      <c r="J2702">
        <v>10.220000000000001</v>
      </c>
      <c r="K2702">
        <v>83.7</v>
      </c>
      <c r="L2702" t="s">
        <v>5026</v>
      </c>
      <c r="M2702">
        <v>1</v>
      </c>
      <c r="N2702">
        <v>4</v>
      </c>
      <c r="O2702">
        <v>0</v>
      </c>
    </row>
    <row r="2703" spans="1:15" x14ac:dyDescent="0.3">
      <c r="A2703" t="s">
        <v>2716</v>
      </c>
      <c r="B2703">
        <v>3</v>
      </c>
      <c r="C2703">
        <v>29</v>
      </c>
      <c r="D2703" t="s">
        <v>5015</v>
      </c>
      <c r="E2703" t="s">
        <v>5019</v>
      </c>
      <c r="F2703" t="s">
        <v>5020</v>
      </c>
      <c r="G2703">
        <v>7.01</v>
      </c>
      <c r="H2703">
        <v>3</v>
      </c>
      <c r="I2703">
        <v>4.5999999999999996</v>
      </c>
      <c r="J2703">
        <v>21.32</v>
      </c>
      <c r="K2703">
        <v>19</v>
      </c>
      <c r="L2703" t="s">
        <v>5027</v>
      </c>
      <c r="M2703">
        <v>5</v>
      </c>
      <c r="N2703">
        <v>4</v>
      </c>
      <c r="O2703">
        <v>1</v>
      </c>
    </row>
    <row r="2704" spans="1:15" x14ac:dyDescent="0.3">
      <c r="A2704" t="s">
        <v>2717</v>
      </c>
      <c r="B2704">
        <v>5</v>
      </c>
      <c r="C2704">
        <v>57</v>
      </c>
      <c r="D2704" t="s">
        <v>5016</v>
      </c>
      <c r="E2704" t="s">
        <v>5018</v>
      </c>
      <c r="F2704" t="s">
        <v>5023</v>
      </c>
      <c r="G2704">
        <v>13.89</v>
      </c>
      <c r="H2704">
        <v>4</v>
      </c>
      <c r="I2704">
        <v>7.1</v>
      </c>
      <c r="J2704">
        <v>22.65</v>
      </c>
      <c r="K2704">
        <v>90.9</v>
      </c>
      <c r="L2704" t="s">
        <v>5027</v>
      </c>
      <c r="M2704">
        <v>7</v>
      </c>
      <c r="N2704">
        <v>4</v>
      </c>
      <c r="O2704">
        <v>0</v>
      </c>
    </row>
    <row r="2705" spans="1:15" x14ac:dyDescent="0.3">
      <c r="A2705" t="s">
        <v>2718</v>
      </c>
      <c r="B2705">
        <v>12</v>
      </c>
      <c r="C2705">
        <v>19</v>
      </c>
      <c r="D2705" t="s">
        <v>5015</v>
      </c>
      <c r="E2705" t="s">
        <v>5017</v>
      </c>
      <c r="F2705" t="s">
        <v>5020</v>
      </c>
      <c r="G2705">
        <v>15.07</v>
      </c>
      <c r="H2705">
        <v>3</v>
      </c>
      <c r="I2705">
        <v>4.4000000000000004</v>
      </c>
      <c r="J2705">
        <v>23.89</v>
      </c>
      <c r="K2705">
        <v>93.9</v>
      </c>
      <c r="L2705" t="s">
        <v>5027</v>
      </c>
      <c r="M2705">
        <v>2</v>
      </c>
      <c r="N2705">
        <v>1</v>
      </c>
      <c r="O2705">
        <v>0</v>
      </c>
    </row>
    <row r="2706" spans="1:15" x14ac:dyDescent="0.3">
      <c r="A2706" t="s">
        <v>2719</v>
      </c>
      <c r="B2706">
        <v>1</v>
      </c>
      <c r="C2706">
        <v>53</v>
      </c>
      <c r="D2706" t="s">
        <v>5016</v>
      </c>
      <c r="E2706" t="s">
        <v>5017</v>
      </c>
      <c r="F2706" t="s">
        <v>5022</v>
      </c>
      <c r="G2706">
        <v>20.149999999999999</v>
      </c>
      <c r="H2706">
        <v>2</v>
      </c>
      <c r="I2706">
        <v>2.8</v>
      </c>
      <c r="J2706">
        <v>12.2</v>
      </c>
      <c r="K2706">
        <v>33.299999999999997</v>
      </c>
      <c r="L2706" t="s">
        <v>5025</v>
      </c>
      <c r="M2706">
        <v>4</v>
      </c>
      <c r="N2706">
        <v>4</v>
      </c>
      <c r="O2706">
        <v>0</v>
      </c>
    </row>
    <row r="2707" spans="1:15" x14ac:dyDescent="0.3">
      <c r="A2707" t="s">
        <v>2720</v>
      </c>
      <c r="B2707">
        <v>7</v>
      </c>
      <c r="C2707">
        <v>31</v>
      </c>
      <c r="D2707" t="s">
        <v>5015</v>
      </c>
      <c r="E2707" t="s">
        <v>5018</v>
      </c>
      <c r="F2707" t="s">
        <v>5020</v>
      </c>
      <c r="G2707">
        <v>10.78</v>
      </c>
      <c r="H2707">
        <v>4</v>
      </c>
      <c r="I2707">
        <v>8.8000000000000007</v>
      </c>
      <c r="J2707">
        <v>15.02</v>
      </c>
      <c r="K2707">
        <v>54.8</v>
      </c>
      <c r="L2707" t="s">
        <v>5027</v>
      </c>
      <c r="M2707">
        <v>7</v>
      </c>
      <c r="N2707">
        <v>2</v>
      </c>
      <c r="O2707">
        <v>1</v>
      </c>
    </row>
    <row r="2708" spans="1:15" x14ac:dyDescent="0.3">
      <c r="A2708" t="s">
        <v>2721</v>
      </c>
      <c r="B2708">
        <v>5</v>
      </c>
      <c r="C2708">
        <v>33</v>
      </c>
      <c r="D2708" t="s">
        <v>5015</v>
      </c>
      <c r="E2708" t="s">
        <v>5018</v>
      </c>
      <c r="F2708" t="s">
        <v>5023</v>
      </c>
      <c r="G2708">
        <v>10.28</v>
      </c>
      <c r="H2708">
        <v>5</v>
      </c>
      <c r="I2708">
        <v>9.3000000000000007</v>
      </c>
      <c r="J2708">
        <v>15.69</v>
      </c>
      <c r="K2708">
        <v>87.2</v>
      </c>
      <c r="L2708" t="s">
        <v>5029</v>
      </c>
      <c r="M2708">
        <v>9</v>
      </c>
      <c r="N2708">
        <v>0</v>
      </c>
      <c r="O2708">
        <v>0</v>
      </c>
    </row>
    <row r="2709" spans="1:15" x14ac:dyDescent="0.3">
      <c r="A2709" t="s">
        <v>2722</v>
      </c>
      <c r="B2709">
        <v>8</v>
      </c>
      <c r="C2709">
        <v>36</v>
      </c>
      <c r="D2709" t="s">
        <v>5016</v>
      </c>
      <c r="E2709" t="s">
        <v>5019</v>
      </c>
      <c r="F2709" t="s">
        <v>5022</v>
      </c>
      <c r="G2709">
        <v>11.06</v>
      </c>
      <c r="H2709">
        <v>1</v>
      </c>
      <c r="I2709">
        <v>6.6</v>
      </c>
      <c r="J2709">
        <v>17.32</v>
      </c>
      <c r="K2709">
        <v>53.9</v>
      </c>
      <c r="L2709" t="s">
        <v>5025</v>
      </c>
      <c r="M2709">
        <v>6</v>
      </c>
      <c r="N2709">
        <v>4</v>
      </c>
      <c r="O2709">
        <v>0</v>
      </c>
    </row>
    <row r="2710" spans="1:15" x14ac:dyDescent="0.3">
      <c r="A2710" t="s">
        <v>2723</v>
      </c>
      <c r="B2710">
        <v>8</v>
      </c>
      <c r="C2710">
        <v>51</v>
      </c>
      <c r="D2710" t="s">
        <v>5015</v>
      </c>
      <c r="E2710" t="s">
        <v>5019</v>
      </c>
      <c r="F2710" t="s">
        <v>5022</v>
      </c>
      <c r="G2710">
        <v>16.11</v>
      </c>
      <c r="H2710">
        <v>2</v>
      </c>
      <c r="I2710">
        <v>8.3000000000000007</v>
      </c>
      <c r="J2710">
        <v>3.05</v>
      </c>
      <c r="K2710">
        <v>53.4</v>
      </c>
      <c r="L2710" t="s">
        <v>5029</v>
      </c>
      <c r="M2710">
        <v>7</v>
      </c>
      <c r="N2710">
        <v>4</v>
      </c>
      <c r="O2710">
        <v>0</v>
      </c>
    </row>
    <row r="2711" spans="1:15" x14ac:dyDescent="0.3">
      <c r="A2711" t="s">
        <v>2724</v>
      </c>
      <c r="B2711">
        <v>9</v>
      </c>
      <c r="C2711">
        <v>61</v>
      </c>
      <c r="D2711" t="s">
        <v>5015</v>
      </c>
      <c r="E2711" t="s">
        <v>5019</v>
      </c>
      <c r="F2711" t="s">
        <v>5021</v>
      </c>
      <c r="G2711">
        <v>22.52</v>
      </c>
      <c r="H2711">
        <v>1</v>
      </c>
      <c r="I2711">
        <v>9.9</v>
      </c>
      <c r="J2711">
        <v>21.54</v>
      </c>
      <c r="K2711">
        <v>65.7</v>
      </c>
      <c r="L2711" t="s">
        <v>5029</v>
      </c>
      <c r="M2711">
        <v>8</v>
      </c>
      <c r="N2711">
        <v>0</v>
      </c>
      <c r="O2711">
        <v>0</v>
      </c>
    </row>
    <row r="2712" spans="1:15" x14ac:dyDescent="0.3">
      <c r="A2712" t="s">
        <v>2725</v>
      </c>
      <c r="B2712">
        <v>7</v>
      </c>
      <c r="C2712">
        <v>63</v>
      </c>
      <c r="D2712" t="s">
        <v>5016</v>
      </c>
      <c r="E2712" t="s">
        <v>5018</v>
      </c>
      <c r="F2712" t="s">
        <v>5024</v>
      </c>
      <c r="G2712">
        <v>21.62</v>
      </c>
      <c r="H2712">
        <v>3</v>
      </c>
      <c r="I2712">
        <v>6.5</v>
      </c>
      <c r="J2712">
        <v>8.9</v>
      </c>
      <c r="K2712">
        <v>79.099999999999994</v>
      </c>
      <c r="L2712" t="s">
        <v>5026</v>
      </c>
      <c r="M2712">
        <v>8</v>
      </c>
      <c r="N2712">
        <v>4</v>
      </c>
      <c r="O2712">
        <v>1</v>
      </c>
    </row>
    <row r="2713" spans="1:15" x14ac:dyDescent="0.3">
      <c r="A2713" t="s">
        <v>2726</v>
      </c>
      <c r="B2713">
        <v>11</v>
      </c>
      <c r="C2713">
        <v>23</v>
      </c>
      <c r="D2713" t="s">
        <v>5015</v>
      </c>
      <c r="E2713" t="s">
        <v>5019</v>
      </c>
      <c r="F2713" t="s">
        <v>5022</v>
      </c>
      <c r="G2713">
        <v>6.16</v>
      </c>
      <c r="H2713">
        <v>3</v>
      </c>
      <c r="I2713">
        <v>9.1999999999999993</v>
      </c>
      <c r="J2713">
        <v>13.39</v>
      </c>
      <c r="K2713">
        <v>69.900000000000006</v>
      </c>
      <c r="L2713" t="s">
        <v>5028</v>
      </c>
      <c r="M2713">
        <v>9</v>
      </c>
      <c r="N2713">
        <v>4</v>
      </c>
      <c r="O2713">
        <v>0</v>
      </c>
    </row>
    <row r="2714" spans="1:15" x14ac:dyDescent="0.3">
      <c r="A2714" t="s">
        <v>2727</v>
      </c>
      <c r="B2714">
        <v>1</v>
      </c>
      <c r="C2714">
        <v>30</v>
      </c>
      <c r="D2714" t="s">
        <v>5016</v>
      </c>
      <c r="E2714" t="s">
        <v>5018</v>
      </c>
      <c r="F2714" t="s">
        <v>5022</v>
      </c>
      <c r="G2714">
        <v>22.58</v>
      </c>
      <c r="H2714">
        <v>3</v>
      </c>
      <c r="I2714">
        <v>4.2</v>
      </c>
      <c r="J2714">
        <v>21.51</v>
      </c>
      <c r="K2714">
        <v>66.400000000000006</v>
      </c>
      <c r="L2714" t="s">
        <v>5027</v>
      </c>
      <c r="M2714">
        <v>10</v>
      </c>
      <c r="N2714">
        <v>2</v>
      </c>
      <c r="O2714">
        <v>0</v>
      </c>
    </row>
    <row r="2715" spans="1:15" x14ac:dyDescent="0.3">
      <c r="A2715" t="s">
        <v>2728</v>
      </c>
      <c r="B2715">
        <v>3</v>
      </c>
      <c r="C2715">
        <v>53</v>
      </c>
      <c r="D2715" t="s">
        <v>5015</v>
      </c>
      <c r="E2715" t="s">
        <v>5017</v>
      </c>
      <c r="F2715" t="s">
        <v>5023</v>
      </c>
      <c r="G2715">
        <v>6.9</v>
      </c>
      <c r="H2715">
        <v>5</v>
      </c>
      <c r="I2715">
        <v>7.3</v>
      </c>
      <c r="J2715">
        <v>24.93</v>
      </c>
      <c r="K2715">
        <v>43.5</v>
      </c>
      <c r="L2715" t="s">
        <v>5028</v>
      </c>
      <c r="M2715">
        <v>2</v>
      </c>
      <c r="N2715">
        <v>3</v>
      </c>
      <c r="O2715">
        <v>0</v>
      </c>
    </row>
    <row r="2716" spans="1:15" x14ac:dyDescent="0.3">
      <c r="A2716" t="s">
        <v>2729</v>
      </c>
      <c r="B2716">
        <v>8</v>
      </c>
      <c r="C2716">
        <v>39</v>
      </c>
      <c r="D2716" t="s">
        <v>5016</v>
      </c>
      <c r="E2716" t="s">
        <v>5017</v>
      </c>
      <c r="F2716" t="s">
        <v>5022</v>
      </c>
      <c r="G2716">
        <v>13.31</v>
      </c>
      <c r="H2716">
        <v>3</v>
      </c>
      <c r="I2716">
        <v>1.5</v>
      </c>
      <c r="J2716">
        <v>20.49</v>
      </c>
      <c r="K2716">
        <v>66.7</v>
      </c>
      <c r="L2716" t="s">
        <v>5028</v>
      </c>
      <c r="M2716">
        <v>7</v>
      </c>
      <c r="N2716">
        <v>1</v>
      </c>
      <c r="O2716">
        <v>0</v>
      </c>
    </row>
    <row r="2717" spans="1:15" x14ac:dyDescent="0.3">
      <c r="A2717" t="s">
        <v>2730</v>
      </c>
      <c r="B2717">
        <v>3</v>
      </c>
      <c r="C2717">
        <v>35</v>
      </c>
      <c r="D2717" t="s">
        <v>5015</v>
      </c>
      <c r="E2717" t="s">
        <v>5018</v>
      </c>
      <c r="F2717" t="s">
        <v>5023</v>
      </c>
      <c r="G2717">
        <v>20.309999999999999</v>
      </c>
      <c r="H2717">
        <v>1</v>
      </c>
      <c r="I2717">
        <v>8.1</v>
      </c>
      <c r="J2717">
        <v>3.55</v>
      </c>
      <c r="K2717">
        <v>19.3</v>
      </c>
      <c r="L2717" t="s">
        <v>5026</v>
      </c>
      <c r="M2717">
        <v>2</v>
      </c>
      <c r="N2717">
        <v>1</v>
      </c>
      <c r="O2717">
        <v>0</v>
      </c>
    </row>
    <row r="2718" spans="1:15" x14ac:dyDescent="0.3">
      <c r="A2718" t="s">
        <v>2731</v>
      </c>
      <c r="B2718">
        <v>8</v>
      </c>
      <c r="C2718">
        <v>29</v>
      </c>
      <c r="D2718" t="s">
        <v>5016</v>
      </c>
      <c r="E2718" t="s">
        <v>5019</v>
      </c>
      <c r="F2718" t="s">
        <v>5024</v>
      </c>
      <c r="G2718">
        <v>6.63</v>
      </c>
      <c r="H2718">
        <v>2</v>
      </c>
      <c r="I2718">
        <v>8.5</v>
      </c>
      <c r="J2718">
        <v>11.11</v>
      </c>
      <c r="K2718">
        <v>46.9</v>
      </c>
      <c r="L2718" t="s">
        <v>5028</v>
      </c>
      <c r="M2718">
        <v>7</v>
      </c>
      <c r="N2718">
        <v>0</v>
      </c>
      <c r="O2718">
        <v>0</v>
      </c>
    </row>
    <row r="2719" spans="1:15" x14ac:dyDescent="0.3">
      <c r="A2719" t="s">
        <v>2732</v>
      </c>
      <c r="B2719">
        <v>1</v>
      </c>
      <c r="C2719">
        <v>69</v>
      </c>
      <c r="D2719" t="s">
        <v>5016</v>
      </c>
      <c r="E2719" t="s">
        <v>5017</v>
      </c>
      <c r="F2719" t="s">
        <v>5021</v>
      </c>
      <c r="G2719">
        <v>5.81</v>
      </c>
      <c r="H2719">
        <v>5</v>
      </c>
      <c r="I2719">
        <v>4.5999999999999996</v>
      </c>
      <c r="J2719">
        <v>8.44</v>
      </c>
      <c r="K2719">
        <v>27</v>
      </c>
      <c r="L2719" t="s">
        <v>5027</v>
      </c>
      <c r="M2719">
        <v>11</v>
      </c>
      <c r="N2719">
        <v>2</v>
      </c>
      <c r="O2719">
        <v>0</v>
      </c>
    </row>
    <row r="2720" spans="1:15" x14ac:dyDescent="0.3">
      <c r="A2720" t="s">
        <v>2733</v>
      </c>
      <c r="B2720">
        <v>5</v>
      </c>
      <c r="C2720">
        <v>47</v>
      </c>
      <c r="D2720" t="s">
        <v>5015</v>
      </c>
      <c r="E2720" t="s">
        <v>5017</v>
      </c>
      <c r="F2720" t="s">
        <v>5021</v>
      </c>
      <c r="G2720">
        <v>11.6</v>
      </c>
      <c r="H2720">
        <v>2</v>
      </c>
      <c r="I2720">
        <v>6.8</v>
      </c>
      <c r="J2720">
        <v>24.21</v>
      </c>
      <c r="K2720">
        <v>58.4</v>
      </c>
      <c r="L2720" t="s">
        <v>5025</v>
      </c>
      <c r="M2720">
        <v>9</v>
      </c>
      <c r="N2720">
        <v>1</v>
      </c>
      <c r="O2720">
        <v>0</v>
      </c>
    </row>
    <row r="2721" spans="1:15" x14ac:dyDescent="0.3">
      <c r="A2721" t="s">
        <v>2734</v>
      </c>
      <c r="B2721">
        <v>4</v>
      </c>
      <c r="C2721">
        <v>68</v>
      </c>
      <c r="D2721" t="s">
        <v>5015</v>
      </c>
      <c r="E2721" t="s">
        <v>5019</v>
      </c>
      <c r="F2721" t="s">
        <v>5024</v>
      </c>
      <c r="G2721">
        <v>19.600000000000001</v>
      </c>
      <c r="H2721">
        <v>3</v>
      </c>
      <c r="I2721">
        <v>8.6999999999999993</v>
      </c>
      <c r="J2721">
        <v>8.81</v>
      </c>
      <c r="K2721">
        <v>33.6</v>
      </c>
      <c r="L2721" t="s">
        <v>5029</v>
      </c>
      <c r="M2721">
        <v>4</v>
      </c>
      <c r="N2721">
        <v>0</v>
      </c>
      <c r="O2721">
        <v>0</v>
      </c>
    </row>
    <row r="2722" spans="1:15" x14ac:dyDescent="0.3">
      <c r="A2722" t="s">
        <v>2735</v>
      </c>
      <c r="B2722">
        <v>5</v>
      </c>
      <c r="C2722">
        <v>57</v>
      </c>
      <c r="D2722" t="s">
        <v>5016</v>
      </c>
      <c r="E2722" t="s">
        <v>5017</v>
      </c>
      <c r="F2722" t="s">
        <v>5024</v>
      </c>
      <c r="G2722">
        <v>15.44</v>
      </c>
      <c r="H2722">
        <v>4</v>
      </c>
      <c r="I2722">
        <v>9</v>
      </c>
      <c r="J2722">
        <v>23.75</v>
      </c>
      <c r="K2722">
        <v>55.5</v>
      </c>
      <c r="L2722" t="s">
        <v>5027</v>
      </c>
      <c r="M2722">
        <v>5</v>
      </c>
      <c r="N2722">
        <v>0</v>
      </c>
      <c r="O2722">
        <v>0</v>
      </c>
    </row>
    <row r="2723" spans="1:15" x14ac:dyDescent="0.3">
      <c r="A2723" t="s">
        <v>2736</v>
      </c>
      <c r="B2723">
        <v>8</v>
      </c>
      <c r="C2723">
        <v>24</v>
      </c>
      <c r="D2723" t="s">
        <v>5015</v>
      </c>
      <c r="E2723" t="s">
        <v>5019</v>
      </c>
      <c r="F2723" t="s">
        <v>5020</v>
      </c>
      <c r="G2723">
        <v>13.34</v>
      </c>
      <c r="H2723">
        <v>5</v>
      </c>
      <c r="I2723">
        <v>2</v>
      </c>
      <c r="J2723">
        <v>23.63</v>
      </c>
      <c r="K2723">
        <v>80</v>
      </c>
      <c r="L2723" t="s">
        <v>5026</v>
      </c>
      <c r="M2723">
        <v>5</v>
      </c>
      <c r="N2723">
        <v>0</v>
      </c>
      <c r="O2723">
        <v>0</v>
      </c>
    </row>
    <row r="2724" spans="1:15" x14ac:dyDescent="0.3">
      <c r="A2724" t="s">
        <v>2737</v>
      </c>
      <c r="B2724">
        <v>10</v>
      </c>
      <c r="C2724">
        <v>49</v>
      </c>
      <c r="D2724" t="s">
        <v>5016</v>
      </c>
      <c r="E2724" t="s">
        <v>5018</v>
      </c>
      <c r="F2724" t="s">
        <v>5022</v>
      </c>
      <c r="G2724">
        <v>21.26</v>
      </c>
      <c r="H2724">
        <v>3</v>
      </c>
      <c r="I2724">
        <v>8.4</v>
      </c>
      <c r="J2724">
        <v>21.47</v>
      </c>
      <c r="K2724">
        <v>49.1</v>
      </c>
      <c r="L2724" t="s">
        <v>5025</v>
      </c>
      <c r="M2724">
        <v>2</v>
      </c>
      <c r="N2724">
        <v>1</v>
      </c>
      <c r="O2724">
        <v>1</v>
      </c>
    </row>
    <row r="2725" spans="1:15" x14ac:dyDescent="0.3">
      <c r="A2725" t="s">
        <v>2738</v>
      </c>
      <c r="B2725">
        <v>4</v>
      </c>
      <c r="C2725">
        <v>65</v>
      </c>
      <c r="D2725" t="s">
        <v>5015</v>
      </c>
      <c r="E2725" t="s">
        <v>5017</v>
      </c>
      <c r="F2725" t="s">
        <v>5022</v>
      </c>
      <c r="G2725">
        <v>20.329999999999998</v>
      </c>
      <c r="H2725">
        <v>5</v>
      </c>
      <c r="I2725">
        <v>3.5</v>
      </c>
      <c r="J2725">
        <v>5.16</v>
      </c>
      <c r="K2725">
        <v>29.7</v>
      </c>
      <c r="L2725" t="s">
        <v>5026</v>
      </c>
      <c r="M2725">
        <v>3</v>
      </c>
      <c r="N2725">
        <v>3</v>
      </c>
      <c r="O2725">
        <v>0</v>
      </c>
    </row>
    <row r="2726" spans="1:15" x14ac:dyDescent="0.3">
      <c r="A2726" t="s">
        <v>2739</v>
      </c>
      <c r="B2726">
        <v>11</v>
      </c>
      <c r="C2726">
        <v>36</v>
      </c>
      <c r="D2726" t="s">
        <v>5015</v>
      </c>
      <c r="E2726" t="s">
        <v>5019</v>
      </c>
      <c r="F2726" t="s">
        <v>5022</v>
      </c>
      <c r="G2726">
        <v>20.72</v>
      </c>
      <c r="H2726">
        <v>4</v>
      </c>
      <c r="I2726">
        <v>7.5</v>
      </c>
      <c r="J2726">
        <v>3.04</v>
      </c>
      <c r="K2726">
        <v>30.1</v>
      </c>
      <c r="L2726" t="s">
        <v>5027</v>
      </c>
      <c r="M2726">
        <v>10</v>
      </c>
      <c r="N2726">
        <v>0</v>
      </c>
      <c r="O2726">
        <v>0</v>
      </c>
    </row>
    <row r="2727" spans="1:15" x14ac:dyDescent="0.3">
      <c r="A2727" t="s">
        <v>2740</v>
      </c>
      <c r="B2727">
        <v>4</v>
      </c>
      <c r="C2727">
        <v>23</v>
      </c>
      <c r="D2727" t="s">
        <v>5016</v>
      </c>
      <c r="E2727" t="s">
        <v>5017</v>
      </c>
      <c r="F2727" t="s">
        <v>5023</v>
      </c>
      <c r="G2727">
        <v>14.19</v>
      </c>
      <c r="H2727">
        <v>1</v>
      </c>
      <c r="I2727">
        <v>3.9</v>
      </c>
      <c r="J2727">
        <v>20.47</v>
      </c>
      <c r="K2727">
        <v>91.6</v>
      </c>
      <c r="L2727" t="s">
        <v>5029</v>
      </c>
      <c r="M2727">
        <v>1</v>
      </c>
      <c r="N2727">
        <v>4</v>
      </c>
      <c r="O2727">
        <v>0</v>
      </c>
    </row>
    <row r="2728" spans="1:15" x14ac:dyDescent="0.3">
      <c r="A2728" t="s">
        <v>2741</v>
      </c>
      <c r="B2728">
        <v>3</v>
      </c>
      <c r="C2728">
        <v>37</v>
      </c>
      <c r="D2728" t="s">
        <v>5016</v>
      </c>
      <c r="E2728" t="s">
        <v>5018</v>
      </c>
      <c r="F2728" t="s">
        <v>5020</v>
      </c>
      <c r="G2728">
        <v>5.39</v>
      </c>
      <c r="H2728">
        <v>1</v>
      </c>
      <c r="I2728">
        <v>1.5</v>
      </c>
      <c r="J2728">
        <v>21.55</v>
      </c>
      <c r="K2728">
        <v>80.3</v>
      </c>
      <c r="L2728" t="s">
        <v>5028</v>
      </c>
      <c r="M2728">
        <v>3</v>
      </c>
      <c r="N2728">
        <v>3</v>
      </c>
      <c r="O2728">
        <v>0</v>
      </c>
    </row>
    <row r="2729" spans="1:15" x14ac:dyDescent="0.3">
      <c r="A2729" t="s">
        <v>2742</v>
      </c>
      <c r="B2729">
        <v>7</v>
      </c>
      <c r="C2729">
        <v>44</v>
      </c>
      <c r="D2729" t="s">
        <v>5015</v>
      </c>
      <c r="E2729" t="s">
        <v>5017</v>
      </c>
      <c r="F2729" t="s">
        <v>5022</v>
      </c>
      <c r="G2729">
        <v>8.44</v>
      </c>
      <c r="H2729">
        <v>1</v>
      </c>
      <c r="I2729">
        <v>2.9</v>
      </c>
      <c r="J2729">
        <v>24.17</v>
      </c>
      <c r="K2729">
        <v>13.3</v>
      </c>
      <c r="L2729" t="s">
        <v>5028</v>
      </c>
      <c r="M2729">
        <v>5</v>
      </c>
      <c r="N2729">
        <v>3</v>
      </c>
      <c r="O2729">
        <v>1</v>
      </c>
    </row>
    <row r="2730" spans="1:15" x14ac:dyDescent="0.3">
      <c r="A2730" t="s">
        <v>2743</v>
      </c>
      <c r="B2730">
        <v>3</v>
      </c>
      <c r="C2730">
        <v>60</v>
      </c>
      <c r="D2730" t="s">
        <v>5015</v>
      </c>
      <c r="E2730" t="s">
        <v>5017</v>
      </c>
      <c r="F2730" t="s">
        <v>5023</v>
      </c>
      <c r="G2730">
        <v>19.829999999999998</v>
      </c>
      <c r="H2730">
        <v>4</v>
      </c>
      <c r="I2730">
        <v>4.7</v>
      </c>
      <c r="J2730">
        <v>7.8</v>
      </c>
      <c r="K2730">
        <v>94.8</v>
      </c>
      <c r="L2730" t="s">
        <v>5026</v>
      </c>
      <c r="M2730">
        <v>9</v>
      </c>
      <c r="N2730">
        <v>4</v>
      </c>
      <c r="O2730">
        <v>1</v>
      </c>
    </row>
    <row r="2731" spans="1:15" x14ac:dyDescent="0.3">
      <c r="A2731" t="s">
        <v>2744</v>
      </c>
      <c r="B2731">
        <v>12</v>
      </c>
      <c r="C2731">
        <v>54</v>
      </c>
      <c r="D2731" t="s">
        <v>5015</v>
      </c>
      <c r="E2731" t="s">
        <v>5017</v>
      </c>
      <c r="F2731" t="s">
        <v>5023</v>
      </c>
      <c r="G2731">
        <v>20.059999999999999</v>
      </c>
      <c r="H2731">
        <v>2</v>
      </c>
      <c r="I2731">
        <v>7.7</v>
      </c>
      <c r="J2731">
        <v>19.13</v>
      </c>
      <c r="K2731">
        <v>20.100000000000001</v>
      </c>
      <c r="L2731" t="s">
        <v>5025</v>
      </c>
      <c r="M2731">
        <v>1</v>
      </c>
      <c r="N2731">
        <v>1</v>
      </c>
      <c r="O2731">
        <v>0</v>
      </c>
    </row>
    <row r="2732" spans="1:15" x14ac:dyDescent="0.3">
      <c r="A2732" t="s">
        <v>2745</v>
      </c>
      <c r="B2732">
        <v>3</v>
      </c>
      <c r="C2732">
        <v>65</v>
      </c>
      <c r="D2732" t="s">
        <v>5015</v>
      </c>
      <c r="E2732" t="s">
        <v>5017</v>
      </c>
      <c r="F2732" t="s">
        <v>5021</v>
      </c>
      <c r="G2732">
        <v>24.45</v>
      </c>
      <c r="H2732">
        <v>4</v>
      </c>
      <c r="I2732">
        <v>1.9</v>
      </c>
      <c r="J2732">
        <v>14.42</v>
      </c>
      <c r="K2732">
        <v>68.8</v>
      </c>
      <c r="L2732" t="s">
        <v>5029</v>
      </c>
      <c r="M2732">
        <v>6</v>
      </c>
      <c r="N2732">
        <v>1</v>
      </c>
      <c r="O2732">
        <v>1</v>
      </c>
    </row>
    <row r="2733" spans="1:15" x14ac:dyDescent="0.3">
      <c r="A2733" t="s">
        <v>2746</v>
      </c>
      <c r="B2733">
        <v>11</v>
      </c>
      <c r="C2733">
        <v>24</v>
      </c>
      <c r="D2733" t="s">
        <v>5015</v>
      </c>
      <c r="E2733" t="s">
        <v>5017</v>
      </c>
      <c r="F2733" t="s">
        <v>5023</v>
      </c>
      <c r="G2733">
        <v>8.8000000000000007</v>
      </c>
      <c r="H2733">
        <v>4</v>
      </c>
      <c r="I2733">
        <v>8.3000000000000007</v>
      </c>
      <c r="J2733">
        <v>10.23</v>
      </c>
      <c r="K2733">
        <v>59.6</v>
      </c>
      <c r="L2733" t="s">
        <v>5026</v>
      </c>
      <c r="M2733">
        <v>2</v>
      </c>
      <c r="N2733">
        <v>2</v>
      </c>
      <c r="O2733">
        <v>0</v>
      </c>
    </row>
    <row r="2734" spans="1:15" x14ac:dyDescent="0.3">
      <c r="A2734" t="s">
        <v>2747</v>
      </c>
      <c r="B2734">
        <v>10</v>
      </c>
      <c r="C2734">
        <v>22</v>
      </c>
      <c r="D2734" t="s">
        <v>5016</v>
      </c>
      <c r="E2734" t="s">
        <v>5019</v>
      </c>
      <c r="F2734" t="s">
        <v>5024</v>
      </c>
      <c r="G2734">
        <v>7.46</v>
      </c>
      <c r="H2734">
        <v>3</v>
      </c>
      <c r="I2734">
        <v>10</v>
      </c>
      <c r="J2734">
        <v>16.34</v>
      </c>
      <c r="K2734">
        <v>14.2</v>
      </c>
      <c r="L2734" t="s">
        <v>5029</v>
      </c>
      <c r="M2734">
        <v>6</v>
      </c>
      <c r="N2734">
        <v>1</v>
      </c>
      <c r="O2734">
        <v>0</v>
      </c>
    </row>
    <row r="2735" spans="1:15" x14ac:dyDescent="0.3">
      <c r="A2735" t="s">
        <v>2748</v>
      </c>
      <c r="B2735">
        <v>5</v>
      </c>
      <c r="C2735">
        <v>28</v>
      </c>
      <c r="D2735" t="s">
        <v>5015</v>
      </c>
      <c r="E2735" t="s">
        <v>5018</v>
      </c>
      <c r="F2735" t="s">
        <v>5023</v>
      </c>
      <c r="G2735">
        <v>7.78</v>
      </c>
      <c r="H2735">
        <v>1</v>
      </c>
      <c r="I2735">
        <v>8.1</v>
      </c>
      <c r="J2735">
        <v>15.06</v>
      </c>
      <c r="K2735">
        <v>36.6</v>
      </c>
      <c r="L2735" t="s">
        <v>5026</v>
      </c>
      <c r="M2735">
        <v>10</v>
      </c>
      <c r="N2735">
        <v>2</v>
      </c>
      <c r="O2735">
        <v>0</v>
      </c>
    </row>
    <row r="2736" spans="1:15" x14ac:dyDescent="0.3">
      <c r="A2736" t="s">
        <v>2749</v>
      </c>
      <c r="B2736">
        <v>5</v>
      </c>
      <c r="C2736">
        <v>32</v>
      </c>
      <c r="D2736" t="s">
        <v>5015</v>
      </c>
      <c r="E2736" t="s">
        <v>5018</v>
      </c>
      <c r="F2736" t="s">
        <v>5024</v>
      </c>
      <c r="G2736">
        <v>8.6999999999999993</v>
      </c>
      <c r="H2736">
        <v>5</v>
      </c>
      <c r="I2736">
        <v>5.3</v>
      </c>
      <c r="J2736">
        <v>9.43</v>
      </c>
      <c r="K2736">
        <v>79.8</v>
      </c>
      <c r="L2736" t="s">
        <v>5025</v>
      </c>
      <c r="M2736">
        <v>6</v>
      </c>
      <c r="N2736">
        <v>0</v>
      </c>
      <c r="O2736">
        <v>0</v>
      </c>
    </row>
    <row r="2737" spans="1:15" x14ac:dyDescent="0.3">
      <c r="A2737" t="s">
        <v>2750</v>
      </c>
      <c r="B2737">
        <v>6</v>
      </c>
      <c r="C2737">
        <v>20</v>
      </c>
      <c r="D2737" t="s">
        <v>5016</v>
      </c>
      <c r="E2737" t="s">
        <v>5018</v>
      </c>
      <c r="F2737" t="s">
        <v>5024</v>
      </c>
      <c r="G2737">
        <v>15.57</v>
      </c>
      <c r="H2737">
        <v>2</v>
      </c>
      <c r="I2737">
        <v>6.1</v>
      </c>
      <c r="J2737">
        <v>8.91</v>
      </c>
      <c r="K2737">
        <v>37.6</v>
      </c>
      <c r="L2737" t="s">
        <v>5027</v>
      </c>
      <c r="M2737">
        <v>1</v>
      </c>
      <c r="N2737">
        <v>1</v>
      </c>
      <c r="O2737">
        <v>0</v>
      </c>
    </row>
    <row r="2738" spans="1:15" x14ac:dyDescent="0.3">
      <c r="A2738" t="s">
        <v>2751</v>
      </c>
      <c r="B2738">
        <v>8</v>
      </c>
      <c r="C2738">
        <v>22</v>
      </c>
      <c r="D2738" t="s">
        <v>5016</v>
      </c>
      <c r="E2738" t="s">
        <v>5019</v>
      </c>
      <c r="F2738" t="s">
        <v>5021</v>
      </c>
      <c r="G2738">
        <v>24.5</v>
      </c>
      <c r="H2738">
        <v>5</v>
      </c>
      <c r="I2738">
        <v>1.1000000000000001</v>
      </c>
      <c r="J2738">
        <v>13.7</v>
      </c>
      <c r="K2738">
        <v>53.2</v>
      </c>
      <c r="L2738" t="s">
        <v>5028</v>
      </c>
      <c r="M2738">
        <v>5</v>
      </c>
      <c r="N2738">
        <v>1</v>
      </c>
      <c r="O2738">
        <v>0</v>
      </c>
    </row>
    <row r="2739" spans="1:15" x14ac:dyDescent="0.3">
      <c r="A2739" t="s">
        <v>2752</v>
      </c>
      <c r="B2739">
        <v>10</v>
      </c>
      <c r="C2739">
        <v>40</v>
      </c>
      <c r="D2739" t="s">
        <v>5016</v>
      </c>
      <c r="E2739" t="s">
        <v>5019</v>
      </c>
      <c r="F2739" t="s">
        <v>5021</v>
      </c>
      <c r="G2739">
        <v>16.79</v>
      </c>
      <c r="H2739">
        <v>3</v>
      </c>
      <c r="I2739">
        <v>2.9</v>
      </c>
      <c r="J2739">
        <v>13.43</v>
      </c>
      <c r="K2739">
        <v>72.8</v>
      </c>
      <c r="L2739" t="s">
        <v>5029</v>
      </c>
      <c r="M2739">
        <v>10</v>
      </c>
      <c r="N2739">
        <v>4</v>
      </c>
      <c r="O2739">
        <v>0</v>
      </c>
    </row>
    <row r="2740" spans="1:15" x14ac:dyDescent="0.3">
      <c r="A2740" t="s">
        <v>2753</v>
      </c>
      <c r="B2740">
        <v>6</v>
      </c>
      <c r="C2740">
        <v>54</v>
      </c>
      <c r="D2740" t="s">
        <v>5015</v>
      </c>
      <c r="E2740" t="s">
        <v>5019</v>
      </c>
      <c r="F2740" t="s">
        <v>5023</v>
      </c>
      <c r="G2740">
        <v>15.45</v>
      </c>
      <c r="H2740">
        <v>3</v>
      </c>
      <c r="I2740">
        <v>9.1</v>
      </c>
      <c r="J2740">
        <v>9.65</v>
      </c>
      <c r="K2740">
        <v>16.399999999999999</v>
      </c>
      <c r="L2740" t="s">
        <v>5029</v>
      </c>
      <c r="M2740">
        <v>2</v>
      </c>
      <c r="N2740">
        <v>0</v>
      </c>
      <c r="O2740">
        <v>1</v>
      </c>
    </row>
    <row r="2741" spans="1:15" x14ac:dyDescent="0.3">
      <c r="A2741" t="s">
        <v>2754</v>
      </c>
      <c r="B2741">
        <v>12</v>
      </c>
      <c r="C2741">
        <v>26</v>
      </c>
      <c r="D2741" t="s">
        <v>5016</v>
      </c>
      <c r="E2741" t="s">
        <v>5019</v>
      </c>
      <c r="F2741" t="s">
        <v>5021</v>
      </c>
      <c r="G2741">
        <v>18.47</v>
      </c>
      <c r="H2741">
        <v>2</v>
      </c>
      <c r="I2741">
        <v>1.2</v>
      </c>
      <c r="J2741">
        <v>8.8000000000000007</v>
      </c>
      <c r="K2741">
        <v>84.9</v>
      </c>
      <c r="L2741" t="s">
        <v>5025</v>
      </c>
      <c r="M2741">
        <v>1</v>
      </c>
      <c r="N2741">
        <v>2</v>
      </c>
      <c r="O2741">
        <v>1</v>
      </c>
    </row>
    <row r="2742" spans="1:15" x14ac:dyDescent="0.3">
      <c r="A2742" t="s">
        <v>2755</v>
      </c>
      <c r="B2742">
        <v>1</v>
      </c>
      <c r="C2742">
        <v>32</v>
      </c>
      <c r="D2742" t="s">
        <v>5016</v>
      </c>
      <c r="E2742" t="s">
        <v>5018</v>
      </c>
      <c r="F2742" t="s">
        <v>5021</v>
      </c>
      <c r="G2742">
        <v>6.48</v>
      </c>
      <c r="H2742">
        <v>5</v>
      </c>
      <c r="I2742">
        <v>9.1</v>
      </c>
      <c r="J2742">
        <v>23.99</v>
      </c>
      <c r="K2742">
        <v>13.7</v>
      </c>
      <c r="L2742" t="s">
        <v>5029</v>
      </c>
      <c r="M2742">
        <v>11</v>
      </c>
      <c r="N2742">
        <v>0</v>
      </c>
      <c r="O2742">
        <v>0</v>
      </c>
    </row>
    <row r="2743" spans="1:15" x14ac:dyDescent="0.3">
      <c r="A2743" t="s">
        <v>2756</v>
      </c>
      <c r="B2743">
        <v>8</v>
      </c>
      <c r="C2743">
        <v>20</v>
      </c>
      <c r="D2743" t="s">
        <v>5016</v>
      </c>
      <c r="E2743" t="s">
        <v>5018</v>
      </c>
      <c r="F2743" t="s">
        <v>5022</v>
      </c>
      <c r="G2743">
        <v>21.31</v>
      </c>
      <c r="H2743">
        <v>2</v>
      </c>
      <c r="I2743">
        <v>2</v>
      </c>
      <c r="J2743">
        <v>21.97</v>
      </c>
      <c r="K2743">
        <v>33.6</v>
      </c>
      <c r="L2743" t="s">
        <v>5027</v>
      </c>
      <c r="M2743">
        <v>9</v>
      </c>
      <c r="N2743">
        <v>3</v>
      </c>
      <c r="O2743">
        <v>0</v>
      </c>
    </row>
    <row r="2744" spans="1:15" x14ac:dyDescent="0.3">
      <c r="A2744" t="s">
        <v>2757</v>
      </c>
      <c r="B2744">
        <v>8</v>
      </c>
      <c r="C2744">
        <v>46</v>
      </c>
      <c r="D2744" t="s">
        <v>5016</v>
      </c>
      <c r="E2744" t="s">
        <v>5018</v>
      </c>
      <c r="F2744" t="s">
        <v>5023</v>
      </c>
      <c r="G2744">
        <v>17.940000000000001</v>
      </c>
      <c r="H2744">
        <v>2</v>
      </c>
      <c r="I2744">
        <v>2.2000000000000002</v>
      </c>
      <c r="J2744">
        <v>20.97</v>
      </c>
      <c r="K2744">
        <v>78.7</v>
      </c>
      <c r="L2744" t="s">
        <v>5027</v>
      </c>
      <c r="M2744">
        <v>6</v>
      </c>
      <c r="N2744">
        <v>4</v>
      </c>
      <c r="O2744">
        <v>0</v>
      </c>
    </row>
    <row r="2745" spans="1:15" x14ac:dyDescent="0.3">
      <c r="A2745" t="s">
        <v>2758</v>
      </c>
      <c r="B2745">
        <v>9</v>
      </c>
      <c r="C2745">
        <v>23</v>
      </c>
      <c r="D2745" t="s">
        <v>5015</v>
      </c>
      <c r="E2745" t="s">
        <v>5018</v>
      </c>
      <c r="F2745" t="s">
        <v>5023</v>
      </c>
      <c r="G2745">
        <v>8.42</v>
      </c>
      <c r="H2745">
        <v>1</v>
      </c>
      <c r="I2745">
        <v>2.6</v>
      </c>
      <c r="J2745">
        <v>7.71</v>
      </c>
      <c r="K2745">
        <v>92.1</v>
      </c>
      <c r="L2745" t="s">
        <v>5025</v>
      </c>
      <c r="M2745">
        <v>1</v>
      </c>
      <c r="N2745">
        <v>3</v>
      </c>
      <c r="O2745">
        <v>1</v>
      </c>
    </row>
    <row r="2746" spans="1:15" x14ac:dyDescent="0.3">
      <c r="A2746" t="s">
        <v>2759</v>
      </c>
      <c r="B2746">
        <v>9</v>
      </c>
      <c r="C2746">
        <v>34</v>
      </c>
      <c r="D2746" t="s">
        <v>5015</v>
      </c>
      <c r="E2746" t="s">
        <v>5018</v>
      </c>
      <c r="F2746" t="s">
        <v>5023</v>
      </c>
      <c r="G2746">
        <v>17.61</v>
      </c>
      <c r="H2746">
        <v>5</v>
      </c>
      <c r="I2746">
        <v>8.1999999999999993</v>
      </c>
      <c r="J2746">
        <v>7.16</v>
      </c>
      <c r="K2746">
        <v>78.400000000000006</v>
      </c>
      <c r="L2746" t="s">
        <v>5026</v>
      </c>
      <c r="M2746">
        <v>10</v>
      </c>
      <c r="N2746">
        <v>2</v>
      </c>
      <c r="O2746">
        <v>0</v>
      </c>
    </row>
    <row r="2747" spans="1:15" x14ac:dyDescent="0.3">
      <c r="A2747" t="s">
        <v>2760</v>
      </c>
      <c r="B2747">
        <v>2</v>
      </c>
      <c r="C2747">
        <v>43</v>
      </c>
      <c r="D2747" t="s">
        <v>5015</v>
      </c>
      <c r="E2747" t="s">
        <v>5018</v>
      </c>
      <c r="F2747" t="s">
        <v>5021</v>
      </c>
      <c r="G2747">
        <v>16.920000000000002</v>
      </c>
      <c r="H2747">
        <v>1</v>
      </c>
      <c r="I2747">
        <v>5.3</v>
      </c>
      <c r="J2747">
        <v>20.81</v>
      </c>
      <c r="K2747">
        <v>30.4</v>
      </c>
      <c r="L2747" t="s">
        <v>5026</v>
      </c>
      <c r="M2747">
        <v>9</v>
      </c>
      <c r="N2747">
        <v>1</v>
      </c>
      <c r="O2747">
        <v>1</v>
      </c>
    </row>
    <row r="2748" spans="1:15" x14ac:dyDescent="0.3">
      <c r="A2748" t="s">
        <v>2761</v>
      </c>
      <c r="B2748">
        <v>2</v>
      </c>
      <c r="C2748">
        <v>38</v>
      </c>
      <c r="D2748" t="s">
        <v>5016</v>
      </c>
      <c r="E2748" t="s">
        <v>5019</v>
      </c>
      <c r="F2748" t="s">
        <v>5021</v>
      </c>
      <c r="G2748">
        <v>6.3</v>
      </c>
      <c r="H2748">
        <v>1</v>
      </c>
      <c r="I2748">
        <v>2.2999999999999998</v>
      </c>
      <c r="J2748">
        <v>7.06</v>
      </c>
      <c r="K2748">
        <v>98.7</v>
      </c>
      <c r="L2748" t="s">
        <v>5029</v>
      </c>
      <c r="M2748">
        <v>9</v>
      </c>
      <c r="N2748">
        <v>1</v>
      </c>
      <c r="O2748">
        <v>1</v>
      </c>
    </row>
    <row r="2749" spans="1:15" x14ac:dyDescent="0.3">
      <c r="A2749" t="s">
        <v>2762</v>
      </c>
      <c r="B2749">
        <v>3</v>
      </c>
      <c r="C2749">
        <v>25</v>
      </c>
      <c r="D2749" t="s">
        <v>5016</v>
      </c>
      <c r="E2749" t="s">
        <v>5019</v>
      </c>
      <c r="F2749" t="s">
        <v>5024</v>
      </c>
      <c r="G2749">
        <v>10.34</v>
      </c>
      <c r="H2749">
        <v>1</v>
      </c>
      <c r="I2749">
        <v>7.2</v>
      </c>
      <c r="J2749">
        <v>14.08</v>
      </c>
      <c r="K2749">
        <v>47.2</v>
      </c>
      <c r="L2749" t="s">
        <v>5029</v>
      </c>
      <c r="M2749">
        <v>7</v>
      </c>
      <c r="N2749">
        <v>1</v>
      </c>
      <c r="O2749">
        <v>0</v>
      </c>
    </row>
    <row r="2750" spans="1:15" x14ac:dyDescent="0.3">
      <c r="A2750" t="s">
        <v>2763</v>
      </c>
      <c r="B2750">
        <v>1</v>
      </c>
      <c r="C2750">
        <v>38</v>
      </c>
      <c r="D2750" t="s">
        <v>5016</v>
      </c>
      <c r="E2750" t="s">
        <v>5018</v>
      </c>
      <c r="F2750" t="s">
        <v>5020</v>
      </c>
      <c r="G2750">
        <v>12.82</v>
      </c>
      <c r="H2750">
        <v>4</v>
      </c>
      <c r="I2750">
        <v>9.5</v>
      </c>
      <c r="J2750">
        <v>7.87</v>
      </c>
      <c r="K2750">
        <v>43.9</v>
      </c>
      <c r="L2750" t="s">
        <v>5025</v>
      </c>
      <c r="M2750">
        <v>9</v>
      </c>
      <c r="N2750">
        <v>2</v>
      </c>
      <c r="O2750">
        <v>0</v>
      </c>
    </row>
    <row r="2751" spans="1:15" x14ac:dyDescent="0.3">
      <c r="A2751" t="s">
        <v>2764</v>
      </c>
      <c r="B2751">
        <v>4</v>
      </c>
      <c r="C2751">
        <v>28</v>
      </c>
      <c r="D2751" t="s">
        <v>5016</v>
      </c>
      <c r="E2751" t="s">
        <v>5019</v>
      </c>
      <c r="F2751" t="s">
        <v>5020</v>
      </c>
      <c r="G2751">
        <v>9.9</v>
      </c>
      <c r="H2751">
        <v>3</v>
      </c>
      <c r="I2751">
        <v>6.2</v>
      </c>
      <c r="J2751">
        <v>11.32</v>
      </c>
      <c r="K2751">
        <v>87.9</v>
      </c>
      <c r="L2751" t="s">
        <v>5027</v>
      </c>
      <c r="M2751">
        <v>1</v>
      </c>
      <c r="N2751">
        <v>3</v>
      </c>
      <c r="O2751">
        <v>0</v>
      </c>
    </row>
    <row r="2752" spans="1:15" x14ac:dyDescent="0.3">
      <c r="A2752" t="s">
        <v>2765</v>
      </c>
      <c r="B2752">
        <v>4</v>
      </c>
      <c r="C2752">
        <v>55</v>
      </c>
      <c r="D2752" t="s">
        <v>5016</v>
      </c>
      <c r="E2752" t="s">
        <v>5017</v>
      </c>
      <c r="F2752" t="s">
        <v>5020</v>
      </c>
      <c r="G2752">
        <v>9.86</v>
      </c>
      <c r="H2752">
        <v>3</v>
      </c>
      <c r="I2752">
        <v>1.9</v>
      </c>
      <c r="J2752">
        <v>21.78</v>
      </c>
      <c r="K2752">
        <v>16</v>
      </c>
      <c r="L2752" t="s">
        <v>5025</v>
      </c>
      <c r="M2752">
        <v>3</v>
      </c>
      <c r="N2752">
        <v>2</v>
      </c>
      <c r="O2752">
        <v>0</v>
      </c>
    </row>
    <row r="2753" spans="1:15" x14ac:dyDescent="0.3">
      <c r="A2753" t="s">
        <v>2766</v>
      </c>
      <c r="B2753">
        <v>9</v>
      </c>
      <c r="C2753">
        <v>25</v>
      </c>
      <c r="D2753" t="s">
        <v>5016</v>
      </c>
      <c r="E2753" t="s">
        <v>5017</v>
      </c>
      <c r="F2753" t="s">
        <v>5022</v>
      </c>
      <c r="G2753">
        <v>16.46</v>
      </c>
      <c r="H2753">
        <v>4</v>
      </c>
      <c r="I2753">
        <v>1.5</v>
      </c>
      <c r="J2753">
        <v>22.61</v>
      </c>
      <c r="K2753">
        <v>60</v>
      </c>
      <c r="L2753" t="s">
        <v>5026</v>
      </c>
      <c r="M2753">
        <v>8</v>
      </c>
      <c r="N2753">
        <v>2</v>
      </c>
      <c r="O2753">
        <v>0</v>
      </c>
    </row>
    <row r="2754" spans="1:15" x14ac:dyDescent="0.3">
      <c r="A2754" t="s">
        <v>2767</v>
      </c>
      <c r="B2754">
        <v>9</v>
      </c>
      <c r="C2754">
        <v>59</v>
      </c>
      <c r="D2754" t="s">
        <v>5015</v>
      </c>
      <c r="E2754" t="s">
        <v>5018</v>
      </c>
      <c r="F2754" t="s">
        <v>5021</v>
      </c>
      <c r="G2754">
        <v>14.42</v>
      </c>
      <c r="H2754">
        <v>2</v>
      </c>
      <c r="I2754">
        <v>8.1999999999999993</v>
      </c>
      <c r="J2754">
        <v>24.93</v>
      </c>
      <c r="K2754">
        <v>96.9</v>
      </c>
      <c r="L2754" t="s">
        <v>5027</v>
      </c>
      <c r="M2754">
        <v>3</v>
      </c>
      <c r="N2754">
        <v>3</v>
      </c>
      <c r="O2754">
        <v>1</v>
      </c>
    </row>
    <row r="2755" spans="1:15" x14ac:dyDescent="0.3">
      <c r="A2755" t="s">
        <v>2768</v>
      </c>
      <c r="B2755">
        <v>9</v>
      </c>
      <c r="C2755">
        <v>41</v>
      </c>
      <c r="D2755" t="s">
        <v>5015</v>
      </c>
      <c r="E2755" t="s">
        <v>5018</v>
      </c>
      <c r="F2755" t="s">
        <v>5024</v>
      </c>
      <c r="G2755">
        <v>18.350000000000001</v>
      </c>
      <c r="H2755">
        <v>5</v>
      </c>
      <c r="I2755">
        <v>6.6</v>
      </c>
      <c r="J2755">
        <v>23.77</v>
      </c>
      <c r="K2755">
        <v>19</v>
      </c>
      <c r="L2755" t="s">
        <v>5029</v>
      </c>
      <c r="M2755">
        <v>8</v>
      </c>
      <c r="N2755">
        <v>1</v>
      </c>
      <c r="O2755">
        <v>0</v>
      </c>
    </row>
    <row r="2756" spans="1:15" x14ac:dyDescent="0.3">
      <c r="A2756" t="s">
        <v>2769</v>
      </c>
      <c r="B2756">
        <v>10</v>
      </c>
      <c r="C2756">
        <v>52</v>
      </c>
      <c r="D2756" t="s">
        <v>5016</v>
      </c>
      <c r="E2756" t="s">
        <v>5017</v>
      </c>
      <c r="F2756" t="s">
        <v>5024</v>
      </c>
      <c r="G2756">
        <v>24.13</v>
      </c>
      <c r="H2756">
        <v>5</v>
      </c>
      <c r="I2756">
        <v>9.3000000000000007</v>
      </c>
      <c r="J2756">
        <v>17.77</v>
      </c>
      <c r="K2756">
        <v>58.7</v>
      </c>
      <c r="L2756" t="s">
        <v>5026</v>
      </c>
      <c r="M2756">
        <v>3</v>
      </c>
      <c r="N2756">
        <v>4</v>
      </c>
      <c r="O2756">
        <v>0</v>
      </c>
    </row>
    <row r="2757" spans="1:15" x14ac:dyDescent="0.3">
      <c r="A2757" t="s">
        <v>2770</v>
      </c>
      <c r="B2757">
        <v>7</v>
      </c>
      <c r="C2757">
        <v>31</v>
      </c>
      <c r="D2757" t="s">
        <v>5015</v>
      </c>
      <c r="E2757" t="s">
        <v>5019</v>
      </c>
      <c r="F2757" t="s">
        <v>5020</v>
      </c>
      <c r="G2757">
        <v>18.21</v>
      </c>
      <c r="H2757">
        <v>5</v>
      </c>
      <c r="I2757">
        <v>5.9</v>
      </c>
      <c r="J2757">
        <v>12.5</v>
      </c>
      <c r="K2757">
        <v>21.9</v>
      </c>
      <c r="L2757" t="s">
        <v>5028</v>
      </c>
      <c r="M2757">
        <v>4</v>
      </c>
      <c r="N2757">
        <v>2</v>
      </c>
      <c r="O2757">
        <v>0</v>
      </c>
    </row>
    <row r="2758" spans="1:15" x14ac:dyDescent="0.3">
      <c r="A2758" t="s">
        <v>2771</v>
      </c>
      <c r="B2758">
        <v>2</v>
      </c>
      <c r="C2758">
        <v>31</v>
      </c>
      <c r="D2758" t="s">
        <v>5016</v>
      </c>
      <c r="E2758" t="s">
        <v>5018</v>
      </c>
      <c r="F2758" t="s">
        <v>5022</v>
      </c>
      <c r="G2758">
        <v>16.64</v>
      </c>
      <c r="H2758">
        <v>1</v>
      </c>
      <c r="I2758">
        <v>1.6</v>
      </c>
      <c r="J2758">
        <v>4.2699999999999996</v>
      </c>
      <c r="K2758">
        <v>90.1</v>
      </c>
      <c r="L2758" t="s">
        <v>5026</v>
      </c>
      <c r="M2758">
        <v>4</v>
      </c>
      <c r="N2758">
        <v>2</v>
      </c>
      <c r="O2758">
        <v>1</v>
      </c>
    </row>
    <row r="2759" spans="1:15" x14ac:dyDescent="0.3">
      <c r="A2759" t="s">
        <v>2772</v>
      </c>
      <c r="B2759">
        <v>10</v>
      </c>
      <c r="C2759">
        <v>27</v>
      </c>
      <c r="D2759" t="s">
        <v>5016</v>
      </c>
      <c r="E2759" t="s">
        <v>5018</v>
      </c>
      <c r="F2759" t="s">
        <v>5022</v>
      </c>
      <c r="G2759">
        <v>21.95</v>
      </c>
      <c r="H2759">
        <v>5</v>
      </c>
      <c r="I2759">
        <v>4.5999999999999996</v>
      </c>
      <c r="J2759">
        <v>16.38</v>
      </c>
      <c r="K2759">
        <v>62.9</v>
      </c>
      <c r="L2759" t="s">
        <v>5027</v>
      </c>
      <c r="M2759">
        <v>5</v>
      </c>
      <c r="N2759">
        <v>3</v>
      </c>
      <c r="O2759">
        <v>0</v>
      </c>
    </row>
    <row r="2760" spans="1:15" x14ac:dyDescent="0.3">
      <c r="A2760" t="s">
        <v>2773</v>
      </c>
      <c r="B2760">
        <v>5</v>
      </c>
      <c r="C2760">
        <v>29</v>
      </c>
      <c r="D2760" t="s">
        <v>5015</v>
      </c>
      <c r="E2760" t="s">
        <v>5017</v>
      </c>
      <c r="F2760" t="s">
        <v>5020</v>
      </c>
      <c r="G2760">
        <v>17.64</v>
      </c>
      <c r="H2760">
        <v>5</v>
      </c>
      <c r="I2760">
        <v>6.9</v>
      </c>
      <c r="J2760">
        <v>7.63</v>
      </c>
      <c r="K2760">
        <v>31.1</v>
      </c>
      <c r="L2760" t="s">
        <v>5027</v>
      </c>
      <c r="M2760">
        <v>10</v>
      </c>
      <c r="N2760">
        <v>4</v>
      </c>
      <c r="O2760">
        <v>1</v>
      </c>
    </row>
    <row r="2761" spans="1:15" x14ac:dyDescent="0.3">
      <c r="A2761" t="s">
        <v>2774</v>
      </c>
      <c r="B2761">
        <v>4</v>
      </c>
      <c r="C2761">
        <v>55</v>
      </c>
      <c r="D2761" t="s">
        <v>5016</v>
      </c>
      <c r="E2761" t="s">
        <v>5017</v>
      </c>
      <c r="F2761" t="s">
        <v>5020</v>
      </c>
      <c r="G2761">
        <v>8.31</v>
      </c>
      <c r="H2761">
        <v>5</v>
      </c>
      <c r="I2761">
        <v>4.5</v>
      </c>
      <c r="J2761">
        <v>21.7</v>
      </c>
      <c r="K2761">
        <v>37.6</v>
      </c>
      <c r="L2761" t="s">
        <v>5025</v>
      </c>
      <c r="M2761">
        <v>10</v>
      </c>
      <c r="N2761">
        <v>2</v>
      </c>
      <c r="O2761">
        <v>0</v>
      </c>
    </row>
    <row r="2762" spans="1:15" x14ac:dyDescent="0.3">
      <c r="A2762" t="s">
        <v>2775</v>
      </c>
      <c r="B2762">
        <v>12</v>
      </c>
      <c r="C2762">
        <v>61</v>
      </c>
      <c r="D2762" t="s">
        <v>5015</v>
      </c>
      <c r="E2762" t="s">
        <v>5019</v>
      </c>
      <c r="F2762" t="s">
        <v>5021</v>
      </c>
      <c r="G2762">
        <v>11.29</v>
      </c>
      <c r="H2762">
        <v>3</v>
      </c>
      <c r="I2762">
        <v>10</v>
      </c>
      <c r="J2762">
        <v>15.08</v>
      </c>
      <c r="K2762">
        <v>56.5</v>
      </c>
      <c r="L2762" t="s">
        <v>5027</v>
      </c>
      <c r="M2762">
        <v>11</v>
      </c>
      <c r="N2762">
        <v>0</v>
      </c>
      <c r="O2762">
        <v>0</v>
      </c>
    </row>
    <row r="2763" spans="1:15" x14ac:dyDescent="0.3">
      <c r="A2763" t="s">
        <v>2776</v>
      </c>
      <c r="B2763">
        <v>11</v>
      </c>
      <c r="C2763">
        <v>63</v>
      </c>
      <c r="D2763" t="s">
        <v>5016</v>
      </c>
      <c r="E2763" t="s">
        <v>5018</v>
      </c>
      <c r="F2763" t="s">
        <v>5022</v>
      </c>
      <c r="G2763">
        <v>19.670000000000002</v>
      </c>
      <c r="H2763">
        <v>4</v>
      </c>
      <c r="I2763">
        <v>4.5999999999999996</v>
      </c>
      <c r="J2763">
        <v>19.14</v>
      </c>
      <c r="K2763">
        <v>75.3</v>
      </c>
      <c r="L2763" t="s">
        <v>5028</v>
      </c>
      <c r="M2763">
        <v>4</v>
      </c>
      <c r="N2763">
        <v>4</v>
      </c>
      <c r="O2763">
        <v>1</v>
      </c>
    </row>
    <row r="2764" spans="1:15" x14ac:dyDescent="0.3">
      <c r="A2764" t="s">
        <v>2777</v>
      </c>
      <c r="B2764">
        <v>8</v>
      </c>
      <c r="C2764">
        <v>51</v>
      </c>
      <c r="D2764" t="s">
        <v>5016</v>
      </c>
      <c r="E2764" t="s">
        <v>5019</v>
      </c>
      <c r="F2764" t="s">
        <v>5024</v>
      </c>
      <c r="G2764">
        <v>19.77</v>
      </c>
      <c r="H2764">
        <v>2</v>
      </c>
      <c r="I2764">
        <v>5.9</v>
      </c>
      <c r="J2764">
        <v>17.82</v>
      </c>
      <c r="K2764">
        <v>53.9</v>
      </c>
      <c r="L2764" t="s">
        <v>5028</v>
      </c>
      <c r="M2764">
        <v>7</v>
      </c>
      <c r="N2764">
        <v>2</v>
      </c>
      <c r="O2764">
        <v>0</v>
      </c>
    </row>
    <row r="2765" spans="1:15" x14ac:dyDescent="0.3">
      <c r="A2765" t="s">
        <v>2778</v>
      </c>
      <c r="B2765">
        <v>2</v>
      </c>
      <c r="C2765">
        <v>58</v>
      </c>
      <c r="D2765" t="s">
        <v>5015</v>
      </c>
      <c r="E2765" t="s">
        <v>5019</v>
      </c>
      <c r="F2765" t="s">
        <v>5020</v>
      </c>
      <c r="G2765">
        <v>24.74</v>
      </c>
      <c r="H2765">
        <v>4</v>
      </c>
      <c r="I2765">
        <v>3</v>
      </c>
      <c r="J2765">
        <v>10.64</v>
      </c>
      <c r="K2765">
        <v>27</v>
      </c>
      <c r="L2765" t="s">
        <v>5027</v>
      </c>
      <c r="M2765">
        <v>11</v>
      </c>
      <c r="N2765">
        <v>4</v>
      </c>
      <c r="O2765">
        <v>0</v>
      </c>
    </row>
    <row r="2766" spans="1:15" x14ac:dyDescent="0.3">
      <c r="A2766" t="s">
        <v>2779</v>
      </c>
      <c r="B2766">
        <v>6</v>
      </c>
      <c r="C2766">
        <v>27</v>
      </c>
      <c r="D2766" t="s">
        <v>5016</v>
      </c>
      <c r="E2766" t="s">
        <v>5018</v>
      </c>
      <c r="F2766" t="s">
        <v>5021</v>
      </c>
      <c r="G2766">
        <v>17.54</v>
      </c>
      <c r="H2766">
        <v>5</v>
      </c>
      <c r="I2766">
        <v>2.4</v>
      </c>
      <c r="J2766">
        <v>19.7</v>
      </c>
      <c r="K2766">
        <v>73.7</v>
      </c>
      <c r="L2766" t="s">
        <v>5029</v>
      </c>
      <c r="M2766">
        <v>4</v>
      </c>
      <c r="N2766">
        <v>0</v>
      </c>
      <c r="O2766">
        <v>0</v>
      </c>
    </row>
    <row r="2767" spans="1:15" x14ac:dyDescent="0.3">
      <c r="A2767" t="s">
        <v>2780</v>
      </c>
      <c r="B2767">
        <v>5</v>
      </c>
      <c r="C2767">
        <v>34</v>
      </c>
      <c r="D2767" t="s">
        <v>5016</v>
      </c>
      <c r="E2767" t="s">
        <v>5017</v>
      </c>
      <c r="F2767" t="s">
        <v>5024</v>
      </c>
      <c r="G2767">
        <v>22.99</v>
      </c>
      <c r="H2767">
        <v>2</v>
      </c>
      <c r="I2767">
        <v>6.8</v>
      </c>
      <c r="J2767">
        <v>21.55</v>
      </c>
      <c r="K2767">
        <v>20.7</v>
      </c>
      <c r="L2767" t="s">
        <v>5027</v>
      </c>
      <c r="M2767">
        <v>11</v>
      </c>
      <c r="N2767">
        <v>0</v>
      </c>
      <c r="O2767">
        <v>1</v>
      </c>
    </row>
    <row r="2768" spans="1:15" x14ac:dyDescent="0.3">
      <c r="A2768" t="s">
        <v>2781</v>
      </c>
      <c r="B2768">
        <v>12</v>
      </c>
      <c r="C2768">
        <v>34</v>
      </c>
      <c r="D2768" t="s">
        <v>5016</v>
      </c>
      <c r="E2768" t="s">
        <v>5019</v>
      </c>
      <c r="F2768" t="s">
        <v>5022</v>
      </c>
      <c r="G2768">
        <v>6.09</v>
      </c>
      <c r="H2768">
        <v>2</v>
      </c>
      <c r="I2768">
        <v>6.3</v>
      </c>
      <c r="J2768">
        <v>19.37</v>
      </c>
      <c r="K2768">
        <v>82.8</v>
      </c>
      <c r="L2768" t="s">
        <v>5029</v>
      </c>
      <c r="M2768">
        <v>1</v>
      </c>
      <c r="N2768">
        <v>4</v>
      </c>
      <c r="O2768">
        <v>0</v>
      </c>
    </row>
    <row r="2769" spans="1:15" x14ac:dyDescent="0.3">
      <c r="A2769" t="s">
        <v>2782</v>
      </c>
      <c r="B2769">
        <v>2</v>
      </c>
      <c r="C2769">
        <v>20</v>
      </c>
      <c r="D2769" t="s">
        <v>5015</v>
      </c>
      <c r="E2769" t="s">
        <v>5019</v>
      </c>
      <c r="F2769" t="s">
        <v>5020</v>
      </c>
      <c r="G2769">
        <v>16.32</v>
      </c>
      <c r="H2769">
        <v>4</v>
      </c>
      <c r="I2769">
        <v>1</v>
      </c>
      <c r="J2769">
        <v>20.09</v>
      </c>
      <c r="K2769">
        <v>45.6</v>
      </c>
      <c r="L2769" t="s">
        <v>5027</v>
      </c>
      <c r="M2769">
        <v>5</v>
      </c>
      <c r="N2769">
        <v>1</v>
      </c>
      <c r="O2769">
        <v>0</v>
      </c>
    </row>
    <row r="2770" spans="1:15" x14ac:dyDescent="0.3">
      <c r="A2770" t="s">
        <v>2783</v>
      </c>
      <c r="B2770">
        <v>11</v>
      </c>
      <c r="C2770">
        <v>48</v>
      </c>
      <c r="D2770" t="s">
        <v>5016</v>
      </c>
      <c r="E2770" t="s">
        <v>5018</v>
      </c>
      <c r="F2770" t="s">
        <v>5020</v>
      </c>
      <c r="G2770">
        <v>23.4</v>
      </c>
      <c r="H2770">
        <v>4</v>
      </c>
      <c r="I2770">
        <v>3.6</v>
      </c>
      <c r="J2770">
        <v>10.92</v>
      </c>
      <c r="K2770">
        <v>68.7</v>
      </c>
      <c r="L2770" t="s">
        <v>5026</v>
      </c>
      <c r="M2770">
        <v>8</v>
      </c>
      <c r="N2770">
        <v>4</v>
      </c>
      <c r="O2770">
        <v>0</v>
      </c>
    </row>
    <row r="2771" spans="1:15" x14ac:dyDescent="0.3">
      <c r="A2771" t="s">
        <v>2784</v>
      </c>
      <c r="B2771">
        <v>10</v>
      </c>
      <c r="C2771">
        <v>68</v>
      </c>
      <c r="D2771" t="s">
        <v>5016</v>
      </c>
      <c r="E2771" t="s">
        <v>5019</v>
      </c>
      <c r="F2771" t="s">
        <v>5021</v>
      </c>
      <c r="G2771">
        <v>10.74</v>
      </c>
      <c r="H2771">
        <v>4</v>
      </c>
      <c r="I2771">
        <v>6.8</v>
      </c>
      <c r="J2771">
        <v>23.76</v>
      </c>
      <c r="K2771">
        <v>41</v>
      </c>
      <c r="L2771" t="s">
        <v>5027</v>
      </c>
      <c r="M2771">
        <v>6</v>
      </c>
      <c r="N2771">
        <v>3</v>
      </c>
      <c r="O2771">
        <v>1</v>
      </c>
    </row>
    <row r="2772" spans="1:15" x14ac:dyDescent="0.3">
      <c r="A2772" t="s">
        <v>2785</v>
      </c>
      <c r="B2772">
        <v>1</v>
      </c>
      <c r="C2772">
        <v>18</v>
      </c>
      <c r="D2772" t="s">
        <v>5016</v>
      </c>
      <c r="E2772" t="s">
        <v>5019</v>
      </c>
      <c r="F2772" t="s">
        <v>5021</v>
      </c>
      <c r="G2772">
        <v>8.1</v>
      </c>
      <c r="H2772">
        <v>4</v>
      </c>
      <c r="I2772">
        <v>8.3000000000000007</v>
      </c>
      <c r="J2772">
        <v>12.34</v>
      </c>
      <c r="K2772">
        <v>70.2</v>
      </c>
      <c r="L2772" t="s">
        <v>5026</v>
      </c>
      <c r="M2772">
        <v>4</v>
      </c>
      <c r="N2772">
        <v>1</v>
      </c>
      <c r="O2772">
        <v>1</v>
      </c>
    </row>
    <row r="2773" spans="1:15" x14ac:dyDescent="0.3">
      <c r="A2773" t="s">
        <v>2786</v>
      </c>
      <c r="B2773">
        <v>8</v>
      </c>
      <c r="C2773">
        <v>29</v>
      </c>
      <c r="D2773" t="s">
        <v>5015</v>
      </c>
      <c r="E2773" t="s">
        <v>5018</v>
      </c>
      <c r="F2773" t="s">
        <v>5022</v>
      </c>
      <c r="G2773">
        <v>12.01</v>
      </c>
      <c r="H2773">
        <v>1</v>
      </c>
      <c r="I2773">
        <v>3.8</v>
      </c>
      <c r="J2773">
        <v>22.74</v>
      </c>
      <c r="K2773">
        <v>90</v>
      </c>
      <c r="L2773" t="s">
        <v>5029</v>
      </c>
      <c r="M2773">
        <v>4</v>
      </c>
      <c r="N2773">
        <v>0</v>
      </c>
      <c r="O2773">
        <v>0</v>
      </c>
    </row>
    <row r="2774" spans="1:15" x14ac:dyDescent="0.3">
      <c r="A2774" t="s">
        <v>2787</v>
      </c>
      <c r="B2774">
        <v>2</v>
      </c>
      <c r="C2774">
        <v>56</v>
      </c>
      <c r="D2774" t="s">
        <v>5015</v>
      </c>
      <c r="E2774" t="s">
        <v>5018</v>
      </c>
      <c r="F2774" t="s">
        <v>5020</v>
      </c>
      <c r="G2774">
        <v>20.84</v>
      </c>
      <c r="H2774">
        <v>3</v>
      </c>
      <c r="I2774">
        <v>6.8</v>
      </c>
      <c r="J2774">
        <v>21.87</v>
      </c>
      <c r="K2774">
        <v>73.099999999999994</v>
      </c>
      <c r="L2774" t="s">
        <v>5027</v>
      </c>
      <c r="M2774">
        <v>1</v>
      </c>
      <c r="N2774">
        <v>1</v>
      </c>
      <c r="O2774">
        <v>0</v>
      </c>
    </row>
    <row r="2775" spans="1:15" x14ac:dyDescent="0.3">
      <c r="A2775" t="s">
        <v>2788</v>
      </c>
      <c r="B2775">
        <v>7</v>
      </c>
      <c r="C2775">
        <v>21</v>
      </c>
      <c r="D2775" t="s">
        <v>5015</v>
      </c>
      <c r="E2775" t="s">
        <v>5019</v>
      </c>
      <c r="F2775" t="s">
        <v>5021</v>
      </c>
      <c r="G2775">
        <v>6.69</v>
      </c>
      <c r="H2775">
        <v>3</v>
      </c>
      <c r="I2775">
        <v>3.4</v>
      </c>
      <c r="J2775">
        <v>5.74</v>
      </c>
      <c r="K2775">
        <v>70.400000000000006</v>
      </c>
      <c r="L2775" t="s">
        <v>5029</v>
      </c>
      <c r="M2775">
        <v>10</v>
      </c>
      <c r="N2775">
        <v>0</v>
      </c>
      <c r="O2775">
        <v>0</v>
      </c>
    </row>
    <row r="2776" spans="1:15" x14ac:dyDescent="0.3">
      <c r="A2776" t="s">
        <v>2789</v>
      </c>
      <c r="B2776">
        <v>9</v>
      </c>
      <c r="C2776">
        <v>59</v>
      </c>
      <c r="D2776" t="s">
        <v>5015</v>
      </c>
      <c r="E2776" t="s">
        <v>5018</v>
      </c>
      <c r="F2776" t="s">
        <v>5020</v>
      </c>
      <c r="G2776">
        <v>17.010000000000002</v>
      </c>
      <c r="H2776">
        <v>5</v>
      </c>
      <c r="I2776">
        <v>7.2</v>
      </c>
      <c r="J2776">
        <v>24.26</v>
      </c>
      <c r="K2776">
        <v>78.2</v>
      </c>
      <c r="L2776" t="s">
        <v>5028</v>
      </c>
      <c r="M2776">
        <v>1</v>
      </c>
      <c r="N2776">
        <v>0</v>
      </c>
      <c r="O2776">
        <v>0</v>
      </c>
    </row>
    <row r="2777" spans="1:15" x14ac:dyDescent="0.3">
      <c r="A2777" t="s">
        <v>2790</v>
      </c>
      <c r="B2777">
        <v>9</v>
      </c>
      <c r="C2777">
        <v>30</v>
      </c>
      <c r="D2777" t="s">
        <v>5015</v>
      </c>
      <c r="E2777" t="s">
        <v>5017</v>
      </c>
      <c r="F2777" t="s">
        <v>5022</v>
      </c>
      <c r="G2777">
        <v>7.71</v>
      </c>
      <c r="H2777">
        <v>1</v>
      </c>
      <c r="I2777">
        <v>7.3</v>
      </c>
      <c r="J2777">
        <v>24.92</v>
      </c>
      <c r="K2777">
        <v>55</v>
      </c>
      <c r="L2777" t="s">
        <v>5025</v>
      </c>
      <c r="M2777">
        <v>3</v>
      </c>
      <c r="N2777">
        <v>0</v>
      </c>
      <c r="O2777">
        <v>1</v>
      </c>
    </row>
    <row r="2778" spans="1:15" x14ac:dyDescent="0.3">
      <c r="A2778" t="s">
        <v>2791</v>
      </c>
      <c r="B2778">
        <v>8</v>
      </c>
      <c r="C2778">
        <v>51</v>
      </c>
      <c r="D2778" t="s">
        <v>5016</v>
      </c>
      <c r="E2778" t="s">
        <v>5018</v>
      </c>
      <c r="F2778" t="s">
        <v>5020</v>
      </c>
      <c r="G2778">
        <v>13.71</v>
      </c>
      <c r="H2778">
        <v>2</v>
      </c>
      <c r="I2778">
        <v>2.2000000000000002</v>
      </c>
      <c r="J2778">
        <v>16.34</v>
      </c>
      <c r="K2778">
        <v>29.8</v>
      </c>
      <c r="L2778" t="s">
        <v>5029</v>
      </c>
      <c r="M2778">
        <v>4</v>
      </c>
      <c r="N2778">
        <v>3</v>
      </c>
      <c r="O2778">
        <v>1</v>
      </c>
    </row>
    <row r="2779" spans="1:15" x14ac:dyDescent="0.3">
      <c r="A2779" t="s">
        <v>2792</v>
      </c>
      <c r="B2779">
        <v>11</v>
      </c>
      <c r="C2779">
        <v>59</v>
      </c>
      <c r="D2779" t="s">
        <v>5015</v>
      </c>
      <c r="E2779" t="s">
        <v>5017</v>
      </c>
      <c r="F2779" t="s">
        <v>5024</v>
      </c>
      <c r="G2779">
        <v>24.32</v>
      </c>
      <c r="H2779">
        <v>4</v>
      </c>
      <c r="I2779">
        <v>7</v>
      </c>
      <c r="J2779">
        <v>20.23</v>
      </c>
      <c r="K2779">
        <v>83.4</v>
      </c>
      <c r="L2779" t="s">
        <v>5026</v>
      </c>
      <c r="M2779">
        <v>4</v>
      </c>
      <c r="N2779">
        <v>3</v>
      </c>
      <c r="O2779">
        <v>1</v>
      </c>
    </row>
    <row r="2780" spans="1:15" x14ac:dyDescent="0.3">
      <c r="A2780" t="s">
        <v>2793</v>
      </c>
      <c r="B2780">
        <v>12</v>
      </c>
      <c r="C2780">
        <v>38</v>
      </c>
      <c r="D2780" t="s">
        <v>5015</v>
      </c>
      <c r="E2780" t="s">
        <v>5017</v>
      </c>
      <c r="F2780" t="s">
        <v>5020</v>
      </c>
      <c r="G2780">
        <v>8.9</v>
      </c>
      <c r="H2780">
        <v>5</v>
      </c>
      <c r="I2780">
        <v>4</v>
      </c>
      <c r="J2780">
        <v>23.54</v>
      </c>
      <c r="K2780">
        <v>68.400000000000006</v>
      </c>
      <c r="L2780" t="s">
        <v>5025</v>
      </c>
      <c r="M2780">
        <v>2</v>
      </c>
      <c r="N2780">
        <v>2</v>
      </c>
      <c r="O2780">
        <v>0</v>
      </c>
    </row>
    <row r="2781" spans="1:15" x14ac:dyDescent="0.3">
      <c r="A2781" t="s">
        <v>2794</v>
      </c>
      <c r="B2781">
        <v>10</v>
      </c>
      <c r="C2781">
        <v>39</v>
      </c>
      <c r="D2781" t="s">
        <v>5016</v>
      </c>
      <c r="E2781" t="s">
        <v>5019</v>
      </c>
      <c r="F2781" t="s">
        <v>5023</v>
      </c>
      <c r="G2781">
        <v>5.68</v>
      </c>
      <c r="H2781">
        <v>2</v>
      </c>
      <c r="I2781">
        <v>2.6</v>
      </c>
      <c r="J2781">
        <v>3.44</v>
      </c>
      <c r="K2781">
        <v>38.200000000000003</v>
      </c>
      <c r="L2781" t="s">
        <v>5027</v>
      </c>
      <c r="M2781">
        <v>11</v>
      </c>
      <c r="N2781">
        <v>3</v>
      </c>
      <c r="O2781">
        <v>1</v>
      </c>
    </row>
    <row r="2782" spans="1:15" x14ac:dyDescent="0.3">
      <c r="A2782" t="s">
        <v>2795</v>
      </c>
      <c r="B2782">
        <v>9</v>
      </c>
      <c r="C2782">
        <v>21</v>
      </c>
      <c r="D2782" t="s">
        <v>5015</v>
      </c>
      <c r="E2782" t="s">
        <v>5017</v>
      </c>
      <c r="F2782" t="s">
        <v>5023</v>
      </c>
      <c r="G2782">
        <v>13.54</v>
      </c>
      <c r="H2782">
        <v>3</v>
      </c>
      <c r="I2782">
        <v>5.5</v>
      </c>
      <c r="J2782">
        <v>23.46</v>
      </c>
      <c r="K2782">
        <v>34.799999999999997</v>
      </c>
      <c r="L2782" t="s">
        <v>5026</v>
      </c>
      <c r="M2782">
        <v>9</v>
      </c>
      <c r="N2782">
        <v>0</v>
      </c>
      <c r="O2782">
        <v>1</v>
      </c>
    </row>
    <row r="2783" spans="1:15" x14ac:dyDescent="0.3">
      <c r="A2783" t="s">
        <v>2796</v>
      </c>
      <c r="B2783">
        <v>2</v>
      </c>
      <c r="C2783">
        <v>35</v>
      </c>
      <c r="D2783" t="s">
        <v>5016</v>
      </c>
      <c r="E2783" t="s">
        <v>5017</v>
      </c>
      <c r="F2783" t="s">
        <v>5022</v>
      </c>
      <c r="G2783">
        <v>16.55</v>
      </c>
      <c r="H2783">
        <v>2</v>
      </c>
      <c r="I2783">
        <v>5.0999999999999996</v>
      </c>
      <c r="J2783">
        <v>16.8</v>
      </c>
      <c r="K2783">
        <v>55</v>
      </c>
      <c r="L2783" t="s">
        <v>5025</v>
      </c>
      <c r="M2783">
        <v>8</v>
      </c>
      <c r="N2783">
        <v>4</v>
      </c>
      <c r="O2783">
        <v>0</v>
      </c>
    </row>
    <row r="2784" spans="1:15" x14ac:dyDescent="0.3">
      <c r="A2784" t="s">
        <v>2797</v>
      </c>
      <c r="B2784">
        <v>6</v>
      </c>
      <c r="C2784">
        <v>22</v>
      </c>
      <c r="D2784" t="s">
        <v>5015</v>
      </c>
      <c r="E2784" t="s">
        <v>5018</v>
      </c>
      <c r="F2784" t="s">
        <v>5022</v>
      </c>
      <c r="G2784">
        <v>10.95</v>
      </c>
      <c r="H2784">
        <v>4</v>
      </c>
      <c r="I2784">
        <v>8</v>
      </c>
      <c r="J2784">
        <v>21.23</v>
      </c>
      <c r="K2784">
        <v>28.7</v>
      </c>
      <c r="L2784" t="s">
        <v>5025</v>
      </c>
      <c r="M2784">
        <v>3</v>
      </c>
      <c r="N2784">
        <v>1</v>
      </c>
      <c r="O2784">
        <v>0</v>
      </c>
    </row>
    <row r="2785" spans="1:15" x14ac:dyDescent="0.3">
      <c r="A2785" t="s">
        <v>2798</v>
      </c>
      <c r="B2785">
        <v>4</v>
      </c>
      <c r="C2785">
        <v>36</v>
      </c>
      <c r="D2785" t="s">
        <v>5016</v>
      </c>
      <c r="E2785" t="s">
        <v>5018</v>
      </c>
      <c r="F2785" t="s">
        <v>5022</v>
      </c>
      <c r="G2785">
        <v>15.84</v>
      </c>
      <c r="H2785">
        <v>4</v>
      </c>
      <c r="I2785">
        <v>1.8</v>
      </c>
      <c r="J2785">
        <v>14.9</v>
      </c>
      <c r="K2785">
        <v>89</v>
      </c>
      <c r="L2785" t="s">
        <v>5029</v>
      </c>
      <c r="M2785">
        <v>11</v>
      </c>
      <c r="N2785">
        <v>4</v>
      </c>
      <c r="O2785">
        <v>0</v>
      </c>
    </row>
    <row r="2786" spans="1:15" x14ac:dyDescent="0.3">
      <c r="A2786" t="s">
        <v>2799</v>
      </c>
      <c r="B2786">
        <v>4</v>
      </c>
      <c r="C2786">
        <v>19</v>
      </c>
      <c r="D2786" t="s">
        <v>5016</v>
      </c>
      <c r="E2786" t="s">
        <v>5018</v>
      </c>
      <c r="F2786" t="s">
        <v>5024</v>
      </c>
      <c r="G2786">
        <v>24.07</v>
      </c>
      <c r="H2786">
        <v>3</v>
      </c>
      <c r="I2786">
        <v>8.1</v>
      </c>
      <c r="J2786">
        <v>14.67</v>
      </c>
      <c r="K2786">
        <v>81</v>
      </c>
      <c r="L2786" t="s">
        <v>5027</v>
      </c>
      <c r="M2786">
        <v>2</v>
      </c>
      <c r="N2786">
        <v>0</v>
      </c>
      <c r="O2786">
        <v>0</v>
      </c>
    </row>
    <row r="2787" spans="1:15" x14ac:dyDescent="0.3">
      <c r="A2787" t="s">
        <v>2800</v>
      </c>
      <c r="B2787">
        <v>5</v>
      </c>
      <c r="C2787">
        <v>29</v>
      </c>
      <c r="D2787" t="s">
        <v>5015</v>
      </c>
      <c r="E2787" t="s">
        <v>5017</v>
      </c>
      <c r="F2787" t="s">
        <v>5024</v>
      </c>
      <c r="G2787">
        <v>11.24</v>
      </c>
      <c r="H2787">
        <v>4</v>
      </c>
      <c r="I2787">
        <v>2</v>
      </c>
      <c r="J2787">
        <v>22.75</v>
      </c>
      <c r="K2787">
        <v>37.700000000000003</v>
      </c>
      <c r="L2787" t="s">
        <v>5027</v>
      </c>
      <c r="M2787">
        <v>1</v>
      </c>
      <c r="N2787">
        <v>4</v>
      </c>
      <c r="O2787">
        <v>1</v>
      </c>
    </row>
    <row r="2788" spans="1:15" x14ac:dyDescent="0.3">
      <c r="A2788" t="s">
        <v>2801</v>
      </c>
      <c r="B2788">
        <v>12</v>
      </c>
      <c r="C2788">
        <v>34</v>
      </c>
      <c r="D2788" t="s">
        <v>5015</v>
      </c>
      <c r="E2788" t="s">
        <v>5017</v>
      </c>
      <c r="F2788" t="s">
        <v>5020</v>
      </c>
      <c r="G2788">
        <v>11.19</v>
      </c>
      <c r="H2788">
        <v>1</v>
      </c>
      <c r="I2788">
        <v>2.9</v>
      </c>
      <c r="J2788">
        <v>14.16</v>
      </c>
      <c r="K2788">
        <v>14.4</v>
      </c>
      <c r="L2788" t="s">
        <v>5027</v>
      </c>
      <c r="M2788">
        <v>10</v>
      </c>
      <c r="N2788">
        <v>1</v>
      </c>
      <c r="O2788">
        <v>0</v>
      </c>
    </row>
    <row r="2789" spans="1:15" x14ac:dyDescent="0.3">
      <c r="A2789" t="s">
        <v>2802</v>
      </c>
      <c r="B2789">
        <v>3</v>
      </c>
      <c r="C2789">
        <v>27</v>
      </c>
      <c r="D2789" t="s">
        <v>5016</v>
      </c>
      <c r="E2789" t="s">
        <v>5017</v>
      </c>
      <c r="F2789" t="s">
        <v>5021</v>
      </c>
      <c r="G2789">
        <v>14.66</v>
      </c>
      <c r="H2789">
        <v>5</v>
      </c>
      <c r="I2789">
        <v>5.6</v>
      </c>
      <c r="J2789">
        <v>13.38</v>
      </c>
      <c r="K2789">
        <v>14.7</v>
      </c>
      <c r="L2789" t="s">
        <v>5029</v>
      </c>
      <c r="M2789">
        <v>9</v>
      </c>
      <c r="N2789">
        <v>2</v>
      </c>
      <c r="O2789">
        <v>1</v>
      </c>
    </row>
    <row r="2790" spans="1:15" x14ac:dyDescent="0.3">
      <c r="A2790" t="s">
        <v>2803</v>
      </c>
      <c r="B2790">
        <v>1</v>
      </c>
      <c r="C2790">
        <v>51</v>
      </c>
      <c r="D2790" t="s">
        <v>5016</v>
      </c>
      <c r="E2790" t="s">
        <v>5018</v>
      </c>
      <c r="F2790" t="s">
        <v>5023</v>
      </c>
      <c r="G2790">
        <v>15.31</v>
      </c>
      <c r="H2790">
        <v>3</v>
      </c>
      <c r="I2790">
        <v>5.2</v>
      </c>
      <c r="J2790">
        <v>16.38</v>
      </c>
      <c r="K2790">
        <v>36.700000000000003</v>
      </c>
      <c r="L2790" t="s">
        <v>5029</v>
      </c>
      <c r="M2790">
        <v>5</v>
      </c>
      <c r="N2790">
        <v>2</v>
      </c>
      <c r="O2790">
        <v>0</v>
      </c>
    </row>
    <row r="2791" spans="1:15" x14ac:dyDescent="0.3">
      <c r="A2791" t="s">
        <v>2804</v>
      </c>
      <c r="B2791">
        <v>8</v>
      </c>
      <c r="C2791">
        <v>23</v>
      </c>
      <c r="D2791" t="s">
        <v>5016</v>
      </c>
      <c r="E2791" t="s">
        <v>5017</v>
      </c>
      <c r="F2791" t="s">
        <v>5023</v>
      </c>
      <c r="G2791">
        <v>5.03</v>
      </c>
      <c r="H2791">
        <v>3</v>
      </c>
      <c r="I2791">
        <v>9.9</v>
      </c>
      <c r="J2791">
        <v>14.41</v>
      </c>
      <c r="K2791">
        <v>23.3</v>
      </c>
      <c r="L2791" t="s">
        <v>5027</v>
      </c>
      <c r="M2791">
        <v>8</v>
      </c>
      <c r="N2791">
        <v>3</v>
      </c>
      <c r="O2791">
        <v>1</v>
      </c>
    </row>
    <row r="2792" spans="1:15" x14ac:dyDescent="0.3">
      <c r="A2792" t="s">
        <v>2805</v>
      </c>
      <c r="B2792">
        <v>5</v>
      </c>
      <c r="C2792">
        <v>25</v>
      </c>
      <c r="D2792" t="s">
        <v>5016</v>
      </c>
      <c r="E2792" t="s">
        <v>5019</v>
      </c>
      <c r="F2792" t="s">
        <v>5023</v>
      </c>
      <c r="G2792">
        <v>17.32</v>
      </c>
      <c r="H2792">
        <v>2</v>
      </c>
      <c r="I2792">
        <v>6.3</v>
      </c>
      <c r="J2792">
        <v>12.82</v>
      </c>
      <c r="K2792">
        <v>88.6</v>
      </c>
      <c r="L2792" t="s">
        <v>5025</v>
      </c>
      <c r="M2792">
        <v>4</v>
      </c>
      <c r="N2792">
        <v>4</v>
      </c>
      <c r="O2792">
        <v>0</v>
      </c>
    </row>
    <row r="2793" spans="1:15" x14ac:dyDescent="0.3">
      <c r="A2793" t="s">
        <v>2806</v>
      </c>
      <c r="B2793">
        <v>3</v>
      </c>
      <c r="C2793">
        <v>68</v>
      </c>
      <c r="D2793" t="s">
        <v>5016</v>
      </c>
      <c r="E2793" t="s">
        <v>5018</v>
      </c>
      <c r="F2793" t="s">
        <v>5020</v>
      </c>
      <c r="G2793">
        <v>24.95</v>
      </c>
      <c r="H2793">
        <v>3</v>
      </c>
      <c r="I2793">
        <v>3.9</v>
      </c>
      <c r="J2793">
        <v>6.97</v>
      </c>
      <c r="K2793">
        <v>47.9</v>
      </c>
      <c r="L2793" t="s">
        <v>5027</v>
      </c>
      <c r="M2793">
        <v>2</v>
      </c>
      <c r="N2793">
        <v>3</v>
      </c>
      <c r="O2793">
        <v>0</v>
      </c>
    </row>
    <row r="2794" spans="1:15" x14ac:dyDescent="0.3">
      <c r="A2794" t="s">
        <v>2807</v>
      </c>
      <c r="B2794">
        <v>10</v>
      </c>
      <c r="C2794">
        <v>28</v>
      </c>
      <c r="D2794" t="s">
        <v>5016</v>
      </c>
      <c r="E2794" t="s">
        <v>5017</v>
      </c>
      <c r="F2794" t="s">
        <v>5020</v>
      </c>
      <c r="G2794">
        <v>10.84</v>
      </c>
      <c r="H2794">
        <v>5</v>
      </c>
      <c r="I2794">
        <v>9.1</v>
      </c>
      <c r="J2794">
        <v>11.74</v>
      </c>
      <c r="K2794">
        <v>41.3</v>
      </c>
      <c r="L2794" t="s">
        <v>5029</v>
      </c>
      <c r="M2794">
        <v>5</v>
      </c>
      <c r="N2794">
        <v>3</v>
      </c>
      <c r="O2794">
        <v>0</v>
      </c>
    </row>
    <row r="2795" spans="1:15" x14ac:dyDescent="0.3">
      <c r="A2795" t="s">
        <v>2808</v>
      </c>
      <c r="B2795">
        <v>7</v>
      </c>
      <c r="C2795">
        <v>29</v>
      </c>
      <c r="D2795" t="s">
        <v>5016</v>
      </c>
      <c r="E2795" t="s">
        <v>5019</v>
      </c>
      <c r="F2795" t="s">
        <v>5022</v>
      </c>
      <c r="G2795">
        <v>17.62</v>
      </c>
      <c r="H2795">
        <v>1</v>
      </c>
      <c r="I2795">
        <v>3.8</v>
      </c>
      <c r="J2795">
        <v>9.2100000000000009</v>
      </c>
      <c r="K2795">
        <v>29.6</v>
      </c>
      <c r="L2795" t="s">
        <v>5027</v>
      </c>
      <c r="M2795">
        <v>8</v>
      </c>
      <c r="N2795">
        <v>4</v>
      </c>
      <c r="O2795">
        <v>0</v>
      </c>
    </row>
    <row r="2796" spans="1:15" x14ac:dyDescent="0.3">
      <c r="A2796" t="s">
        <v>2809</v>
      </c>
      <c r="B2796">
        <v>7</v>
      </c>
      <c r="C2796">
        <v>26</v>
      </c>
      <c r="D2796" t="s">
        <v>5015</v>
      </c>
      <c r="E2796" t="s">
        <v>5018</v>
      </c>
      <c r="F2796" t="s">
        <v>5021</v>
      </c>
      <c r="G2796">
        <v>5.09</v>
      </c>
      <c r="H2796">
        <v>2</v>
      </c>
      <c r="I2796">
        <v>3.5</v>
      </c>
      <c r="J2796">
        <v>11.81</v>
      </c>
      <c r="K2796">
        <v>85.7</v>
      </c>
      <c r="L2796" t="s">
        <v>5029</v>
      </c>
      <c r="M2796">
        <v>6</v>
      </c>
      <c r="N2796">
        <v>4</v>
      </c>
      <c r="O2796">
        <v>0</v>
      </c>
    </row>
    <row r="2797" spans="1:15" x14ac:dyDescent="0.3">
      <c r="A2797" t="s">
        <v>2810</v>
      </c>
      <c r="B2797">
        <v>1</v>
      </c>
      <c r="C2797">
        <v>19</v>
      </c>
      <c r="D2797" t="s">
        <v>5016</v>
      </c>
      <c r="E2797" t="s">
        <v>5018</v>
      </c>
      <c r="F2797" t="s">
        <v>5022</v>
      </c>
      <c r="G2797">
        <v>17.09</v>
      </c>
      <c r="H2797">
        <v>5</v>
      </c>
      <c r="I2797">
        <v>5.4</v>
      </c>
      <c r="J2797">
        <v>16.05</v>
      </c>
      <c r="K2797">
        <v>81.3</v>
      </c>
      <c r="L2797" t="s">
        <v>5027</v>
      </c>
      <c r="M2797">
        <v>8</v>
      </c>
      <c r="N2797">
        <v>1</v>
      </c>
      <c r="O2797">
        <v>0</v>
      </c>
    </row>
    <row r="2798" spans="1:15" x14ac:dyDescent="0.3">
      <c r="A2798" t="s">
        <v>2811</v>
      </c>
      <c r="B2798">
        <v>12</v>
      </c>
      <c r="C2798">
        <v>25</v>
      </c>
      <c r="D2798" t="s">
        <v>5015</v>
      </c>
      <c r="E2798" t="s">
        <v>5017</v>
      </c>
      <c r="F2798" t="s">
        <v>5020</v>
      </c>
      <c r="G2798">
        <v>13.94</v>
      </c>
      <c r="H2798">
        <v>3</v>
      </c>
      <c r="I2798">
        <v>9.1999999999999993</v>
      </c>
      <c r="J2798">
        <v>16.39</v>
      </c>
      <c r="K2798">
        <v>44.6</v>
      </c>
      <c r="L2798" t="s">
        <v>5025</v>
      </c>
      <c r="M2798">
        <v>11</v>
      </c>
      <c r="N2798">
        <v>4</v>
      </c>
      <c r="O2798">
        <v>1</v>
      </c>
    </row>
    <row r="2799" spans="1:15" x14ac:dyDescent="0.3">
      <c r="A2799" t="s">
        <v>2812</v>
      </c>
      <c r="B2799">
        <v>9</v>
      </c>
      <c r="C2799">
        <v>28</v>
      </c>
      <c r="D2799" t="s">
        <v>5015</v>
      </c>
      <c r="E2799" t="s">
        <v>5018</v>
      </c>
      <c r="F2799" t="s">
        <v>5024</v>
      </c>
      <c r="G2799">
        <v>15.61</v>
      </c>
      <c r="H2799">
        <v>4</v>
      </c>
      <c r="I2799">
        <v>7.4</v>
      </c>
      <c r="J2799">
        <v>8.25</v>
      </c>
      <c r="K2799">
        <v>25.2</v>
      </c>
      <c r="L2799" t="s">
        <v>5025</v>
      </c>
      <c r="M2799">
        <v>3</v>
      </c>
      <c r="N2799">
        <v>4</v>
      </c>
      <c r="O2799">
        <v>0</v>
      </c>
    </row>
    <row r="2800" spans="1:15" x14ac:dyDescent="0.3">
      <c r="A2800" t="s">
        <v>2813</v>
      </c>
      <c r="B2800">
        <v>2</v>
      </c>
      <c r="C2800">
        <v>53</v>
      </c>
      <c r="D2800" t="s">
        <v>5016</v>
      </c>
      <c r="E2800" t="s">
        <v>5019</v>
      </c>
      <c r="F2800" t="s">
        <v>5022</v>
      </c>
      <c r="G2800">
        <v>15.88</v>
      </c>
      <c r="H2800">
        <v>4</v>
      </c>
      <c r="I2800">
        <v>7.1</v>
      </c>
      <c r="J2800">
        <v>4.8600000000000003</v>
      </c>
      <c r="K2800">
        <v>95.7</v>
      </c>
      <c r="L2800" t="s">
        <v>5029</v>
      </c>
      <c r="M2800">
        <v>5</v>
      </c>
      <c r="N2800">
        <v>3</v>
      </c>
      <c r="O2800">
        <v>0</v>
      </c>
    </row>
    <row r="2801" spans="1:15" x14ac:dyDescent="0.3">
      <c r="A2801" t="s">
        <v>2814</v>
      </c>
      <c r="B2801">
        <v>5</v>
      </c>
      <c r="C2801">
        <v>27</v>
      </c>
      <c r="D2801" t="s">
        <v>5016</v>
      </c>
      <c r="E2801" t="s">
        <v>5019</v>
      </c>
      <c r="F2801" t="s">
        <v>5020</v>
      </c>
      <c r="G2801">
        <v>8.5399999999999991</v>
      </c>
      <c r="H2801">
        <v>5</v>
      </c>
      <c r="I2801">
        <v>7.5</v>
      </c>
      <c r="J2801">
        <v>19.38</v>
      </c>
      <c r="K2801">
        <v>38.4</v>
      </c>
      <c r="L2801" t="s">
        <v>5029</v>
      </c>
      <c r="M2801">
        <v>2</v>
      </c>
      <c r="N2801">
        <v>2</v>
      </c>
      <c r="O2801">
        <v>0</v>
      </c>
    </row>
    <row r="2802" spans="1:15" x14ac:dyDescent="0.3">
      <c r="A2802" t="s">
        <v>2815</v>
      </c>
      <c r="B2802">
        <v>5</v>
      </c>
      <c r="C2802">
        <v>38</v>
      </c>
      <c r="D2802" t="s">
        <v>5015</v>
      </c>
      <c r="E2802" t="s">
        <v>5017</v>
      </c>
      <c r="F2802" t="s">
        <v>5020</v>
      </c>
      <c r="G2802">
        <v>20.399999999999999</v>
      </c>
      <c r="H2802">
        <v>1</v>
      </c>
      <c r="I2802">
        <v>6.9</v>
      </c>
      <c r="J2802">
        <v>14.63</v>
      </c>
      <c r="K2802">
        <v>79.400000000000006</v>
      </c>
      <c r="L2802" t="s">
        <v>5026</v>
      </c>
      <c r="M2802">
        <v>11</v>
      </c>
      <c r="N2802">
        <v>0</v>
      </c>
      <c r="O2802">
        <v>0</v>
      </c>
    </row>
    <row r="2803" spans="1:15" x14ac:dyDescent="0.3">
      <c r="A2803" t="s">
        <v>2816</v>
      </c>
      <c r="B2803">
        <v>8</v>
      </c>
      <c r="C2803">
        <v>37</v>
      </c>
      <c r="D2803" t="s">
        <v>5016</v>
      </c>
      <c r="E2803" t="s">
        <v>5018</v>
      </c>
      <c r="F2803" t="s">
        <v>5024</v>
      </c>
      <c r="G2803">
        <v>16.11</v>
      </c>
      <c r="H2803">
        <v>4</v>
      </c>
      <c r="I2803">
        <v>7.8</v>
      </c>
      <c r="J2803">
        <v>12.73</v>
      </c>
      <c r="K2803">
        <v>51.7</v>
      </c>
      <c r="L2803" t="s">
        <v>5028</v>
      </c>
      <c r="M2803">
        <v>3</v>
      </c>
      <c r="N2803">
        <v>2</v>
      </c>
      <c r="O2803">
        <v>0</v>
      </c>
    </row>
    <row r="2804" spans="1:15" x14ac:dyDescent="0.3">
      <c r="A2804" t="s">
        <v>2817</v>
      </c>
      <c r="B2804">
        <v>8</v>
      </c>
      <c r="C2804">
        <v>65</v>
      </c>
      <c r="D2804" t="s">
        <v>5016</v>
      </c>
      <c r="E2804" t="s">
        <v>5018</v>
      </c>
      <c r="F2804" t="s">
        <v>5024</v>
      </c>
      <c r="G2804">
        <v>10.4</v>
      </c>
      <c r="H2804">
        <v>5</v>
      </c>
      <c r="I2804">
        <v>2.7</v>
      </c>
      <c r="J2804">
        <v>5.85</v>
      </c>
      <c r="K2804">
        <v>80.3</v>
      </c>
      <c r="L2804" t="s">
        <v>5026</v>
      </c>
      <c r="M2804">
        <v>7</v>
      </c>
      <c r="N2804">
        <v>4</v>
      </c>
      <c r="O2804">
        <v>1</v>
      </c>
    </row>
    <row r="2805" spans="1:15" x14ac:dyDescent="0.3">
      <c r="A2805" t="s">
        <v>2818</v>
      </c>
      <c r="B2805">
        <v>7</v>
      </c>
      <c r="C2805">
        <v>25</v>
      </c>
      <c r="D2805" t="s">
        <v>5015</v>
      </c>
      <c r="E2805" t="s">
        <v>5019</v>
      </c>
      <c r="F2805" t="s">
        <v>5024</v>
      </c>
      <c r="G2805">
        <v>23.75</v>
      </c>
      <c r="H2805">
        <v>2</v>
      </c>
      <c r="I2805">
        <v>2.6</v>
      </c>
      <c r="J2805">
        <v>12.12</v>
      </c>
      <c r="K2805">
        <v>53.3</v>
      </c>
      <c r="L2805" t="s">
        <v>5029</v>
      </c>
      <c r="M2805">
        <v>1</v>
      </c>
      <c r="N2805">
        <v>0</v>
      </c>
      <c r="O2805">
        <v>0</v>
      </c>
    </row>
    <row r="2806" spans="1:15" x14ac:dyDescent="0.3">
      <c r="A2806" t="s">
        <v>2819</v>
      </c>
      <c r="B2806">
        <v>7</v>
      </c>
      <c r="C2806">
        <v>53</v>
      </c>
      <c r="D2806" t="s">
        <v>5015</v>
      </c>
      <c r="E2806" t="s">
        <v>5019</v>
      </c>
      <c r="F2806" t="s">
        <v>5021</v>
      </c>
      <c r="G2806">
        <v>5.26</v>
      </c>
      <c r="H2806">
        <v>3</v>
      </c>
      <c r="I2806">
        <v>4.3</v>
      </c>
      <c r="J2806">
        <v>21</v>
      </c>
      <c r="K2806">
        <v>93.3</v>
      </c>
      <c r="L2806" t="s">
        <v>5029</v>
      </c>
      <c r="M2806">
        <v>8</v>
      </c>
      <c r="N2806">
        <v>4</v>
      </c>
      <c r="O2806">
        <v>1</v>
      </c>
    </row>
    <row r="2807" spans="1:15" x14ac:dyDescent="0.3">
      <c r="A2807" t="s">
        <v>2820</v>
      </c>
      <c r="B2807">
        <v>12</v>
      </c>
      <c r="C2807">
        <v>46</v>
      </c>
      <c r="D2807" t="s">
        <v>5015</v>
      </c>
      <c r="E2807" t="s">
        <v>5017</v>
      </c>
      <c r="F2807" t="s">
        <v>5020</v>
      </c>
      <c r="G2807">
        <v>19.52</v>
      </c>
      <c r="H2807">
        <v>1</v>
      </c>
      <c r="I2807">
        <v>8.6999999999999993</v>
      </c>
      <c r="J2807">
        <v>15.79</v>
      </c>
      <c r="K2807">
        <v>82</v>
      </c>
      <c r="L2807" t="s">
        <v>5027</v>
      </c>
      <c r="M2807">
        <v>5</v>
      </c>
      <c r="N2807">
        <v>1</v>
      </c>
      <c r="O2807">
        <v>1</v>
      </c>
    </row>
    <row r="2808" spans="1:15" x14ac:dyDescent="0.3">
      <c r="A2808" t="s">
        <v>2821</v>
      </c>
      <c r="B2808">
        <v>11</v>
      </c>
      <c r="C2808">
        <v>59</v>
      </c>
      <c r="D2808" t="s">
        <v>5016</v>
      </c>
      <c r="E2808" t="s">
        <v>5017</v>
      </c>
      <c r="F2808" t="s">
        <v>5024</v>
      </c>
      <c r="G2808">
        <v>12.62</v>
      </c>
      <c r="H2808">
        <v>1</v>
      </c>
      <c r="I2808">
        <v>7.4</v>
      </c>
      <c r="J2808">
        <v>5</v>
      </c>
      <c r="K2808">
        <v>33.4</v>
      </c>
      <c r="L2808" t="s">
        <v>5026</v>
      </c>
      <c r="M2808">
        <v>2</v>
      </c>
      <c r="N2808">
        <v>4</v>
      </c>
      <c r="O2808">
        <v>0</v>
      </c>
    </row>
    <row r="2809" spans="1:15" x14ac:dyDescent="0.3">
      <c r="A2809" t="s">
        <v>2822</v>
      </c>
      <c r="B2809">
        <v>6</v>
      </c>
      <c r="C2809">
        <v>29</v>
      </c>
      <c r="D2809" t="s">
        <v>5016</v>
      </c>
      <c r="E2809" t="s">
        <v>5018</v>
      </c>
      <c r="F2809" t="s">
        <v>5021</v>
      </c>
      <c r="G2809">
        <v>15.45</v>
      </c>
      <c r="H2809">
        <v>2</v>
      </c>
      <c r="I2809">
        <v>6.1</v>
      </c>
      <c r="J2809">
        <v>10.31</v>
      </c>
      <c r="K2809">
        <v>48.7</v>
      </c>
      <c r="L2809" t="s">
        <v>5028</v>
      </c>
      <c r="M2809">
        <v>3</v>
      </c>
      <c r="N2809">
        <v>0</v>
      </c>
      <c r="O2809">
        <v>1</v>
      </c>
    </row>
    <row r="2810" spans="1:15" x14ac:dyDescent="0.3">
      <c r="A2810" t="s">
        <v>2823</v>
      </c>
      <c r="B2810">
        <v>6</v>
      </c>
      <c r="C2810">
        <v>31</v>
      </c>
      <c r="D2810" t="s">
        <v>5015</v>
      </c>
      <c r="E2810" t="s">
        <v>5017</v>
      </c>
      <c r="F2810" t="s">
        <v>5023</v>
      </c>
      <c r="G2810">
        <v>10.83</v>
      </c>
      <c r="H2810">
        <v>1</v>
      </c>
      <c r="I2810">
        <v>1.2</v>
      </c>
      <c r="J2810">
        <v>24.56</v>
      </c>
      <c r="K2810">
        <v>19.100000000000001</v>
      </c>
      <c r="L2810" t="s">
        <v>5026</v>
      </c>
      <c r="M2810">
        <v>4</v>
      </c>
      <c r="N2810">
        <v>1</v>
      </c>
      <c r="O2810">
        <v>1</v>
      </c>
    </row>
    <row r="2811" spans="1:15" x14ac:dyDescent="0.3">
      <c r="A2811" t="s">
        <v>2824</v>
      </c>
      <c r="B2811">
        <v>11</v>
      </c>
      <c r="C2811">
        <v>65</v>
      </c>
      <c r="D2811" t="s">
        <v>5016</v>
      </c>
      <c r="E2811" t="s">
        <v>5018</v>
      </c>
      <c r="F2811" t="s">
        <v>5023</v>
      </c>
      <c r="G2811">
        <v>11.43</v>
      </c>
      <c r="H2811">
        <v>5</v>
      </c>
      <c r="I2811">
        <v>3.1</v>
      </c>
      <c r="J2811">
        <v>14.98</v>
      </c>
      <c r="K2811">
        <v>91.3</v>
      </c>
      <c r="L2811" t="s">
        <v>5025</v>
      </c>
      <c r="M2811">
        <v>2</v>
      </c>
      <c r="N2811">
        <v>0</v>
      </c>
      <c r="O2811">
        <v>0</v>
      </c>
    </row>
    <row r="2812" spans="1:15" x14ac:dyDescent="0.3">
      <c r="A2812" t="s">
        <v>2825</v>
      </c>
      <c r="B2812">
        <v>9</v>
      </c>
      <c r="C2812">
        <v>67</v>
      </c>
      <c r="D2812" t="s">
        <v>5015</v>
      </c>
      <c r="E2812" t="s">
        <v>5017</v>
      </c>
      <c r="F2812" t="s">
        <v>5023</v>
      </c>
      <c r="G2812">
        <v>5.3</v>
      </c>
      <c r="H2812">
        <v>1</v>
      </c>
      <c r="I2812">
        <v>8.1999999999999993</v>
      </c>
      <c r="J2812">
        <v>9.3000000000000007</v>
      </c>
      <c r="K2812">
        <v>16.2</v>
      </c>
      <c r="L2812" t="s">
        <v>5025</v>
      </c>
      <c r="M2812">
        <v>10</v>
      </c>
      <c r="N2812">
        <v>1</v>
      </c>
      <c r="O2812">
        <v>1</v>
      </c>
    </row>
    <row r="2813" spans="1:15" x14ac:dyDescent="0.3">
      <c r="A2813" t="s">
        <v>2826</v>
      </c>
      <c r="B2813">
        <v>6</v>
      </c>
      <c r="C2813">
        <v>38</v>
      </c>
      <c r="D2813" t="s">
        <v>5016</v>
      </c>
      <c r="E2813" t="s">
        <v>5018</v>
      </c>
      <c r="F2813" t="s">
        <v>5020</v>
      </c>
      <c r="G2813">
        <v>19.600000000000001</v>
      </c>
      <c r="H2813">
        <v>1</v>
      </c>
      <c r="I2813">
        <v>3.2</v>
      </c>
      <c r="J2813">
        <v>23.1</v>
      </c>
      <c r="K2813">
        <v>11.6</v>
      </c>
      <c r="L2813" t="s">
        <v>5026</v>
      </c>
      <c r="M2813">
        <v>5</v>
      </c>
      <c r="N2813">
        <v>3</v>
      </c>
      <c r="O2813">
        <v>0</v>
      </c>
    </row>
    <row r="2814" spans="1:15" x14ac:dyDescent="0.3">
      <c r="A2814" t="s">
        <v>2827</v>
      </c>
      <c r="B2814">
        <v>12</v>
      </c>
      <c r="C2814">
        <v>39</v>
      </c>
      <c r="D2814" t="s">
        <v>5015</v>
      </c>
      <c r="E2814" t="s">
        <v>5019</v>
      </c>
      <c r="F2814" t="s">
        <v>5021</v>
      </c>
      <c r="G2814">
        <v>19.22</v>
      </c>
      <c r="H2814">
        <v>1</v>
      </c>
      <c r="I2814">
        <v>7.6</v>
      </c>
      <c r="J2814">
        <v>10.39</v>
      </c>
      <c r="K2814">
        <v>54.7</v>
      </c>
      <c r="L2814" t="s">
        <v>5026</v>
      </c>
      <c r="M2814">
        <v>7</v>
      </c>
      <c r="N2814">
        <v>0</v>
      </c>
      <c r="O2814">
        <v>0</v>
      </c>
    </row>
    <row r="2815" spans="1:15" x14ac:dyDescent="0.3">
      <c r="A2815" t="s">
        <v>2828</v>
      </c>
      <c r="B2815">
        <v>2</v>
      </c>
      <c r="C2815">
        <v>38</v>
      </c>
      <c r="D2815" t="s">
        <v>5016</v>
      </c>
      <c r="E2815" t="s">
        <v>5019</v>
      </c>
      <c r="F2815" t="s">
        <v>5021</v>
      </c>
      <c r="G2815">
        <v>18.09</v>
      </c>
      <c r="H2815">
        <v>5</v>
      </c>
      <c r="I2815">
        <v>2.7</v>
      </c>
      <c r="J2815">
        <v>19.059999999999999</v>
      </c>
      <c r="K2815">
        <v>64.3</v>
      </c>
      <c r="L2815" t="s">
        <v>5029</v>
      </c>
      <c r="M2815">
        <v>9</v>
      </c>
      <c r="N2815">
        <v>3</v>
      </c>
      <c r="O2815">
        <v>0</v>
      </c>
    </row>
    <row r="2816" spans="1:15" x14ac:dyDescent="0.3">
      <c r="A2816" t="s">
        <v>2829</v>
      </c>
      <c r="B2816">
        <v>2</v>
      </c>
      <c r="C2816">
        <v>61</v>
      </c>
      <c r="D2816" t="s">
        <v>5015</v>
      </c>
      <c r="E2816" t="s">
        <v>5018</v>
      </c>
      <c r="F2816" t="s">
        <v>5023</v>
      </c>
      <c r="G2816">
        <v>22.56</v>
      </c>
      <c r="H2816">
        <v>3</v>
      </c>
      <c r="I2816">
        <v>6.5</v>
      </c>
      <c r="J2816">
        <v>6.24</v>
      </c>
      <c r="K2816">
        <v>30.1</v>
      </c>
      <c r="L2816" t="s">
        <v>5027</v>
      </c>
      <c r="M2816">
        <v>1</v>
      </c>
      <c r="N2816">
        <v>3</v>
      </c>
      <c r="O2816">
        <v>0</v>
      </c>
    </row>
    <row r="2817" spans="1:15" x14ac:dyDescent="0.3">
      <c r="A2817" t="s">
        <v>2830</v>
      </c>
      <c r="B2817">
        <v>5</v>
      </c>
      <c r="C2817">
        <v>67</v>
      </c>
      <c r="D2817" t="s">
        <v>5016</v>
      </c>
      <c r="E2817" t="s">
        <v>5018</v>
      </c>
      <c r="F2817" t="s">
        <v>5022</v>
      </c>
      <c r="G2817">
        <v>23.03</v>
      </c>
      <c r="H2817">
        <v>4</v>
      </c>
      <c r="I2817">
        <v>6.7</v>
      </c>
      <c r="J2817">
        <v>6.44</v>
      </c>
      <c r="K2817">
        <v>61.3</v>
      </c>
      <c r="L2817" t="s">
        <v>5025</v>
      </c>
      <c r="M2817">
        <v>10</v>
      </c>
      <c r="N2817">
        <v>4</v>
      </c>
      <c r="O2817">
        <v>0</v>
      </c>
    </row>
    <row r="2818" spans="1:15" x14ac:dyDescent="0.3">
      <c r="A2818" t="s">
        <v>2831</v>
      </c>
      <c r="B2818">
        <v>4</v>
      </c>
      <c r="C2818">
        <v>47</v>
      </c>
      <c r="D2818" t="s">
        <v>5016</v>
      </c>
      <c r="E2818" t="s">
        <v>5019</v>
      </c>
      <c r="F2818" t="s">
        <v>5023</v>
      </c>
      <c r="G2818">
        <v>16.13</v>
      </c>
      <c r="H2818">
        <v>1</v>
      </c>
      <c r="I2818">
        <v>7.8</v>
      </c>
      <c r="J2818">
        <v>15.35</v>
      </c>
      <c r="K2818">
        <v>90.6</v>
      </c>
      <c r="L2818" t="s">
        <v>5028</v>
      </c>
      <c r="M2818">
        <v>6</v>
      </c>
      <c r="N2818">
        <v>2</v>
      </c>
      <c r="O2818">
        <v>1</v>
      </c>
    </row>
    <row r="2819" spans="1:15" x14ac:dyDescent="0.3">
      <c r="A2819" t="s">
        <v>2832</v>
      </c>
      <c r="B2819">
        <v>11</v>
      </c>
      <c r="C2819">
        <v>56</v>
      </c>
      <c r="D2819" t="s">
        <v>5015</v>
      </c>
      <c r="E2819" t="s">
        <v>5017</v>
      </c>
      <c r="F2819" t="s">
        <v>5020</v>
      </c>
      <c r="G2819">
        <v>18.7</v>
      </c>
      <c r="H2819">
        <v>2</v>
      </c>
      <c r="I2819">
        <v>4.9000000000000004</v>
      </c>
      <c r="J2819">
        <v>8.2799999999999994</v>
      </c>
      <c r="K2819">
        <v>66.400000000000006</v>
      </c>
      <c r="L2819" t="s">
        <v>5027</v>
      </c>
      <c r="M2819">
        <v>6</v>
      </c>
      <c r="N2819">
        <v>1</v>
      </c>
      <c r="O2819">
        <v>0</v>
      </c>
    </row>
    <row r="2820" spans="1:15" x14ac:dyDescent="0.3">
      <c r="A2820" t="s">
        <v>2833</v>
      </c>
      <c r="B2820">
        <v>2</v>
      </c>
      <c r="C2820">
        <v>37</v>
      </c>
      <c r="D2820" t="s">
        <v>5016</v>
      </c>
      <c r="E2820" t="s">
        <v>5018</v>
      </c>
      <c r="F2820" t="s">
        <v>5023</v>
      </c>
      <c r="G2820">
        <v>5.22</v>
      </c>
      <c r="H2820">
        <v>2</v>
      </c>
      <c r="I2820">
        <v>6.7</v>
      </c>
      <c r="J2820">
        <v>4.09</v>
      </c>
      <c r="K2820">
        <v>51</v>
      </c>
      <c r="L2820" t="s">
        <v>5026</v>
      </c>
      <c r="M2820">
        <v>1</v>
      </c>
      <c r="N2820">
        <v>0</v>
      </c>
      <c r="O2820">
        <v>0</v>
      </c>
    </row>
    <row r="2821" spans="1:15" x14ac:dyDescent="0.3">
      <c r="A2821" t="s">
        <v>2834</v>
      </c>
      <c r="B2821">
        <v>3</v>
      </c>
      <c r="C2821">
        <v>41</v>
      </c>
      <c r="D2821" t="s">
        <v>5016</v>
      </c>
      <c r="E2821" t="s">
        <v>5018</v>
      </c>
      <c r="F2821" t="s">
        <v>5023</v>
      </c>
      <c r="G2821">
        <v>21.93</v>
      </c>
      <c r="H2821">
        <v>5</v>
      </c>
      <c r="I2821">
        <v>5.4</v>
      </c>
      <c r="J2821">
        <v>23.38</v>
      </c>
      <c r="K2821">
        <v>23</v>
      </c>
      <c r="L2821" t="s">
        <v>5025</v>
      </c>
      <c r="M2821">
        <v>2</v>
      </c>
      <c r="N2821">
        <v>3</v>
      </c>
      <c r="O2821">
        <v>1</v>
      </c>
    </row>
    <row r="2822" spans="1:15" x14ac:dyDescent="0.3">
      <c r="A2822" t="s">
        <v>2835</v>
      </c>
      <c r="B2822">
        <v>7</v>
      </c>
      <c r="C2822">
        <v>40</v>
      </c>
      <c r="D2822" t="s">
        <v>5015</v>
      </c>
      <c r="E2822" t="s">
        <v>5017</v>
      </c>
      <c r="F2822" t="s">
        <v>5021</v>
      </c>
      <c r="G2822">
        <v>21.33</v>
      </c>
      <c r="H2822">
        <v>3</v>
      </c>
      <c r="I2822">
        <v>9.5</v>
      </c>
      <c r="J2822">
        <v>4.2300000000000004</v>
      </c>
      <c r="K2822">
        <v>25.2</v>
      </c>
      <c r="L2822" t="s">
        <v>5026</v>
      </c>
      <c r="M2822">
        <v>11</v>
      </c>
      <c r="N2822">
        <v>4</v>
      </c>
      <c r="O2822">
        <v>0</v>
      </c>
    </row>
    <row r="2823" spans="1:15" x14ac:dyDescent="0.3">
      <c r="A2823" t="s">
        <v>2836</v>
      </c>
      <c r="B2823">
        <v>8</v>
      </c>
      <c r="C2823">
        <v>24</v>
      </c>
      <c r="D2823" t="s">
        <v>5016</v>
      </c>
      <c r="E2823" t="s">
        <v>5018</v>
      </c>
      <c r="F2823" t="s">
        <v>5023</v>
      </c>
      <c r="G2823">
        <v>5.4</v>
      </c>
      <c r="H2823">
        <v>1</v>
      </c>
      <c r="I2823">
        <v>5.7</v>
      </c>
      <c r="J2823">
        <v>18.78</v>
      </c>
      <c r="K2823">
        <v>53.6</v>
      </c>
      <c r="L2823" t="s">
        <v>5025</v>
      </c>
      <c r="M2823">
        <v>8</v>
      </c>
      <c r="N2823">
        <v>0</v>
      </c>
      <c r="O2823">
        <v>0</v>
      </c>
    </row>
    <row r="2824" spans="1:15" x14ac:dyDescent="0.3">
      <c r="A2824" t="s">
        <v>2837</v>
      </c>
      <c r="B2824">
        <v>12</v>
      </c>
      <c r="C2824">
        <v>26</v>
      </c>
      <c r="D2824" t="s">
        <v>5016</v>
      </c>
      <c r="E2824" t="s">
        <v>5017</v>
      </c>
      <c r="F2824" t="s">
        <v>5024</v>
      </c>
      <c r="G2824">
        <v>15.86</v>
      </c>
      <c r="H2824">
        <v>5</v>
      </c>
      <c r="I2824">
        <v>2.9</v>
      </c>
      <c r="J2824">
        <v>10.33</v>
      </c>
      <c r="K2824">
        <v>51.7</v>
      </c>
      <c r="L2824" t="s">
        <v>5028</v>
      </c>
      <c r="M2824">
        <v>6</v>
      </c>
      <c r="N2824">
        <v>4</v>
      </c>
      <c r="O2824">
        <v>1</v>
      </c>
    </row>
    <row r="2825" spans="1:15" x14ac:dyDescent="0.3">
      <c r="A2825" t="s">
        <v>2838</v>
      </c>
      <c r="B2825">
        <v>6</v>
      </c>
      <c r="C2825">
        <v>18</v>
      </c>
      <c r="D2825" t="s">
        <v>5016</v>
      </c>
      <c r="E2825" t="s">
        <v>5018</v>
      </c>
      <c r="F2825" t="s">
        <v>5024</v>
      </c>
      <c r="G2825">
        <v>23.13</v>
      </c>
      <c r="H2825">
        <v>4</v>
      </c>
      <c r="I2825">
        <v>7</v>
      </c>
      <c r="J2825">
        <v>23.54</v>
      </c>
      <c r="K2825">
        <v>57</v>
      </c>
      <c r="L2825" t="s">
        <v>5027</v>
      </c>
      <c r="M2825">
        <v>1</v>
      </c>
      <c r="N2825">
        <v>0</v>
      </c>
      <c r="O2825">
        <v>1</v>
      </c>
    </row>
    <row r="2826" spans="1:15" x14ac:dyDescent="0.3">
      <c r="A2826" t="s">
        <v>2839</v>
      </c>
      <c r="B2826">
        <v>11</v>
      </c>
      <c r="C2826">
        <v>43</v>
      </c>
      <c r="D2826" t="s">
        <v>5015</v>
      </c>
      <c r="E2826" t="s">
        <v>5017</v>
      </c>
      <c r="F2826" t="s">
        <v>5022</v>
      </c>
      <c r="G2826">
        <v>8.6300000000000008</v>
      </c>
      <c r="H2826">
        <v>3</v>
      </c>
      <c r="I2826">
        <v>5.9</v>
      </c>
      <c r="J2826">
        <v>24.69</v>
      </c>
      <c r="K2826">
        <v>55.7</v>
      </c>
      <c r="L2826" t="s">
        <v>5028</v>
      </c>
      <c r="M2826">
        <v>10</v>
      </c>
      <c r="N2826">
        <v>4</v>
      </c>
      <c r="O2826">
        <v>0</v>
      </c>
    </row>
    <row r="2827" spans="1:15" x14ac:dyDescent="0.3">
      <c r="A2827" t="s">
        <v>2840</v>
      </c>
      <c r="B2827">
        <v>5</v>
      </c>
      <c r="C2827">
        <v>55</v>
      </c>
      <c r="D2827" t="s">
        <v>5015</v>
      </c>
      <c r="E2827" t="s">
        <v>5018</v>
      </c>
      <c r="F2827" t="s">
        <v>5020</v>
      </c>
      <c r="G2827">
        <v>12.05</v>
      </c>
      <c r="H2827">
        <v>3</v>
      </c>
      <c r="I2827">
        <v>8.1999999999999993</v>
      </c>
      <c r="J2827">
        <v>10.38</v>
      </c>
      <c r="K2827">
        <v>40.700000000000003</v>
      </c>
      <c r="L2827" t="s">
        <v>5028</v>
      </c>
      <c r="M2827">
        <v>10</v>
      </c>
      <c r="N2827">
        <v>4</v>
      </c>
      <c r="O2827">
        <v>0</v>
      </c>
    </row>
    <row r="2828" spans="1:15" x14ac:dyDescent="0.3">
      <c r="A2828" t="s">
        <v>2841</v>
      </c>
      <c r="B2828">
        <v>1</v>
      </c>
      <c r="C2828">
        <v>55</v>
      </c>
      <c r="D2828" t="s">
        <v>5015</v>
      </c>
      <c r="E2828" t="s">
        <v>5017</v>
      </c>
      <c r="F2828" t="s">
        <v>5020</v>
      </c>
      <c r="G2828">
        <v>11.62</v>
      </c>
      <c r="H2828">
        <v>5</v>
      </c>
      <c r="I2828">
        <v>2.6</v>
      </c>
      <c r="J2828">
        <v>16</v>
      </c>
      <c r="K2828">
        <v>72.599999999999994</v>
      </c>
      <c r="L2828" t="s">
        <v>5027</v>
      </c>
      <c r="M2828">
        <v>11</v>
      </c>
      <c r="N2828">
        <v>2</v>
      </c>
      <c r="O2828">
        <v>1</v>
      </c>
    </row>
    <row r="2829" spans="1:15" x14ac:dyDescent="0.3">
      <c r="A2829" t="s">
        <v>2842</v>
      </c>
      <c r="B2829">
        <v>8</v>
      </c>
      <c r="C2829">
        <v>61</v>
      </c>
      <c r="D2829" t="s">
        <v>5015</v>
      </c>
      <c r="E2829" t="s">
        <v>5019</v>
      </c>
      <c r="F2829" t="s">
        <v>5021</v>
      </c>
      <c r="G2829">
        <v>12.12</v>
      </c>
      <c r="H2829">
        <v>2</v>
      </c>
      <c r="I2829">
        <v>3.3</v>
      </c>
      <c r="J2829">
        <v>20.010000000000002</v>
      </c>
      <c r="K2829">
        <v>29.1</v>
      </c>
      <c r="L2829" t="s">
        <v>5027</v>
      </c>
      <c r="M2829">
        <v>6</v>
      </c>
      <c r="N2829">
        <v>3</v>
      </c>
      <c r="O2829">
        <v>0</v>
      </c>
    </row>
    <row r="2830" spans="1:15" x14ac:dyDescent="0.3">
      <c r="A2830" t="s">
        <v>2843</v>
      </c>
      <c r="B2830">
        <v>3</v>
      </c>
      <c r="C2830">
        <v>39</v>
      </c>
      <c r="D2830" t="s">
        <v>5015</v>
      </c>
      <c r="E2830" t="s">
        <v>5018</v>
      </c>
      <c r="F2830" t="s">
        <v>5020</v>
      </c>
      <c r="G2830">
        <v>5.84</v>
      </c>
      <c r="H2830">
        <v>3</v>
      </c>
      <c r="I2830">
        <v>9.3000000000000007</v>
      </c>
      <c r="J2830">
        <v>5.72</v>
      </c>
      <c r="K2830">
        <v>86.7</v>
      </c>
      <c r="L2830" t="s">
        <v>5028</v>
      </c>
      <c r="M2830">
        <v>10</v>
      </c>
      <c r="N2830">
        <v>1</v>
      </c>
      <c r="O2830">
        <v>0</v>
      </c>
    </row>
    <row r="2831" spans="1:15" x14ac:dyDescent="0.3">
      <c r="A2831" t="s">
        <v>2844</v>
      </c>
      <c r="B2831">
        <v>6</v>
      </c>
      <c r="C2831">
        <v>61</v>
      </c>
      <c r="D2831" t="s">
        <v>5016</v>
      </c>
      <c r="E2831" t="s">
        <v>5018</v>
      </c>
      <c r="F2831" t="s">
        <v>5022</v>
      </c>
      <c r="G2831">
        <v>10.58</v>
      </c>
      <c r="H2831">
        <v>2</v>
      </c>
      <c r="I2831">
        <v>9.4</v>
      </c>
      <c r="J2831">
        <v>18.61</v>
      </c>
      <c r="K2831">
        <v>27.5</v>
      </c>
      <c r="L2831" t="s">
        <v>5026</v>
      </c>
      <c r="M2831">
        <v>7</v>
      </c>
      <c r="N2831">
        <v>1</v>
      </c>
      <c r="O2831">
        <v>0</v>
      </c>
    </row>
    <row r="2832" spans="1:15" x14ac:dyDescent="0.3">
      <c r="A2832" t="s">
        <v>2845</v>
      </c>
      <c r="B2832">
        <v>3</v>
      </c>
      <c r="C2832">
        <v>27</v>
      </c>
      <c r="D2832" t="s">
        <v>5016</v>
      </c>
      <c r="E2832" t="s">
        <v>5018</v>
      </c>
      <c r="F2832" t="s">
        <v>5024</v>
      </c>
      <c r="G2832">
        <v>10.9</v>
      </c>
      <c r="H2832">
        <v>3</v>
      </c>
      <c r="I2832">
        <v>5</v>
      </c>
      <c r="J2832">
        <v>22.94</v>
      </c>
      <c r="K2832">
        <v>47.4</v>
      </c>
      <c r="L2832" t="s">
        <v>5027</v>
      </c>
      <c r="M2832">
        <v>2</v>
      </c>
      <c r="N2832">
        <v>0</v>
      </c>
      <c r="O2832">
        <v>0</v>
      </c>
    </row>
    <row r="2833" spans="1:15" x14ac:dyDescent="0.3">
      <c r="A2833" t="s">
        <v>2846</v>
      </c>
      <c r="B2833">
        <v>7</v>
      </c>
      <c r="C2833">
        <v>23</v>
      </c>
      <c r="D2833" t="s">
        <v>5015</v>
      </c>
      <c r="E2833" t="s">
        <v>5018</v>
      </c>
      <c r="F2833" t="s">
        <v>5021</v>
      </c>
      <c r="G2833">
        <v>22.32</v>
      </c>
      <c r="H2833">
        <v>3</v>
      </c>
      <c r="I2833">
        <v>1.4</v>
      </c>
      <c r="J2833">
        <v>6.93</v>
      </c>
      <c r="K2833">
        <v>29</v>
      </c>
      <c r="L2833" t="s">
        <v>5028</v>
      </c>
      <c r="M2833">
        <v>11</v>
      </c>
      <c r="N2833">
        <v>0</v>
      </c>
      <c r="O2833">
        <v>0</v>
      </c>
    </row>
    <row r="2834" spans="1:15" x14ac:dyDescent="0.3">
      <c r="A2834" t="s">
        <v>2847</v>
      </c>
      <c r="B2834">
        <v>7</v>
      </c>
      <c r="C2834">
        <v>34</v>
      </c>
      <c r="D2834" t="s">
        <v>5016</v>
      </c>
      <c r="E2834" t="s">
        <v>5017</v>
      </c>
      <c r="F2834" t="s">
        <v>5024</v>
      </c>
      <c r="G2834">
        <v>12.04</v>
      </c>
      <c r="H2834">
        <v>3</v>
      </c>
      <c r="I2834">
        <v>3.8</v>
      </c>
      <c r="J2834">
        <v>21.45</v>
      </c>
      <c r="K2834">
        <v>65.7</v>
      </c>
      <c r="L2834" t="s">
        <v>5028</v>
      </c>
      <c r="M2834">
        <v>4</v>
      </c>
      <c r="N2834">
        <v>2</v>
      </c>
      <c r="O2834">
        <v>0</v>
      </c>
    </row>
    <row r="2835" spans="1:15" x14ac:dyDescent="0.3">
      <c r="A2835" t="s">
        <v>2848</v>
      </c>
      <c r="B2835">
        <v>12</v>
      </c>
      <c r="C2835">
        <v>68</v>
      </c>
      <c r="D2835" t="s">
        <v>5016</v>
      </c>
      <c r="E2835" t="s">
        <v>5019</v>
      </c>
      <c r="F2835" t="s">
        <v>5022</v>
      </c>
      <c r="G2835">
        <v>13.94</v>
      </c>
      <c r="H2835">
        <v>4</v>
      </c>
      <c r="I2835">
        <v>3.2</v>
      </c>
      <c r="J2835">
        <v>5.54</v>
      </c>
      <c r="K2835">
        <v>53</v>
      </c>
      <c r="L2835" t="s">
        <v>5028</v>
      </c>
      <c r="M2835">
        <v>7</v>
      </c>
      <c r="N2835">
        <v>0</v>
      </c>
      <c r="O2835">
        <v>0</v>
      </c>
    </row>
    <row r="2836" spans="1:15" x14ac:dyDescent="0.3">
      <c r="A2836" t="s">
        <v>2849</v>
      </c>
      <c r="B2836">
        <v>9</v>
      </c>
      <c r="C2836">
        <v>67</v>
      </c>
      <c r="D2836" t="s">
        <v>5016</v>
      </c>
      <c r="E2836" t="s">
        <v>5017</v>
      </c>
      <c r="F2836" t="s">
        <v>5021</v>
      </c>
      <c r="G2836">
        <v>12.61</v>
      </c>
      <c r="H2836">
        <v>2</v>
      </c>
      <c r="I2836">
        <v>4.7</v>
      </c>
      <c r="J2836">
        <v>15.5</v>
      </c>
      <c r="K2836">
        <v>43.7</v>
      </c>
      <c r="L2836" t="s">
        <v>5026</v>
      </c>
      <c r="M2836">
        <v>11</v>
      </c>
      <c r="N2836">
        <v>1</v>
      </c>
      <c r="O2836">
        <v>0</v>
      </c>
    </row>
    <row r="2837" spans="1:15" x14ac:dyDescent="0.3">
      <c r="A2837" t="s">
        <v>2850</v>
      </c>
      <c r="B2837">
        <v>5</v>
      </c>
      <c r="C2837">
        <v>55</v>
      </c>
      <c r="D2837" t="s">
        <v>5016</v>
      </c>
      <c r="E2837" t="s">
        <v>5017</v>
      </c>
      <c r="F2837" t="s">
        <v>5023</v>
      </c>
      <c r="G2837">
        <v>7.41</v>
      </c>
      <c r="H2837">
        <v>4</v>
      </c>
      <c r="I2837">
        <v>3.9</v>
      </c>
      <c r="J2837">
        <v>10.47</v>
      </c>
      <c r="K2837">
        <v>52.8</v>
      </c>
      <c r="L2837" t="s">
        <v>5029</v>
      </c>
      <c r="M2837">
        <v>6</v>
      </c>
      <c r="N2837">
        <v>3</v>
      </c>
      <c r="O2837">
        <v>0</v>
      </c>
    </row>
    <row r="2838" spans="1:15" x14ac:dyDescent="0.3">
      <c r="A2838" t="s">
        <v>2851</v>
      </c>
      <c r="B2838">
        <v>8</v>
      </c>
      <c r="C2838">
        <v>41</v>
      </c>
      <c r="D2838" t="s">
        <v>5015</v>
      </c>
      <c r="E2838" t="s">
        <v>5019</v>
      </c>
      <c r="F2838" t="s">
        <v>5020</v>
      </c>
      <c r="G2838">
        <v>24.81</v>
      </c>
      <c r="H2838">
        <v>2</v>
      </c>
      <c r="I2838">
        <v>8.5</v>
      </c>
      <c r="J2838">
        <v>13.38</v>
      </c>
      <c r="K2838">
        <v>47.9</v>
      </c>
      <c r="L2838" t="s">
        <v>5029</v>
      </c>
      <c r="M2838">
        <v>11</v>
      </c>
      <c r="N2838">
        <v>2</v>
      </c>
      <c r="O2838">
        <v>0</v>
      </c>
    </row>
    <row r="2839" spans="1:15" x14ac:dyDescent="0.3">
      <c r="A2839" t="s">
        <v>2852</v>
      </c>
      <c r="B2839">
        <v>10</v>
      </c>
      <c r="C2839">
        <v>68</v>
      </c>
      <c r="D2839" t="s">
        <v>5015</v>
      </c>
      <c r="E2839" t="s">
        <v>5017</v>
      </c>
      <c r="F2839" t="s">
        <v>5022</v>
      </c>
      <c r="G2839">
        <v>21.52</v>
      </c>
      <c r="H2839">
        <v>4</v>
      </c>
      <c r="I2839">
        <v>1</v>
      </c>
      <c r="J2839">
        <v>9.61</v>
      </c>
      <c r="K2839">
        <v>87</v>
      </c>
      <c r="L2839" t="s">
        <v>5027</v>
      </c>
      <c r="M2839">
        <v>8</v>
      </c>
      <c r="N2839">
        <v>0</v>
      </c>
      <c r="O2839">
        <v>1</v>
      </c>
    </row>
    <row r="2840" spans="1:15" x14ac:dyDescent="0.3">
      <c r="A2840" t="s">
        <v>2853</v>
      </c>
      <c r="B2840">
        <v>10</v>
      </c>
      <c r="C2840">
        <v>27</v>
      </c>
      <c r="D2840" t="s">
        <v>5016</v>
      </c>
      <c r="E2840" t="s">
        <v>5018</v>
      </c>
      <c r="F2840" t="s">
        <v>5021</v>
      </c>
      <c r="G2840">
        <v>15.82</v>
      </c>
      <c r="H2840">
        <v>4</v>
      </c>
      <c r="I2840">
        <v>6.8</v>
      </c>
      <c r="J2840">
        <v>8.73</v>
      </c>
      <c r="K2840">
        <v>21.2</v>
      </c>
      <c r="L2840" t="s">
        <v>5029</v>
      </c>
      <c r="M2840">
        <v>6</v>
      </c>
      <c r="N2840">
        <v>2</v>
      </c>
      <c r="O2840">
        <v>1</v>
      </c>
    </row>
    <row r="2841" spans="1:15" x14ac:dyDescent="0.3">
      <c r="A2841" t="s">
        <v>2854</v>
      </c>
      <c r="B2841">
        <v>8</v>
      </c>
      <c r="C2841">
        <v>25</v>
      </c>
      <c r="D2841" t="s">
        <v>5016</v>
      </c>
      <c r="E2841" t="s">
        <v>5018</v>
      </c>
      <c r="F2841" t="s">
        <v>5024</v>
      </c>
      <c r="G2841">
        <v>14.53</v>
      </c>
      <c r="H2841">
        <v>4</v>
      </c>
      <c r="I2841">
        <v>7</v>
      </c>
      <c r="J2841">
        <v>19.350000000000001</v>
      </c>
      <c r="K2841">
        <v>81.400000000000006</v>
      </c>
      <c r="L2841" t="s">
        <v>5025</v>
      </c>
      <c r="M2841">
        <v>2</v>
      </c>
      <c r="N2841">
        <v>2</v>
      </c>
      <c r="O2841">
        <v>1</v>
      </c>
    </row>
    <row r="2842" spans="1:15" x14ac:dyDescent="0.3">
      <c r="A2842" t="s">
        <v>2855</v>
      </c>
      <c r="B2842">
        <v>1</v>
      </c>
      <c r="C2842">
        <v>38</v>
      </c>
      <c r="D2842" t="s">
        <v>5015</v>
      </c>
      <c r="E2842" t="s">
        <v>5018</v>
      </c>
      <c r="F2842" t="s">
        <v>5021</v>
      </c>
      <c r="G2842">
        <v>17.989999999999998</v>
      </c>
      <c r="H2842">
        <v>5</v>
      </c>
      <c r="I2842">
        <v>6.9</v>
      </c>
      <c r="J2842">
        <v>7.91</v>
      </c>
      <c r="K2842">
        <v>69</v>
      </c>
      <c r="L2842" t="s">
        <v>5027</v>
      </c>
      <c r="M2842">
        <v>1</v>
      </c>
      <c r="N2842">
        <v>2</v>
      </c>
      <c r="O2842">
        <v>0</v>
      </c>
    </row>
    <row r="2843" spans="1:15" x14ac:dyDescent="0.3">
      <c r="A2843" t="s">
        <v>2856</v>
      </c>
      <c r="B2843">
        <v>12</v>
      </c>
      <c r="C2843">
        <v>23</v>
      </c>
      <c r="D2843" t="s">
        <v>5016</v>
      </c>
      <c r="E2843" t="s">
        <v>5019</v>
      </c>
      <c r="F2843" t="s">
        <v>5023</v>
      </c>
      <c r="G2843">
        <v>11.53</v>
      </c>
      <c r="H2843">
        <v>4</v>
      </c>
      <c r="I2843">
        <v>5.7</v>
      </c>
      <c r="J2843">
        <v>11.99</v>
      </c>
      <c r="K2843">
        <v>41.3</v>
      </c>
      <c r="L2843" t="s">
        <v>5027</v>
      </c>
      <c r="M2843">
        <v>5</v>
      </c>
      <c r="N2843">
        <v>0</v>
      </c>
      <c r="O2843">
        <v>0</v>
      </c>
    </row>
    <row r="2844" spans="1:15" x14ac:dyDescent="0.3">
      <c r="A2844" t="s">
        <v>2857</v>
      </c>
      <c r="B2844">
        <v>5</v>
      </c>
      <c r="C2844">
        <v>38</v>
      </c>
      <c r="D2844" t="s">
        <v>5016</v>
      </c>
      <c r="E2844" t="s">
        <v>5018</v>
      </c>
      <c r="F2844" t="s">
        <v>5022</v>
      </c>
      <c r="G2844">
        <v>6.01</v>
      </c>
      <c r="H2844">
        <v>3</v>
      </c>
      <c r="I2844">
        <v>6.5</v>
      </c>
      <c r="J2844">
        <v>9.0399999999999991</v>
      </c>
      <c r="K2844">
        <v>92.7</v>
      </c>
      <c r="L2844" t="s">
        <v>5028</v>
      </c>
      <c r="M2844">
        <v>11</v>
      </c>
      <c r="N2844">
        <v>4</v>
      </c>
      <c r="O2844">
        <v>0</v>
      </c>
    </row>
    <row r="2845" spans="1:15" x14ac:dyDescent="0.3">
      <c r="A2845" t="s">
        <v>2858</v>
      </c>
      <c r="B2845">
        <v>3</v>
      </c>
      <c r="C2845">
        <v>56</v>
      </c>
      <c r="D2845" t="s">
        <v>5016</v>
      </c>
      <c r="E2845" t="s">
        <v>5018</v>
      </c>
      <c r="F2845" t="s">
        <v>5021</v>
      </c>
      <c r="G2845">
        <v>13.09</v>
      </c>
      <c r="H2845">
        <v>1</v>
      </c>
      <c r="I2845">
        <v>8.3000000000000007</v>
      </c>
      <c r="J2845">
        <v>8.25</v>
      </c>
      <c r="K2845">
        <v>25.9</v>
      </c>
      <c r="L2845" t="s">
        <v>5025</v>
      </c>
      <c r="M2845">
        <v>10</v>
      </c>
      <c r="N2845">
        <v>0</v>
      </c>
      <c r="O2845">
        <v>0</v>
      </c>
    </row>
    <row r="2846" spans="1:15" x14ac:dyDescent="0.3">
      <c r="A2846" t="s">
        <v>2859</v>
      </c>
      <c r="B2846">
        <v>1</v>
      </c>
      <c r="C2846">
        <v>41</v>
      </c>
      <c r="D2846" t="s">
        <v>5015</v>
      </c>
      <c r="E2846" t="s">
        <v>5019</v>
      </c>
      <c r="F2846" t="s">
        <v>5022</v>
      </c>
      <c r="G2846">
        <v>24.68</v>
      </c>
      <c r="H2846">
        <v>4</v>
      </c>
      <c r="I2846">
        <v>8.1</v>
      </c>
      <c r="J2846">
        <v>16.8</v>
      </c>
      <c r="K2846">
        <v>37.9</v>
      </c>
      <c r="L2846" t="s">
        <v>5029</v>
      </c>
      <c r="M2846">
        <v>10</v>
      </c>
      <c r="N2846">
        <v>0</v>
      </c>
      <c r="O2846">
        <v>1</v>
      </c>
    </row>
    <row r="2847" spans="1:15" x14ac:dyDescent="0.3">
      <c r="A2847" t="s">
        <v>2860</v>
      </c>
      <c r="B2847">
        <v>4</v>
      </c>
      <c r="C2847">
        <v>50</v>
      </c>
      <c r="D2847" t="s">
        <v>5015</v>
      </c>
      <c r="E2847" t="s">
        <v>5017</v>
      </c>
      <c r="F2847" t="s">
        <v>5022</v>
      </c>
      <c r="G2847">
        <v>8.65</v>
      </c>
      <c r="H2847">
        <v>1</v>
      </c>
      <c r="I2847">
        <v>1.3</v>
      </c>
      <c r="J2847">
        <v>4</v>
      </c>
      <c r="K2847">
        <v>43.7</v>
      </c>
      <c r="L2847" t="s">
        <v>5027</v>
      </c>
      <c r="M2847">
        <v>9</v>
      </c>
      <c r="N2847">
        <v>0</v>
      </c>
      <c r="O2847">
        <v>0</v>
      </c>
    </row>
    <row r="2848" spans="1:15" x14ac:dyDescent="0.3">
      <c r="A2848" t="s">
        <v>2861</v>
      </c>
      <c r="B2848">
        <v>8</v>
      </c>
      <c r="C2848">
        <v>35</v>
      </c>
      <c r="D2848" t="s">
        <v>5016</v>
      </c>
      <c r="E2848" t="s">
        <v>5018</v>
      </c>
      <c r="F2848" t="s">
        <v>5024</v>
      </c>
      <c r="G2848">
        <v>15.55</v>
      </c>
      <c r="H2848">
        <v>1</v>
      </c>
      <c r="I2848">
        <v>1.3</v>
      </c>
      <c r="J2848">
        <v>20.36</v>
      </c>
      <c r="K2848">
        <v>68.3</v>
      </c>
      <c r="L2848" t="s">
        <v>5025</v>
      </c>
      <c r="M2848">
        <v>2</v>
      </c>
      <c r="N2848">
        <v>0</v>
      </c>
      <c r="O2848">
        <v>1</v>
      </c>
    </row>
    <row r="2849" spans="1:15" x14ac:dyDescent="0.3">
      <c r="A2849" t="s">
        <v>2862</v>
      </c>
      <c r="B2849">
        <v>3</v>
      </c>
      <c r="C2849">
        <v>45</v>
      </c>
      <c r="D2849" t="s">
        <v>5016</v>
      </c>
      <c r="E2849" t="s">
        <v>5018</v>
      </c>
      <c r="F2849" t="s">
        <v>5020</v>
      </c>
      <c r="G2849">
        <v>5.17</v>
      </c>
      <c r="H2849">
        <v>3</v>
      </c>
      <c r="I2849">
        <v>8.6</v>
      </c>
      <c r="J2849">
        <v>15.02</v>
      </c>
      <c r="K2849">
        <v>95.2</v>
      </c>
      <c r="L2849" t="s">
        <v>5026</v>
      </c>
      <c r="M2849">
        <v>7</v>
      </c>
      <c r="N2849">
        <v>0</v>
      </c>
      <c r="O2849">
        <v>1</v>
      </c>
    </row>
    <row r="2850" spans="1:15" x14ac:dyDescent="0.3">
      <c r="A2850" t="s">
        <v>2863</v>
      </c>
      <c r="B2850">
        <v>10</v>
      </c>
      <c r="C2850">
        <v>69</v>
      </c>
      <c r="D2850" t="s">
        <v>5016</v>
      </c>
      <c r="E2850" t="s">
        <v>5018</v>
      </c>
      <c r="F2850" t="s">
        <v>5023</v>
      </c>
      <c r="G2850">
        <v>7.44</v>
      </c>
      <c r="H2850">
        <v>1</v>
      </c>
      <c r="I2850">
        <v>6.2</v>
      </c>
      <c r="J2850">
        <v>21.23</v>
      </c>
      <c r="K2850">
        <v>63.4</v>
      </c>
      <c r="L2850" t="s">
        <v>5026</v>
      </c>
      <c r="M2850">
        <v>9</v>
      </c>
      <c r="N2850">
        <v>2</v>
      </c>
      <c r="O2850">
        <v>1</v>
      </c>
    </row>
    <row r="2851" spans="1:15" x14ac:dyDescent="0.3">
      <c r="A2851" t="s">
        <v>2864</v>
      </c>
      <c r="B2851">
        <v>2</v>
      </c>
      <c r="C2851">
        <v>49</v>
      </c>
      <c r="D2851" t="s">
        <v>5016</v>
      </c>
      <c r="E2851" t="s">
        <v>5019</v>
      </c>
      <c r="F2851" t="s">
        <v>5021</v>
      </c>
      <c r="G2851">
        <v>16.739999999999998</v>
      </c>
      <c r="H2851">
        <v>1</v>
      </c>
      <c r="I2851">
        <v>9.6</v>
      </c>
      <c r="J2851">
        <v>7.69</v>
      </c>
      <c r="K2851">
        <v>87.1</v>
      </c>
      <c r="L2851" t="s">
        <v>5028</v>
      </c>
      <c r="M2851">
        <v>4</v>
      </c>
      <c r="N2851">
        <v>2</v>
      </c>
      <c r="O2851">
        <v>0</v>
      </c>
    </row>
    <row r="2852" spans="1:15" x14ac:dyDescent="0.3">
      <c r="A2852" t="s">
        <v>2865</v>
      </c>
      <c r="B2852">
        <v>11</v>
      </c>
      <c r="C2852">
        <v>29</v>
      </c>
      <c r="D2852" t="s">
        <v>5016</v>
      </c>
      <c r="E2852" t="s">
        <v>5019</v>
      </c>
      <c r="F2852" t="s">
        <v>5020</v>
      </c>
      <c r="G2852">
        <v>10.95</v>
      </c>
      <c r="H2852">
        <v>1</v>
      </c>
      <c r="I2852">
        <v>4.9000000000000004</v>
      </c>
      <c r="J2852">
        <v>18.61</v>
      </c>
      <c r="K2852">
        <v>91.4</v>
      </c>
      <c r="L2852" t="s">
        <v>5025</v>
      </c>
      <c r="M2852">
        <v>4</v>
      </c>
      <c r="N2852">
        <v>0</v>
      </c>
      <c r="O2852">
        <v>0</v>
      </c>
    </row>
    <row r="2853" spans="1:15" x14ac:dyDescent="0.3">
      <c r="A2853" t="s">
        <v>2866</v>
      </c>
      <c r="B2853">
        <v>9</v>
      </c>
      <c r="C2853">
        <v>65</v>
      </c>
      <c r="D2853" t="s">
        <v>5016</v>
      </c>
      <c r="E2853" t="s">
        <v>5017</v>
      </c>
      <c r="F2853" t="s">
        <v>5024</v>
      </c>
      <c r="G2853">
        <v>23.11</v>
      </c>
      <c r="H2853">
        <v>2</v>
      </c>
      <c r="I2853">
        <v>2.6</v>
      </c>
      <c r="J2853">
        <v>12.25</v>
      </c>
      <c r="K2853">
        <v>52</v>
      </c>
      <c r="L2853" t="s">
        <v>5027</v>
      </c>
      <c r="M2853">
        <v>10</v>
      </c>
      <c r="N2853">
        <v>3</v>
      </c>
      <c r="O2853">
        <v>0</v>
      </c>
    </row>
    <row r="2854" spans="1:15" x14ac:dyDescent="0.3">
      <c r="A2854" t="s">
        <v>2867</v>
      </c>
      <c r="B2854">
        <v>10</v>
      </c>
      <c r="C2854">
        <v>59</v>
      </c>
      <c r="D2854" t="s">
        <v>5015</v>
      </c>
      <c r="E2854" t="s">
        <v>5017</v>
      </c>
      <c r="F2854" t="s">
        <v>5020</v>
      </c>
      <c r="G2854">
        <v>13.12</v>
      </c>
      <c r="H2854">
        <v>4</v>
      </c>
      <c r="I2854">
        <v>5.3</v>
      </c>
      <c r="J2854">
        <v>4.6900000000000004</v>
      </c>
      <c r="K2854">
        <v>52.5</v>
      </c>
      <c r="L2854" t="s">
        <v>5026</v>
      </c>
      <c r="M2854">
        <v>5</v>
      </c>
      <c r="N2854">
        <v>3</v>
      </c>
      <c r="O2854">
        <v>0</v>
      </c>
    </row>
    <row r="2855" spans="1:15" x14ac:dyDescent="0.3">
      <c r="A2855" t="s">
        <v>2868</v>
      </c>
      <c r="B2855">
        <v>5</v>
      </c>
      <c r="C2855">
        <v>44</v>
      </c>
      <c r="D2855" t="s">
        <v>5015</v>
      </c>
      <c r="E2855" t="s">
        <v>5017</v>
      </c>
      <c r="F2855" t="s">
        <v>5022</v>
      </c>
      <c r="G2855">
        <v>9.16</v>
      </c>
      <c r="H2855">
        <v>4</v>
      </c>
      <c r="I2855">
        <v>4.9000000000000004</v>
      </c>
      <c r="J2855">
        <v>19.55</v>
      </c>
      <c r="K2855">
        <v>32.5</v>
      </c>
      <c r="L2855" t="s">
        <v>5026</v>
      </c>
      <c r="M2855">
        <v>6</v>
      </c>
      <c r="N2855">
        <v>4</v>
      </c>
      <c r="O2855">
        <v>1</v>
      </c>
    </row>
    <row r="2856" spans="1:15" x14ac:dyDescent="0.3">
      <c r="A2856" t="s">
        <v>2869</v>
      </c>
      <c r="B2856">
        <v>7</v>
      </c>
      <c r="C2856">
        <v>27</v>
      </c>
      <c r="D2856" t="s">
        <v>5016</v>
      </c>
      <c r="E2856" t="s">
        <v>5017</v>
      </c>
      <c r="F2856" t="s">
        <v>5022</v>
      </c>
      <c r="G2856">
        <v>15.91</v>
      </c>
      <c r="H2856">
        <v>1</v>
      </c>
      <c r="I2856">
        <v>5.7</v>
      </c>
      <c r="J2856">
        <v>19.77</v>
      </c>
      <c r="K2856">
        <v>64.099999999999994</v>
      </c>
      <c r="L2856" t="s">
        <v>5029</v>
      </c>
      <c r="M2856">
        <v>7</v>
      </c>
      <c r="N2856">
        <v>3</v>
      </c>
      <c r="O2856">
        <v>0</v>
      </c>
    </row>
    <row r="2857" spans="1:15" x14ac:dyDescent="0.3">
      <c r="A2857" t="s">
        <v>2870</v>
      </c>
      <c r="B2857">
        <v>11</v>
      </c>
      <c r="C2857">
        <v>63</v>
      </c>
      <c r="D2857" t="s">
        <v>5015</v>
      </c>
      <c r="E2857" t="s">
        <v>5017</v>
      </c>
      <c r="F2857" t="s">
        <v>5023</v>
      </c>
      <c r="G2857">
        <v>20.9</v>
      </c>
      <c r="H2857">
        <v>3</v>
      </c>
      <c r="I2857">
        <v>8.3000000000000007</v>
      </c>
      <c r="J2857">
        <v>8.9600000000000009</v>
      </c>
      <c r="K2857">
        <v>20.8</v>
      </c>
      <c r="L2857" t="s">
        <v>5029</v>
      </c>
      <c r="M2857">
        <v>9</v>
      </c>
      <c r="N2857">
        <v>1</v>
      </c>
      <c r="O2857">
        <v>0</v>
      </c>
    </row>
    <row r="2858" spans="1:15" x14ac:dyDescent="0.3">
      <c r="A2858" t="s">
        <v>2871</v>
      </c>
      <c r="B2858">
        <v>11</v>
      </c>
      <c r="C2858">
        <v>69</v>
      </c>
      <c r="D2858" t="s">
        <v>5016</v>
      </c>
      <c r="E2858" t="s">
        <v>5018</v>
      </c>
      <c r="F2858" t="s">
        <v>5021</v>
      </c>
      <c r="G2858">
        <v>5.39</v>
      </c>
      <c r="H2858">
        <v>2</v>
      </c>
      <c r="I2858">
        <v>6.9</v>
      </c>
      <c r="J2858">
        <v>23.15</v>
      </c>
      <c r="K2858">
        <v>67.099999999999994</v>
      </c>
      <c r="L2858" t="s">
        <v>5025</v>
      </c>
      <c r="M2858">
        <v>6</v>
      </c>
      <c r="N2858">
        <v>1</v>
      </c>
      <c r="O2858">
        <v>0</v>
      </c>
    </row>
    <row r="2859" spans="1:15" x14ac:dyDescent="0.3">
      <c r="A2859" t="s">
        <v>2872</v>
      </c>
      <c r="B2859">
        <v>2</v>
      </c>
      <c r="C2859">
        <v>59</v>
      </c>
      <c r="D2859" t="s">
        <v>5016</v>
      </c>
      <c r="E2859" t="s">
        <v>5019</v>
      </c>
      <c r="F2859" t="s">
        <v>5021</v>
      </c>
      <c r="G2859">
        <v>15.11</v>
      </c>
      <c r="H2859">
        <v>3</v>
      </c>
      <c r="I2859">
        <v>2.7</v>
      </c>
      <c r="J2859">
        <v>19.809999999999999</v>
      </c>
      <c r="K2859">
        <v>90.4</v>
      </c>
      <c r="L2859" t="s">
        <v>5029</v>
      </c>
      <c r="M2859">
        <v>3</v>
      </c>
      <c r="N2859">
        <v>3</v>
      </c>
      <c r="O2859">
        <v>1</v>
      </c>
    </row>
    <row r="2860" spans="1:15" x14ac:dyDescent="0.3">
      <c r="A2860" t="s">
        <v>2873</v>
      </c>
      <c r="B2860">
        <v>9</v>
      </c>
      <c r="C2860">
        <v>49</v>
      </c>
      <c r="D2860" t="s">
        <v>5015</v>
      </c>
      <c r="E2860" t="s">
        <v>5019</v>
      </c>
      <c r="F2860" t="s">
        <v>5024</v>
      </c>
      <c r="G2860">
        <v>20.47</v>
      </c>
      <c r="H2860">
        <v>3</v>
      </c>
      <c r="I2860">
        <v>7.6</v>
      </c>
      <c r="J2860">
        <v>9.75</v>
      </c>
      <c r="K2860">
        <v>78.5</v>
      </c>
      <c r="L2860" t="s">
        <v>5025</v>
      </c>
      <c r="M2860">
        <v>2</v>
      </c>
      <c r="N2860">
        <v>0</v>
      </c>
      <c r="O2860">
        <v>0</v>
      </c>
    </row>
    <row r="2861" spans="1:15" x14ac:dyDescent="0.3">
      <c r="A2861" t="s">
        <v>2874</v>
      </c>
      <c r="B2861">
        <v>9</v>
      </c>
      <c r="C2861">
        <v>59</v>
      </c>
      <c r="D2861" t="s">
        <v>5015</v>
      </c>
      <c r="E2861" t="s">
        <v>5017</v>
      </c>
      <c r="F2861" t="s">
        <v>5023</v>
      </c>
      <c r="G2861">
        <v>7.07</v>
      </c>
      <c r="H2861">
        <v>1</v>
      </c>
      <c r="I2861">
        <v>6.3</v>
      </c>
      <c r="J2861">
        <v>8.26</v>
      </c>
      <c r="K2861">
        <v>68.400000000000006</v>
      </c>
      <c r="L2861" t="s">
        <v>5027</v>
      </c>
      <c r="M2861">
        <v>6</v>
      </c>
      <c r="N2861">
        <v>3</v>
      </c>
      <c r="O2861">
        <v>1</v>
      </c>
    </row>
    <row r="2862" spans="1:15" x14ac:dyDescent="0.3">
      <c r="A2862" t="s">
        <v>2875</v>
      </c>
      <c r="B2862">
        <v>4</v>
      </c>
      <c r="C2862">
        <v>43</v>
      </c>
      <c r="D2862" t="s">
        <v>5016</v>
      </c>
      <c r="E2862" t="s">
        <v>5018</v>
      </c>
      <c r="F2862" t="s">
        <v>5021</v>
      </c>
      <c r="G2862">
        <v>23.06</v>
      </c>
      <c r="H2862">
        <v>5</v>
      </c>
      <c r="I2862">
        <v>6.2</v>
      </c>
      <c r="J2862">
        <v>12.68</v>
      </c>
      <c r="K2862">
        <v>85.5</v>
      </c>
      <c r="L2862" t="s">
        <v>5027</v>
      </c>
      <c r="M2862">
        <v>9</v>
      </c>
      <c r="N2862">
        <v>1</v>
      </c>
      <c r="O2862">
        <v>0</v>
      </c>
    </row>
    <row r="2863" spans="1:15" x14ac:dyDescent="0.3">
      <c r="A2863" t="s">
        <v>2876</v>
      </c>
      <c r="B2863">
        <v>4</v>
      </c>
      <c r="C2863">
        <v>42</v>
      </c>
      <c r="D2863" t="s">
        <v>5016</v>
      </c>
      <c r="E2863" t="s">
        <v>5018</v>
      </c>
      <c r="F2863" t="s">
        <v>5022</v>
      </c>
      <c r="G2863">
        <v>10.29</v>
      </c>
      <c r="H2863">
        <v>1</v>
      </c>
      <c r="I2863">
        <v>7.1</v>
      </c>
      <c r="J2863">
        <v>9.44</v>
      </c>
      <c r="K2863">
        <v>75.7</v>
      </c>
      <c r="L2863" t="s">
        <v>5027</v>
      </c>
      <c r="M2863">
        <v>3</v>
      </c>
      <c r="N2863">
        <v>3</v>
      </c>
      <c r="O2863">
        <v>1</v>
      </c>
    </row>
    <row r="2864" spans="1:15" x14ac:dyDescent="0.3">
      <c r="A2864" t="s">
        <v>2877</v>
      </c>
      <c r="B2864">
        <v>6</v>
      </c>
      <c r="C2864">
        <v>28</v>
      </c>
      <c r="D2864" t="s">
        <v>5015</v>
      </c>
      <c r="E2864" t="s">
        <v>5019</v>
      </c>
      <c r="F2864" t="s">
        <v>5023</v>
      </c>
      <c r="G2864">
        <v>8.41</v>
      </c>
      <c r="H2864">
        <v>5</v>
      </c>
      <c r="I2864">
        <v>6.1</v>
      </c>
      <c r="J2864">
        <v>7.77</v>
      </c>
      <c r="K2864">
        <v>57.7</v>
      </c>
      <c r="L2864" t="s">
        <v>5029</v>
      </c>
      <c r="M2864">
        <v>4</v>
      </c>
      <c r="N2864">
        <v>2</v>
      </c>
      <c r="O2864">
        <v>0</v>
      </c>
    </row>
    <row r="2865" spans="1:15" x14ac:dyDescent="0.3">
      <c r="A2865" t="s">
        <v>2878</v>
      </c>
      <c r="B2865">
        <v>10</v>
      </c>
      <c r="C2865">
        <v>40</v>
      </c>
      <c r="D2865" t="s">
        <v>5015</v>
      </c>
      <c r="E2865" t="s">
        <v>5019</v>
      </c>
      <c r="F2865" t="s">
        <v>5020</v>
      </c>
      <c r="G2865">
        <v>16.79</v>
      </c>
      <c r="H2865">
        <v>2</v>
      </c>
      <c r="I2865">
        <v>5.0999999999999996</v>
      </c>
      <c r="J2865">
        <v>11.78</v>
      </c>
      <c r="K2865">
        <v>56.9</v>
      </c>
      <c r="L2865" t="s">
        <v>5029</v>
      </c>
      <c r="M2865">
        <v>3</v>
      </c>
      <c r="N2865">
        <v>4</v>
      </c>
      <c r="O2865">
        <v>0</v>
      </c>
    </row>
    <row r="2866" spans="1:15" x14ac:dyDescent="0.3">
      <c r="A2866" t="s">
        <v>2879</v>
      </c>
      <c r="B2866">
        <v>10</v>
      </c>
      <c r="C2866">
        <v>51</v>
      </c>
      <c r="D2866" t="s">
        <v>5016</v>
      </c>
      <c r="E2866" t="s">
        <v>5019</v>
      </c>
      <c r="F2866" t="s">
        <v>5023</v>
      </c>
      <c r="G2866">
        <v>8.5</v>
      </c>
      <c r="H2866">
        <v>5</v>
      </c>
      <c r="I2866">
        <v>6.8</v>
      </c>
      <c r="J2866">
        <v>3.57</v>
      </c>
      <c r="K2866">
        <v>19.600000000000001</v>
      </c>
      <c r="L2866" t="s">
        <v>5028</v>
      </c>
      <c r="M2866">
        <v>7</v>
      </c>
      <c r="N2866">
        <v>2</v>
      </c>
      <c r="O2866">
        <v>0</v>
      </c>
    </row>
    <row r="2867" spans="1:15" x14ac:dyDescent="0.3">
      <c r="A2867" t="s">
        <v>2880</v>
      </c>
      <c r="B2867">
        <v>10</v>
      </c>
      <c r="C2867">
        <v>69</v>
      </c>
      <c r="D2867" t="s">
        <v>5016</v>
      </c>
      <c r="E2867" t="s">
        <v>5018</v>
      </c>
      <c r="F2867" t="s">
        <v>5023</v>
      </c>
      <c r="G2867">
        <v>18.59</v>
      </c>
      <c r="H2867">
        <v>1</v>
      </c>
      <c r="I2867">
        <v>7.5</v>
      </c>
      <c r="J2867">
        <v>11.83</v>
      </c>
      <c r="K2867">
        <v>49.1</v>
      </c>
      <c r="L2867" t="s">
        <v>5026</v>
      </c>
      <c r="M2867">
        <v>4</v>
      </c>
      <c r="N2867">
        <v>2</v>
      </c>
      <c r="O2867">
        <v>1</v>
      </c>
    </row>
    <row r="2868" spans="1:15" x14ac:dyDescent="0.3">
      <c r="A2868" t="s">
        <v>2881</v>
      </c>
      <c r="B2868">
        <v>6</v>
      </c>
      <c r="C2868">
        <v>57</v>
      </c>
      <c r="D2868" t="s">
        <v>5016</v>
      </c>
      <c r="E2868" t="s">
        <v>5018</v>
      </c>
      <c r="F2868" t="s">
        <v>5021</v>
      </c>
      <c r="G2868">
        <v>14.8</v>
      </c>
      <c r="H2868">
        <v>1</v>
      </c>
      <c r="I2868">
        <v>3</v>
      </c>
      <c r="J2868">
        <v>7.88</v>
      </c>
      <c r="K2868">
        <v>57</v>
      </c>
      <c r="L2868" t="s">
        <v>5027</v>
      </c>
      <c r="M2868">
        <v>6</v>
      </c>
      <c r="N2868">
        <v>4</v>
      </c>
      <c r="O2868">
        <v>0</v>
      </c>
    </row>
    <row r="2869" spans="1:15" x14ac:dyDescent="0.3">
      <c r="A2869" t="s">
        <v>2882</v>
      </c>
      <c r="B2869">
        <v>12</v>
      </c>
      <c r="C2869">
        <v>40</v>
      </c>
      <c r="D2869" t="s">
        <v>5015</v>
      </c>
      <c r="E2869" t="s">
        <v>5017</v>
      </c>
      <c r="F2869" t="s">
        <v>5024</v>
      </c>
      <c r="G2869">
        <v>7.2</v>
      </c>
      <c r="H2869">
        <v>3</v>
      </c>
      <c r="I2869">
        <v>5.5</v>
      </c>
      <c r="J2869">
        <v>8.82</v>
      </c>
      <c r="K2869">
        <v>52.3</v>
      </c>
      <c r="L2869" t="s">
        <v>5029</v>
      </c>
      <c r="M2869">
        <v>6</v>
      </c>
      <c r="N2869">
        <v>0</v>
      </c>
      <c r="O2869">
        <v>0</v>
      </c>
    </row>
    <row r="2870" spans="1:15" x14ac:dyDescent="0.3">
      <c r="A2870" t="s">
        <v>2883</v>
      </c>
      <c r="B2870">
        <v>1</v>
      </c>
      <c r="C2870">
        <v>46</v>
      </c>
      <c r="D2870" t="s">
        <v>5016</v>
      </c>
      <c r="E2870" t="s">
        <v>5018</v>
      </c>
      <c r="F2870" t="s">
        <v>5024</v>
      </c>
      <c r="G2870">
        <v>23.25</v>
      </c>
      <c r="H2870">
        <v>1</v>
      </c>
      <c r="I2870">
        <v>5.0999999999999996</v>
      </c>
      <c r="J2870">
        <v>4.82</v>
      </c>
      <c r="K2870">
        <v>79.8</v>
      </c>
      <c r="L2870" t="s">
        <v>5026</v>
      </c>
      <c r="M2870">
        <v>9</v>
      </c>
      <c r="N2870">
        <v>4</v>
      </c>
      <c r="O2870">
        <v>0</v>
      </c>
    </row>
    <row r="2871" spans="1:15" x14ac:dyDescent="0.3">
      <c r="A2871" t="s">
        <v>2884</v>
      </c>
      <c r="B2871">
        <v>9</v>
      </c>
      <c r="C2871">
        <v>48</v>
      </c>
      <c r="D2871" t="s">
        <v>5015</v>
      </c>
      <c r="E2871" t="s">
        <v>5017</v>
      </c>
      <c r="F2871" t="s">
        <v>5021</v>
      </c>
      <c r="G2871">
        <v>18.46</v>
      </c>
      <c r="H2871">
        <v>1</v>
      </c>
      <c r="I2871">
        <v>1.4</v>
      </c>
      <c r="J2871">
        <v>15.96</v>
      </c>
      <c r="K2871">
        <v>24.5</v>
      </c>
      <c r="L2871" t="s">
        <v>5027</v>
      </c>
      <c r="M2871">
        <v>5</v>
      </c>
      <c r="N2871">
        <v>0</v>
      </c>
      <c r="O2871">
        <v>1</v>
      </c>
    </row>
    <row r="2872" spans="1:15" x14ac:dyDescent="0.3">
      <c r="A2872" t="s">
        <v>2885</v>
      </c>
      <c r="B2872">
        <v>2</v>
      </c>
      <c r="C2872">
        <v>24</v>
      </c>
      <c r="D2872" t="s">
        <v>5016</v>
      </c>
      <c r="E2872" t="s">
        <v>5018</v>
      </c>
      <c r="F2872" t="s">
        <v>5021</v>
      </c>
      <c r="G2872">
        <v>15.92</v>
      </c>
      <c r="H2872">
        <v>4</v>
      </c>
      <c r="I2872">
        <v>8.5</v>
      </c>
      <c r="J2872">
        <v>13.38</v>
      </c>
      <c r="K2872">
        <v>81.5</v>
      </c>
      <c r="L2872" t="s">
        <v>5027</v>
      </c>
      <c r="M2872">
        <v>7</v>
      </c>
      <c r="N2872">
        <v>1</v>
      </c>
      <c r="O2872">
        <v>0</v>
      </c>
    </row>
    <row r="2873" spans="1:15" x14ac:dyDescent="0.3">
      <c r="A2873" t="s">
        <v>2886</v>
      </c>
      <c r="B2873">
        <v>5</v>
      </c>
      <c r="C2873">
        <v>57</v>
      </c>
      <c r="D2873" t="s">
        <v>5015</v>
      </c>
      <c r="E2873" t="s">
        <v>5018</v>
      </c>
      <c r="F2873" t="s">
        <v>5021</v>
      </c>
      <c r="G2873">
        <v>12.49</v>
      </c>
      <c r="H2873">
        <v>4</v>
      </c>
      <c r="I2873">
        <v>4.4000000000000004</v>
      </c>
      <c r="J2873">
        <v>19.510000000000002</v>
      </c>
      <c r="K2873">
        <v>76.7</v>
      </c>
      <c r="L2873" t="s">
        <v>5026</v>
      </c>
      <c r="M2873">
        <v>1</v>
      </c>
      <c r="N2873">
        <v>3</v>
      </c>
      <c r="O2873">
        <v>0</v>
      </c>
    </row>
    <row r="2874" spans="1:15" x14ac:dyDescent="0.3">
      <c r="A2874" t="s">
        <v>2887</v>
      </c>
      <c r="B2874">
        <v>9</v>
      </c>
      <c r="C2874">
        <v>50</v>
      </c>
      <c r="D2874" t="s">
        <v>5015</v>
      </c>
      <c r="E2874" t="s">
        <v>5017</v>
      </c>
      <c r="F2874" t="s">
        <v>5024</v>
      </c>
      <c r="G2874">
        <v>7.7</v>
      </c>
      <c r="H2874">
        <v>3</v>
      </c>
      <c r="I2874">
        <v>1.7</v>
      </c>
      <c r="J2874">
        <v>24.72</v>
      </c>
      <c r="K2874">
        <v>91.1</v>
      </c>
      <c r="L2874" t="s">
        <v>5026</v>
      </c>
      <c r="M2874">
        <v>8</v>
      </c>
      <c r="N2874">
        <v>1</v>
      </c>
      <c r="O2874">
        <v>0</v>
      </c>
    </row>
    <row r="2875" spans="1:15" x14ac:dyDescent="0.3">
      <c r="A2875" t="s">
        <v>2888</v>
      </c>
      <c r="B2875">
        <v>4</v>
      </c>
      <c r="C2875">
        <v>38</v>
      </c>
      <c r="D2875" t="s">
        <v>5015</v>
      </c>
      <c r="E2875" t="s">
        <v>5017</v>
      </c>
      <c r="F2875" t="s">
        <v>5021</v>
      </c>
      <c r="G2875">
        <v>19.149999999999999</v>
      </c>
      <c r="H2875">
        <v>5</v>
      </c>
      <c r="I2875">
        <v>5.0999999999999996</v>
      </c>
      <c r="J2875">
        <v>5.63</v>
      </c>
      <c r="K2875">
        <v>43.6</v>
      </c>
      <c r="L2875" t="s">
        <v>5029</v>
      </c>
      <c r="M2875">
        <v>2</v>
      </c>
      <c r="N2875">
        <v>1</v>
      </c>
      <c r="O2875">
        <v>0</v>
      </c>
    </row>
    <row r="2876" spans="1:15" x14ac:dyDescent="0.3">
      <c r="A2876" t="s">
        <v>2889</v>
      </c>
      <c r="B2876">
        <v>11</v>
      </c>
      <c r="C2876">
        <v>19</v>
      </c>
      <c r="D2876" t="s">
        <v>5015</v>
      </c>
      <c r="E2876" t="s">
        <v>5017</v>
      </c>
      <c r="F2876" t="s">
        <v>5020</v>
      </c>
      <c r="G2876">
        <v>21.27</v>
      </c>
      <c r="H2876">
        <v>5</v>
      </c>
      <c r="I2876">
        <v>2.5</v>
      </c>
      <c r="J2876">
        <v>8.99</v>
      </c>
      <c r="K2876">
        <v>25.9</v>
      </c>
      <c r="L2876" t="s">
        <v>5026</v>
      </c>
      <c r="M2876">
        <v>4</v>
      </c>
      <c r="N2876">
        <v>1</v>
      </c>
      <c r="O2876">
        <v>0</v>
      </c>
    </row>
    <row r="2877" spans="1:15" x14ac:dyDescent="0.3">
      <c r="A2877" t="s">
        <v>2890</v>
      </c>
      <c r="B2877">
        <v>3</v>
      </c>
      <c r="C2877">
        <v>35</v>
      </c>
      <c r="D2877" t="s">
        <v>5016</v>
      </c>
      <c r="E2877" t="s">
        <v>5017</v>
      </c>
      <c r="F2877" t="s">
        <v>5020</v>
      </c>
      <c r="G2877">
        <v>7.52</v>
      </c>
      <c r="H2877">
        <v>4</v>
      </c>
      <c r="I2877">
        <v>7.3</v>
      </c>
      <c r="J2877">
        <v>18.010000000000002</v>
      </c>
      <c r="K2877">
        <v>78.3</v>
      </c>
      <c r="L2877" t="s">
        <v>5026</v>
      </c>
      <c r="M2877">
        <v>10</v>
      </c>
      <c r="N2877">
        <v>3</v>
      </c>
      <c r="O2877">
        <v>0</v>
      </c>
    </row>
    <row r="2878" spans="1:15" x14ac:dyDescent="0.3">
      <c r="A2878" t="s">
        <v>2891</v>
      </c>
      <c r="B2878">
        <v>7</v>
      </c>
      <c r="C2878">
        <v>64</v>
      </c>
      <c r="D2878" t="s">
        <v>5015</v>
      </c>
      <c r="E2878" t="s">
        <v>5017</v>
      </c>
      <c r="F2878" t="s">
        <v>5022</v>
      </c>
      <c r="G2878">
        <v>14.89</v>
      </c>
      <c r="H2878">
        <v>2</v>
      </c>
      <c r="I2878">
        <v>6.1</v>
      </c>
      <c r="J2878">
        <v>8.2200000000000006</v>
      </c>
      <c r="K2878">
        <v>63</v>
      </c>
      <c r="L2878" t="s">
        <v>5029</v>
      </c>
      <c r="M2878">
        <v>7</v>
      </c>
      <c r="N2878">
        <v>0</v>
      </c>
      <c r="O2878">
        <v>0</v>
      </c>
    </row>
    <row r="2879" spans="1:15" x14ac:dyDescent="0.3">
      <c r="A2879" t="s">
        <v>2892</v>
      </c>
      <c r="B2879">
        <v>6</v>
      </c>
      <c r="C2879">
        <v>50</v>
      </c>
      <c r="D2879" t="s">
        <v>5015</v>
      </c>
      <c r="E2879" t="s">
        <v>5017</v>
      </c>
      <c r="F2879" t="s">
        <v>5020</v>
      </c>
      <c r="G2879">
        <v>14.7</v>
      </c>
      <c r="H2879">
        <v>4</v>
      </c>
      <c r="I2879">
        <v>3.4</v>
      </c>
      <c r="J2879">
        <v>3.66</v>
      </c>
      <c r="K2879">
        <v>74.099999999999994</v>
      </c>
      <c r="L2879" t="s">
        <v>5027</v>
      </c>
      <c r="M2879">
        <v>6</v>
      </c>
      <c r="N2879">
        <v>4</v>
      </c>
      <c r="O2879">
        <v>0</v>
      </c>
    </row>
    <row r="2880" spans="1:15" x14ac:dyDescent="0.3">
      <c r="A2880" t="s">
        <v>2893</v>
      </c>
      <c r="B2880">
        <v>8</v>
      </c>
      <c r="C2880">
        <v>54</v>
      </c>
      <c r="D2880" t="s">
        <v>5015</v>
      </c>
      <c r="E2880" t="s">
        <v>5017</v>
      </c>
      <c r="F2880" t="s">
        <v>5023</v>
      </c>
      <c r="G2880">
        <v>12</v>
      </c>
      <c r="H2880">
        <v>2</v>
      </c>
      <c r="I2880">
        <v>9.6</v>
      </c>
      <c r="J2880">
        <v>5.42</v>
      </c>
      <c r="K2880">
        <v>99.7</v>
      </c>
      <c r="L2880" t="s">
        <v>5026</v>
      </c>
      <c r="M2880">
        <v>4</v>
      </c>
      <c r="N2880">
        <v>0</v>
      </c>
      <c r="O2880">
        <v>0</v>
      </c>
    </row>
    <row r="2881" spans="1:15" x14ac:dyDescent="0.3">
      <c r="A2881" t="s">
        <v>2894</v>
      </c>
      <c r="B2881">
        <v>3</v>
      </c>
      <c r="C2881">
        <v>51</v>
      </c>
      <c r="D2881" t="s">
        <v>5016</v>
      </c>
      <c r="E2881" t="s">
        <v>5017</v>
      </c>
      <c r="F2881" t="s">
        <v>5022</v>
      </c>
      <c r="G2881">
        <v>20.79</v>
      </c>
      <c r="H2881">
        <v>5</v>
      </c>
      <c r="I2881">
        <v>3.6</v>
      </c>
      <c r="J2881">
        <v>12.54</v>
      </c>
      <c r="K2881">
        <v>27.5</v>
      </c>
      <c r="L2881" t="s">
        <v>5028</v>
      </c>
      <c r="M2881">
        <v>8</v>
      </c>
      <c r="N2881">
        <v>0</v>
      </c>
      <c r="O2881">
        <v>1</v>
      </c>
    </row>
    <row r="2882" spans="1:15" x14ac:dyDescent="0.3">
      <c r="A2882" t="s">
        <v>2895</v>
      </c>
      <c r="B2882">
        <v>5</v>
      </c>
      <c r="C2882">
        <v>37</v>
      </c>
      <c r="D2882" t="s">
        <v>5016</v>
      </c>
      <c r="E2882" t="s">
        <v>5019</v>
      </c>
      <c r="F2882" t="s">
        <v>5020</v>
      </c>
      <c r="G2882">
        <v>6.99</v>
      </c>
      <c r="H2882">
        <v>4</v>
      </c>
      <c r="I2882">
        <v>6</v>
      </c>
      <c r="J2882">
        <v>12.48</v>
      </c>
      <c r="K2882">
        <v>47</v>
      </c>
      <c r="L2882" t="s">
        <v>5025</v>
      </c>
      <c r="M2882">
        <v>7</v>
      </c>
      <c r="N2882">
        <v>2</v>
      </c>
      <c r="O2882">
        <v>1</v>
      </c>
    </row>
    <row r="2883" spans="1:15" x14ac:dyDescent="0.3">
      <c r="A2883" t="s">
        <v>2896</v>
      </c>
      <c r="B2883">
        <v>10</v>
      </c>
      <c r="C2883">
        <v>52</v>
      </c>
      <c r="D2883" t="s">
        <v>5016</v>
      </c>
      <c r="E2883" t="s">
        <v>5018</v>
      </c>
      <c r="F2883" t="s">
        <v>5023</v>
      </c>
      <c r="G2883">
        <v>9.1</v>
      </c>
      <c r="H2883">
        <v>1</v>
      </c>
      <c r="I2883">
        <v>8.1999999999999993</v>
      </c>
      <c r="J2883">
        <v>24.39</v>
      </c>
      <c r="K2883">
        <v>27.3</v>
      </c>
      <c r="L2883" t="s">
        <v>5026</v>
      </c>
      <c r="M2883">
        <v>6</v>
      </c>
      <c r="N2883">
        <v>3</v>
      </c>
      <c r="O2883">
        <v>0</v>
      </c>
    </row>
    <row r="2884" spans="1:15" x14ac:dyDescent="0.3">
      <c r="A2884" t="s">
        <v>2897</v>
      </c>
      <c r="B2884">
        <v>4</v>
      </c>
      <c r="C2884">
        <v>68</v>
      </c>
      <c r="D2884" t="s">
        <v>5016</v>
      </c>
      <c r="E2884" t="s">
        <v>5017</v>
      </c>
      <c r="F2884" t="s">
        <v>5020</v>
      </c>
      <c r="G2884">
        <v>5.03</v>
      </c>
      <c r="H2884">
        <v>2</v>
      </c>
      <c r="I2884">
        <v>5.6</v>
      </c>
      <c r="J2884">
        <v>13.25</v>
      </c>
      <c r="K2884">
        <v>87.5</v>
      </c>
      <c r="L2884" t="s">
        <v>5026</v>
      </c>
      <c r="M2884">
        <v>5</v>
      </c>
      <c r="N2884">
        <v>0</v>
      </c>
      <c r="O2884">
        <v>0</v>
      </c>
    </row>
    <row r="2885" spans="1:15" x14ac:dyDescent="0.3">
      <c r="A2885" t="s">
        <v>2898</v>
      </c>
      <c r="B2885">
        <v>4</v>
      </c>
      <c r="C2885">
        <v>67</v>
      </c>
      <c r="D2885" t="s">
        <v>5016</v>
      </c>
      <c r="E2885" t="s">
        <v>5018</v>
      </c>
      <c r="F2885" t="s">
        <v>5023</v>
      </c>
      <c r="G2885">
        <v>12.46</v>
      </c>
      <c r="H2885">
        <v>2</v>
      </c>
      <c r="I2885">
        <v>9.6</v>
      </c>
      <c r="J2885">
        <v>17.920000000000002</v>
      </c>
      <c r="K2885">
        <v>11.5</v>
      </c>
      <c r="L2885" t="s">
        <v>5025</v>
      </c>
      <c r="M2885">
        <v>5</v>
      </c>
      <c r="N2885">
        <v>0</v>
      </c>
      <c r="O2885">
        <v>0</v>
      </c>
    </row>
    <row r="2886" spans="1:15" x14ac:dyDescent="0.3">
      <c r="A2886" t="s">
        <v>2899</v>
      </c>
      <c r="B2886">
        <v>4</v>
      </c>
      <c r="C2886">
        <v>35</v>
      </c>
      <c r="D2886" t="s">
        <v>5016</v>
      </c>
      <c r="E2886" t="s">
        <v>5019</v>
      </c>
      <c r="F2886" t="s">
        <v>5021</v>
      </c>
      <c r="G2886">
        <v>10.82</v>
      </c>
      <c r="H2886">
        <v>2</v>
      </c>
      <c r="I2886">
        <v>8.6</v>
      </c>
      <c r="J2886">
        <v>13.83</v>
      </c>
      <c r="K2886">
        <v>22.2</v>
      </c>
      <c r="L2886" t="s">
        <v>5028</v>
      </c>
      <c r="M2886">
        <v>11</v>
      </c>
      <c r="N2886">
        <v>1</v>
      </c>
      <c r="O2886">
        <v>1</v>
      </c>
    </row>
    <row r="2887" spans="1:15" x14ac:dyDescent="0.3">
      <c r="A2887" t="s">
        <v>2900</v>
      </c>
      <c r="B2887">
        <v>10</v>
      </c>
      <c r="C2887">
        <v>63</v>
      </c>
      <c r="D2887" t="s">
        <v>5015</v>
      </c>
      <c r="E2887" t="s">
        <v>5018</v>
      </c>
      <c r="F2887" t="s">
        <v>5023</v>
      </c>
      <c r="G2887">
        <v>22.34</v>
      </c>
      <c r="H2887">
        <v>5</v>
      </c>
      <c r="I2887">
        <v>9.3000000000000007</v>
      </c>
      <c r="J2887">
        <v>8.94</v>
      </c>
      <c r="K2887">
        <v>32.299999999999997</v>
      </c>
      <c r="L2887" t="s">
        <v>5027</v>
      </c>
      <c r="M2887">
        <v>7</v>
      </c>
      <c r="N2887">
        <v>2</v>
      </c>
      <c r="O2887">
        <v>1</v>
      </c>
    </row>
    <row r="2888" spans="1:15" x14ac:dyDescent="0.3">
      <c r="A2888" t="s">
        <v>2901</v>
      </c>
      <c r="B2888">
        <v>8</v>
      </c>
      <c r="C2888">
        <v>41</v>
      </c>
      <c r="D2888" t="s">
        <v>5015</v>
      </c>
      <c r="E2888" t="s">
        <v>5017</v>
      </c>
      <c r="F2888" t="s">
        <v>5021</v>
      </c>
      <c r="G2888">
        <v>19.920000000000002</v>
      </c>
      <c r="H2888">
        <v>3</v>
      </c>
      <c r="I2888">
        <v>4.4000000000000004</v>
      </c>
      <c r="J2888">
        <v>5.32</v>
      </c>
      <c r="K2888">
        <v>79.400000000000006</v>
      </c>
      <c r="L2888" t="s">
        <v>5028</v>
      </c>
      <c r="M2888">
        <v>11</v>
      </c>
      <c r="N2888">
        <v>4</v>
      </c>
      <c r="O2888">
        <v>0</v>
      </c>
    </row>
    <row r="2889" spans="1:15" x14ac:dyDescent="0.3">
      <c r="A2889" t="s">
        <v>2902</v>
      </c>
      <c r="B2889">
        <v>6</v>
      </c>
      <c r="C2889">
        <v>25</v>
      </c>
      <c r="D2889" t="s">
        <v>5015</v>
      </c>
      <c r="E2889" t="s">
        <v>5018</v>
      </c>
      <c r="F2889" t="s">
        <v>5023</v>
      </c>
      <c r="G2889">
        <v>6.69</v>
      </c>
      <c r="H2889">
        <v>1</v>
      </c>
      <c r="I2889">
        <v>5.9</v>
      </c>
      <c r="J2889">
        <v>21.9</v>
      </c>
      <c r="K2889">
        <v>66.599999999999994</v>
      </c>
      <c r="L2889" t="s">
        <v>5025</v>
      </c>
      <c r="M2889">
        <v>6</v>
      </c>
      <c r="N2889">
        <v>2</v>
      </c>
      <c r="O2889">
        <v>1</v>
      </c>
    </row>
    <row r="2890" spans="1:15" x14ac:dyDescent="0.3">
      <c r="A2890" t="s">
        <v>2903</v>
      </c>
      <c r="B2890">
        <v>3</v>
      </c>
      <c r="C2890">
        <v>47</v>
      </c>
      <c r="D2890" t="s">
        <v>5016</v>
      </c>
      <c r="E2890" t="s">
        <v>5019</v>
      </c>
      <c r="F2890" t="s">
        <v>5023</v>
      </c>
      <c r="G2890">
        <v>19.82</v>
      </c>
      <c r="H2890">
        <v>4</v>
      </c>
      <c r="I2890">
        <v>8.6</v>
      </c>
      <c r="J2890">
        <v>6.36</v>
      </c>
      <c r="K2890">
        <v>45</v>
      </c>
      <c r="L2890" t="s">
        <v>5026</v>
      </c>
      <c r="M2890">
        <v>4</v>
      </c>
      <c r="N2890">
        <v>1</v>
      </c>
      <c r="O2890">
        <v>0</v>
      </c>
    </row>
    <row r="2891" spans="1:15" x14ac:dyDescent="0.3">
      <c r="A2891" t="s">
        <v>2904</v>
      </c>
      <c r="B2891">
        <v>10</v>
      </c>
      <c r="C2891">
        <v>61</v>
      </c>
      <c r="D2891" t="s">
        <v>5015</v>
      </c>
      <c r="E2891" t="s">
        <v>5019</v>
      </c>
      <c r="F2891" t="s">
        <v>5020</v>
      </c>
      <c r="G2891">
        <v>18.510000000000002</v>
      </c>
      <c r="H2891">
        <v>2</v>
      </c>
      <c r="I2891">
        <v>9.1</v>
      </c>
      <c r="J2891">
        <v>5.13</v>
      </c>
      <c r="K2891">
        <v>24.3</v>
      </c>
      <c r="L2891" t="s">
        <v>5027</v>
      </c>
      <c r="M2891">
        <v>7</v>
      </c>
      <c r="N2891">
        <v>1</v>
      </c>
      <c r="O2891">
        <v>0</v>
      </c>
    </row>
    <row r="2892" spans="1:15" x14ac:dyDescent="0.3">
      <c r="A2892" t="s">
        <v>2905</v>
      </c>
      <c r="B2892">
        <v>5</v>
      </c>
      <c r="C2892">
        <v>27</v>
      </c>
      <c r="D2892" t="s">
        <v>5015</v>
      </c>
      <c r="E2892" t="s">
        <v>5018</v>
      </c>
      <c r="F2892" t="s">
        <v>5023</v>
      </c>
      <c r="G2892">
        <v>10.63</v>
      </c>
      <c r="H2892">
        <v>5</v>
      </c>
      <c r="I2892">
        <v>9.5</v>
      </c>
      <c r="J2892">
        <v>7.7</v>
      </c>
      <c r="K2892">
        <v>38.9</v>
      </c>
      <c r="L2892" t="s">
        <v>5028</v>
      </c>
      <c r="M2892">
        <v>5</v>
      </c>
      <c r="N2892">
        <v>1</v>
      </c>
      <c r="O2892">
        <v>0</v>
      </c>
    </row>
    <row r="2893" spans="1:15" x14ac:dyDescent="0.3">
      <c r="A2893" t="s">
        <v>2906</v>
      </c>
      <c r="B2893">
        <v>6</v>
      </c>
      <c r="C2893">
        <v>40</v>
      </c>
      <c r="D2893" t="s">
        <v>5016</v>
      </c>
      <c r="E2893" t="s">
        <v>5019</v>
      </c>
      <c r="F2893" t="s">
        <v>5020</v>
      </c>
      <c r="G2893">
        <v>5.31</v>
      </c>
      <c r="H2893">
        <v>2</v>
      </c>
      <c r="I2893">
        <v>8.9</v>
      </c>
      <c r="J2893">
        <v>3.05</v>
      </c>
      <c r="K2893">
        <v>76.900000000000006</v>
      </c>
      <c r="L2893" t="s">
        <v>5028</v>
      </c>
      <c r="M2893">
        <v>7</v>
      </c>
      <c r="N2893">
        <v>3</v>
      </c>
      <c r="O2893">
        <v>0</v>
      </c>
    </row>
    <row r="2894" spans="1:15" x14ac:dyDescent="0.3">
      <c r="A2894" t="s">
        <v>2907</v>
      </c>
      <c r="B2894">
        <v>5</v>
      </c>
      <c r="C2894">
        <v>69</v>
      </c>
      <c r="D2894" t="s">
        <v>5015</v>
      </c>
      <c r="E2894" t="s">
        <v>5019</v>
      </c>
      <c r="F2894" t="s">
        <v>5023</v>
      </c>
      <c r="G2894">
        <v>7.3</v>
      </c>
      <c r="H2894">
        <v>4</v>
      </c>
      <c r="I2894">
        <v>7.6</v>
      </c>
      <c r="J2894">
        <v>4.58</v>
      </c>
      <c r="K2894">
        <v>44.4</v>
      </c>
      <c r="L2894" t="s">
        <v>5027</v>
      </c>
      <c r="M2894">
        <v>7</v>
      </c>
      <c r="N2894">
        <v>1</v>
      </c>
      <c r="O2894">
        <v>1</v>
      </c>
    </row>
    <row r="2895" spans="1:15" x14ac:dyDescent="0.3">
      <c r="A2895" t="s">
        <v>2908</v>
      </c>
      <c r="B2895">
        <v>6</v>
      </c>
      <c r="C2895">
        <v>66</v>
      </c>
      <c r="D2895" t="s">
        <v>5016</v>
      </c>
      <c r="E2895" t="s">
        <v>5018</v>
      </c>
      <c r="F2895" t="s">
        <v>5024</v>
      </c>
      <c r="G2895">
        <v>10</v>
      </c>
      <c r="H2895">
        <v>1</v>
      </c>
      <c r="I2895">
        <v>1.2</v>
      </c>
      <c r="J2895">
        <v>16.97</v>
      </c>
      <c r="K2895">
        <v>51.6</v>
      </c>
      <c r="L2895" t="s">
        <v>5028</v>
      </c>
      <c r="M2895">
        <v>11</v>
      </c>
      <c r="N2895">
        <v>0</v>
      </c>
      <c r="O2895">
        <v>0</v>
      </c>
    </row>
    <row r="2896" spans="1:15" x14ac:dyDescent="0.3">
      <c r="A2896" t="s">
        <v>2909</v>
      </c>
      <c r="B2896">
        <v>8</v>
      </c>
      <c r="C2896">
        <v>28</v>
      </c>
      <c r="D2896" t="s">
        <v>5015</v>
      </c>
      <c r="E2896" t="s">
        <v>5018</v>
      </c>
      <c r="F2896" t="s">
        <v>5022</v>
      </c>
      <c r="G2896">
        <v>21.33</v>
      </c>
      <c r="H2896">
        <v>2</v>
      </c>
      <c r="I2896">
        <v>3.8</v>
      </c>
      <c r="J2896">
        <v>8.36</v>
      </c>
      <c r="K2896">
        <v>64.8</v>
      </c>
      <c r="L2896" t="s">
        <v>5025</v>
      </c>
      <c r="M2896">
        <v>2</v>
      </c>
      <c r="N2896">
        <v>3</v>
      </c>
      <c r="O2896">
        <v>1</v>
      </c>
    </row>
    <row r="2897" spans="1:15" x14ac:dyDescent="0.3">
      <c r="A2897" t="s">
        <v>2910</v>
      </c>
      <c r="B2897">
        <v>7</v>
      </c>
      <c r="C2897">
        <v>19</v>
      </c>
      <c r="D2897" t="s">
        <v>5016</v>
      </c>
      <c r="E2897" t="s">
        <v>5018</v>
      </c>
      <c r="F2897" t="s">
        <v>5020</v>
      </c>
      <c r="G2897">
        <v>14.31</v>
      </c>
      <c r="H2897">
        <v>5</v>
      </c>
      <c r="I2897">
        <v>2.2000000000000002</v>
      </c>
      <c r="J2897">
        <v>10.45</v>
      </c>
      <c r="K2897">
        <v>92.2</v>
      </c>
      <c r="L2897" t="s">
        <v>5027</v>
      </c>
      <c r="M2897">
        <v>4</v>
      </c>
      <c r="N2897">
        <v>1</v>
      </c>
      <c r="O2897">
        <v>0</v>
      </c>
    </row>
    <row r="2898" spans="1:15" x14ac:dyDescent="0.3">
      <c r="A2898" t="s">
        <v>2911</v>
      </c>
      <c r="B2898">
        <v>5</v>
      </c>
      <c r="C2898">
        <v>43</v>
      </c>
      <c r="D2898" t="s">
        <v>5016</v>
      </c>
      <c r="E2898" t="s">
        <v>5019</v>
      </c>
      <c r="F2898" t="s">
        <v>5020</v>
      </c>
      <c r="G2898">
        <v>23.37</v>
      </c>
      <c r="H2898">
        <v>5</v>
      </c>
      <c r="I2898">
        <v>2.4</v>
      </c>
      <c r="J2898">
        <v>21.38</v>
      </c>
      <c r="K2898">
        <v>32.5</v>
      </c>
      <c r="L2898" t="s">
        <v>5025</v>
      </c>
      <c r="M2898">
        <v>10</v>
      </c>
      <c r="N2898">
        <v>3</v>
      </c>
      <c r="O2898">
        <v>0</v>
      </c>
    </row>
    <row r="2899" spans="1:15" x14ac:dyDescent="0.3">
      <c r="A2899" t="s">
        <v>2912</v>
      </c>
      <c r="B2899">
        <v>10</v>
      </c>
      <c r="C2899">
        <v>53</v>
      </c>
      <c r="D2899" t="s">
        <v>5016</v>
      </c>
      <c r="E2899" t="s">
        <v>5017</v>
      </c>
      <c r="F2899" t="s">
        <v>5021</v>
      </c>
      <c r="G2899">
        <v>20.78</v>
      </c>
      <c r="H2899">
        <v>3</v>
      </c>
      <c r="I2899">
        <v>3.6</v>
      </c>
      <c r="J2899">
        <v>20</v>
      </c>
      <c r="K2899">
        <v>50.3</v>
      </c>
      <c r="L2899" t="s">
        <v>5027</v>
      </c>
      <c r="M2899">
        <v>4</v>
      </c>
      <c r="N2899">
        <v>0</v>
      </c>
      <c r="O2899">
        <v>0</v>
      </c>
    </row>
    <row r="2900" spans="1:15" x14ac:dyDescent="0.3">
      <c r="A2900" t="s">
        <v>2913</v>
      </c>
      <c r="B2900">
        <v>6</v>
      </c>
      <c r="C2900">
        <v>50</v>
      </c>
      <c r="D2900" t="s">
        <v>5015</v>
      </c>
      <c r="E2900" t="s">
        <v>5019</v>
      </c>
      <c r="F2900" t="s">
        <v>5024</v>
      </c>
      <c r="G2900">
        <v>10.74</v>
      </c>
      <c r="H2900">
        <v>5</v>
      </c>
      <c r="I2900">
        <v>1.7</v>
      </c>
      <c r="J2900">
        <v>13.83</v>
      </c>
      <c r="K2900">
        <v>37.9</v>
      </c>
      <c r="L2900" t="s">
        <v>5025</v>
      </c>
      <c r="M2900">
        <v>7</v>
      </c>
      <c r="N2900">
        <v>1</v>
      </c>
      <c r="O2900">
        <v>0</v>
      </c>
    </row>
    <row r="2901" spans="1:15" x14ac:dyDescent="0.3">
      <c r="A2901" t="s">
        <v>2914</v>
      </c>
      <c r="B2901">
        <v>4</v>
      </c>
      <c r="C2901">
        <v>64</v>
      </c>
      <c r="D2901" t="s">
        <v>5015</v>
      </c>
      <c r="E2901" t="s">
        <v>5017</v>
      </c>
      <c r="F2901" t="s">
        <v>5021</v>
      </c>
      <c r="G2901">
        <v>21.91</v>
      </c>
      <c r="H2901">
        <v>3</v>
      </c>
      <c r="I2901">
        <v>3.2</v>
      </c>
      <c r="J2901">
        <v>16.489999999999998</v>
      </c>
      <c r="K2901">
        <v>52</v>
      </c>
      <c r="L2901" t="s">
        <v>5026</v>
      </c>
      <c r="M2901">
        <v>8</v>
      </c>
      <c r="N2901">
        <v>1</v>
      </c>
      <c r="O2901">
        <v>0</v>
      </c>
    </row>
    <row r="2902" spans="1:15" x14ac:dyDescent="0.3">
      <c r="A2902" t="s">
        <v>2915</v>
      </c>
      <c r="B2902">
        <v>12</v>
      </c>
      <c r="C2902">
        <v>30</v>
      </c>
      <c r="D2902" t="s">
        <v>5016</v>
      </c>
      <c r="E2902" t="s">
        <v>5018</v>
      </c>
      <c r="F2902" t="s">
        <v>5024</v>
      </c>
      <c r="G2902">
        <v>7.33</v>
      </c>
      <c r="H2902">
        <v>1</v>
      </c>
      <c r="I2902">
        <v>9.6</v>
      </c>
      <c r="J2902">
        <v>4.8899999999999997</v>
      </c>
      <c r="K2902">
        <v>72.7</v>
      </c>
      <c r="L2902" t="s">
        <v>5026</v>
      </c>
      <c r="M2902">
        <v>11</v>
      </c>
      <c r="N2902">
        <v>0</v>
      </c>
      <c r="O2902">
        <v>1</v>
      </c>
    </row>
    <row r="2903" spans="1:15" x14ac:dyDescent="0.3">
      <c r="A2903" t="s">
        <v>2916</v>
      </c>
      <c r="B2903">
        <v>9</v>
      </c>
      <c r="C2903">
        <v>57</v>
      </c>
      <c r="D2903" t="s">
        <v>5016</v>
      </c>
      <c r="E2903" t="s">
        <v>5019</v>
      </c>
      <c r="F2903" t="s">
        <v>5024</v>
      </c>
      <c r="G2903">
        <v>5.72</v>
      </c>
      <c r="H2903">
        <v>4</v>
      </c>
      <c r="I2903">
        <v>3.8</v>
      </c>
      <c r="J2903">
        <v>19.760000000000002</v>
      </c>
      <c r="K2903">
        <v>53.4</v>
      </c>
      <c r="L2903" t="s">
        <v>5028</v>
      </c>
      <c r="M2903">
        <v>1</v>
      </c>
      <c r="N2903">
        <v>1</v>
      </c>
      <c r="O2903">
        <v>0</v>
      </c>
    </row>
    <row r="2904" spans="1:15" x14ac:dyDescent="0.3">
      <c r="A2904" t="s">
        <v>2917</v>
      </c>
      <c r="B2904">
        <v>4</v>
      </c>
      <c r="C2904">
        <v>42</v>
      </c>
      <c r="D2904" t="s">
        <v>5015</v>
      </c>
      <c r="E2904" t="s">
        <v>5017</v>
      </c>
      <c r="F2904" t="s">
        <v>5023</v>
      </c>
      <c r="G2904">
        <v>17.170000000000002</v>
      </c>
      <c r="H2904">
        <v>3</v>
      </c>
      <c r="I2904">
        <v>2.4</v>
      </c>
      <c r="J2904">
        <v>14.36</v>
      </c>
      <c r="K2904">
        <v>85.1</v>
      </c>
      <c r="L2904" t="s">
        <v>5027</v>
      </c>
      <c r="M2904">
        <v>7</v>
      </c>
      <c r="N2904">
        <v>0</v>
      </c>
      <c r="O2904">
        <v>1</v>
      </c>
    </row>
    <row r="2905" spans="1:15" x14ac:dyDescent="0.3">
      <c r="A2905" t="s">
        <v>2918</v>
      </c>
      <c r="B2905">
        <v>1</v>
      </c>
      <c r="C2905">
        <v>21</v>
      </c>
      <c r="D2905" t="s">
        <v>5015</v>
      </c>
      <c r="E2905" t="s">
        <v>5018</v>
      </c>
      <c r="F2905" t="s">
        <v>5021</v>
      </c>
      <c r="G2905">
        <v>11.83</v>
      </c>
      <c r="H2905">
        <v>2</v>
      </c>
      <c r="I2905">
        <v>7.5</v>
      </c>
      <c r="J2905">
        <v>15.56</v>
      </c>
      <c r="K2905">
        <v>59.8</v>
      </c>
      <c r="L2905" t="s">
        <v>5027</v>
      </c>
      <c r="M2905">
        <v>11</v>
      </c>
      <c r="N2905">
        <v>1</v>
      </c>
      <c r="O2905">
        <v>0</v>
      </c>
    </row>
    <row r="2906" spans="1:15" x14ac:dyDescent="0.3">
      <c r="A2906" t="s">
        <v>2919</v>
      </c>
      <c r="B2906">
        <v>7</v>
      </c>
      <c r="C2906">
        <v>59</v>
      </c>
      <c r="D2906" t="s">
        <v>5016</v>
      </c>
      <c r="E2906" t="s">
        <v>5017</v>
      </c>
      <c r="F2906" t="s">
        <v>5022</v>
      </c>
      <c r="G2906">
        <v>11.59</v>
      </c>
      <c r="H2906">
        <v>2</v>
      </c>
      <c r="I2906">
        <v>8.5</v>
      </c>
      <c r="J2906">
        <v>17.64</v>
      </c>
      <c r="K2906">
        <v>44.7</v>
      </c>
      <c r="L2906" t="s">
        <v>5025</v>
      </c>
      <c r="M2906">
        <v>6</v>
      </c>
      <c r="N2906">
        <v>1</v>
      </c>
      <c r="O2906">
        <v>1</v>
      </c>
    </row>
    <row r="2907" spans="1:15" x14ac:dyDescent="0.3">
      <c r="A2907" t="s">
        <v>2920</v>
      </c>
      <c r="B2907">
        <v>7</v>
      </c>
      <c r="C2907">
        <v>36</v>
      </c>
      <c r="D2907" t="s">
        <v>5015</v>
      </c>
      <c r="E2907" t="s">
        <v>5018</v>
      </c>
      <c r="F2907" t="s">
        <v>5024</v>
      </c>
      <c r="G2907">
        <v>18.739999999999998</v>
      </c>
      <c r="H2907">
        <v>4</v>
      </c>
      <c r="I2907">
        <v>3.8</v>
      </c>
      <c r="J2907">
        <v>14</v>
      </c>
      <c r="K2907">
        <v>80.400000000000006</v>
      </c>
      <c r="L2907" t="s">
        <v>5028</v>
      </c>
      <c r="M2907">
        <v>10</v>
      </c>
      <c r="N2907">
        <v>2</v>
      </c>
      <c r="O2907">
        <v>1</v>
      </c>
    </row>
    <row r="2908" spans="1:15" x14ac:dyDescent="0.3">
      <c r="A2908" t="s">
        <v>2921</v>
      </c>
      <c r="B2908">
        <v>4</v>
      </c>
      <c r="C2908">
        <v>35</v>
      </c>
      <c r="D2908" t="s">
        <v>5015</v>
      </c>
      <c r="E2908" t="s">
        <v>5017</v>
      </c>
      <c r="F2908" t="s">
        <v>5024</v>
      </c>
      <c r="G2908">
        <v>22</v>
      </c>
      <c r="H2908">
        <v>5</v>
      </c>
      <c r="I2908">
        <v>3.5</v>
      </c>
      <c r="J2908">
        <v>14.48</v>
      </c>
      <c r="K2908">
        <v>48.8</v>
      </c>
      <c r="L2908" t="s">
        <v>5028</v>
      </c>
      <c r="M2908">
        <v>1</v>
      </c>
      <c r="N2908">
        <v>3</v>
      </c>
      <c r="O2908">
        <v>0</v>
      </c>
    </row>
    <row r="2909" spans="1:15" x14ac:dyDescent="0.3">
      <c r="A2909" t="s">
        <v>2922</v>
      </c>
      <c r="B2909">
        <v>3</v>
      </c>
      <c r="C2909">
        <v>54</v>
      </c>
      <c r="D2909" t="s">
        <v>5015</v>
      </c>
      <c r="E2909" t="s">
        <v>5018</v>
      </c>
      <c r="F2909" t="s">
        <v>5020</v>
      </c>
      <c r="G2909">
        <v>11.44</v>
      </c>
      <c r="H2909">
        <v>2</v>
      </c>
      <c r="I2909">
        <v>3.2</v>
      </c>
      <c r="J2909">
        <v>13.99</v>
      </c>
      <c r="K2909">
        <v>56.4</v>
      </c>
      <c r="L2909" t="s">
        <v>5027</v>
      </c>
      <c r="M2909">
        <v>8</v>
      </c>
      <c r="N2909">
        <v>4</v>
      </c>
      <c r="O2909">
        <v>0</v>
      </c>
    </row>
    <row r="2910" spans="1:15" x14ac:dyDescent="0.3">
      <c r="A2910" t="s">
        <v>2923</v>
      </c>
      <c r="B2910">
        <v>8</v>
      </c>
      <c r="C2910">
        <v>47</v>
      </c>
      <c r="D2910" t="s">
        <v>5016</v>
      </c>
      <c r="E2910" t="s">
        <v>5018</v>
      </c>
      <c r="F2910" t="s">
        <v>5023</v>
      </c>
      <c r="G2910">
        <v>11.5</v>
      </c>
      <c r="H2910">
        <v>3</v>
      </c>
      <c r="I2910">
        <v>4.5</v>
      </c>
      <c r="J2910">
        <v>13.93</v>
      </c>
      <c r="K2910">
        <v>99.5</v>
      </c>
      <c r="L2910" t="s">
        <v>5026</v>
      </c>
      <c r="M2910">
        <v>5</v>
      </c>
      <c r="N2910">
        <v>2</v>
      </c>
      <c r="O2910">
        <v>1</v>
      </c>
    </row>
    <row r="2911" spans="1:15" x14ac:dyDescent="0.3">
      <c r="A2911" t="s">
        <v>2924</v>
      </c>
      <c r="B2911">
        <v>5</v>
      </c>
      <c r="C2911">
        <v>36</v>
      </c>
      <c r="D2911" t="s">
        <v>5016</v>
      </c>
      <c r="E2911" t="s">
        <v>5019</v>
      </c>
      <c r="F2911" t="s">
        <v>5022</v>
      </c>
      <c r="G2911">
        <v>15.68</v>
      </c>
      <c r="H2911">
        <v>4</v>
      </c>
      <c r="I2911">
        <v>1.8</v>
      </c>
      <c r="J2911">
        <v>19.5</v>
      </c>
      <c r="K2911">
        <v>80.8</v>
      </c>
      <c r="L2911" t="s">
        <v>5027</v>
      </c>
      <c r="M2911">
        <v>7</v>
      </c>
      <c r="N2911">
        <v>2</v>
      </c>
      <c r="O2911">
        <v>1</v>
      </c>
    </row>
    <row r="2912" spans="1:15" x14ac:dyDescent="0.3">
      <c r="A2912" t="s">
        <v>2925</v>
      </c>
      <c r="B2912">
        <v>10</v>
      </c>
      <c r="C2912">
        <v>40</v>
      </c>
      <c r="D2912" t="s">
        <v>5015</v>
      </c>
      <c r="E2912" t="s">
        <v>5019</v>
      </c>
      <c r="F2912" t="s">
        <v>5024</v>
      </c>
      <c r="G2912">
        <v>18.059999999999999</v>
      </c>
      <c r="H2912">
        <v>2</v>
      </c>
      <c r="I2912">
        <v>7</v>
      </c>
      <c r="J2912">
        <v>12.4</v>
      </c>
      <c r="K2912">
        <v>87</v>
      </c>
      <c r="L2912" t="s">
        <v>5027</v>
      </c>
      <c r="M2912">
        <v>8</v>
      </c>
      <c r="N2912">
        <v>3</v>
      </c>
      <c r="O2912">
        <v>0</v>
      </c>
    </row>
    <row r="2913" spans="1:15" x14ac:dyDescent="0.3">
      <c r="A2913" t="s">
        <v>2926</v>
      </c>
      <c r="B2913">
        <v>7</v>
      </c>
      <c r="C2913">
        <v>33</v>
      </c>
      <c r="D2913" t="s">
        <v>5016</v>
      </c>
      <c r="E2913" t="s">
        <v>5017</v>
      </c>
      <c r="F2913" t="s">
        <v>5020</v>
      </c>
      <c r="G2913">
        <v>9.06</v>
      </c>
      <c r="H2913">
        <v>5</v>
      </c>
      <c r="I2913">
        <v>8.4</v>
      </c>
      <c r="J2913">
        <v>3.06</v>
      </c>
      <c r="K2913">
        <v>63.4</v>
      </c>
      <c r="L2913" t="s">
        <v>5029</v>
      </c>
      <c r="M2913">
        <v>7</v>
      </c>
      <c r="N2913">
        <v>2</v>
      </c>
      <c r="O2913">
        <v>0</v>
      </c>
    </row>
    <row r="2914" spans="1:15" x14ac:dyDescent="0.3">
      <c r="A2914" t="s">
        <v>2927</v>
      </c>
      <c r="B2914">
        <v>4</v>
      </c>
      <c r="C2914">
        <v>18</v>
      </c>
      <c r="D2914" t="s">
        <v>5015</v>
      </c>
      <c r="E2914" t="s">
        <v>5019</v>
      </c>
      <c r="F2914" t="s">
        <v>5021</v>
      </c>
      <c r="G2914">
        <v>23.25</v>
      </c>
      <c r="H2914">
        <v>5</v>
      </c>
      <c r="I2914">
        <v>7</v>
      </c>
      <c r="J2914">
        <v>16.47</v>
      </c>
      <c r="K2914">
        <v>41.3</v>
      </c>
      <c r="L2914" t="s">
        <v>5025</v>
      </c>
      <c r="M2914">
        <v>11</v>
      </c>
      <c r="N2914">
        <v>0</v>
      </c>
      <c r="O2914">
        <v>0</v>
      </c>
    </row>
    <row r="2915" spans="1:15" x14ac:dyDescent="0.3">
      <c r="A2915" t="s">
        <v>2928</v>
      </c>
      <c r="B2915">
        <v>4</v>
      </c>
      <c r="C2915">
        <v>29</v>
      </c>
      <c r="D2915" t="s">
        <v>5015</v>
      </c>
      <c r="E2915" t="s">
        <v>5017</v>
      </c>
      <c r="F2915" t="s">
        <v>5024</v>
      </c>
      <c r="G2915">
        <v>18.09</v>
      </c>
      <c r="H2915">
        <v>2</v>
      </c>
      <c r="I2915">
        <v>4.8</v>
      </c>
      <c r="J2915">
        <v>23.96</v>
      </c>
      <c r="K2915">
        <v>99.2</v>
      </c>
      <c r="L2915" t="s">
        <v>5025</v>
      </c>
      <c r="M2915">
        <v>10</v>
      </c>
      <c r="N2915">
        <v>2</v>
      </c>
      <c r="O2915">
        <v>0</v>
      </c>
    </row>
    <row r="2916" spans="1:15" x14ac:dyDescent="0.3">
      <c r="A2916" t="s">
        <v>2929</v>
      </c>
      <c r="B2916">
        <v>8</v>
      </c>
      <c r="C2916">
        <v>41</v>
      </c>
      <c r="D2916" t="s">
        <v>5016</v>
      </c>
      <c r="E2916" t="s">
        <v>5017</v>
      </c>
      <c r="F2916" t="s">
        <v>5020</v>
      </c>
      <c r="G2916">
        <v>17.5</v>
      </c>
      <c r="H2916">
        <v>4</v>
      </c>
      <c r="I2916">
        <v>3.6</v>
      </c>
      <c r="J2916">
        <v>8.65</v>
      </c>
      <c r="K2916">
        <v>32</v>
      </c>
      <c r="L2916" t="s">
        <v>5029</v>
      </c>
      <c r="M2916">
        <v>1</v>
      </c>
      <c r="N2916">
        <v>4</v>
      </c>
      <c r="O2916">
        <v>1</v>
      </c>
    </row>
    <row r="2917" spans="1:15" x14ac:dyDescent="0.3">
      <c r="A2917" t="s">
        <v>2930</v>
      </c>
      <c r="B2917">
        <v>8</v>
      </c>
      <c r="C2917">
        <v>51</v>
      </c>
      <c r="D2917" t="s">
        <v>5016</v>
      </c>
      <c r="E2917" t="s">
        <v>5017</v>
      </c>
      <c r="F2917" t="s">
        <v>5021</v>
      </c>
      <c r="G2917">
        <v>23.08</v>
      </c>
      <c r="H2917">
        <v>1</v>
      </c>
      <c r="I2917">
        <v>4.7</v>
      </c>
      <c r="J2917">
        <v>20.96</v>
      </c>
      <c r="K2917">
        <v>88.6</v>
      </c>
      <c r="L2917" t="s">
        <v>5028</v>
      </c>
      <c r="M2917">
        <v>6</v>
      </c>
      <c r="N2917">
        <v>0</v>
      </c>
      <c r="O2917">
        <v>0</v>
      </c>
    </row>
    <row r="2918" spans="1:15" x14ac:dyDescent="0.3">
      <c r="A2918" t="s">
        <v>2931</v>
      </c>
      <c r="B2918">
        <v>2</v>
      </c>
      <c r="C2918">
        <v>25</v>
      </c>
      <c r="D2918" t="s">
        <v>5016</v>
      </c>
      <c r="E2918" t="s">
        <v>5019</v>
      </c>
      <c r="F2918" t="s">
        <v>5023</v>
      </c>
      <c r="G2918">
        <v>23.15</v>
      </c>
      <c r="H2918">
        <v>2</v>
      </c>
      <c r="I2918">
        <v>4.8</v>
      </c>
      <c r="J2918">
        <v>13.02</v>
      </c>
      <c r="K2918">
        <v>92</v>
      </c>
      <c r="L2918" t="s">
        <v>5025</v>
      </c>
      <c r="M2918">
        <v>11</v>
      </c>
      <c r="N2918">
        <v>3</v>
      </c>
      <c r="O2918">
        <v>1</v>
      </c>
    </row>
    <row r="2919" spans="1:15" x14ac:dyDescent="0.3">
      <c r="A2919" t="s">
        <v>2932</v>
      </c>
      <c r="B2919">
        <v>2</v>
      </c>
      <c r="C2919">
        <v>35</v>
      </c>
      <c r="D2919" t="s">
        <v>5015</v>
      </c>
      <c r="E2919" t="s">
        <v>5019</v>
      </c>
      <c r="F2919" t="s">
        <v>5021</v>
      </c>
      <c r="G2919">
        <v>7.71</v>
      </c>
      <c r="H2919">
        <v>5</v>
      </c>
      <c r="I2919">
        <v>7</v>
      </c>
      <c r="J2919">
        <v>17.149999999999999</v>
      </c>
      <c r="K2919">
        <v>83.6</v>
      </c>
      <c r="L2919" t="s">
        <v>5028</v>
      </c>
      <c r="M2919">
        <v>11</v>
      </c>
      <c r="N2919">
        <v>3</v>
      </c>
      <c r="O2919">
        <v>1</v>
      </c>
    </row>
    <row r="2920" spans="1:15" x14ac:dyDescent="0.3">
      <c r="A2920" t="s">
        <v>2933</v>
      </c>
      <c r="B2920">
        <v>3</v>
      </c>
      <c r="C2920">
        <v>65</v>
      </c>
      <c r="D2920" t="s">
        <v>5015</v>
      </c>
      <c r="E2920" t="s">
        <v>5017</v>
      </c>
      <c r="F2920" t="s">
        <v>5024</v>
      </c>
      <c r="G2920">
        <v>7.9</v>
      </c>
      <c r="H2920">
        <v>1</v>
      </c>
      <c r="I2920">
        <v>9.4</v>
      </c>
      <c r="J2920">
        <v>22.6</v>
      </c>
      <c r="K2920">
        <v>20.3</v>
      </c>
      <c r="L2920" t="s">
        <v>5026</v>
      </c>
      <c r="M2920">
        <v>11</v>
      </c>
      <c r="N2920">
        <v>3</v>
      </c>
      <c r="O2920">
        <v>1</v>
      </c>
    </row>
    <row r="2921" spans="1:15" x14ac:dyDescent="0.3">
      <c r="A2921" t="s">
        <v>2934</v>
      </c>
      <c r="B2921">
        <v>12</v>
      </c>
      <c r="C2921">
        <v>22</v>
      </c>
      <c r="D2921" t="s">
        <v>5016</v>
      </c>
      <c r="E2921" t="s">
        <v>5017</v>
      </c>
      <c r="F2921" t="s">
        <v>5022</v>
      </c>
      <c r="G2921">
        <v>20.239999999999998</v>
      </c>
      <c r="H2921">
        <v>4</v>
      </c>
      <c r="I2921">
        <v>1.6</v>
      </c>
      <c r="J2921">
        <v>19.96</v>
      </c>
      <c r="K2921">
        <v>86.9</v>
      </c>
      <c r="L2921" t="s">
        <v>5028</v>
      </c>
      <c r="M2921">
        <v>1</v>
      </c>
      <c r="N2921">
        <v>0</v>
      </c>
      <c r="O2921">
        <v>0</v>
      </c>
    </row>
    <row r="2922" spans="1:15" x14ac:dyDescent="0.3">
      <c r="A2922" t="s">
        <v>2935</v>
      </c>
      <c r="B2922">
        <v>12</v>
      </c>
      <c r="C2922">
        <v>43</v>
      </c>
      <c r="D2922" t="s">
        <v>5016</v>
      </c>
      <c r="E2922" t="s">
        <v>5017</v>
      </c>
      <c r="F2922" t="s">
        <v>5021</v>
      </c>
      <c r="G2922">
        <v>24.14</v>
      </c>
      <c r="H2922">
        <v>5</v>
      </c>
      <c r="I2922">
        <v>9.6</v>
      </c>
      <c r="J2922">
        <v>22.46</v>
      </c>
      <c r="K2922">
        <v>69.7</v>
      </c>
      <c r="L2922" t="s">
        <v>5025</v>
      </c>
      <c r="M2922">
        <v>4</v>
      </c>
      <c r="N2922">
        <v>3</v>
      </c>
      <c r="O2922">
        <v>0</v>
      </c>
    </row>
    <row r="2923" spans="1:15" x14ac:dyDescent="0.3">
      <c r="A2923" t="s">
        <v>2936</v>
      </c>
      <c r="B2923">
        <v>3</v>
      </c>
      <c r="C2923">
        <v>47</v>
      </c>
      <c r="D2923" t="s">
        <v>5016</v>
      </c>
      <c r="E2923" t="s">
        <v>5018</v>
      </c>
      <c r="F2923" t="s">
        <v>5022</v>
      </c>
      <c r="G2923">
        <v>18.329999999999998</v>
      </c>
      <c r="H2923">
        <v>4</v>
      </c>
      <c r="I2923">
        <v>9.1999999999999993</v>
      </c>
      <c r="J2923">
        <v>3.21</v>
      </c>
      <c r="K2923">
        <v>71.3</v>
      </c>
      <c r="L2923" t="s">
        <v>5028</v>
      </c>
      <c r="M2923">
        <v>4</v>
      </c>
      <c r="N2923">
        <v>3</v>
      </c>
      <c r="O2923">
        <v>1</v>
      </c>
    </row>
    <row r="2924" spans="1:15" x14ac:dyDescent="0.3">
      <c r="A2924" t="s">
        <v>2937</v>
      </c>
      <c r="B2924">
        <v>1</v>
      </c>
      <c r="C2924">
        <v>30</v>
      </c>
      <c r="D2924" t="s">
        <v>5015</v>
      </c>
      <c r="E2924" t="s">
        <v>5018</v>
      </c>
      <c r="F2924" t="s">
        <v>5022</v>
      </c>
      <c r="G2924">
        <v>13.23</v>
      </c>
      <c r="H2924">
        <v>2</v>
      </c>
      <c r="I2924">
        <v>2.1</v>
      </c>
      <c r="J2924">
        <v>7.12</v>
      </c>
      <c r="K2924">
        <v>80.8</v>
      </c>
      <c r="L2924" t="s">
        <v>5026</v>
      </c>
      <c r="M2924">
        <v>8</v>
      </c>
      <c r="N2924">
        <v>4</v>
      </c>
      <c r="O2924">
        <v>0</v>
      </c>
    </row>
    <row r="2925" spans="1:15" x14ac:dyDescent="0.3">
      <c r="A2925" t="s">
        <v>2938</v>
      </c>
      <c r="B2925">
        <v>3</v>
      </c>
      <c r="C2925">
        <v>36</v>
      </c>
      <c r="D2925" t="s">
        <v>5015</v>
      </c>
      <c r="E2925" t="s">
        <v>5017</v>
      </c>
      <c r="F2925" t="s">
        <v>5021</v>
      </c>
      <c r="G2925">
        <v>18.670000000000002</v>
      </c>
      <c r="H2925">
        <v>4</v>
      </c>
      <c r="I2925">
        <v>2.7</v>
      </c>
      <c r="J2925">
        <v>12.32</v>
      </c>
      <c r="K2925">
        <v>54.1</v>
      </c>
      <c r="L2925" t="s">
        <v>5029</v>
      </c>
      <c r="M2925">
        <v>6</v>
      </c>
      <c r="N2925">
        <v>1</v>
      </c>
      <c r="O2925">
        <v>0</v>
      </c>
    </row>
    <row r="2926" spans="1:15" x14ac:dyDescent="0.3">
      <c r="A2926" t="s">
        <v>2939</v>
      </c>
      <c r="B2926">
        <v>6</v>
      </c>
      <c r="C2926">
        <v>46</v>
      </c>
      <c r="D2926" t="s">
        <v>5015</v>
      </c>
      <c r="E2926" t="s">
        <v>5019</v>
      </c>
      <c r="F2926" t="s">
        <v>5023</v>
      </c>
      <c r="G2926">
        <v>9.58</v>
      </c>
      <c r="H2926">
        <v>5</v>
      </c>
      <c r="I2926">
        <v>3.8</v>
      </c>
      <c r="J2926">
        <v>21.65</v>
      </c>
      <c r="K2926">
        <v>34</v>
      </c>
      <c r="L2926" t="s">
        <v>5025</v>
      </c>
      <c r="M2926">
        <v>7</v>
      </c>
      <c r="N2926">
        <v>1</v>
      </c>
      <c r="O2926">
        <v>1</v>
      </c>
    </row>
    <row r="2927" spans="1:15" x14ac:dyDescent="0.3">
      <c r="A2927" t="s">
        <v>2940</v>
      </c>
      <c r="B2927">
        <v>8</v>
      </c>
      <c r="C2927">
        <v>20</v>
      </c>
      <c r="D2927" t="s">
        <v>5016</v>
      </c>
      <c r="E2927" t="s">
        <v>5018</v>
      </c>
      <c r="F2927" t="s">
        <v>5021</v>
      </c>
      <c r="G2927">
        <v>24.96</v>
      </c>
      <c r="H2927">
        <v>2</v>
      </c>
      <c r="I2927">
        <v>6</v>
      </c>
      <c r="J2927">
        <v>21.44</v>
      </c>
      <c r="K2927">
        <v>61.7</v>
      </c>
      <c r="L2927" t="s">
        <v>5026</v>
      </c>
      <c r="M2927">
        <v>10</v>
      </c>
      <c r="N2927">
        <v>1</v>
      </c>
      <c r="O2927">
        <v>0</v>
      </c>
    </row>
    <row r="2928" spans="1:15" x14ac:dyDescent="0.3">
      <c r="A2928" t="s">
        <v>2941</v>
      </c>
      <c r="B2928">
        <v>12</v>
      </c>
      <c r="C2928">
        <v>43</v>
      </c>
      <c r="D2928" t="s">
        <v>5016</v>
      </c>
      <c r="E2928" t="s">
        <v>5019</v>
      </c>
      <c r="F2928" t="s">
        <v>5020</v>
      </c>
      <c r="G2928">
        <v>13.62</v>
      </c>
      <c r="H2928">
        <v>5</v>
      </c>
      <c r="I2928">
        <v>2.2000000000000002</v>
      </c>
      <c r="J2928">
        <v>7.07</v>
      </c>
      <c r="K2928">
        <v>19.8</v>
      </c>
      <c r="L2928" t="s">
        <v>5027</v>
      </c>
      <c r="M2928">
        <v>7</v>
      </c>
      <c r="N2928">
        <v>3</v>
      </c>
      <c r="O2928">
        <v>0</v>
      </c>
    </row>
    <row r="2929" spans="1:15" x14ac:dyDescent="0.3">
      <c r="A2929" t="s">
        <v>2942</v>
      </c>
      <c r="B2929">
        <v>10</v>
      </c>
      <c r="C2929">
        <v>57</v>
      </c>
      <c r="D2929" t="s">
        <v>5015</v>
      </c>
      <c r="E2929" t="s">
        <v>5018</v>
      </c>
      <c r="F2929" t="s">
        <v>5022</v>
      </c>
      <c r="G2929">
        <v>23.63</v>
      </c>
      <c r="H2929">
        <v>5</v>
      </c>
      <c r="I2929">
        <v>2.8</v>
      </c>
      <c r="J2929">
        <v>6.13</v>
      </c>
      <c r="K2929">
        <v>70.7</v>
      </c>
      <c r="L2929" t="s">
        <v>5029</v>
      </c>
      <c r="M2929">
        <v>7</v>
      </c>
      <c r="N2929">
        <v>0</v>
      </c>
      <c r="O2929">
        <v>1</v>
      </c>
    </row>
    <row r="2930" spans="1:15" x14ac:dyDescent="0.3">
      <c r="A2930" t="s">
        <v>2943</v>
      </c>
      <c r="B2930">
        <v>6</v>
      </c>
      <c r="C2930">
        <v>29</v>
      </c>
      <c r="D2930" t="s">
        <v>5016</v>
      </c>
      <c r="E2930" t="s">
        <v>5018</v>
      </c>
      <c r="F2930" t="s">
        <v>5024</v>
      </c>
      <c r="G2930">
        <v>13.62</v>
      </c>
      <c r="H2930">
        <v>1</v>
      </c>
      <c r="I2930">
        <v>9.1</v>
      </c>
      <c r="J2930">
        <v>21.36</v>
      </c>
      <c r="K2930">
        <v>53.5</v>
      </c>
      <c r="L2930" t="s">
        <v>5029</v>
      </c>
      <c r="M2930">
        <v>10</v>
      </c>
      <c r="N2930">
        <v>3</v>
      </c>
      <c r="O2930">
        <v>1</v>
      </c>
    </row>
    <row r="2931" spans="1:15" x14ac:dyDescent="0.3">
      <c r="A2931" t="s">
        <v>2944</v>
      </c>
      <c r="B2931">
        <v>5</v>
      </c>
      <c r="C2931">
        <v>19</v>
      </c>
      <c r="D2931" t="s">
        <v>5016</v>
      </c>
      <c r="E2931" t="s">
        <v>5019</v>
      </c>
      <c r="F2931" t="s">
        <v>5022</v>
      </c>
      <c r="G2931">
        <v>23.56</v>
      </c>
      <c r="H2931">
        <v>3</v>
      </c>
      <c r="I2931">
        <v>2</v>
      </c>
      <c r="J2931">
        <v>14.91</v>
      </c>
      <c r="K2931">
        <v>55.2</v>
      </c>
      <c r="L2931" t="s">
        <v>5025</v>
      </c>
      <c r="M2931">
        <v>2</v>
      </c>
      <c r="N2931">
        <v>1</v>
      </c>
      <c r="O2931">
        <v>0</v>
      </c>
    </row>
    <row r="2932" spans="1:15" x14ac:dyDescent="0.3">
      <c r="A2932" t="s">
        <v>2945</v>
      </c>
      <c r="B2932">
        <v>4</v>
      </c>
      <c r="C2932">
        <v>28</v>
      </c>
      <c r="D2932" t="s">
        <v>5016</v>
      </c>
      <c r="E2932" t="s">
        <v>5019</v>
      </c>
      <c r="F2932" t="s">
        <v>5024</v>
      </c>
      <c r="G2932">
        <v>11.71</v>
      </c>
      <c r="H2932">
        <v>4</v>
      </c>
      <c r="I2932">
        <v>4.5999999999999996</v>
      </c>
      <c r="J2932">
        <v>16.79</v>
      </c>
      <c r="K2932">
        <v>26.7</v>
      </c>
      <c r="L2932" t="s">
        <v>5026</v>
      </c>
      <c r="M2932">
        <v>6</v>
      </c>
      <c r="N2932">
        <v>4</v>
      </c>
      <c r="O2932">
        <v>0</v>
      </c>
    </row>
    <row r="2933" spans="1:15" x14ac:dyDescent="0.3">
      <c r="A2933" t="s">
        <v>2946</v>
      </c>
      <c r="B2933">
        <v>3</v>
      </c>
      <c r="C2933">
        <v>61</v>
      </c>
      <c r="D2933" t="s">
        <v>5016</v>
      </c>
      <c r="E2933" t="s">
        <v>5017</v>
      </c>
      <c r="F2933" t="s">
        <v>5020</v>
      </c>
      <c r="G2933">
        <v>20.21</v>
      </c>
      <c r="H2933">
        <v>4</v>
      </c>
      <c r="I2933">
        <v>7.9</v>
      </c>
      <c r="J2933">
        <v>20.8</v>
      </c>
      <c r="K2933">
        <v>13.7</v>
      </c>
      <c r="L2933" t="s">
        <v>5027</v>
      </c>
      <c r="M2933">
        <v>8</v>
      </c>
      <c r="N2933">
        <v>3</v>
      </c>
      <c r="O2933">
        <v>0</v>
      </c>
    </row>
    <row r="2934" spans="1:15" x14ac:dyDescent="0.3">
      <c r="A2934" t="s">
        <v>2947</v>
      </c>
      <c r="B2934">
        <v>4</v>
      </c>
      <c r="C2934">
        <v>45</v>
      </c>
      <c r="D2934" t="s">
        <v>5015</v>
      </c>
      <c r="E2934" t="s">
        <v>5018</v>
      </c>
      <c r="F2934" t="s">
        <v>5020</v>
      </c>
      <c r="G2934">
        <v>24.02</v>
      </c>
      <c r="H2934">
        <v>1</v>
      </c>
      <c r="I2934">
        <v>9</v>
      </c>
      <c r="J2934">
        <v>7.66</v>
      </c>
      <c r="K2934">
        <v>65</v>
      </c>
      <c r="L2934" t="s">
        <v>5026</v>
      </c>
      <c r="M2934">
        <v>8</v>
      </c>
      <c r="N2934">
        <v>3</v>
      </c>
      <c r="O2934">
        <v>0</v>
      </c>
    </row>
    <row r="2935" spans="1:15" x14ac:dyDescent="0.3">
      <c r="A2935" t="s">
        <v>2948</v>
      </c>
      <c r="B2935">
        <v>7</v>
      </c>
      <c r="C2935">
        <v>35</v>
      </c>
      <c r="D2935" t="s">
        <v>5016</v>
      </c>
      <c r="E2935" t="s">
        <v>5019</v>
      </c>
      <c r="F2935" t="s">
        <v>5020</v>
      </c>
      <c r="G2935">
        <v>17.920000000000002</v>
      </c>
      <c r="H2935">
        <v>4</v>
      </c>
      <c r="I2935">
        <v>4</v>
      </c>
      <c r="J2935">
        <v>6</v>
      </c>
      <c r="K2935">
        <v>69.3</v>
      </c>
      <c r="L2935" t="s">
        <v>5028</v>
      </c>
      <c r="M2935">
        <v>4</v>
      </c>
      <c r="N2935">
        <v>3</v>
      </c>
      <c r="O2935">
        <v>0</v>
      </c>
    </row>
    <row r="2936" spans="1:15" x14ac:dyDescent="0.3">
      <c r="A2936" t="s">
        <v>2949</v>
      </c>
      <c r="B2936">
        <v>1</v>
      </c>
      <c r="C2936">
        <v>30</v>
      </c>
      <c r="D2936" t="s">
        <v>5015</v>
      </c>
      <c r="E2936" t="s">
        <v>5017</v>
      </c>
      <c r="F2936" t="s">
        <v>5021</v>
      </c>
      <c r="G2936">
        <v>18.55</v>
      </c>
      <c r="H2936">
        <v>1</v>
      </c>
      <c r="I2936">
        <v>2.5</v>
      </c>
      <c r="J2936">
        <v>21.9</v>
      </c>
      <c r="K2936">
        <v>54.8</v>
      </c>
      <c r="L2936" t="s">
        <v>5025</v>
      </c>
      <c r="M2936">
        <v>7</v>
      </c>
      <c r="N2936">
        <v>0</v>
      </c>
      <c r="O2936">
        <v>0</v>
      </c>
    </row>
    <row r="2937" spans="1:15" x14ac:dyDescent="0.3">
      <c r="A2937" t="s">
        <v>2950</v>
      </c>
      <c r="B2937">
        <v>7</v>
      </c>
      <c r="C2937">
        <v>54</v>
      </c>
      <c r="D2937" t="s">
        <v>5015</v>
      </c>
      <c r="E2937" t="s">
        <v>5017</v>
      </c>
      <c r="F2937" t="s">
        <v>5022</v>
      </c>
      <c r="G2937">
        <v>7.06</v>
      </c>
      <c r="H2937">
        <v>4</v>
      </c>
      <c r="I2937">
        <v>7.6</v>
      </c>
      <c r="J2937">
        <v>5.46</v>
      </c>
      <c r="K2937">
        <v>78.900000000000006</v>
      </c>
      <c r="L2937" t="s">
        <v>5028</v>
      </c>
      <c r="M2937">
        <v>9</v>
      </c>
      <c r="N2937">
        <v>4</v>
      </c>
      <c r="O2937">
        <v>1</v>
      </c>
    </row>
    <row r="2938" spans="1:15" x14ac:dyDescent="0.3">
      <c r="A2938" t="s">
        <v>2951</v>
      </c>
      <c r="B2938">
        <v>1</v>
      </c>
      <c r="C2938">
        <v>39</v>
      </c>
      <c r="D2938" t="s">
        <v>5016</v>
      </c>
      <c r="E2938" t="s">
        <v>5018</v>
      </c>
      <c r="F2938" t="s">
        <v>5024</v>
      </c>
      <c r="G2938">
        <v>14.48</v>
      </c>
      <c r="H2938">
        <v>4</v>
      </c>
      <c r="I2938">
        <v>8</v>
      </c>
      <c r="J2938">
        <v>4.9400000000000004</v>
      </c>
      <c r="K2938">
        <v>60.7</v>
      </c>
      <c r="L2938" t="s">
        <v>5028</v>
      </c>
      <c r="M2938">
        <v>8</v>
      </c>
      <c r="N2938">
        <v>4</v>
      </c>
      <c r="O2938">
        <v>0</v>
      </c>
    </row>
    <row r="2939" spans="1:15" x14ac:dyDescent="0.3">
      <c r="A2939" t="s">
        <v>2952</v>
      </c>
      <c r="B2939">
        <v>2</v>
      </c>
      <c r="C2939">
        <v>29</v>
      </c>
      <c r="D2939" t="s">
        <v>5015</v>
      </c>
      <c r="E2939" t="s">
        <v>5019</v>
      </c>
      <c r="F2939" t="s">
        <v>5020</v>
      </c>
      <c r="G2939">
        <v>22.74</v>
      </c>
      <c r="H2939">
        <v>5</v>
      </c>
      <c r="I2939">
        <v>9.8000000000000007</v>
      </c>
      <c r="J2939">
        <v>9.1</v>
      </c>
      <c r="K2939">
        <v>86.3</v>
      </c>
      <c r="L2939" t="s">
        <v>5029</v>
      </c>
      <c r="M2939">
        <v>2</v>
      </c>
      <c r="N2939">
        <v>4</v>
      </c>
      <c r="O2939">
        <v>0</v>
      </c>
    </row>
    <row r="2940" spans="1:15" x14ac:dyDescent="0.3">
      <c r="A2940" t="s">
        <v>2953</v>
      </c>
      <c r="B2940">
        <v>4</v>
      </c>
      <c r="C2940">
        <v>19</v>
      </c>
      <c r="D2940" t="s">
        <v>5015</v>
      </c>
      <c r="E2940" t="s">
        <v>5019</v>
      </c>
      <c r="F2940" t="s">
        <v>5020</v>
      </c>
      <c r="G2940">
        <v>9.82</v>
      </c>
      <c r="H2940">
        <v>1</v>
      </c>
      <c r="I2940">
        <v>2.2999999999999998</v>
      </c>
      <c r="J2940">
        <v>9.9700000000000006</v>
      </c>
      <c r="K2940">
        <v>35.9</v>
      </c>
      <c r="L2940" t="s">
        <v>5029</v>
      </c>
      <c r="M2940">
        <v>11</v>
      </c>
      <c r="N2940">
        <v>4</v>
      </c>
      <c r="O2940">
        <v>1</v>
      </c>
    </row>
    <row r="2941" spans="1:15" x14ac:dyDescent="0.3">
      <c r="A2941" t="s">
        <v>2954</v>
      </c>
      <c r="B2941">
        <v>1</v>
      </c>
      <c r="C2941">
        <v>54</v>
      </c>
      <c r="D2941" t="s">
        <v>5016</v>
      </c>
      <c r="E2941" t="s">
        <v>5019</v>
      </c>
      <c r="F2941" t="s">
        <v>5024</v>
      </c>
      <c r="G2941">
        <v>20.77</v>
      </c>
      <c r="H2941">
        <v>4</v>
      </c>
      <c r="I2941">
        <v>7.4</v>
      </c>
      <c r="J2941">
        <v>8.3000000000000007</v>
      </c>
      <c r="K2941">
        <v>31.9</v>
      </c>
      <c r="L2941" t="s">
        <v>5028</v>
      </c>
      <c r="M2941">
        <v>8</v>
      </c>
      <c r="N2941">
        <v>1</v>
      </c>
      <c r="O2941">
        <v>0</v>
      </c>
    </row>
    <row r="2942" spans="1:15" x14ac:dyDescent="0.3">
      <c r="A2942" t="s">
        <v>2955</v>
      </c>
      <c r="B2942">
        <v>11</v>
      </c>
      <c r="C2942">
        <v>24</v>
      </c>
      <c r="D2942" t="s">
        <v>5015</v>
      </c>
      <c r="E2942" t="s">
        <v>5018</v>
      </c>
      <c r="F2942" t="s">
        <v>5022</v>
      </c>
      <c r="G2942">
        <v>18.510000000000002</v>
      </c>
      <c r="H2942">
        <v>3</v>
      </c>
      <c r="I2942">
        <v>4.8</v>
      </c>
      <c r="J2942">
        <v>19.32</v>
      </c>
      <c r="K2942">
        <v>33.5</v>
      </c>
      <c r="L2942" t="s">
        <v>5026</v>
      </c>
      <c r="M2942">
        <v>3</v>
      </c>
      <c r="N2942">
        <v>3</v>
      </c>
      <c r="O2942">
        <v>0</v>
      </c>
    </row>
    <row r="2943" spans="1:15" x14ac:dyDescent="0.3">
      <c r="A2943" t="s">
        <v>2956</v>
      </c>
      <c r="B2943">
        <v>12</v>
      </c>
      <c r="C2943">
        <v>43</v>
      </c>
      <c r="D2943" t="s">
        <v>5015</v>
      </c>
      <c r="E2943" t="s">
        <v>5017</v>
      </c>
      <c r="F2943" t="s">
        <v>5022</v>
      </c>
      <c r="G2943">
        <v>9.4600000000000009</v>
      </c>
      <c r="H2943">
        <v>1</v>
      </c>
      <c r="I2943">
        <v>9.1999999999999993</v>
      </c>
      <c r="J2943">
        <v>24.41</v>
      </c>
      <c r="K2943">
        <v>12.7</v>
      </c>
      <c r="L2943" t="s">
        <v>5025</v>
      </c>
      <c r="M2943">
        <v>4</v>
      </c>
      <c r="N2943">
        <v>4</v>
      </c>
      <c r="O2943">
        <v>0</v>
      </c>
    </row>
    <row r="2944" spans="1:15" x14ac:dyDescent="0.3">
      <c r="A2944" t="s">
        <v>2957</v>
      </c>
      <c r="B2944">
        <v>11</v>
      </c>
      <c r="C2944">
        <v>43</v>
      </c>
      <c r="D2944" t="s">
        <v>5015</v>
      </c>
      <c r="E2944" t="s">
        <v>5018</v>
      </c>
      <c r="F2944" t="s">
        <v>5024</v>
      </c>
      <c r="G2944">
        <v>10.66</v>
      </c>
      <c r="H2944">
        <v>1</v>
      </c>
      <c r="I2944">
        <v>4.7</v>
      </c>
      <c r="J2944">
        <v>7.39</v>
      </c>
      <c r="K2944">
        <v>91.1</v>
      </c>
      <c r="L2944" t="s">
        <v>5025</v>
      </c>
      <c r="M2944">
        <v>3</v>
      </c>
      <c r="N2944">
        <v>2</v>
      </c>
      <c r="O2944">
        <v>1</v>
      </c>
    </row>
    <row r="2945" spans="1:15" x14ac:dyDescent="0.3">
      <c r="A2945" t="s">
        <v>2958</v>
      </c>
      <c r="B2945">
        <v>11</v>
      </c>
      <c r="C2945">
        <v>41</v>
      </c>
      <c r="D2945" t="s">
        <v>5015</v>
      </c>
      <c r="E2945" t="s">
        <v>5019</v>
      </c>
      <c r="F2945" t="s">
        <v>5023</v>
      </c>
      <c r="G2945">
        <v>13.55</v>
      </c>
      <c r="H2945">
        <v>1</v>
      </c>
      <c r="I2945">
        <v>5</v>
      </c>
      <c r="J2945">
        <v>20.2</v>
      </c>
      <c r="K2945">
        <v>99.9</v>
      </c>
      <c r="L2945" t="s">
        <v>5026</v>
      </c>
      <c r="M2945">
        <v>8</v>
      </c>
      <c r="N2945">
        <v>2</v>
      </c>
      <c r="O2945">
        <v>0</v>
      </c>
    </row>
    <row r="2946" spans="1:15" x14ac:dyDescent="0.3">
      <c r="A2946" t="s">
        <v>2959</v>
      </c>
      <c r="B2946">
        <v>9</v>
      </c>
      <c r="C2946">
        <v>29</v>
      </c>
      <c r="D2946" t="s">
        <v>5015</v>
      </c>
      <c r="E2946" t="s">
        <v>5017</v>
      </c>
      <c r="F2946" t="s">
        <v>5022</v>
      </c>
      <c r="G2946">
        <v>7.5</v>
      </c>
      <c r="H2946">
        <v>5</v>
      </c>
      <c r="I2946">
        <v>2.1</v>
      </c>
      <c r="J2946">
        <v>3.97</v>
      </c>
      <c r="K2946">
        <v>83.5</v>
      </c>
      <c r="L2946" t="s">
        <v>5028</v>
      </c>
      <c r="M2946">
        <v>4</v>
      </c>
      <c r="N2946">
        <v>1</v>
      </c>
      <c r="O2946">
        <v>1</v>
      </c>
    </row>
    <row r="2947" spans="1:15" x14ac:dyDescent="0.3">
      <c r="A2947" t="s">
        <v>2960</v>
      </c>
      <c r="B2947">
        <v>12</v>
      </c>
      <c r="C2947">
        <v>33</v>
      </c>
      <c r="D2947" t="s">
        <v>5015</v>
      </c>
      <c r="E2947" t="s">
        <v>5017</v>
      </c>
      <c r="F2947" t="s">
        <v>5024</v>
      </c>
      <c r="G2947">
        <v>23.27</v>
      </c>
      <c r="H2947">
        <v>1</v>
      </c>
      <c r="I2947">
        <v>3.9</v>
      </c>
      <c r="J2947">
        <v>5.62</v>
      </c>
      <c r="K2947">
        <v>47.1</v>
      </c>
      <c r="L2947" t="s">
        <v>5025</v>
      </c>
      <c r="M2947">
        <v>11</v>
      </c>
      <c r="N2947">
        <v>2</v>
      </c>
      <c r="O2947">
        <v>1</v>
      </c>
    </row>
    <row r="2948" spans="1:15" x14ac:dyDescent="0.3">
      <c r="A2948" t="s">
        <v>2961</v>
      </c>
      <c r="B2948">
        <v>6</v>
      </c>
      <c r="C2948">
        <v>40</v>
      </c>
      <c r="D2948" t="s">
        <v>5015</v>
      </c>
      <c r="E2948" t="s">
        <v>5017</v>
      </c>
      <c r="F2948" t="s">
        <v>5024</v>
      </c>
      <c r="G2948">
        <v>19.79</v>
      </c>
      <c r="H2948">
        <v>5</v>
      </c>
      <c r="I2948">
        <v>4.5999999999999996</v>
      </c>
      <c r="J2948">
        <v>14.33</v>
      </c>
      <c r="K2948">
        <v>41.9</v>
      </c>
      <c r="L2948" t="s">
        <v>5029</v>
      </c>
      <c r="M2948">
        <v>1</v>
      </c>
      <c r="N2948">
        <v>2</v>
      </c>
      <c r="O2948">
        <v>0</v>
      </c>
    </row>
    <row r="2949" spans="1:15" x14ac:dyDescent="0.3">
      <c r="A2949" t="s">
        <v>2962</v>
      </c>
      <c r="B2949">
        <v>1</v>
      </c>
      <c r="C2949">
        <v>57</v>
      </c>
      <c r="D2949" t="s">
        <v>5015</v>
      </c>
      <c r="E2949" t="s">
        <v>5018</v>
      </c>
      <c r="F2949" t="s">
        <v>5020</v>
      </c>
      <c r="G2949">
        <v>12.3</v>
      </c>
      <c r="H2949">
        <v>3</v>
      </c>
      <c r="I2949">
        <v>1.2</v>
      </c>
      <c r="J2949">
        <v>24.99</v>
      </c>
      <c r="K2949">
        <v>79.7</v>
      </c>
      <c r="L2949" t="s">
        <v>5027</v>
      </c>
      <c r="M2949">
        <v>9</v>
      </c>
      <c r="N2949">
        <v>2</v>
      </c>
      <c r="O2949">
        <v>1</v>
      </c>
    </row>
    <row r="2950" spans="1:15" x14ac:dyDescent="0.3">
      <c r="A2950" t="s">
        <v>2963</v>
      </c>
      <c r="B2950">
        <v>1</v>
      </c>
      <c r="C2950">
        <v>26</v>
      </c>
      <c r="D2950" t="s">
        <v>5016</v>
      </c>
      <c r="E2950" t="s">
        <v>5019</v>
      </c>
      <c r="F2950" t="s">
        <v>5024</v>
      </c>
      <c r="G2950">
        <v>10.99</v>
      </c>
      <c r="H2950">
        <v>2</v>
      </c>
      <c r="I2950">
        <v>4.9000000000000004</v>
      </c>
      <c r="J2950">
        <v>23.89</v>
      </c>
      <c r="K2950">
        <v>55.9</v>
      </c>
      <c r="L2950" t="s">
        <v>5029</v>
      </c>
      <c r="M2950">
        <v>9</v>
      </c>
      <c r="N2950">
        <v>1</v>
      </c>
      <c r="O2950">
        <v>1</v>
      </c>
    </row>
    <row r="2951" spans="1:15" x14ac:dyDescent="0.3">
      <c r="A2951" t="s">
        <v>2964</v>
      </c>
      <c r="B2951">
        <v>6</v>
      </c>
      <c r="C2951">
        <v>49</v>
      </c>
      <c r="D2951" t="s">
        <v>5016</v>
      </c>
      <c r="E2951" t="s">
        <v>5018</v>
      </c>
      <c r="F2951" t="s">
        <v>5021</v>
      </c>
      <c r="G2951">
        <v>18.79</v>
      </c>
      <c r="H2951">
        <v>5</v>
      </c>
      <c r="I2951">
        <v>4</v>
      </c>
      <c r="J2951">
        <v>5.46</v>
      </c>
      <c r="K2951">
        <v>94.6</v>
      </c>
      <c r="L2951" t="s">
        <v>5026</v>
      </c>
      <c r="M2951">
        <v>1</v>
      </c>
      <c r="N2951">
        <v>3</v>
      </c>
      <c r="O2951">
        <v>0</v>
      </c>
    </row>
    <row r="2952" spans="1:15" x14ac:dyDescent="0.3">
      <c r="A2952" t="s">
        <v>2965</v>
      </c>
      <c r="B2952">
        <v>4</v>
      </c>
      <c r="C2952">
        <v>32</v>
      </c>
      <c r="D2952" t="s">
        <v>5016</v>
      </c>
      <c r="E2952" t="s">
        <v>5019</v>
      </c>
      <c r="F2952" t="s">
        <v>5020</v>
      </c>
      <c r="G2952">
        <v>13.48</v>
      </c>
      <c r="H2952">
        <v>4</v>
      </c>
      <c r="I2952">
        <v>8.1999999999999993</v>
      </c>
      <c r="J2952">
        <v>8.27</v>
      </c>
      <c r="K2952">
        <v>35.200000000000003</v>
      </c>
      <c r="L2952" t="s">
        <v>5027</v>
      </c>
      <c r="M2952">
        <v>8</v>
      </c>
      <c r="N2952">
        <v>1</v>
      </c>
      <c r="O2952">
        <v>0</v>
      </c>
    </row>
    <row r="2953" spans="1:15" x14ac:dyDescent="0.3">
      <c r="A2953" t="s">
        <v>2966</v>
      </c>
      <c r="B2953">
        <v>4</v>
      </c>
      <c r="C2953">
        <v>54</v>
      </c>
      <c r="D2953" t="s">
        <v>5015</v>
      </c>
      <c r="E2953" t="s">
        <v>5017</v>
      </c>
      <c r="F2953" t="s">
        <v>5020</v>
      </c>
      <c r="G2953">
        <v>9.59</v>
      </c>
      <c r="H2953">
        <v>1</v>
      </c>
      <c r="I2953">
        <v>2</v>
      </c>
      <c r="J2953">
        <v>23.81</v>
      </c>
      <c r="K2953">
        <v>39.1</v>
      </c>
      <c r="L2953" t="s">
        <v>5025</v>
      </c>
      <c r="M2953">
        <v>2</v>
      </c>
      <c r="N2953">
        <v>0</v>
      </c>
      <c r="O2953">
        <v>1</v>
      </c>
    </row>
    <row r="2954" spans="1:15" x14ac:dyDescent="0.3">
      <c r="A2954" t="s">
        <v>2967</v>
      </c>
      <c r="B2954">
        <v>11</v>
      </c>
      <c r="C2954">
        <v>30</v>
      </c>
      <c r="D2954" t="s">
        <v>5015</v>
      </c>
      <c r="E2954" t="s">
        <v>5019</v>
      </c>
      <c r="F2954" t="s">
        <v>5022</v>
      </c>
      <c r="G2954">
        <v>13.6</v>
      </c>
      <c r="H2954">
        <v>2</v>
      </c>
      <c r="I2954">
        <v>7.8</v>
      </c>
      <c r="J2954">
        <v>6.32</v>
      </c>
      <c r="K2954">
        <v>99.9</v>
      </c>
      <c r="L2954" t="s">
        <v>5025</v>
      </c>
      <c r="M2954">
        <v>7</v>
      </c>
      <c r="N2954">
        <v>0</v>
      </c>
      <c r="O2954">
        <v>0</v>
      </c>
    </row>
    <row r="2955" spans="1:15" x14ac:dyDescent="0.3">
      <c r="A2955" t="s">
        <v>2968</v>
      </c>
      <c r="B2955">
        <v>6</v>
      </c>
      <c r="C2955">
        <v>22</v>
      </c>
      <c r="D2955" t="s">
        <v>5015</v>
      </c>
      <c r="E2955" t="s">
        <v>5019</v>
      </c>
      <c r="F2955" t="s">
        <v>5023</v>
      </c>
      <c r="G2955">
        <v>22.43</v>
      </c>
      <c r="H2955">
        <v>5</v>
      </c>
      <c r="I2955">
        <v>7.4</v>
      </c>
      <c r="J2955">
        <v>19.34</v>
      </c>
      <c r="K2955">
        <v>98</v>
      </c>
      <c r="L2955" t="s">
        <v>5027</v>
      </c>
      <c r="M2955">
        <v>1</v>
      </c>
      <c r="N2955">
        <v>2</v>
      </c>
      <c r="O2955">
        <v>0</v>
      </c>
    </row>
    <row r="2956" spans="1:15" x14ac:dyDescent="0.3">
      <c r="A2956" t="s">
        <v>2969</v>
      </c>
      <c r="B2956">
        <v>12</v>
      </c>
      <c r="C2956">
        <v>28</v>
      </c>
      <c r="D2956" t="s">
        <v>5016</v>
      </c>
      <c r="E2956" t="s">
        <v>5018</v>
      </c>
      <c r="F2956" t="s">
        <v>5022</v>
      </c>
      <c r="G2956">
        <v>6.37</v>
      </c>
      <c r="H2956">
        <v>4</v>
      </c>
      <c r="I2956">
        <v>3.2</v>
      </c>
      <c r="J2956">
        <v>3.02</v>
      </c>
      <c r="K2956">
        <v>89.7</v>
      </c>
      <c r="L2956" t="s">
        <v>5025</v>
      </c>
      <c r="M2956">
        <v>6</v>
      </c>
      <c r="N2956">
        <v>2</v>
      </c>
      <c r="O2956">
        <v>1</v>
      </c>
    </row>
    <row r="2957" spans="1:15" x14ac:dyDescent="0.3">
      <c r="A2957" t="s">
        <v>2970</v>
      </c>
      <c r="B2957">
        <v>11</v>
      </c>
      <c r="C2957">
        <v>27</v>
      </c>
      <c r="D2957" t="s">
        <v>5016</v>
      </c>
      <c r="E2957" t="s">
        <v>5019</v>
      </c>
      <c r="F2957" t="s">
        <v>5021</v>
      </c>
      <c r="G2957">
        <v>12.37</v>
      </c>
      <c r="H2957">
        <v>2</v>
      </c>
      <c r="I2957">
        <v>1.7</v>
      </c>
      <c r="J2957">
        <v>16.899999999999999</v>
      </c>
      <c r="K2957">
        <v>46.4</v>
      </c>
      <c r="L2957" t="s">
        <v>5027</v>
      </c>
      <c r="M2957">
        <v>10</v>
      </c>
      <c r="N2957">
        <v>3</v>
      </c>
      <c r="O2957">
        <v>1</v>
      </c>
    </row>
    <row r="2958" spans="1:15" x14ac:dyDescent="0.3">
      <c r="A2958" t="s">
        <v>2971</v>
      </c>
      <c r="B2958">
        <v>7</v>
      </c>
      <c r="C2958">
        <v>69</v>
      </c>
      <c r="D2958" t="s">
        <v>5016</v>
      </c>
      <c r="E2958" t="s">
        <v>5017</v>
      </c>
      <c r="F2958" t="s">
        <v>5020</v>
      </c>
      <c r="G2958">
        <v>24.25</v>
      </c>
      <c r="H2958">
        <v>3</v>
      </c>
      <c r="I2958">
        <v>8.6</v>
      </c>
      <c r="J2958">
        <v>13.88</v>
      </c>
      <c r="K2958">
        <v>85.4</v>
      </c>
      <c r="L2958" t="s">
        <v>5028</v>
      </c>
      <c r="M2958">
        <v>11</v>
      </c>
      <c r="N2958">
        <v>2</v>
      </c>
      <c r="O2958">
        <v>0</v>
      </c>
    </row>
    <row r="2959" spans="1:15" x14ac:dyDescent="0.3">
      <c r="A2959" t="s">
        <v>2972</v>
      </c>
      <c r="B2959">
        <v>9</v>
      </c>
      <c r="C2959">
        <v>30</v>
      </c>
      <c r="D2959" t="s">
        <v>5015</v>
      </c>
      <c r="E2959" t="s">
        <v>5019</v>
      </c>
      <c r="F2959" t="s">
        <v>5020</v>
      </c>
      <c r="G2959">
        <v>5.3</v>
      </c>
      <c r="H2959">
        <v>5</v>
      </c>
      <c r="I2959">
        <v>3.2</v>
      </c>
      <c r="J2959">
        <v>13.36</v>
      </c>
      <c r="K2959">
        <v>35.5</v>
      </c>
      <c r="L2959" t="s">
        <v>5026</v>
      </c>
      <c r="M2959">
        <v>11</v>
      </c>
      <c r="N2959">
        <v>0</v>
      </c>
      <c r="O2959">
        <v>0</v>
      </c>
    </row>
    <row r="2960" spans="1:15" x14ac:dyDescent="0.3">
      <c r="A2960" t="s">
        <v>2973</v>
      </c>
      <c r="B2960">
        <v>10</v>
      </c>
      <c r="C2960">
        <v>58</v>
      </c>
      <c r="D2960" t="s">
        <v>5016</v>
      </c>
      <c r="E2960" t="s">
        <v>5019</v>
      </c>
      <c r="F2960" t="s">
        <v>5024</v>
      </c>
      <c r="G2960">
        <v>22.81</v>
      </c>
      <c r="H2960">
        <v>5</v>
      </c>
      <c r="I2960">
        <v>2.2999999999999998</v>
      </c>
      <c r="J2960">
        <v>21.24</v>
      </c>
      <c r="K2960">
        <v>32.9</v>
      </c>
      <c r="L2960" t="s">
        <v>5029</v>
      </c>
      <c r="M2960">
        <v>10</v>
      </c>
      <c r="N2960">
        <v>2</v>
      </c>
      <c r="O2960">
        <v>1</v>
      </c>
    </row>
    <row r="2961" spans="1:15" x14ac:dyDescent="0.3">
      <c r="A2961" t="s">
        <v>2974</v>
      </c>
      <c r="B2961">
        <v>5</v>
      </c>
      <c r="C2961">
        <v>63</v>
      </c>
      <c r="D2961" t="s">
        <v>5016</v>
      </c>
      <c r="E2961" t="s">
        <v>5019</v>
      </c>
      <c r="F2961" t="s">
        <v>5023</v>
      </c>
      <c r="G2961">
        <v>12.5</v>
      </c>
      <c r="H2961">
        <v>3</v>
      </c>
      <c r="I2961">
        <v>4.2</v>
      </c>
      <c r="J2961">
        <v>4.78</v>
      </c>
      <c r="K2961">
        <v>59.2</v>
      </c>
      <c r="L2961" t="s">
        <v>5027</v>
      </c>
      <c r="M2961">
        <v>8</v>
      </c>
      <c r="N2961">
        <v>3</v>
      </c>
      <c r="O2961">
        <v>0</v>
      </c>
    </row>
    <row r="2962" spans="1:15" x14ac:dyDescent="0.3">
      <c r="A2962" t="s">
        <v>2975</v>
      </c>
      <c r="B2962">
        <v>9</v>
      </c>
      <c r="C2962">
        <v>67</v>
      </c>
      <c r="D2962" t="s">
        <v>5015</v>
      </c>
      <c r="E2962" t="s">
        <v>5018</v>
      </c>
      <c r="F2962" t="s">
        <v>5023</v>
      </c>
      <c r="G2962">
        <v>8.7899999999999991</v>
      </c>
      <c r="H2962">
        <v>5</v>
      </c>
      <c r="I2962">
        <v>4.5999999999999996</v>
      </c>
      <c r="J2962">
        <v>11.3</v>
      </c>
      <c r="K2962">
        <v>87.4</v>
      </c>
      <c r="L2962" t="s">
        <v>5027</v>
      </c>
      <c r="M2962">
        <v>11</v>
      </c>
      <c r="N2962">
        <v>0</v>
      </c>
      <c r="O2962">
        <v>0</v>
      </c>
    </row>
    <row r="2963" spans="1:15" x14ac:dyDescent="0.3">
      <c r="A2963" t="s">
        <v>2976</v>
      </c>
      <c r="B2963">
        <v>4</v>
      </c>
      <c r="C2963">
        <v>32</v>
      </c>
      <c r="D2963" t="s">
        <v>5016</v>
      </c>
      <c r="E2963" t="s">
        <v>5017</v>
      </c>
      <c r="F2963" t="s">
        <v>5024</v>
      </c>
      <c r="G2963">
        <v>5.3</v>
      </c>
      <c r="H2963">
        <v>1</v>
      </c>
      <c r="I2963">
        <v>3.9</v>
      </c>
      <c r="J2963">
        <v>12.81</v>
      </c>
      <c r="K2963">
        <v>18.8</v>
      </c>
      <c r="L2963" t="s">
        <v>5028</v>
      </c>
      <c r="M2963">
        <v>6</v>
      </c>
      <c r="N2963">
        <v>2</v>
      </c>
      <c r="O2963">
        <v>0</v>
      </c>
    </row>
    <row r="2964" spans="1:15" x14ac:dyDescent="0.3">
      <c r="A2964" t="s">
        <v>2977</v>
      </c>
      <c r="B2964">
        <v>10</v>
      </c>
      <c r="C2964">
        <v>59</v>
      </c>
      <c r="D2964" t="s">
        <v>5015</v>
      </c>
      <c r="E2964" t="s">
        <v>5018</v>
      </c>
      <c r="F2964" t="s">
        <v>5021</v>
      </c>
      <c r="G2964">
        <v>6.41</v>
      </c>
      <c r="H2964">
        <v>5</v>
      </c>
      <c r="I2964">
        <v>9.8000000000000007</v>
      </c>
      <c r="J2964">
        <v>5.73</v>
      </c>
      <c r="K2964">
        <v>60.9</v>
      </c>
      <c r="L2964" t="s">
        <v>5029</v>
      </c>
      <c r="M2964">
        <v>9</v>
      </c>
      <c r="N2964">
        <v>3</v>
      </c>
      <c r="O2964">
        <v>0</v>
      </c>
    </row>
    <row r="2965" spans="1:15" x14ac:dyDescent="0.3">
      <c r="A2965" t="s">
        <v>2978</v>
      </c>
      <c r="B2965">
        <v>2</v>
      </c>
      <c r="C2965">
        <v>24</v>
      </c>
      <c r="D2965" t="s">
        <v>5016</v>
      </c>
      <c r="E2965" t="s">
        <v>5018</v>
      </c>
      <c r="F2965" t="s">
        <v>5023</v>
      </c>
      <c r="G2965">
        <v>8.44</v>
      </c>
      <c r="H2965">
        <v>1</v>
      </c>
      <c r="I2965">
        <v>8.9</v>
      </c>
      <c r="J2965">
        <v>4.88</v>
      </c>
      <c r="K2965">
        <v>64.900000000000006</v>
      </c>
      <c r="L2965" t="s">
        <v>5028</v>
      </c>
      <c r="M2965">
        <v>11</v>
      </c>
      <c r="N2965">
        <v>3</v>
      </c>
      <c r="O2965">
        <v>0</v>
      </c>
    </row>
    <row r="2966" spans="1:15" x14ac:dyDescent="0.3">
      <c r="A2966" t="s">
        <v>2979</v>
      </c>
      <c r="B2966">
        <v>3</v>
      </c>
      <c r="C2966">
        <v>57</v>
      </c>
      <c r="D2966" t="s">
        <v>5015</v>
      </c>
      <c r="E2966" t="s">
        <v>5019</v>
      </c>
      <c r="F2966" t="s">
        <v>5020</v>
      </c>
      <c r="G2966">
        <v>5.51</v>
      </c>
      <c r="H2966">
        <v>5</v>
      </c>
      <c r="I2966">
        <v>8.9</v>
      </c>
      <c r="J2966">
        <v>6.95</v>
      </c>
      <c r="K2966">
        <v>62.2</v>
      </c>
      <c r="L2966" t="s">
        <v>5028</v>
      </c>
      <c r="M2966">
        <v>1</v>
      </c>
      <c r="N2966">
        <v>0</v>
      </c>
      <c r="O2966">
        <v>1</v>
      </c>
    </row>
    <row r="2967" spans="1:15" x14ac:dyDescent="0.3">
      <c r="A2967" t="s">
        <v>2980</v>
      </c>
      <c r="B2967">
        <v>11</v>
      </c>
      <c r="C2967">
        <v>45</v>
      </c>
      <c r="D2967" t="s">
        <v>5015</v>
      </c>
      <c r="E2967" t="s">
        <v>5019</v>
      </c>
      <c r="F2967" t="s">
        <v>5021</v>
      </c>
      <c r="G2967">
        <v>11.72</v>
      </c>
      <c r="H2967">
        <v>4</v>
      </c>
      <c r="I2967">
        <v>4.5999999999999996</v>
      </c>
      <c r="J2967">
        <v>8.3000000000000007</v>
      </c>
      <c r="K2967">
        <v>29.7</v>
      </c>
      <c r="L2967" t="s">
        <v>5026</v>
      </c>
      <c r="M2967">
        <v>9</v>
      </c>
      <c r="N2967">
        <v>0</v>
      </c>
      <c r="O2967">
        <v>0</v>
      </c>
    </row>
    <row r="2968" spans="1:15" x14ac:dyDescent="0.3">
      <c r="A2968" t="s">
        <v>2981</v>
      </c>
      <c r="B2968">
        <v>1</v>
      </c>
      <c r="C2968">
        <v>49</v>
      </c>
      <c r="D2968" t="s">
        <v>5015</v>
      </c>
      <c r="E2968" t="s">
        <v>5019</v>
      </c>
      <c r="F2968" t="s">
        <v>5022</v>
      </c>
      <c r="G2968">
        <v>5.9</v>
      </c>
      <c r="H2968">
        <v>4</v>
      </c>
      <c r="I2968">
        <v>9.6999999999999993</v>
      </c>
      <c r="J2968">
        <v>24.25</v>
      </c>
      <c r="K2968">
        <v>15.8</v>
      </c>
      <c r="L2968" t="s">
        <v>5025</v>
      </c>
      <c r="M2968">
        <v>3</v>
      </c>
      <c r="N2968">
        <v>0</v>
      </c>
      <c r="O2968">
        <v>1</v>
      </c>
    </row>
    <row r="2969" spans="1:15" x14ac:dyDescent="0.3">
      <c r="A2969" t="s">
        <v>2982</v>
      </c>
      <c r="B2969">
        <v>6</v>
      </c>
      <c r="C2969">
        <v>52</v>
      </c>
      <c r="D2969" t="s">
        <v>5015</v>
      </c>
      <c r="E2969" t="s">
        <v>5017</v>
      </c>
      <c r="F2969" t="s">
        <v>5022</v>
      </c>
      <c r="G2969">
        <v>18.84</v>
      </c>
      <c r="H2969">
        <v>2</v>
      </c>
      <c r="I2969">
        <v>7.2</v>
      </c>
      <c r="J2969">
        <v>13.46</v>
      </c>
      <c r="K2969">
        <v>90.5</v>
      </c>
      <c r="L2969" t="s">
        <v>5029</v>
      </c>
      <c r="M2969">
        <v>2</v>
      </c>
      <c r="N2969">
        <v>3</v>
      </c>
      <c r="O2969">
        <v>1</v>
      </c>
    </row>
    <row r="2970" spans="1:15" x14ac:dyDescent="0.3">
      <c r="A2970" t="s">
        <v>2983</v>
      </c>
      <c r="B2970">
        <v>6</v>
      </c>
      <c r="C2970">
        <v>32</v>
      </c>
      <c r="D2970" t="s">
        <v>5015</v>
      </c>
      <c r="E2970" t="s">
        <v>5019</v>
      </c>
      <c r="F2970" t="s">
        <v>5021</v>
      </c>
      <c r="G2970">
        <v>21.38</v>
      </c>
      <c r="H2970">
        <v>4</v>
      </c>
      <c r="I2970">
        <v>8.5</v>
      </c>
      <c r="J2970">
        <v>14.23</v>
      </c>
      <c r="K2970">
        <v>61.7</v>
      </c>
      <c r="L2970" t="s">
        <v>5028</v>
      </c>
      <c r="M2970">
        <v>8</v>
      </c>
      <c r="N2970">
        <v>0</v>
      </c>
      <c r="O2970">
        <v>0</v>
      </c>
    </row>
    <row r="2971" spans="1:15" x14ac:dyDescent="0.3">
      <c r="A2971" t="s">
        <v>2984</v>
      </c>
      <c r="B2971">
        <v>1</v>
      </c>
      <c r="C2971">
        <v>65</v>
      </c>
      <c r="D2971" t="s">
        <v>5016</v>
      </c>
      <c r="E2971" t="s">
        <v>5019</v>
      </c>
      <c r="F2971" t="s">
        <v>5020</v>
      </c>
      <c r="G2971">
        <v>22.75</v>
      </c>
      <c r="H2971">
        <v>3</v>
      </c>
      <c r="I2971">
        <v>5.5</v>
      </c>
      <c r="J2971">
        <v>18.55</v>
      </c>
      <c r="K2971">
        <v>79.099999999999994</v>
      </c>
      <c r="L2971" t="s">
        <v>5025</v>
      </c>
      <c r="M2971">
        <v>10</v>
      </c>
      <c r="N2971">
        <v>0</v>
      </c>
      <c r="O2971">
        <v>0</v>
      </c>
    </row>
    <row r="2972" spans="1:15" x14ac:dyDescent="0.3">
      <c r="A2972" t="s">
        <v>2985</v>
      </c>
      <c r="B2972">
        <v>11</v>
      </c>
      <c r="C2972">
        <v>53</v>
      </c>
      <c r="D2972" t="s">
        <v>5015</v>
      </c>
      <c r="E2972" t="s">
        <v>5019</v>
      </c>
      <c r="F2972" t="s">
        <v>5022</v>
      </c>
      <c r="G2972">
        <v>15.98</v>
      </c>
      <c r="H2972">
        <v>2</v>
      </c>
      <c r="I2972">
        <v>2.4</v>
      </c>
      <c r="J2972">
        <v>18.05</v>
      </c>
      <c r="K2972">
        <v>42.8</v>
      </c>
      <c r="L2972" t="s">
        <v>5025</v>
      </c>
      <c r="M2972">
        <v>5</v>
      </c>
      <c r="N2972">
        <v>3</v>
      </c>
      <c r="O2972">
        <v>1</v>
      </c>
    </row>
    <row r="2973" spans="1:15" x14ac:dyDescent="0.3">
      <c r="A2973" t="s">
        <v>2986</v>
      </c>
      <c r="B2973">
        <v>3</v>
      </c>
      <c r="C2973">
        <v>38</v>
      </c>
      <c r="D2973" t="s">
        <v>5015</v>
      </c>
      <c r="E2973" t="s">
        <v>5017</v>
      </c>
      <c r="F2973" t="s">
        <v>5020</v>
      </c>
      <c r="G2973">
        <v>23.93</v>
      </c>
      <c r="H2973">
        <v>4</v>
      </c>
      <c r="I2973">
        <v>9</v>
      </c>
      <c r="J2973">
        <v>14.06</v>
      </c>
      <c r="K2973">
        <v>13.8</v>
      </c>
      <c r="L2973" t="s">
        <v>5025</v>
      </c>
      <c r="M2973">
        <v>1</v>
      </c>
      <c r="N2973">
        <v>3</v>
      </c>
      <c r="O2973">
        <v>0</v>
      </c>
    </row>
    <row r="2974" spans="1:15" x14ac:dyDescent="0.3">
      <c r="A2974" t="s">
        <v>2987</v>
      </c>
      <c r="B2974">
        <v>5</v>
      </c>
      <c r="C2974">
        <v>23</v>
      </c>
      <c r="D2974" t="s">
        <v>5015</v>
      </c>
      <c r="E2974" t="s">
        <v>5017</v>
      </c>
      <c r="F2974" t="s">
        <v>5024</v>
      </c>
      <c r="G2974">
        <v>5.1100000000000003</v>
      </c>
      <c r="H2974">
        <v>1</v>
      </c>
      <c r="I2974">
        <v>5.4</v>
      </c>
      <c r="J2974">
        <v>10.48</v>
      </c>
      <c r="K2974">
        <v>33.4</v>
      </c>
      <c r="L2974" t="s">
        <v>5025</v>
      </c>
      <c r="M2974">
        <v>1</v>
      </c>
      <c r="N2974">
        <v>0</v>
      </c>
      <c r="O2974">
        <v>0</v>
      </c>
    </row>
    <row r="2975" spans="1:15" x14ac:dyDescent="0.3">
      <c r="A2975" t="s">
        <v>2988</v>
      </c>
      <c r="B2975">
        <v>3</v>
      </c>
      <c r="C2975">
        <v>18</v>
      </c>
      <c r="D2975" t="s">
        <v>5015</v>
      </c>
      <c r="E2975" t="s">
        <v>5017</v>
      </c>
      <c r="F2975" t="s">
        <v>5023</v>
      </c>
      <c r="G2975">
        <v>7.68</v>
      </c>
      <c r="H2975">
        <v>5</v>
      </c>
      <c r="I2975">
        <v>9.6999999999999993</v>
      </c>
      <c r="J2975">
        <v>10.28</v>
      </c>
      <c r="K2975">
        <v>16.600000000000001</v>
      </c>
      <c r="L2975" t="s">
        <v>5026</v>
      </c>
      <c r="M2975">
        <v>2</v>
      </c>
      <c r="N2975">
        <v>0</v>
      </c>
      <c r="O2975">
        <v>0</v>
      </c>
    </row>
    <row r="2976" spans="1:15" x14ac:dyDescent="0.3">
      <c r="A2976" t="s">
        <v>2989</v>
      </c>
      <c r="B2976">
        <v>10</v>
      </c>
      <c r="C2976">
        <v>21</v>
      </c>
      <c r="D2976" t="s">
        <v>5016</v>
      </c>
      <c r="E2976" t="s">
        <v>5018</v>
      </c>
      <c r="F2976" t="s">
        <v>5021</v>
      </c>
      <c r="G2976">
        <v>10.86</v>
      </c>
      <c r="H2976">
        <v>4</v>
      </c>
      <c r="I2976">
        <v>3.3</v>
      </c>
      <c r="J2976">
        <v>4.2699999999999996</v>
      </c>
      <c r="K2976">
        <v>17</v>
      </c>
      <c r="L2976" t="s">
        <v>5026</v>
      </c>
      <c r="M2976">
        <v>7</v>
      </c>
      <c r="N2976">
        <v>0</v>
      </c>
      <c r="O2976">
        <v>1</v>
      </c>
    </row>
    <row r="2977" spans="1:15" x14ac:dyDescent="0.3">
      <c r="A2977" t="s">
        <v>2990</v>
      </c>
      <c r="B2977">
        <v>3</v>
      </c>
      <c r="C2977">
        <v>28</v>
      </c>
      <c r="D2977" t="s">
        <v>5015</v>
      </c>
      <c r="E2977" t="s">
        <v>5018</v>
      </c>
      <c r="F2977" t="s">
        <v>5023</v>
      </c>
      <c r="G2977">
        <v>20.78</v>
      </c>
      <c r="H2977">
        <v>1</v>
      </c>
      <c r="I2977">
        <v>9.9</v>
      </c>
      <c r="J2977">
        <v>22.79</v>
      </c>
      <c r="K2977">
        <v>29.3</v>
      </c>
      <c r="L2977" t="s">
        <v>5028</v>
      </c>
      <c r="M2977">
        <v>2</v>
      </c>
      <c r="N2977">
        <v>3</v>
      </c>
      <c r="O2977">
        <v>0</v>
      </c>
    </row>
    <row r="2978" spans="1:15" x14ac:dyDescent="0.3">
      <c r="A2978" t="s">
        <v>2991</v>
      </c>
      <c r="B2978">
        <v>10</v>
      </c>
      <c r="C2978">
        <v>61</v>
      </c>
      <c r="D2978" t="s">
        <v>5016</v>
      </c>
      <c r="E2978" t="s">
        <v>5019</v>
      </c>
      <c r="F2978" t="s">
        <v>5024</v>
      </c>
      <c r="G2978">
        <v>22.71</v>
      </c>
      <c r="H2978">
        <v>2</v>
      </c>
      <c r="I2978">
        <v>3</v>
      </c>
      <c r="J2978">
        <v>19.93</v>
      </c>
      <c r="K2978">
        <v>67</v>
      </c>
      <c r="L2978" t="s">
        <v>5025</v>
      </c>
      <c r="M2978">
        <v>9</v>
      </c>
      <c r="N2978">
        <v>4</v>
      </c>
      <c r="O2978">
        <v>0</v>
      </c>
    </row>
    <row r="2979" spans="1:15" x14ac:dyDescent="0.3">
      <c r="A2979" t="s">
        <v>2992</v>
      </c>
      <c r="B2979">
        <v>3</v>
      </c>
      <c r="C2979">
        <v>43</v>
      </c>
      <c r="D2979" t="s">
        <v>5015</v>
      </c>
      <c r="E2979" t="s">
        <v>5018</v>
      </c>
      <c r="F2979" t="s">
        <v>5022</v>
      </c>
      <c r="G2979">
        <v>17.36</v>
      </c>
      <c r="H2979">
        <v>5</v>
      </c>
      <c r="I2979">
        <v>4.3</v>
      </c>
      <c r="J2979">
        <v>16.71</v>
      </c>
      <c r="K2979">
        <v>83.6</v>
      </c>
      <c r="L2979" t="s">
        <v>5028</v>
      </c>
      <c r="M2979">
        <v>6</v>
      </c>
      <c r="N2979">
        <v>1</v>
      </c>
      <c r="O2979">
        <v>1</v>
      </c>
    </row>
    <row r="2980" spans="1:15" x14ac:dyDescent="0.3">
      <c r="A2980" t="s">
        <v>2993</v>
      </c>
      <c r="B2980">
        <v>5</v>
      </c>
      <c r="C2980">
        <v>54</v>
      </c>
      <c r="D2980" t="s">
        <v>5015</v>
      </c>
      <c r="E2980" t="s">
        <v>5018</v>
      </c>
      <c r="F2980" t="s">
        <v>5020</v>
      </c>
      <c r="G2980">
        <v>12.66</v>
      </c>
      <c r="H2980">
        <v>4</v>
      </c>
      <c r="I2980">
        <v>6.3</v>
      </c>
      <c r="J2980">
        <v>11.71</v>
      </c>
      <c r="K2980">
        <v>83.9</v>
      </c>
      <c r="L2980" t="s">
        <v>5027</v>
      </c>
      <c r="M2980">
        <v>4</v>
      </c>
      <c r="N2980">
        <v>2</v>
      </c>
      <c r="O2980">
        <v>1</v>
      </c>
    </row>
    <row r="2981" spans="1:15" x14ac:dyDescent="0.3">
      <c r="A2981" t="s">
        <v>2994</v>
      </c>
      <c r="B2981">
        <v>5</v>
      </c>
      <c r="C2981">
        <v>40</v>
      </c>
      <c r="D2981" t="s">
        <v>5016</v>
      </c>
      <c r="E2981" t="s">
        <v>5018</v>
      </c>
      <c r="F2981" t="s">
        <v>5020</v>
      </c>
      <c r="G2981">
        <v>18.32</v>
      </c>
      <c r="H2981">
        <v>2</v>
      </c>
      <c r="I2981">
        <v>7.2</v>
      </c>
      <c r="J2981">
        <v>15.81</v>
      </c>
      <c r="K2981">
        <v>94.4</v>
      </c>
      <c r="L2981" t="s">
        <v>5026</v>
      </c>
      <c r="M2981">
        <v>4</v>
      </c>
      <c r="N2981">
        <v>1</v>
      </c>
      <c r="O2981">
        <v>0</v>
      </c>
    </row>
    <row r="2982" spans="1:15" x14ac:dyDescent="0.3">
      <c r="A2982" t="s">
        <v>2995</v>
      </c>
      <c r="B2982">
        <v>4</v>
      </c>
      <c r="C2982">
        <v>46</v>
      </c>
      <c r="D2982" t="s">
        <v>5016</v>
      </c>
      <c r="E2982" t="s">
        <v>5019</v>
      </c>
      <c r="F2982" t="s">
        <v>5024</v>
      </c>
      <c r="G2982">
        <v>8.6199999999999992</v>
      </c>
      <c r="H2982">
        <v>4</v>
      </c>
      <c r="I2982">
        <v>7.5</v>
      </c>
      <c r="J2982">
        <v>13.67</v>
      </c>
      <c r="K2982">
        <v>69.099999999999994</v>
      </c>
      <c r="L2982" t="s">
        <v>5026</v>
      </c>
      <c r="M2982">
        <v>3</v>
      </c>
      <c r="N2982">
        <v>3</v>
      </c>
      <c r="O2982">
        <v>0</v>
      </c>
    </row>
    <row r="2983" spans="1:15" x14ac:dyDescent="0.3">
      <c r="A2983" t="s">
        <v>2996</v>
      </c>
      <c r="B2983">
        <v>1</v>
      </c>
      <c r="C2983">
        <v>38</v>
      </c>
      <c r="D2983" t="s">
        <v>5016</v>
      </c>
      <c r="E2983" t="s">
        <v>5019</v>
      </c>
      <c r="F2983" t="s">
        <v>5021</v>
      </c>
      <c r="G2983">
        <v>14.16</v>
      </c>
      <c r="H2983">
        <v>2</v>
      </c>
      <c r="I2983">
        <v>5.3</v>
      </c>
      <c r="J2983">
        <v>9.0299999999999994</v>
      </c>
      <c r="K2983">
        <v>11.8</v>
      </c>
      <c r="L2983" t="s">
        <v>5029</v>
      </c>
      <c r="M2983">
        <v>9</v>
      </c>
      <c r="N2983">
        <v>4</v>
      </c>
      <c r="O2983">
        <v>1</v>
      </c>
    </row>
    <row r="2984" spans="1:15" x14ac:dyDescent="0.3">
      <c r="A2984" t="s">
        <v>2997</v>
      </c>
      <c r="B2984">
        <v>5</v>
      </c>
      <c r="C2984">
        <v>65</v>
      </c>
      <c r="D2984" t="s">
        <v>5015</v>
      </c>
      <c r="E2984" t="s">
        <v>5019</v>
      </c>
      <c r="F2984" t="s">
        <v>5023</v>
      </c>
      <c r="G2984">
        <v>15.15</v>
      </c>
      <c r="H2984">
        <v>4</v>
      </c>
      <c r="I2984">
        <v>1.7</v>
      </c>
      <c r="J2984">
        <v>9.57</v>
      </c>
      <c r="K2984">
        <v>44</v>
      </c>
      <c r="L2984" t="s">
        <v>5027</v>
      </c>
      <c r="M2984">
        <v>2</v>
      </c>
      <c r="N2984">
        <v>3</v>
      </c>
      <c r="O2984">
        <v>1</v>
      </c>
    </row>
    <row r="2985" spans="1:15" x14ac:dyDescent="0.3">
      <c r="A2985" t="s">
        <v>2998</v>
      </c>
      <c r="B2985">
        <v>10</v>
      </c>
      <c r="C2985">
        <v>62</v>
      </c>
      <c r="D2985" t="s">
        <v>5016</v>
      </c>
      <c r="E2985" t="s">
        <v>5018</v>
      </c>
      <c r="F2985" t="s">
        <v>5022</v>
      </c>
      <c r="G2985">
        <v>7.1</v>
      </c>
      <c r="H2985">
        <v>1</v>
      </c>
      <c r="I2985">
        <v>5.5</v>
      </c>
      <c r="J2985">
        <v>22.24</v>
      </c>
      <c r="K2985">
        <v>20</v>
      </c>
      <c r="L2985" t="s">
        <v>5026</v>
      </c>
      <c r="M2985">
        <v>9</v>
      </c>
      <c r="N2985">
        <v>0</v>
      </c>
      <c r="O2985">
        <v>0</v>
      </c>
    </row>
    <row r="2986" spans="1:15" x14ac:dyDescent="0.3">
      <c r="A2986" t="s">
        <v>2999</v>
      </c>
      <c r="B2986">
        <v>5</v>
      </c>
      <c r="C2986">
        <v>62</v>
      </c>
      <c r="D2986" t="s">
        <v>5015</v>
      </c>
      <c r="E2986" t="s">
        <v>5018</v>
      </c>
      <c r="F2986" t="s">
        <v>5021</v>
      </c>
      <c r="G2986">
        <v>5.68</v>
      </c>
      <c r="H2986">
        <v>3</v>
      </c>
      <c r="I2986">
        <v>4</v>
      </c>
      <c r="J2986">
        <v>16.97</v>
      </c>
      <c r="K2986">
        <v>80</v>
      </c>
      <c r="L2986" t="s">
        <v>5025</v>
      </c>
      <c r="M2986">
        <v>3</v>
      </c>
      <c r="N2986">
        <v>2</v>
      </c>
      <c r="O2986">
        <v>0</v>
      </c>
    </row>
    <row r="2987" spans="1:15" x14ac:dyDescent="0.3">
      <c r="A2987" t="s">
        <v>3000</v>
      </c>
      <c r="B2987">
        <v>4</v>
      </c>
      <c r="C2987">
        <v>66</v>
      </c>
      <c r="D2987" t="s">
        <v>5016</v>
      </c>
      <c r="E2987" t="s">
        <v>5019</v>
      </c>
      <c r="F2987" t="s">
        <v>5024</v>
      </c>
      <c r="G2987">
        <v>20</v>
      </c>
      <c r="H2987">
        <v>1</v>
      </c>
      <c r="I2987">
        <v>6.9</v>
      </c>
      <c r="J2987">
        <v>3.03</v>
      </c>
      <c r="K2987">
        <v>20.8</v>
      </c>
      <c r="L2987" t="s">
        <v>5025</v>
      </c>
      <c r="M2987">
        <v>4</v>
      </c>
      <c r="N2987">
        <v>1</v>
      </c>
      <c r="O2987">
        <v>0</v>
      </c>
    </row>
    <row r="2988" spans="1:15" x14ac:dyDescent="0.3">
      <c r="A2988" t="s">
        <v>3001</v>
      </c>
      <c r="B2988">
        <v>6</v>
      </c>
      <c r="C2988">
        <v>44</v>
      </c>
      <c r="D2988" t="s">
        <v>5016</v>
      </c>
      <c r="E2988" t="s">
        <v>5018</v>
      </c>
      <c r="F2988" t="s">
        <v>5024</v>
      </c>
      <c r="G2988">
        <v>15.69</v>
      </c>
      <c r="H2988">
        <v>5</v>
      </c>
      <c r="I2988">
        <v>2.6</v>
      </c>
      <c r="J2988">
        <v>10.19</v>
      </c>
      <c r="K2988">
        <v>19.5</v>
      </c>
      <c r="L2988" t="s">
        <v>5025</v>
      </c>
      <c r="M2988">
        <v>9</v>
      </c>
      <c r="N2988">
        <v>3</v>
      </c>
      <c r="O2988">
        <v>0</v>
      </c>
    </row>
    <row r="2989" spans="1:15" x14ac:dyDescent="0.3">
      <c r="A2989" t="s">
        <v>3002</v>
      </c>
      <c r="B2989">
        <v>10</v>
      </c>
      <c r="C2989">
        <v>56</v>
      </c>
      <c r="D2989" t="s">
        <v>5015</v>
      </c>
      <c r="E2989" t="s">
        <v>5017</v>
      </c>
      <c r="F2989" t="s">
        <v>5020</v>
      </c>
      <c r="G2989">
        <v>11.64</v>
      </c>
      <c r="H2989">
        <v>4</v>
      </c>
      <c r="I2989">
        <v>4.5</v>
      </c>
      <c r="J2989">
        <v>10.48</v>
      </c>
      <c r="K2989">
        <v>12.5</v>
      </c>
      <c r="L2989" t="s">
        <v>5028</v>
      </c>
      <c r="M2989">
        <v>3</v>
      </c>
      <c r="N2989">
        <v>4</v>
      </c>
      <c r="O2989">
        <v>1</v>
      </c>
    </row>
    <row r="2990" spans="1:15" x14ac:dyDescent="0.3">
      <c r="A2990" t="s">
        <v>3003</v>
      </c>
      <c r="B2990">
        <v>4</v>
      </c>
      <c r="C2990">
        <v>57</v>
      </c>
      <c r="D2990" t="s">
        <v>5016</v>
      </c>
      <c r="E2990" t="s">
        <v>5017</v>
      </c>
      <c r="F2990" t="s">
        <v>5022</v>
      </c>
      <c r="G2990">
        <v>13.74</v>
      </c>
      <c r="H2990">
        <v>3</v>
      </c>
      <c r="I2990">
        <v>9.6999999999999993</v>
      </c>
      <c r="J2990">
        <v>18.54</v>
      </c>
      <c r="K2990">
        <v>96</v>
      </c>
      <c r="L2990" t="s">
        <v>5026</v>
      </c>
      <c r="M2990">
        <v>6</v>
      </c>
      <c r="N2990">
        <v>0</v>
      </c>
      <c r="O2990">
        <v>0</v>
      </c>
    </row>
    <row r="2991" spans="1:15" x14ac:dyDescent="0.3">
      <c r="A2991" t="s">
        <v>3004</v>
      </c>
      <c r="B2991">
        <v>7</v>
      </c>
      <c r="C2991">
        <v>30</v>
      </c>
      <c r="D2991" t="s">
        <v>5016</v>
      </c>
      <c r="E2991" t="s">
        <v>5017</v>
      </c>
      <c r="F2991" t="s">
        <v>5021</v>
      </c>
      <c r="G2991">
        <v>24.15</v>
      </c>
      <c r="H2991">
        <v>3</v>
      </c>
      <c r="I2991">
        <v>1.8</v>
      </c>
      <c r="J2991">
        <v>18.41</v>
      </c>
      <c r="K2991">
        <v>80.7</v>
      </c>
      <c r="L2991" t="s">
        <v>5028</v>
      </c>
      <c r="M2991">
        <v>5</v>
      </c>
      <c r="N2991">
        <v>4</v>
      </c>
      <c r="O2991">
        <v>0</v>
      </c>
    </row>
    <row r="2992" spans="1:15" x14ac:dyDescent="0.3">
      <c r="A2992" t="s">
        <v>3005</v>
      </c>
      <c r="B2992">
        <v>7</v>
      </c>
      <c r="C2992">
        <v>40</v>
      </c>
      <c r="D2992" t="s">
        <v>5015</v>
      </c>
      <c r="E2992" t="s">
        <v>5019</v>
      </c>
      <c r="F2992" t="s">
        <v>5020</v>
      </c>
      <c r="G2992">
        <v>12.7</v>
      </c>
      <c r="H2992">
        <v>5</v>
      </c>
      <c r="I2992">
        <v>6.4</v>
      </c>
      <c r="J2992">
        <v>13.21</v>
      </c>
      <c r="K2992">
        <v>40</v>
      </c>
      <c r="L2992" t="s">
        <v>5026</v>
      </c>
      <c r="M2992">
        <v>6</v>
      </c>
      <c r="N2992">
        <v>2</v>
      </c>
      <c r="O2992">
        <v>0</v>
      </c>
    </row>
    <row r="2993" spans="1:15" x14ac:dyDescent="0.3">
      <c r="A2993" t="s">
        <v>3006</v>
      </c>
      <c r="B2993">
        <v>2</v>
      </c>
      <c r="C2993">
        <v>33</v>
      </c>
      <c r="D2993" t="s">
        <v>5015</v>
      </c>
      <c r="E2993" t="s">
        <v>5017</v>
      </c>
      <c r="F2993" t="s">
        <v>5022</v>
      </c>
      <c r="G2993">
        <v>7.07</v>
      </c>
      <c r="H2993">
        <v>5</v>
      </c>
      <c r="I2993">
        <v>1.8</v>
      </c>
      <c r="J2993">
        <v>23.92</v>
      </c>
      <c r="K2993">
        <v>43.9</v>
      </c>
      <c r="L2993" t="s">
        <v>5029</v>
      </c>
      <c r="M2993">
        <v>5</v>
      </c>
      <c r="N2993">
        <v>4</v>
      </c>
      <c r="O2993">
        <v>1</v>
      </c>
    </row>
    <row r="2994" spans="1:15" x14ac:dyDescent="0.3">
      <c r="A2994" t="s">
        <v>3007</v>
      </c>
      <c r="B2994">
        <v>3</v>
      </c>
      <c r="C2994">
        <v>47</v>
      </c>
      <c r="D2994" t="s">
        <v>5015</v>
      </c>
      <c r="E2994" t="s">
        <v>5017</v>
      </c>
      <c r="F2994" t="s">
        <v>5023</v>
      </c>
      <c r="G2994">
        <v>14.27</v>
      </c>
      <c r="H2994">
        <v>3</v>
      </c>
      <c r="I2994">
        <v>2.4</v>
      </c>
      <c r="J2994">
        <v>22.19</v>
      </c>
      <c r="K2994">
        <v>15.3</v>
      </c>
      <c r="L2994" t="s">
        <v>5028</v>
      </c>
      <c r="M2994">
        <v>11</v>
      </c>
      <c r="N2994">
        <v>4</v>
      </c>
      <c r="O2994">
        <v>0</v>
      </c>
    </row>
    <row r="2995" spans="1:15" x14ac:dyDescent="0.3">
      <c r="A2995" t="s">
        <v>3008</v>
      </c>
      <c r="B2995">
        <v>1</v>
      </c>
      <c r="C2995">
        <v>21</v>
      </c>
      <c r="D2995" t="s">
        <v>5016</v>
      </c>
      <c r="E2995" t="s">
        <v>5017</v>
      </c>
      <c r="F2995" t="s">
        <v>5023</v>
      </c>
      <c r="G2995">
        <v>17.96</v>
      </c>
      <c r="H2995">
        <v>5</v>
      </c>
      <c r="I2995">
        <v>6.4</v>
      </c>
      <c r="J2995">
        <v>22.06</v>
      </c>
      <c r="K2995">
        <v>24.2</v>
      </c>
      <c r="L2995" t="s">
        <v>5026</v>
      </c>
      <c r="M2995">
        <v>3</v>
      </c>
      <c r="N2995">
        <v>0</v>
      </c>
      <c r="O2995">
        <v>0</v>
      </c>
    </row>
    <row r="2996" spans="1:15" x14ac:dyDescent="0.3">
      <c r="A2996" t="s">
        <v>3009</v>
      </c>
      <c r="B2996">
        <v>8</v>
      </c>
      <c r="C2996">
        <v>57</v>
      </c>
      <c r="D2996" t="s">
        <v>5016</v>
      </c>
      <c r="E2996" t="s">
        <v>5018</v>
      </c>
      <c r="F2996" t="s">
        <v>5020</v>
      </c>
      <c r="G2996">
        <v>5.24</v>
      </c>
      <c r="H2996">
        <v>5</v>
      </c>
      <c r="I2996">
        <v>5</v>
      </c>
      <c r="J2996">
        <v>10.66</v>
      </c>
      <c r="K2996">
        <v>38</v>
      </c>
      <c r="L2996" t="s">
        <v>5029</v>
      </c>
      <c r="M2996">
        <v>2</v>
      </c>
      <c r="N2996">
        <v>4</v>
      </c>
      <c r="O2996">
        <v>0</v>
      </c>
    </row>
    <row r="2997" spans="1:15" x14ac:dyDescent="0.3">
      <c r="A2997" t="s">
        <v>3010</v>
      </c>
      <c r="B2997">
        <v>9</v>
      </c>
      <c r="C2997">
        <v>33</v>
      </c>
      <c r="D2997" t="s">
        <v>5016</v>
      </c>
      <c r="E2997" t="s">
        <v>5018</v>
      </c>
      <c r="F2997" t="s">
        <v>5021</v>
      </c>
      <c r="G2997">
        <v>11.65</v>
      </c>
      <c r="H2997">
        <v>4</v>
      </c>
      <c r="I2997">
        <v>5.9</v>
      </c>
      <c r="J2997">
        <v>12.48</v>
      </c>
      <c r="K2997">
        <v>44.9</v>
      </c>
      <c r="L2997" t="s">
        <v>5026</v>
      </c>
      <c r="M2997">
        <v>10</v>
      </c>
      <c r="N2997">
        <v>0</v>
      </c>
      <c r="O2997">
        <v>0</v>
      </c>
    </row>
    <row r="2998" spans="1:15" x14ac:dyDescent="0.3">
      <c r="A2998" t="s">
        <v>3011</v>
      </c>
      <c r="B2998">
        <v>4</v>
      </c>
      <c r="C2998">
        <v>48</v>
      </c>
      <c r="D2998" t="s">
        <v>5016</v>
      </c>
      <c r="E2998" t="s">
        <v>5018</v>
      </c>
      <c r="F2998" t="s">
        <v>5022</v>
      </c>
      <c r="G2998">
        <v>12.87</v>
      </c>
      <c r="H2998">
        <v>1</v>
      </c>
      <c r="I2998">
        <v>8.9</v>
      </c>
      <c r="J2998">
        <v>12.22</v>
      </c>
      <c r="K2998">
        <v>65.8</v>
      </c>
      <c r="L2998" t="s">
        <v>5027</v>
      </c>
      <c r="M2998">
        <v>9</v>
      </c>
      <c r="N2998">
        <v>2</v>
      </c>
      <c r="O2998">
        <v>0</v>
      </c>
    </row>
    <row r="2999" spans="1:15" x14ac:dyDescent="0.3">
      <c r="A2999" t="s">
        <v>3012</v>
      </c>
      <c r="B2999">
        <v>6</v>
      </c>
      <c r="C2999">
        <v>59</v>
      </c>
      <c r="D2999" t="s">
        <v>5016</v>
      </c>
      <c r="E2999" t="s">
        <v>5017</v>
      </c>
      <c r="F2999" t="s">
        <v>5023</v>
      </c>
      <c r="G2999">
        <v>14.27</v>
      </c>
      <c r="H2999">
        <v>2</v>
      </c>
      <c r="I2999">
        <v>8.4</v>
      </c>
      <c r="J2999">
        <v>12.69</v>
      </c>
      <c r="K2999">
        <v>41.5</v>
      </c>
      <c r="L2999" t="s">
        <v>5028</v>
      </c>
      <c r="M2999">
        <v>4</v>
      </c>
      <c r="N2999">
        <v>3</v>
      </c>
      <c r="O2999">
        <v>0</v>
      </c>
    </row>
    <row r="3000" spans="1:15" x14ac:dyDescent="0.3">
      <c r="A3000" t="s">
        <v>3013</v>
      </c>
      <c r="B3000">
        <v>9</v>
      </c>
      <c r="C3000">
        <v>42</v>
      </c>
      <c r="D3000" t="s">
        <v>5015</v>
      </c>
      <c r="E3000" t="s">
        <v>5017</v>
      </c>
      <c r="F3000" t="s">
        <v>5023</v>
      </c>
      <c r="G3000">
        <v>11.03</v>
      </c>
      <c r="H3000">
        <v>3</v>
      </c>
      <c r="I3000">
        <v>9</v>
      </c>
      <c r="J3000">
        <v>22.56</v>
      </c>
      <c r="K3000">
        <v>95.9</v>
      </c>
      <c r="L3000" t="s">
        <v>5025</v>
      </c>
      <c r="M3000">
        <v>10</v>
      </c>
      <c r="N3000">
        <v>0</v>
      </c>
      <c r="O3000">
        <v>0</v>
      </c>
    </row>
    <row r="3001" spans="1:15" x14ac:dyDescent="0.3">
      <c r="A3001" t="s">
        <v>3014</v>
      </c>
      <c r="B3001">
        <v>6</v>
      </c>
      <c r="C3001">
        <v>61</v>
      </c>
      <c r="D3001" t="s">
        <v>5016</v>
      </c>
      <c r="E3001" t="s">
        <v>5018</v>
      </c>
      <c r="F3001" t="s">
        <v>5021</v>
      </c>
      <c r="G3001">
        <v>18.34</v>
      </c>
      <c r="H3001">
        <v>2</v>
      </c>
      <c r="I3001">
        <v>6.5</v>
      </c>
      <c r="J3001">
        <v>8.48</v>
      </c>
      <c r="K3001">
        <v>40.9</v>
      </c>
      <c r="L3001" t="s">
        <v>5029</v>
      </c>
      <c r="M3001">
        <v>6</v>
      </c>
      <c r="N3001">
        <v>3</v>
      </c>
      <c r="O3001">
        <v>0</v>
      </c>
    </row>
    <row r="3002" spans="1:15" x14ac:dyDescent="0.3">
      <c r="A3002" t="s">
        <v>3015</v>
      </c>
      <c r="B3002">
        <v>12</v>
      </c>
      <c r="C3002">
        <v>29</v>
      </c>
      <c r="D3002" t="s">
        <v>5015</v>
      </c>
      <c r="E3002" t="s">
        <v>5018</v>
      </c>
      <c r="F3002" t="s">
        <v>5020</v>
      </c>
      <c r="G3002">
        <v>23.89</v>
      </c>
      <c r="H3002">
        <v>3</v>
      </c>
      <c r="I3002">
        <v>5.4</v>
      </c>
      <c r="J3002">
        <v>20.65</v>
      </c>
      <c r="K3002">
        <v>94.7</v>
      </c>
      <c r="L3002" t="s">
        <v>5029</v>
      </c>
      <c r="M3002">
        <v>9</v>
      </c>
      <c r="N3002">
        <v>1</v>
      </c>
      <c r="O3002">
        <v>0</v>
      </c>
    </row>
    <row r="3003" spans="1:15" x14ac:dyDescent="0.3">
      <c r="A3003" t="s">
        <v>3016</v>
      </c>
      <c r="B3003">
        <v>12</v>
      </c>
      <c r="C3003">
        <v>43</v>
      </c>
      <c r="D3003" t="s">
        <v>5016</v>
      </c>
      <c r="E3003" t="s">
        <v>5017</v>
      </c>
      <c r="F3003" t="s">
        <v>5024</v>
      </c>
      <c r="G3003">
        <v>23.28</v>
      </c>
      <c r="H3003">
        <v>3</v>
      </c>
      <c r="I3003">
        <v>5.0999999999999996</v>
      </c>
      <c r="J3003">
        <v>14.31</v>
      </c>
      <c r="K3003">
        <v>75.7</v>
      </c>
      <c r="L3003" t="s">
        <v>5025</v>
      </c>
      <c r="M3003">
        <v>5</v>
      </c>
      <c r="N3003">
        <v>4</v>
      </c>
      <c r="O3003">
        <v>1</v>
      </c>
    </row>
    <row r="3004" spans="1:15" x14ac:dyDescent="0.3">
      <c r="A3004" t="s">
        <v>3017</v>
      </c>
      <c r="B3004">
        <v>12</v>
      </c>
      <c r="C3004">
        <v>54</v>
      </c>
      <c r="D3004" t="s">
        <v>5015</v>
      </c>
      <c r="E3004" t="s">
        <v>5017</v>
      </c>
      <c r="F3004" t="s">
        <v>5022</v>
      </c>
      <c r="G3004">
        <v>18.29</v>
      </c>
      <c r="H3004">
        <v>1</v>
      </c>
      <c r="I3004">
        <v>7.7</v>
      </c>
      <c r="J3004">
        <v>8.48</v>
      </c>
      <c r="K3004">
        <v>91</v>
      </c>
      <c r="L3004" t="s">
        <v>5029</v>
      </c>
      <c r="M3004">
        <v>7</v>
      </c>
      <c r="N3004">
        <v>3</v>
      </c>
      <c r="O3004">
        <v>1</v>
      </c>
    </row>
    <row r="3005" spans="1:15" x14ac:dyDescent="0.3">
      <c r="A3005" t="s">
        <v>3018</v>
      </c>
      <c r="B3005">
        <v>9</v>
      </c>
      <c r="C3005">
        <v>65</v>
      </c>
      <c r="D3005" t="s">
        <v>5016</v>
      </c>
      <c r="E3005" t="s">
        <v>5019</v>
      </c>
      <c r="F3005" t="s">
        <v>5023</v>
      </c>
      <c r="G3005">
        <v>15.14</v>
      </c>
      <c r="H3005">
        <v>3</v>
      </c>
      <c r="I3005">
        <v>5.7</v>
      </c>
      <c r="J3005">
        <v>14.6</v>
      </c>
      <c r="K3005">
        <v>73.3</v>
      </c>
      <c r="L3005" t="s">
        <v>5025</v>
      </c>
      <c r="M3005">
        <v>5</v>
      </c>
      <c r="N3005">
        <v>4</v>
      </c>
      <c r="O3005">
        <v>0</v>
      </c>
    </row>
    <row r="3006" spans="1:15" x14ac:dyDescent="0.3">
      <c r="A3006" t="s">
        <v>3019</v>
      </c>
      <c r="B3006">
        <v>4</v>
      </c>
      <c r="C3006">
        <v>50</v>
      </c>
      <c r="D3006" t="s">
        <v>5016</v>
      </c>
      <c r="E3006" t="s">
        <v>5018</v>
      </c>
      <c r="F3006" t="s">
        <v>5024</v>
      </c>
      <c r="G3006">
        <v>21.52</v>
      </c>
      <c r="H3006">
        <v>3</v>
      </c>
      <c r="I3006">
        <v>2</v>
      </c>
      <c r="J3006">
        <v>7.3</v>
      </c>
      <c r="K3006">
        <v>61.2</v>
      </c>
      <c r="L3006" t="s">
        <v>5025</v>
      </c>
      <c r="M3006">
        <v>9</v>
      </c>
      <c r="N3006">
        <v>0</v>
      </c>
      <c r="O3006">
        <v>0</v>
      </c>
    </row>
    <row r="3007" spans="1:15" x14ac:dyDescent="0.3">
      <c r="A3007" t="s">
        <v>3020</v>
      </c>
      <c r="B3007">
        <v>8</v>
      </c>
      <c r="C3007">
        <v>45</v>
      </c>
      <c r="D3007" t="s">
        <v>5015</v>
      </c>
      <c r="E3007" t="s">
        <v>5017</v>
      </c>
      <c r="F3007" t="s">
        <v>5021</v>
      </c>
      <c r="G3007">
        <v>21.72</v>
      </c>
      <c r="H3007">
        <v>1</v>
      </c>
      <c r="I3007">
        <v>2.2999999999999998</v>
      </c>
      <c r="J3007">
        <v>5.38</v>
      </c>
      <c r="K3007">
        <v>55.8</v>
      </c>
      <c r="L3007" t="s">
        <v>5026</v>
      </c>
      <c r="M3007">
        <v>2</v>
      </c>
      <c r="N3007">
        <v>4</v>
      </c>
      <c r="O3007">
        <v>0</v>
      </c>
    </row>
    <row r="3008" spans="1:15" x14ac:dyDescent="0.3">
      <c r="A3008" t="s">
        <v>3021</v>
      </c>
      <c r="B3008">
        <v>9</v>
      </c>
      <c r="C3008">
        <v>26</v>
      </c>
      <c r="D3008" t="s">
        <v>5016</v>
      </c>
      <c r="E3008" t="s">
        <v>5017</v>
      </c>
      <c r="F3008" t="s">
        <v>5020</v>
      </c>
      <c r="G3008">
        <v>21.59</v>
      </c>
      <c r="H3008">
        <v>5</v>
      </c>
      <c r="I3008">
        <v>4.2</v>
      </c>
      <c r="J3008">
        <v>21.44</v>
      </c>
      <c r="K3008">
        <v>36.200000000000003</v>
      </c>
      <c r="L3008" t="s">
        <v>5028</v>
      </c>
      <c r="M3008">
        <v>3</v>
      </c>
      <c r="N3008">
        <v>2</v>
      </c>
      <c r="O3008">
        <v>0</v>
      </c>
    </row>
    <row r="3009" spans="1:15" x14ac:dyDescent="0.3">
      <c r="A3009" t="s">
        <v>3022</v>
      </c>
      <c r="B3009">
        <v>4</v>
      </c>
      <c r="C3009">
        <v>29</v>
      </c>
      <c r="D3009" t="s">
        <v>5015</v>
      </c>
      <c r="E3009" t="s">
        <v>5019</v>
      </c>
      <c r="F3009" t="s">
        <v>5022</v>
      </c>
      <c r="G3009">
        <v>8.16</v>
      </c>
      <c r="H3009">
        <v>2</v>
      </c>
      <c r="I3009">
        <v>1.6</v>
      </c>
      <c r="J3009">
        <v>18.39</v>
      </c>
      <c r="K3009">
        <v>36.799999999999997</v>
      </c>
      <c r="L3009" t="s">
        <v>5027</v>
      </c>
      <c r="M3009">
        <v>5</v>
      </c>
      <c r="N3009">
        <v>3</v>
      </c>
      <c r="O3009">
        <v>0</v>
      </c>
    </row>
    <row r="3010" spans="1:15" x14ac:dyDescent="0.3">
      <c r="A3010" t="s">
        <v>3023</v>
      </c>
      <c r="B3010">
        <v>5</v>
      </c>
      <c r="C3010">
        <v>22</v>
      </c>
      <c r="D3010" t="s">
        <v>5016</v>
      </c>
      <c r="E3010" t="s">
        <v>5018</v>
      </c>
      <c r="F3010" t="s">
        <v>5021</v>
      </c>
      <c r="G3010">
        <v>5.51</v>
      </c>
      <c r="H3010">
        <v>3</v>
      </c>
      <c r="I3010">
        <v>3.2</v>
      </c>
      <c r="J3010">
        <v>7.51</v>
      </c>
      <c r="K3010">
        <v>30.1</v>
      </c>
      <c r="L3010" t="s">
        <v>5029</v>
      </c>
      <c r="M3010">
        <v>2</v>
      </c>
      <c r="N3010">
        <v>4</v>
      </c>
      <c r="O3010">
        <v>0</v>
      </c>
    </row>
    <row r="3011" spans="1:15" x14ac:dyDescent="0.3">
      <c r="A3011" t="s">
        <v>3024</v>
      </c>
      <c r="B3011">
        <v>8</v>
      </c>
      <c r="C3011">
        <v>69</v>
      </c>
      <c r="D3011" t="s">
        <v>5016</v>
      </c>
      <c r="E3011" t="s">
        <v>5018</v>
      </c>
      <c r="F3011" t="s">
        <v>5020</v>
      </c>
      <c r="G3011">
        <v>24.66</v>
      </c>
      <c r="H3011">
        <v>1</v>
      </c>
      <c r="I3011">
        <v>6.9</v>
      </c>
      <c r="J3011">
        <v>23.73</v>
      </c>
      <c r="K3011">
        <v>44.7</v>
      </c>
      <c r="L3011" t="s">
        <v>5026</v>
      </c>
      <c r="M3011">
        <v>6</v>
      </c>
      <c r="N3011">
        <v>3</v>
      </c>
      <c r="O3011">
        <v>1</v>
      </c>
    </row>
    <row r="3012" spans="1:15" x14ac:dyDescent="0.3">
      <c r="A3012" t="s">
        <v>3025</v>
      </c>
      <c r="B3012">
        <v>12</v>
      </c>
      <c r="C3012">
        <v>45</v>
      </c>
      <c r="D3012" t="s">
        <v>5015</v>
      </c>
      <c r="E3012" t="s">
        <v>5019</v>
      </c>
      <c r="F3012" t="s">
        <v>5021</v>
      </c>
      <c r="G3012">
        <v>24.19</v>
      </c>
      <c r="H3012">
        <v>3</v>
      </c>
      <c r="I3012">
        <v>1.1000000000000001</v>
      </c>
      <c r="J3012">
        <v>3.54</v>
      </c>
      <c r="K3012">
        <v>21.4</v>
      </c>
      <c r="L3012" t="s">
        <v>5027</v>
      </c>
      <c r="M3012">
        <v>10</v>
      </c>
      <c r="N3012">
        <v>3</v>
      </c>
      <c r="O3012">
        <v>0</v>
      </c>
    </row>
    <row r="3013" spans="1:15" x14ac:dyDescent="0.3">
      <c r="A3013" t="s">
        <v>3026</v>
      </c>
      <c r="B3013">
        <v>10</v>
      </c>
      <c r="C3013">
        <v>52</v>
      </c>
      <c r="D3013" t="s">
        <v>5016</v>
      </c>
      <c r="E3013" t="s">
        <v>5019</v>
      </c>
      <c r="F3013" t="s">
        <v>5023</v>
      </c>
      <c r="G3013">
        <v>16.29</v>
      </c>
      <c r="H3013">
        <v>1</v>
      </c>
      <c r="I3013">
        <v>6.4</v>
      </c>
      <c r="J3013">
        <v>10.33</v>
      </c>
      <c r="K3013">
        <v>44.9</v>
      </c>
      <c r="L3013" t="s">
        <v>5027</v>
      </c>
      <c r="M3013">
        <v>3</v>
      </c>
      <c r="N3013">
        <v>2</v>
      </c>
      <c r="O3013">
        <v>0</v>
      </c>
    </row>
    <row r="3014" spans="1:15" x14ac:dyDescent="0.3">
      <c r="A3014" t="s">
        <v>3027</v>
      </c>
      <c r="B3014">
        <v>6</v>
      </c>
      <c r="C3014">
        <v>22</v>
      </c>
      <c r="D3014" t="s">
        <v>5015</v>
      </c>
      <c r="E3014" t="s">
        <v>5019</v>
      </c>
      <c r="F3014" t="s">
        <v>5023</v>
      </c>
      <c r="G3014">
        <v>24.86</v>
      </c>
      <c r="H3014">
        <v>2</v>
      </c>
      <c r="I3014">
        <v>8</v>
      </c>
      <c r="J3014">
        <v>3.48</v>
      </c>
      <c r="K3014">
        <v>85</v>
      </c>
      <c r="L3014" t="s">
        <v>5029</v>
      </c>
      <c r="M3014">
        <v>5</v>
      </c>
      <c r="N3014">
        <v>0</v>
      </c>
      <c r="O3014">
        <v>0</v>
      </c>
    </row>
    <row r="3015" spans="1:15" x14ac:dyDescent="0.3">
      <c r="A3015" t="s">
        <v>3028</v>
      </c>
      <c r="B3015">
        <v>12</v>
      </c>
      <c r="C3015">
        <v>51</v>
      </c>
      <c r="D3015" t="s">
        <v>5016</v>
      </c>
      <c r="E3015" t="s">
        <v>5018</v>
      </c>
      <c r="F3015" t="s">
        <v>5024</v>
      </c>
      <c r="G3015">
        <v>20.41</v>
      </c>
      <c r="H3015">
        <v>4</v>
      </c>
      <c r="I3015">
        <v>2.5</v>
      </c>
      <c r="J3015">
        <v>6.13</v>
      </c>
      <c r="K3015">
        <v>88.3</v>
      </c>
      <c r="L3015" t="s">
        <v>5029</v>
      </c>
      <c r="M3015">
        <v>5</v>
      </c>
      <c r="N3015">
        <v>4</v>
      </c>
      <c r="O3015">
        <v>0</v>
      </c>
    </row>
    <row r="3016" spans="1:15" x14ac:dyDescent="0.3">
      <c r="A3016" t="s">
        <v>3029</v>
      </c>
      <c r="B3016">
        <v>7</v>
      </c>
      <c r="C3016">
        <v>63</v>
      </c>
      <c r="D3016" t="s">
        <v>5016</v>
      </c>
      <c r="E3016" t="s">
        <v>5018</v>
      </c>
      <c r="F3016" t="s">
        <v>5021</v>
      </c>
      <c r="G3016">
        <v>15.35</v>
      </c>
      <c r="H3016">
        <v>5</v>
      </c>
      <c r="I3016">
        <v>2.6</v>
      </c>
      <c r="J3016">
        <v>6.96</v>
      </c>
      <c r="K3016">
        <v>67.900000000000006</v>
      </c>
      <c r="L3016" t="s">
        <v>5026</v>
      </c>
      <c r="M3016">
        <v>10</v>
      </c>
      <c r="N3016">
        <v>1</v>
      </c>
      <c r="O3016">
        <v>1</v>
      </c>
    </row>
    <row r="3017" spans="1:15" x14ac:dyDescent="0.3">
      <c r="A3017" t="s">
        <v>3030</v>
      </c>
      <c r="B3017">
        <v>3</v>
      </c>
      <c r="C3017">
        <v>51</v>
      </c>
      <c r="D3017" t="s">
        <v>5016</v>
      </c>
      <c r="E3017" t="s">
        <v>5017</v>
      </c>
      <c r="F3017" t="s">
        <v>5023</v>
      </c>
      <c r="G3017">
        <v>12.79</v>
      </c>
      <c r="H3017">
        <v>4</v>
      </c>
      <c r="I3017">
        <v>1.3</v>
      </c>
      <c r="J3017">
        <v>20.83</v>
      </c>
      <c r="K3017">
        <v>33.1</v>
      </c>
      <c r="L3017" t="s">
        <v>5029</v>
      </c>
      <c r="M3017">
        <v>8</v>
      </c>
      <c r="N3017">
        <v>3</v>
      </c>
      <c r="O3017">
        <v>0</v>
      </c>
    </row>
    <row r="3018" spans="1:15" x14ac:dyDescent="0.3">
      <c r="A3018" t="s">
        <v>3031</v>
      </c>
      <c r="B3018">
        <v>7</v>
      </c>
      <c r="C3018">
        <v>30</v>
      </c>
      <c r="D3018" t="s">
        <v>5016</v>
      </c>
      <c r="E3018" t="s">
        <v>5019</v>
      </c>
      <c r="F3018" t="s">
        <v>5020</v>
      </c>
      <c r="G3018">
        <v>16.86</v>
      </c>
      <c r="H3018">
        <v>1</v>
      </c>
      <c r="I3018">
        <v>5.6</v>
      </c>
      <c r="J3018">
        <v>24.85</v>
      </c>
      <c r="K3018">
        <v>31.6</v>
      </c>
      <c r="L3018" t="s">
        <v>5027</v>
      </c>
      <c r="M3018">
        <v>9</v>
      </c>
      <c r="N3018">
        <v>0</v>
      </c>
      <c r="O3018">
        <v>0</v>
      </c>
    </row>
    <row r="3019" spans="1:15" x14ac:dyDescent="0.3">
      <c r="A3019" t="s">
        <v>3032</v>
      </c>
      <c r="B3019">
        <v>12</v>
      </c>
      <c r="C3019">
        <v>56</v>
      </c>
      <c r="D3019" t="s">
        <v>5016</v>
      </c>
      <c r="E3019" t="s">
        <v>5018</v>
      </c>
      <c r="F3019" t="s">
        <v>5024</v>
      </c>
      <c r="G3019">
        <v>15.32</v>
      </c>
      <c r="H3019">
        <v>3</v>
      </c>
      <c r="I3019">
        <v>6.9</v>
      </c>
      <c r="J3019">
        <v>22.08</v>
      </c>
      <c r="K3019">
        <v>35</v>
      </c>
      <c r="L3019" t="s">
        <v>5029</v>
      </c>
      <c r="M3019">
        <v>4</v>
      </c>
      <c r="N3019">
        <v>1</v>
      </c>
      <c r="O3019">
        <v>0</v>
      </c>
    </row>
    <row r="3020" spans="1:15" x14ac:dyDescent="0.3">
      <c r="A3020" t="s">
        <v>3033</v>
      </c>
      <c r="B3020">
        <v>8</v>
      </c>
      <c r="C3020">
        <v>59</v>
      </c>
      <c r="D3020" t="s">
        <v>5016</v>
      </c>
      <c r="E3020" t="s">
        <v>5017</v>
      </c>
      <c r="F3020" t="s">
        <v>5022</v>
      </c>
      <c r="G3020">
        <v>24.88</v>
      </c>
      <c r="H3020">
        <v>5</v>
      </c>
      <c r="I3020">
        <v>5.0999999999999996</v>
      </c>
      <c r="J3020">
        <v>16.97</v>
      </c>
      <c r="K3020">
        <v>55</v>
      </c>
      <c r="L3020" t="s">
        <v>5026</v>
      </c>
      <c r="M3020">
        <v>10</v>
      </c>
      <c r="N3020">
        <v>3</v>
      </c>
      <c r="O3020">
        <v>0</v>
      </c>
    </row>
    <row r="3021" spans="1:15" x14ac:dyDescent="0.3">
      <c r="A3021" t="s">
        <v>3034</v>
      </c>
      <c r="B3021">
        <v>10</v>
      </c>
      <c r="C3021">
        <v>62</v>
      </c>
      <c r="D3021" t="s">
        <v>5016</v>
      </c>
      <c r="E3021" t="s">
        <v>5019</v>
      </c>
      <c r="F3021" t="s">
        <v>5021</v>
      </c>
      <c r="G3021">
        <v>14.81</v>
      </c>
      <c r="H3021">
        <v>2</v>
      </c>
      <c r="I3021">
        <v>4.5</v>
      </c>
      <c r="J3021">
        <v>18.899999999999999</v>
      </c>
      <c r="K3021">
        <v>97.9</v>
      </c>
      <c r="L3021" t="s">
        <v>5026</v>
      </c>
      <c r="M3021">
        <v>1</v>
      </c>
      <c r="N3021">
        <v>1</v>
      </c>
      <c r="O3021">
        <v>0</v>
      </c>
    </row>
    <row r="3022" spans="1:15" x14ac:dyDescent="0.3">
      <c r="A3022" t="s">
        <v>3035</v>
      </c>
      <c r="B3022">
        <v>6</v>
      </c>
      <c r="C3022">
        <v>65</v>
      </c>
      <c r="D3022" t="s">
        <v>5015</v>
      </c>
      <c r="E3022" t="s">
        <v>5019</v>
      </c>
      <c r="F3022" t="s">
        <v>5023</v>
      </c>
      <c r="G3022">
        <v>21.72</v>
      </c>
      <c r="H3022">
        <v>5</v>
      </c>
      <c r="I3022">
        <v>5.0999999999999996</v>
      </c>
      <c r="J3022">
        <v>14.5</v>
      </c>
      <c r="K3022">
        <v>19.8</v>
      </c>
      <c r="L3022" t="s">
        <v>5026</v>
      </c>
      <c r="M3022">
        <v>5</v>
      </c>
      <c r="N3022">
        <v>4</v>
      </c>
      <c r="O3022">
        <v>0</v>
      </c>
    </row>
    <row r="3023" spans="1:15" x14ac:dyDescent="0.3">
      <c r="A3023" t="s">
        <v>3036</v>
      </c>
      <c r="B3023">
        <v>10</v>
      </c>
      <c r="C3023">
        <v>31</v>
      </c>
      <c r="D3023" t="s">
        <v>5016</v>
      </c>
      <c r="E3023" t="s">
        <v>5019</v>
      </c>
      <c r="F3023" t="s">
        <v>5020</v>
      </c>
      <c r="G3023">
        <v>21.27</v>
      </c>
      <c r="H3023">
        <v>3</v>
      </c>
      <c r="I3023">
        <v>8</v>
      </c>
      <c r="J3023">
        <v>12.3</v>
      </c>
      <c r="K3023">
        <v>55</v>
      </c>
      <c r="L3023" t="s">
        <v>5029</v>
      </c>
      <c r="M3023">
        <v>4</v>
      </c>
      <c r="N3023">
        <v>4</v>
      </c>
      <c r="O3023">
        <v>1</v>
      </c>
    </row>
    <row r="3024" spans="1:15" x14ac:dyDescent="0.3">
      <c r="A3024" t="s">
        <v>3037</v>
      </c>
      <c r="B3024">
        <v>9</v>
      </c>
      <c r="C3024">
        <v>28</v>
      </c>
      <c r="D3024" t="s">
        <v>5016</v>
      </c>
      <c r="E3024" t="s">
        <v>5019</v>
      </c>
      <c r="F3024" t="s">
        <v>5021</v>
      </c>
      <c r="G3024">
        <v>6.43</v>
      </c>
      <c r="H3024">
        <v>4</v>
      </c>
      <c r="I3024">
        <v>1.3</v>
      </c>
      <c r="J3024">
        <v>18.23</v>
      </c>
      <c r="K3024">
        <v>71.400000000000006</v>
      </c>
      <c r="L3024" t="s">
        <v>5028</v>
      </c>
      <c r="M3024">
        <v>5</v>
      </c>
      <c r="N3024">
        <v>3</v>
      </c>
      <c r="O3024">
        <v>0</v>
      </c>
    </row>
    <row r="3025" spans="1:15" x14ac:dyDescent="0.3">
      <c r="A3025" t="s">
        <v>3038</v>
      </c>
      <c r="B3025">
        <v>6</v>
      </c>
      <c r="C3025">
        <v>59</v>
      </c>
      <c r="D3025" t="s">
        <v>5016</v>
      </c>
      <c r="E3025" t="s">
        <v>5019</v>
      </c>
      <c r="F3025" t="s">
        <v>5020</v>
      </c>
      <c r="G3025">
        <v>6.74</v>
      </c>
      <c r="H3025">
        <v>1</v>
      </c>
      <c r="I3025">
        <v>8.1</v>
      </c>
      <c r="J3025">
        <v>24.41</v>
      </c>
      <c r="K3025">
        <v>32.1</v>
      </c>
      <c r="L3025" t="s">
        <v>5026</v>
      </c>
      <c r="M3025">
        <v>11</v>
      </c>
      <c r="N3025">
        <v>3</v>
      </c>
      <c r="O3025">
        <v>0</v>
      </c>
    </row>
    <row r="3026" spans="1:15" x14ac:dyDescent="0.3">
      <c r="A3026" t="s">
        <v>3039</v>
      </c>
      <c r="B3026">
        <v>12</v>
      </c>
      <c r="C3026">
        <v>55</v>
      </c>
      <c r="D3026" t="s">
        <v>5015</v>
      </c>
      <c r="E3026" t="s">
        <v>5017</v>
      </c>
      <c r="F3026" t="s">
        <v>5024</v>
      </c>
      <c r="G3026">
        <v>18.2</v>
      </c>
      <c r="H3026">
        <v>4</v>
      </c>
      <c r="I3026">
        <v>7</v>
      </c>
      <c r="J3026">
        <v>3.64</v>
      </c>
      <c r="K3026">
        <v>97.2</v>
      </c>
      <c r="L3026" t="s">
        <v>5028</v>
      </c>
      <c r="M3026">
        <v>9</v>
      </c>
      <c r="N3026">
        <v>4</v>
      </c>
      <c r="O3026">
        <v>0</v>
      </c>
    </row>
    <row r="3027" spans="1:15" x14ac:dyDescent="0.3">
      <c r="A3027" t="s">
        <v>3040</v>
      </c>
      <c r="B3027">
        <v>9</v>
      </c>
      <c r="C3027">
        <v>21</v>
      </c>
      <c r="D3027" t="s">
        <v>5015</v>
      </c>
      <c r="E3027" t="s">
        <v>5019</v>
      </c>
      <c r="F3027" t="s">
        <v>5023</v>
      </c>
      <c r="G3027">
        <v>10.18</v>
      </c>
      <c r="H3027">
        <v>5</v>
      </c>
      <c r="I3027">
        <v>3.2</v>
      </c>
      <c r="J3027">
        <v>9.91</v>
      </c>
      <c r="K3027">
        <v>41.4</v>
      </c>
      <c r="L3027" t="s">
        <v>5025</v>
      </c>
      <c r="M3027">
        <v>8</v>
      </c>
      <c r="N3027">
        <v>0</v>
      </c>
      <c r="O3027">
        <v>1</v>
      </c>
    </row>
    <row r="3028" spans="1:15" x14ac:dyDescent="0.3">
      <c r="A3028" t="s">
        <v>3041</v>
      </c>
      <c r="B3028">
        <v>4</v>
      </c>
      <c r="C3028">
        <v>50</v>
      </c>
      <c r="D3028" t="s">
        <v>5016</v>
      </c>
      <c r="E3028" t="s">
        <v>5019</v>
      </c>
      <c r="F3028" t="s">
        <v>5023</v>
      </c>
      <c r="G3028">
        <v>18.149999999999999</v>
      </c>
      <c r="H3028">
        <v>3</v>
      </c>
      <c r="I3028">
        <v>5.7</v>
      </c>
      <c r="J3028">
        <v>10.26</v>
      </c>
      <c r="K3028">
        <v>93.9</v>
      </c>
      <c r="L3028" t="s">
        <v>5026</v>
      </c>
      <c r="M3028">
        <v>11</v>
      </c>
      <c r="N3028">
        <v>1</v>
      </c>
      <c r="O3028">
        <v>0</v>
      </c>
    </row>
    <row r="3029" spans="1:15" x14ac:dyDescent="0.3">
      <c r="A3029" t="s">
        <v>3042</v>
      </c>
      <c r="B3029">
        <v>8</v>
      </c>
      <c r="C3029">
        <v>24</v>
      </c>
      <c r="D3029" t="s">
        <v>5016</v>
      </c>
      <c r="E3029" t="s">
        <v>5017</v>
      </c>
      <c r="F3029" t="s">
        <v>5024</v>
      </c>
      <c r="G3029">
        <v>7.89</v>
      </c>
      <c r="H3029">
        <v>1</v>
      </c>
      <c r="I3029">
        <v>1.4</v>
      </c>
      <c r="J3029">
        <v>12.11</v>
      </c>
      <c r="K3029">
        <v>63.8</v>
      </c>
      <c r="L3029" t="s">
        <v>5028</v>
      </c>
      <c r="M3029">
        <v>11</v>
      </c>
      <c r="N3029">
        <v>3</v>
      </c>
      <c r="O3029">
        <v>0</v>
      </c>
    </row>
    <row r="3030" spans="1:15" x14ac:dyDescent="0.3">
      <c r="A3030" t="s">
        <v>3043</v>
      </c>
      <c r="B3030">
        <v>11</v>
      </c>
      <c r="C3030">
        <v>58</v>
      </c>
      <c r="D3030" t="s">
        <v>5016</v>
      </c>
      <c r="E3030" t="s">
        <v>5017</v>
      </c>
      <c r="F3030" t="s">
        <v>5020</v>
      </c>
      <c r="G3030">
        <v>12.94</v>
      </c>
      <c r="H3030">
        <v>3</v>
      </c>
      <c r="I3030">
        <v>4.4000000000000004</v>
      </c>
      <c r="J3030">
        <v>16.79</v>
      </c>
      <c r="K3030">
        <v>10.4</v>
      </c>
      <c r="L3030" t="s">
        <v>5028</v>
      </c>
      <c r="M3030">
        <v>11</v>
      </c>
      <c r="N3030">
        <v>3</v>
      </c>
      <c r="O3030">
        <v>1</v>
      </c>
    </row>
    <row r="3031" spans="1:15" x14ac:dyDescent="0.3">
      <c r="A3031" t="s">
        <v>3044</v>
      </c>
      <c r="B3031">
        <v>4</v>
      </c>
      <c r="C3031">
        <v>25</v>
      </c>
      <c r="D3031" t="s">
        <v>5015</v>
      </c>
      <c r="E3031" t="s">
        <v>5019</v>
      </c>
      <c r="F3031" t="s">
        <v>5021</v>
      </c>
      <c r="G3031">
        <v>7.05</v>
      </c>
      <c r="H3031">
        <v>3</v>
      </c>
      <c r="I3031">
        <v>2.6</v>
      </c>
      <c r="J3031">
        <v>14.3</v>
      </c>
      <c r="K3031">
        <v>38</v>
      </c>
      <c r="L3031" t="s">
        <v>5027</v>
      </c>
      <c r="M3031">
        <v>8</v>
      </c>
      <c r="N3031">
        <v>2</v>
      </c>
      <c r="O3031">
        <v>0</v>
      </c>
    </row>
    <row r="3032" spans="1:15" x14ac:dyDescent="0.3">
      <c r="A3032" t="s">
        <v>3045</v>
      </c>
      <c r="B3032">
        <v>2</v>
      </c>
      <c r="C3032">
        <v>54</v>
      </c>
      <c r="D3032" t="s">
        <v>5016</v>
      </c>
      <c r="E3032" t="s">
        <v>5017</v>
      </c>
      <c r="F3032" t="s">
        <v>5020</v>
      </c>
      <c r="G3032">
        <v>10.64</v>
      </c>
      <c r="H3032">
        <v>5</v>
      </c>
      <c r="I3032">
        <v>1.2</v>
      </c>
      <c r="J3032">
        <v>3.41</v>
      </c>
      <c r="K3032">
        <v>11.9</v>
      </c>
      <c r="L3032" t="s">
        <v>5028</v>
      </c>
      <c r="M3032">
        <v>8</v>
      </c>
      <c r="N3032">
        <v>1</v>
      </c>
      <c r="O3032">
        <v>0</v>
      </c>
    </row>
    <row r="3033" spans="1:15" x14ac:dyDescent="0.3">
      <c r="A3033" t="s">
        <v>3046</v>
      </c>
      <c r="B3033">
        <v>10</v>
      </c>
      <c r="C3033">
        <v>68</v>
      </c>
      <c r="D3033" t="s">
        <v>5015</v>
      </c>
      <c r="E3033" t="s">
        <v>5019</v>
      </c>
      <c r="F3033" t="s">
        <v>5021</v>
      </c>
      <c r="G3033">
        <v>6.77</v>
      </c>
      <c r="H3033">
        <v>4</v>
      </c>
      <c r="I3033">
        <v>4.2</v>
      </c>
      <c r="J3033">
        <v>12.06</v>
      </c>
      <c r="K3033">
        <v>44.3</v>
      </c>
      <c r="L3033" t="s">
        <v>5027</v>
      </c>
      <c r="M3033">
        <v>1</v>
      </c>
      <c r="N3033">
        <v>4</v>
      </c>
      <c r="O3033">
        <v>0</v>
      </c>
    </row>
    <row r="3034" spans="1:15" x14ac:dyDescent="0.3">
      <c r="A3034" t="s">
        <v>3047</v>
      </c>
      <c r="B3034">
        <v>11</v>
      </c>
      <c r="C3034">
        <v>27</v>
      </c>
      <c r="D3034" t="s">
        <v>5016</v>
      </c>
      <c r="E3034" t="s">
        <v>5017</v>
      </c>
      <c r="F3034" t="s">
        <v>5024</v>
      </c>
      <c r="G3034">
        <v>24.41</v>
      </c>
      <c r="H3034">
        <v>3</v>
      </c>
      <c r="I3034">
        <v>7.5</v>
      </c>
      <c r="J3034">
        <v>16.63</v>
      </c>
      <c r="K3034">
        <v>93.9</v>
      </c>
      <c r="L3034" t="s">
        <v>5028</v>
      </c>
      <c r="M3034">
        <v>7</v>
      </c>
      <c r="N3034">
        <v>3</v>
      </c>
      <c r="O3034">
        <v>0</v>
      </c>
    </row>
    <row r="3035" spans="1:15" x14ac:dyDescent="0.3">
      <c r="A3035" t="s">
        <v>3048</v>
      </c>
      <c r="B3035">
        <v>9</v>
      </c>
      <c r="C3035">
        <v>60</v>
      </c>
      <c r="D3035" t="s">
        <v>5015</v>
      </c>
      <c r="E3035" t="s">
        <v>5017</v>
      </c>
      <c r="F3035" t="s">
        <v>5022</v>
      </c>
      <c r="G3035">
        <v>12.9</v>
      </c>
      <c r="H3035">
        <v>3</v>
      </c>
      <c r="I3035">
        <v>9.3000000000000007</v>
      </c>
      <c r="J3035">
        <v>14.11</v>
      </c>
      <c r="K3035">
        <v>80.099999999999994</v>
      </c>
      <c r="L3035" t="s">
        <v>5028</v>
      </c>
      <c r="M3035">
        <v>4</v>
      </c>
      <c r="N3035">
        <v>3</v>
      </c>
      <c r="O3035">
        <v>0</v>
      </c>
    </row>
    <row r="3036" spans="1:15" x14ac:dyDescent="0.3">
      <c r="A3036" t="s">
        <v>3049</v>
      </c>
      <c r="B3036">
        <v>5</v>
      </c>
      <c r="C3036">
        <v>32</v>
      </c>
      <c r="D3036" t="s">
        <v>5015</v>
      </c>
      <c r="E3036" t="s">
        <v>5018</v>
      </c>
      <c r="F3036" t="s">
        <v>5021</v>
      </c>
      <c r="G3036">
        <v>23.02</v>
      </c>
      <c r="H3036">
        <v>3</v>
      </c>
      <c r="I3036">
        <v>7</v>
      </c>
      <c r="J3036">
        <v>22.19</v>
      </c>
      <c r="K3036">
        <v>65.8</v>
      </c>
      <c r="L3036" t="s">
        <v>5025</v>
      </c>
      <c r="M3036">
        <v>6</v>
      </c>
      <c r="N3036">
        <v>4</v>
      </c>
      <c r="O3036">
        <v>0</v>
      </c>
    </row>
    <row r="3037" spans="1:15" x14ac:dyDescent="0.3">
      <c r="A3037" t="s">
        <v>3050</v>
      </c>
      <c r="B3037">
        <v>4</v>
      </c>
      <c r="C3037">
        <v>55</v>
      </c>
      <c r="D3037" t="s">
        <v>5016</v>
      </c>
      <c r="E3037" t="s">
        <v>5017</v>
      </c>
      <c r="F3037" t="s">
        <v>5023</v>
      </c>
      <c r="G3037">
        <v>24.42</v>
      </c>
      <c r="H3037">
        <v>1</v>
      </c>
      <c r="I3037">
        <v>4.5999999999999996</v>
      </c>
      <c r="J3037">
        <v>11.77</v>
      </c>
      <c r="K3037">
        <v>58.5</v>
      </c>
      <c r="L3037" t="s">
        <v>5028</v>
      </c>
      <c r="M3037">
        <v>4</v>
      </c>
      <c r="N3037">
        <v>1</v>
      </c>
      <c r="O3037">
        <v>0</v>
      </c>
    </row>
    <row r="3038" spans="1:15" x14ac:dyDescent="0.3">
      <c r="A3038" t="s">
        <v>3051</v>
      </c>
      <c r="B3038">
        <v>2</v>
      </c>
      <c r="C3038">
        <v>32</v>
      </c>
      <c r="D3038" t="s">
        <v>5016</v>
      </c>
      <c r="E3038" t="s">
        <v>5018</v>
      </c>
      <c r="F3038" t="s">
        <v>5023</v>
      </c>
      <c r="G3038">
        <v>23.19</v>
      </c>
      <c r="H3038">
        <v>3</v>
      </c>
      <c r="I3038">
        <v>10</v>
      </c>
      <c r="J3038">
        <v>3.28</v>
      </c>
      <c r="K3038">
        <v>43.5</v>
      </c>
      <c r="L3038" t="s">
        <v>5029</v>
      </c>
      <c r="M3038">
        <v>5</v>
      </c>
      <c r="N3038">
        <v>0</v>
      </c>
      <c r="O3038">
        <v>1</v>
      </c>
    </row>
    <row r="3039" spans="1:15" x14ac:dyDescent="0.3">
      <c r="A3039" t="s">
        <v>3052</v>
      </c>
      <c r="B3039">
        <v>1</v>
      </c>
      <c r="C3039">
        <v>22</v>
      </c>
      <c r="D3039" t="s">
        <v>5016</v>
      </c>
      <c r="E3039" t="s">
        <v>5018</v>
      </c>
      <c r="F3039" t="s">
        <v>5023</v>
      </c>
      <c r="G3039">
        <v>14.1</v>
      </c>
      <c r="H3039">
        <v>3</v>
      </c>
      <c r="I3039">
        <v>3.5</v>
      </c>
      <c r="J3039">
        <v>9.27</v>
      </c>
      <c r="K3039">
        <v>29</v>
      </c>
      <c r="L3039" t="s">
        <v>5029</v>
      </c>
      <c r="M3039">
        <v>5</v>
      </c>
      <c r="N3039">
        <v>4</v>
      </c>
      <c r="O3039">
        <v>0</v>
      </c>
    </row>
    <row r="3040" spans="1:15" x14ac:dyDescent="0.3">
      <c r="A3040" t="s">
        <v>3053</v>
      </c>
      <c r="B3040">
        <v>11</v>
      </c>
      <c r="C3040">
        <v>46</v>
      </c>
      <c r="D3040" t="s">
        <v>5016</v>
      </c>
      <c r="E3040" t="s">
        <v>5017</v>
      </c>
      <c r="F3040" t="s">
        <v>5020</v>
      </c>
      <c r="G3040">
        <v>20.58</v>
      </c>
      <c r="H3040">
        <v>5</v>
      </c>
      <c r="I3040">
        <v>2.7</v>
      </c>
      <c r="J3040">
        <v>5.98</v>
      </c>
      <c r="K3040">
        <v>15.6</v>
      </c>
      <c r="L3040" t="s">
        <v>5029</v>
      </c>
      <c r="M3040">
        <v>1</v>
      </c>
      <c r="N3040">
        <v>0</v>
      </c>
      <c r="O3040">
        <v>0</v>
      </c>
    </row>
    <row r="3041" spans="1:15" x14ac:dyDescent="0.3">
      <c r="A3041" t="s">
        <v>3054</v>
      </c>
      <c r="B3041">
        <v>7</v>
      </c>
      <c r="C3041">
        <v>36</v>
      </c>
      <c r="D3041" t="s">
        <v>5016</v>
      </c>
      <c r="E3041" t="s">
        <v>5017</v>
      </c>
      <c r="F3041" t="s">
        <v>5020</v>
      </c>
      <c r="G3041">
        <v>8.07</v>
      </c>
      <c r="H3041">
        <v>3</v>
      </c>
      <c r="I3041">
        <v>5.2</v>
      </c>
      <c r="J3041">
        <v>8.51</v>
      </c>
      <c r="K3041">
        <v>27.1</v>
      </c>
      <c r="L3041" t="s">
        <v>5025</v>
      </c>
      <c r="M3041">
        <v>6</v>
      </c>
      <c r="N3041">
        <v>3</v>
      </c>
      <c r="O3041">
        <v>0</v>
      </c>
    </row>
    <row r="3042" spans="1:15" x14ac:dyDescent="0.3">
      <c r="A3042" t="s">
        <v>3055</v>
      </c>
      <c r="B3042">
        <v>6</v>
      </c>
      <c r="C3042">
        <v>68</v>
      </c>
      <c r="D3042" t="s">
        <v>5016</v>
      </c>
      <c r="E3042" t="s">
        <v>5018</v>
      </c>
      <c r="F3042" t="s">
        <v>5020</v>
      </c>
      <c r="G3042">
        <v>6.9</v>
      </c>
      <c r="H3042">
        <v>3</v>
      </c>
      <c r="I3042">
        <v>5.5</v>
      </c>
      <c r="J3042">
        <v>10.97</v>
      </c>
      <c r="K3042">
        <v>41.6</v>
      </c>
      <c r="L3042" t="s">
        <v>5028</v>
      </c>
      <c r="M3042">
        <v>10</v>
      </c>
      <c r="N3042">
        <v>0</v>
      </c>
      <c r="O3042">
        <v>1</v>
      </c>
    </row>
    <row r="3043" spans="1:15" x14ac:dyDescent="0.3">
      <c r="A3043" t="s">
        <v>3056</v>
      </c>
      <c r="B3043">
        <v>2</v>
      </c>
      <c r="C3043">
        <v>27</v>
      </c>
      <c r="D3043" t="s">
        <v>5016</v>
      </c>
      <c r="E3043" t="s">
        <v>5017</v>
      </c>
      <c r="F3043" t="s">
        <v>5023</v>
      </c>
      <c r="G3043">
        <v>22.54</v>
      </c>
      <c r="H3043">
        <v>5</v>
      </c>
      <c r="I3043">
        <v>4.2</v>
      </c>
      <c r="J3043">
        <v>17.89</v>
      </c>
      <c r="K3043">
        <v>56.8</v>
      </c>
      <c r="L3043" t="s">
        <v>5025</v>
      </c>
      <c r="M3043">
        <v>8</v>
      </c>
      <c r="N3043">
        <v>0</v>
      </c>
      <c r="O3043">
        <v>1</v>
      </c>
    </row>
    <row r="3044" spans="1:15" x14ac:dyDescent="0.3">
      <c r="A3044" t="s">
        <v>3057</v>
      </c>
      <c r="B3044">
        <v>8</v>
      </c>
      <c r="C3044">
        <v>29</v>
      </c>
      <c r="D3044" t="s">
        <v>5015</v>
      </c>
      <c r="E3044" t="s">
        <v>5019</v>
      </c>
      <c r="F3044" t="s">
        <v>5021</v>
      </c>
      <c r="G3044">
        <v>5.62</v>
      </c>
      <c r="H3044">
        <v>1</v>
      </c>
      <c r="I3044">
        <v>7.3</v>
      </c>
      <c r="J3044">
        <v>10.130000000000001</v>
      </c>
      <c r="K3044">
        <v>28.4</v>
      </c>
      <c r="L3044" t="s">
        <v>5028</v>
      </c>
      <c r="M3044">
        <v>5</v>
      </c>
      <c r="N3044">
        <v>4</v>
      </c>
      <c r="O3044">
        <v>0</v>
      </c>
    </row>
    <row r="3045" spans="1:15" x14ac:dyDescent="0.3">
      <c r="A3045" t="s">
        <v>3058</v>
      </c>
      <c r="B3045">
        <v>11</v>
      </c>
      <c r="C3045">
        <v>21</v>
      </c>
      <c r="D3045" t="s">
        <v>5016</v>
      </c>
      <c r="E3045" t="s">
        <v>5018</v>
      </c>
      <c r="F3045" t="s">
        <v>5023</v>
      </c>
      <c r="G3045">
        <v>24.45</v>
      </c>
      <c r="H3045">
        <v>4</v>
      </c>
      <c r="I3045">
        <v>2.7</v>
      </c>
      <c r="J3045">
        <v>22.45</v>
      </c>
      <c r="K3045">
        <v>97.7</v>
      </c>
      <c r="L3045" t="s">
        <v>5027</v>
      </c>
      <c r="M3045">
        <v>10</v>
      </c>
      <c r="N3045">
        <v>3</v>
      </c>
      <c r="O3045">
        <v>1</v>
      </c>
    </row>
    <row r="3046" spans="1:15" x14ac:dyDescent="0.3">
      <c r="A3046" t="s">
        <v>3059</v>
      </c>
      <c r="B3046">
        <v>4</v>
      </c>
      <c r="C3046">
        <v>48</v>
      </c>
      <c r="D3046" t="s">
        <v>5016</v>
      </c>
      <c r="E3046" t="s">
        <v>5017</v>
      </c>
      <c r="F3046" t="s">
        <v>5021</v>
      </c>
      <c r="G3046">
        <v>18.440000000000001</v>
      </c>
      <c r="H3046">
        <v>5</v>
      </c>
      <c r="I3046">
        <v>5.6</v>
      </c>
      <c r="J3046">
        <v>9.59</v>
      </c>
      <c r="K3046">
        <v>16.899999999999999</v>
      </c>
      <c r="L3046" t="s">
        <v>5025</v>
      </c>
      <c r="M3046">
        <v>6</v>
      </c>
      <c r="N3046">
        <v>1</v>
      </c>
      <c r="O3046">
        <v>0</v>
      </c>
    </row>
    <row r="3047" spans="1:15" x14ac:dyDescent="0.3">
      <c r="A3047" t="s">
        <v>3060</v>
      </c>
      <c r="B3047">
        <v>8</v>
      </c>
      <c r="C3047">
        <v>35</v>
      </c>
      <c r="D3047" t="s">
        <v>5015</v>
      </c>
      <c r="E3047" t="s">
        <v>5018</v>
      </c>
      <c r="F3047" t="s">
        <v>5020</v>
      </c>
      <c r="G3047">
        <v>13.39</v>
      </c>
      <c r="H3047">
        <v>1</v>
      </c>
      <c r="I3047">
        <v>5.5</v>
      </c>
      <c r="J3047">
        <v>6.01</v>
      </c>
      <c r="K3047">
        <v>18.5</v>
      </c>
      <c r="L3047" t="s">
        <v>5029</v>
      </c>
      <c r="M3047">
        <v>5</v>
      </c>
      <c r="N3047">
        <v>2</v>
      </c>
      <c r="O3047">
        <v>1</v>
      </c>
    </row>
    <row r="3048" spans="1:15" x14ac:dyDescent="0.3">
      <c r="A3048" t="s">
        <v>3061</v>
      </c>
      <c r="B3048">
        <v>7</v>
      </c>
      <c r="C3048">
        <v>33</v>
      </c>
      <c r="D3048" t="s">
        <v>5016</v>
      </c>
      <c r="E3048" t="s">
        <v>5017</v>
      </c>
      <c r="F3048" t="s">
        <v>5022</v>
      </c>
      <c r="G3048">
        <v>7.83</v>
      </c>
      <c r="H3048">
        <v>4</v>
      </c>
      <c r="I3048">
        <v>8.4</v>
      </c>
      <c r="J3048">
        <v>6.72</v>
      </c>
      <c r="K3048">
        <v>71.400000000000006</v>
      </c>
      <c r="L3048" t="s">
        <v>5029</v>
      </c>
      <c r="M3048">
        <v>1</v>
      </c>
      <c r="N3048">
        <v>0</v>
      </c>
      <c r="O3048">
        <v>0</v>
      </c>
    </row>
    <row r="3049" spans="1:15" x14ac:dyDescent="0.3">
      <c r="A3049" t="s">
        <v>3062</v>
      </c>
      <c r="B3049">
        <v>5</v>
      </c>
      <c r="C3049">
        <v>57</v>
      </c>
      <c r="D3049" t="s">
        <v>5016</v>
      </c>
      <c r="E3049" t="s">
        <v>5017</v>
      </c>
      <c r="F3049" t="s">
        <v>5020</v>
      </c>
      <c r="G3049">
        <v>19.46</v>
      </c>
      <c r="H3049">
        <v>3</v>
      </c>
      <c r="I3049">
        <v>9.3000000000000007</v>
      </c>
      <c r="J3049">
        <v>23.56</v>
      </c>
      <c r="K3049">
        <v>78</v>
      </c>
      <c r="L3049" t="s">
        <v>5029</v>
      </c>
      <c r="M3049">
        <v>5</v>
      </c>
      <c r="N3049">
        <v>3</v>
      </c>
      <c r="O3049">
        <v>0</v>
      </c>
    </row>
    <row r="3050" spans="1:15" x14ac:dyDescent="0.3">
      <c r="A3050" t="s">
        <v>3063</v>
      </c>
      <c r="B3050">
        <v>10</v>
      </c>
      <c r="C3050">
        <v>53</v>
      </c>
      <c r="D3050" t="s">
        <v>5016</v>
      </c>
      <c r="E3050" t="s">
        <v>5017</v>
      </c>
      <c r="F3050" t="s">
        <v>5024</v>
      </c>
      <c r="G3050">
        <v>16.260000000000002</v>
      </c>
      <c r="H3050">
        <v>5</v>
      </c>
      <c r="I3050">
        <v>7</v>
      </c>
      <c r="J3050">
        <v>13.01</v>
      </c>
      <c r="K3050">
        <v>97.5</v>
      </c>
      <c r="L3050" t="s">
        <v>5028</v>
      </c>
      <c r="M3050">
        <v>2</v>
      </c>
      <c r="N3050">
        <v>2</v>
      </c>
      <c r="O3050">
        <v>0</v>
      </c>
    </row>
    <row r="3051" spans="1:15" x14ac:dyDescent="0.3">
      <c r="A3051" t="s">
        <v>3064</v>
      </c>
      <c r="B3051">
        <v>10</v>
      </c>
      <c r="C3051">
        <v>42</v>
      </c>
      <c r="D3051" t="s">
        <v>5016</v>
      </c>
      <c r="E3051" t="s">
        <v>5019</v>
      </c>
      <c r="F3051" t="s">
        <v>5021</v>
      </c>
      <c r="G3051">
        <v>19.22</v>
      </c>
      <c r="H3051">
        <v>3</v>
      </c>
      <c r="I3051">
        <v>3.7</v>
      </c>
      <c r="J3051">
        <v>11.87</v>
      </c>
      <c r="K3051">
        <v>57.7</v>
      </c>
      <c r="L3051" t="s">
        <v>5028</v>
      </c>
      <c r="M3051">
        <v>4</v>
      </c>
      <c r="N3051">
        <v>1</v>
      </c>
      <c r="O3051">
        <v>0</v>
      </c>
    </row>
    <row r="3052" spans="1:15" x14ac:dyDescent="0.3">
      <c r="A3052" t="s">
        <v>3065</v>
      </c>
      <c r="B3052">
        <v>12</v>
      </c>
      <c r="C3052">
        <v>40</v>
      </c>
      <c r="D3052" t="s">
        <v>5015</v>
      </c>
      <c r="E3052" t="s">
        <v>5019</v>
      </c>
      <c r="F3052" t="s">
        <v>5022</v>
      </c>
      <c r="G3052">
        <v>13.36</v>
      </c>
      <c r="H3052">
        <v>5</v>
      </c>
      <c r="I3052">
        <v>7.2</v>
      </c>
      <c r="J3052">
        <v>4.5199999999999996</v>
      </c>
      <c r="K3052">
        <v>24.9</v>
      </c>
      <c r="L3052" t="s">
        <v>5025</v>
      </c>
      <c r="M3052">
        <v>2</v>
      </c>
      <c r="N3052">
        <v>2</v>
      </c>
      <c r="O3052">
        <v>0</v>
      </c>
    </row>
    <row r="3053" spans="1:15" x14ac:dyDescent="0.3">
      <c r="A3053" t="s">
        <v>3066</v>
      </c>
      <c r="B3053">
        <v>8</v>
      </c>
      <c r="C3053">
        <v>29</v>
      </c>
      <c r="D3053" t="s">
        <v>5015</v>
      </c>
      <c r="E3053" t="s">
        <v>5019</v>
      </c>
      <c r="F3053" t="s">
        <v>5020</v>
      </c>
      <c r="G3053">
        <v>6.33</v>
      </c>
      <c r="H3053">
        <v>4</v>
      </c>
      <c r="I3053">
        <v>3.3</v>
      </c>
      <c r="J3053">
        <v>19.13</v>
      </c>
      <c r="K3053">
        <v>94.4</v>
      </c>
      <c r="L3053" t="s">
        <v>5026</v>
      </c>
      <c r="M3053">
        <v>8</v>
      </c>
      <c r="N3053">
        <v>1</v>
      </c>
      <c r="O3053">
        <v>0</v>
      </c>
    </row>
    <row r="3054" spans="1:15" x14ac:dyDescent="0.3">
      <c r="A3054" t="s">
        <v>3067</v>
      </c>
      <c r="B3054">
        <v>9</v>
      </c>
      <c r="C3054">
        <v>51</v>
      </c>
      <c r="D3054" t="s">
        <v>5016</v>
      </c>
      <c r="E3054" t="s">
        <v>5018</v>
      </c>
      <c r="F3054" t="s">
        <v>5022</v>
      </c>
      <c r="G3054">
        <v>11.3</v>
      </c>
      <c r="H3054">
        <v>1</v>
      </c>
      <c r="I3054">
        <v>9.6999999999999993</v>
      </c>
      <c r="J3054">
        <v>18.28</v>
      </c>
      <c r="K3054">
        <v>98.2</v>
      </c>
      <c r="L3054" t="s">
        <v>5028</v>
      </c>
      <c r="M3054">
        <v>7</v>
      </c>
      <c r="N3054">
        <v>2</v>
      </c>
      <c r="O3054">
        <v>0</v>
      </c>
    </row>
    <row r="3055" spans="1:15" x14ac:dyDescent="0.3">
      <c r="A3055" t="s">
        <v>3068</v>
      </c>
      <c r="B3055">
        <v>5</v>
      </c>
      <c r="C3055">
        <v>53</v>
      </c>
      <c r="D3055" t="s">
        <v>5016</v>
      </c>
      <c r="E3055" t="s">
        <v>5017</v>
      </c>
      <c r="F3055" t="s">
        <v>5023</v>
      </c>
      <c r="G3055">
        <v>11.3</v>
      </c>
      <c r="H3055">
        <v>5</v>
      </c>
      <c r="I3055">
        <v>8.4</v>
      </c>
      <c r="J3055">
        <v>11.27</v>
      </c>
      <c r="K3055">
        <v>93.1</v>
      </c>
      <c r="L3055" t="s">
        <v>5026</v>
      </c>
      <c r="M3055">
        <v>9</v>
      </c>
      <c r="N3055">
        <v>1</v>
      </c>
      <c r="O3055">
        <v>0</v>
      </c>
    </row>
    <row r="3056" spans="1:15" x14ac:dyDescent="0.3">
      <c r="A3056" t="s">
        <v>3069</v>
      </c>
      <c r="B3056">
        <v>10</v>
      </c>
      <c r="C3056">
        <v>54</v>
      </c>
      <c r="D3056" t="s">
        <v>5015</v>
      </c>
      <c r="E3056" t="s">
        <v>5018</v>
      </c>
      <c r="F3056" t="s">
        <v>5021</v>
      </c>
      <c r="G3056">
        <v>5.17</v>
      </c>
      <c r="H3056">
        <v>1</v>
      </c>
      <c r="I3056">
        <v>4.9000000000000004</v>
      </c>
      <c r="J3056">
        <v>18.22</v>
      </c>
      <c r="K3056">
        <v>88.4</v>
      </c>
      <c r="L3056" t="s">
        <v>5026</v>
      </c>
      <c r="M3056">
        <v>4</v>
      </c>
      <c r="N3056">
        <v>0</v>
      </c>
      <c r="O3056">
        <v>0</v>
      </c>
    </row>
    <row r="3057" spans="1:15" x14ac:dyDescent="0.3">
      <c r="A3057" t="s">
        <v>3070</v>
      </c>
      <c r="B3057">
        <v>5</v>
      </c>
      <c r="C3057">
        <v>20</v>
      </c>
      <c r="D3057" t="s">
        <v>5016</v>
      </c>
      <c r="E3057" t="s">
        <v>5019</v>
      </c>
      <c r="F3057" t="s">
        <v>5024</v>
      </c>
      <c r="G3057">
        <v>5.19</v>
      </c>
      <c r="H3057">
        <v>3</v>
      </c>
      <c r="I3057">
        <v>8.1</v>
      </c>
      <c r="J3057">
        <v>11.08</v>
      </c>
      <c r="K3057">
        <v>17</v>
      </c>
      <c r="L3057" t="s">
        <v>5028</v>
      </c>
      <c r="M3057">
        <v>5</v>
      </c>
      <c r="N3057">
        <v>2</v>
      </c>
      <c r="O3057">
        <v>1</v>
      </c>
    </row>
    <row r="3058" spans="1:15" x14ac:dyDescent="0.3">
      <c r="A3058" t="s">
        <v>3071</v>
      </c>
      <c r="B3058">
        <v>2</v>
      </c>
      <c r="C3058">
        <v>26</v>
      </c>
      <c r="D3058" t="s">
        <v>5015</v>
      </c>
      <c r="E3058" t="s">
        <v>5019</v>
      </c>
      <c r="F3058" t="s">
        <v>5023</v>
      </c>
      <c r="G3058">
        <v>11.62</v>
      </c>
      <c r="H3058">
        <v>3</v>
      </c>
      <c r="I3058">
        <v>4.7</v>
      </c>
      <c r="J3058">
        <v>4.6100000000000003</v>
      </c>
      <c r="K3058">
        <v>86.9</v>
      </c>
      <c r="L3058" t="s">
        <v>5025</v>
      </c>
      <c r="M3058">
        <v>9</v>
      </c>
      <c r="N3058">
        <v>1</v>
      </c>
      <c r="O3058">
        <v>1</v>
      </c>
    </row>
    <row r="3059" spans="1:15" x14ac:dyDescent="0.3">
      <c r="A3059" t="s">
        <v>3072</v>
      </c>
      <c r="B3059">
        <v>5</v>
      </c>
      <c r="C3059">
        <v>35</v>
      </c>
      <c r="D3059" t="s">
        <v>5015</v>
      </c>
      <c r="E3059" t="s">
        <v>5017</v>
      </c>
      <c r="F3059" t="s">
        <v>5022</v>
      </c>
      <c r="G3059">
        <v>19.55</v>
      </c>
      <c r="H3059">
        <v>4</v>
      </c>
      <c r="I3059">
        <v>1.7</v>
      </c>
      <c r="J3059">
        <v>19.239999999999998</v>
      </c>
      <c r="K3059">
        <v>95.8</v>
      </c>
      <c r="L3059" t="s">
        <v>5026</v>
      </c>
      <c r="M3059">
        <v>9</v>
      </c>
      <c r="N3059">
        <v>3</v>
      </c>
      <c r="O3059">
        <v>0</v>
      </c>
    </row>
    <row r="3060" spans="1:15" x14ac:dyDescent="0.3">
      <c r="A3060" t="s">
        <v>3073</v>
      </c>
      <c r="B3060">
        <v>3</v>
      </c>
      <c r="C3060">
        <v>60</v>
      </c>
      <c r="D3060" t="s">
        <v>5015</v>
      </c>
      <c r="E3060" t="s">
        <v>5017</v>
      </c>
      <c r="F3060" t="s">
        <v>5020</v>
      </c>
      <c r="G3060">
        <v>17.48</v>
      </c>
      <c r="H3060">
        <v>4</v>
      </c>
      <c r="I3060">
        <v>7.4</v>
      </c>
      <c r="J3060">
        <v>24.23</v>
      </c>
      <c r="K3060">
        <v>59.7</v>
      </c>
      <c r="L3060" t="s">
        <v>5025</v>
      </c>
      <c r="M3060">
        <v>2</v>
      </c>
      <c r="N3060">
        <v>4</v>
      </c>
      <c r="O3060">
        <v>0</v>
      </c>
    </row>
    <row r="3061" spans="1:15" x14ac:dyDescent="0.3">
      <c r="A3061" t="s">
        <v>3074</v>
      </c>
      <c r="B3061">
        <v>7</v>
      </c>
      <c r="C3061">
        <v>52</v>
      </c>
      <c r="D3061" t="s">
        <v>5016</v>
      </c>
      <c r="E3061" t="s">
        <v>5018</v>
      </c>
      <c r="F3061" t="s">
        <v>5021</v>
      </c>
      <c r="G3061">
        <v>9.7799999999999994</v>
      </c>
      <c r="H3061">
        <v>2</v>
      </c>
      <c r="I3061">
        <v>4.5999999999999996</v>
      </c>
      <c r="J3061">
        <v>17.260000000000002</v>
      </c>
      <c r="K3061">
        <v>79.5</v>
      </c>
      <c r="L3061" t="s">
        <v>5025</v>
      </c>
      <c r="M3061">
        <v>11</v>
      </c>
      <c r="N3061">
        <v>2</v>
      </c>
      <c r="O3061">
        <v>0</v>
      </c>
    </row>
    <row r="3062" spans="1:15" x14ac:dyDescent="0.3">
      <c r="A3062" t="s">
        <v>3075</v>
      </c>
      <c r="B3062">
        <v>10</v>
      </c>
      <c r="C3062">
        <v>51</v>
      </c>
      <c r="D3062" t="s">
        <v>5016</v>
      </c>
      <c r="E3062" t="s">
        <v>5019</v>
      </c>
      <c r="F3062" t="s">
        <v>5024</v>
      </c>
      <c r="G3062">
        <v>17.059999999999999</v>
      </c>
      <c r="H3062">
        <v>2</v>
      </c>
      <c r="I3062">
        <v>9.4</v>
      </c>
      <c r="J3062">
        <v>9.08</v>
      </c>
      <c r="K3062">
        <v>69.5</v>
      </c>
      <c r="L3062" t="s">
        <v>5028</v>
      </c>
      <c r="M3062">
        <v>1</v>
      </c>
      <c r="N3062">
        <v>2</v>
      </c>
      <c r="O3062">
        <v>1</v>
      </c>
    </row>
    <row r="3063" spans="1:15" x14ac:dyDescent="0.3">
      <c r="A3063" t="s">
        <v>3076</v>
      </c>
      <c r="B3063">
        <v>5</v>
      </c>
      <c r="C3063">
        <v>58</v>
      </c>
      <c r="D3063" t="s">
        <v>5016</v>
      </c>
      <c r="E3063" t="s">
        <v>5019</v>
      </c>
      <c r="F3063" t="s">
        <v>5020</v>
      </c>
      <c r="G3063">
        <v>17.95</v>
      </c>
      <c r="H3063">
        <v>4</v>
      </c>
      <c r="I3063">
        <v>3.8</v>
      </c>
      <c r="J3063">
        <v>8.94</v>
      </c>
      <c r="K3063">
        <v>35.9</v>
      </c>
      <c r="L3063" t="s">
        <v>5026</v>
      </c>
      <c r="M3063">
        <v>3</v>
      </c>
      <c r="N3063">
        <v>2</v>
      </c>
      <c r="O3063">
        <v>0</v>
      </c>
    </row>
    <row r="3064" spans="1:15" x14ac:dyDescent="0.3">
      <c r="A3064" t="s">
        <v>3077</v>
      </c>
      <c r="B3064">
        <v>8</v>
      </c>
      <c r="C3064">
        <v>31</v>
      </c>
      <c r="D3064" t="s">
        <v>5015</v>
      </c>
      <c r="E3064" t="s">
        <v>5018</v>
      </c>
      <c r="F3064" t="s">
        <v>5024</v>
      </c>
      <c r="G3064">
        <v>15.45</v>
      </c>
      <c r="H3064">
        <v>3</v>
      </c>
      <c r="I3064">
        <v>8.6</v>
      </c>
      <c r="J3064">
        <v>23.44</v>
      </c>
      <c r="K3064">
        <v>62.9</v>
      </c>
      <c r="L3064" t="s">
        <v>5025</v>
      </c>
      <c r="M3064">
        <v>10</v>
      </c>
      <c r="N3064">
        <v>2</v>
      </c>
      <c r="O3064">
        <v>0</v>
      </c>
    </row>
    <row r="3065" spans="1:15" x14ac:dyDescent="0.3">
      <c r="A3065" t="s">
        <v>3078</v>
      </c>
      <c r="B3065">
        <v>1</v>
      </c>
      <c r="C3065">
        <v>21</v>
      </c>
      <c r="D3065" t="s">
        <v>5016</v>
      </c>
      <c r="E3065" t="s">
        <v>5019</v>
      </c>
      <c r="F3065" t="s">
        <v>5021</v>
      </c>
      <c r="G3065">
        <v>15.43</v>
      </c>
      <c r="H3065">
        <v>1</v>
      </c>
      <c r="I3065">
        <v>7.1</v>
      </c>
      <c r="J3065">
        <v>9.67</v>
      </c>
      <c r="K3065">
        <v>90</v>
      </c>
      <c r="L3065" t="s">
        <v>5026</v>
      </c>
      <c r="M3065">
        <v>1</v>
      </c>
      <c r="N3065">
        <v>4</v>
      </c>
      <c r="O3065">
        <v>0</v>
      </c>
    </row>
    <row r="3066" spans="1:15" x14ac:dyDescent="0.3">
      <c r="A3066" t="s">
        <v>3079</v>
      </c>
      <c r="B3066">
        <v>3</v>
      </c>
      <c r="C3066">
        <v>46</v>
      </c>
      <c r="D3066" t="s">
        <v>5016</v>
      </c>
      <c r="E3066" t="s">
        <v>5018</v>
      </c>
      <c r="F3066" t="s">
        <v>5022</v>
      </c>
      <c r="G3066">
        <v>12.39</v>
      </c>
      <c r="H3066">
        <v>4</v>
      </c>
      <c r="I3066">
        <v>8.6999999999999993</v>
      </c>
      <c r="J3066">
        <v>19.899999999999999</v>
      </c>
      <c r="K3066">
        <v>54.7</v>
      </c>
      <c r="L3066" t="s">
        <v>5025</v>
      </c>
      <c r="M3066">
        <v>6</v>
      </c>
      <c r="N3066">
        <v>2</v>
      </c>
      <c r="O3066">
        <v>0</v>
      </c>
    </row>
    <row r="3067" spans="1:15" x14ac:dyDescent="0.3">
      <c r="A3067" t="s">
        <v>3080</v>
      </c>
      <c r="B3067">
        <v>3</v>
      </c>
      <c r="C3067">
        <v>58</v>
      </c>
      <c r="D3067" t="s">
        <v>5015</v>
      </c>
      <c r="E3067" t="s">
        <v>5019</v>
      </c>
      <c r="F3067" t="s">
        <v>5024</v>
      </c>
      <c r="G3067">
        <v>7.47</v>
      </c>
      <c r="H3067">
        <v>1</v>
      </c>
      <c r="I3067">
        <v>3.6</v>
      </c>
      <c r="J3067">
        <v>17.14</v>
      </c>
      <c r="K3067">
        <v>63.1</v>
      </c>
      <c r="L3067" t="s">
        <v>5028</v>
      </c>
      <c r="M3067">
        <v>8</v>
      </c>
      <c r="N3067">
        <v>0</v>
      </c>
      <c r="O3067">
        <v>0</v>
      </c>
    </row>
    <row r="3068" spans="1:15" x14ac:dyDescent="0.3">
      <c r="A3068" t="s">
        <v>3081</v>
      </c>
      <c r="B3068">
        <v>9</v>
      </c>
      <c r="C3068">
        <v>62</v>
      </c>
      <c r="D3068" t="s">
        <v>5016</v>
      </c>
      <c r="E3068" t="s">
        <v>5019</v>
      </c>
      <c r="F3068" t="s">
        <v>5021</v>
      </c>
      <c r="G3068">
        <v>12.71</v>
      </c>
      <c r="H3068">
        <v>2</v>
      </c>
      <c r="I3068">
        <v>5.2</v>
      </c>
      <c r="J3068">
        <v>16.04</v>
      </c>
      <c r="K3068">
        <v>57.8</v>
      </c>
      <c r="L3068" t="s">
        <v>5025</v>
      </c>
      <c r="M3068">
        <v>4</v>
      </c>
      <c r="N3068">
        <v>0</v>
      </c>
      <c r="O3068">
        <v>1</v>
      </c>
    </row>
    <row r="3069" spans="1:15" x14ac:dyDescent="0.3">
      <c r="A3069" t="s">
        <v>3082</v>
      </c>
      <c r="B3069">
        <v>5</v>
      </c>
      <c r="C3069">
        <v>67</v>
      </c>
      <c r="D3069" t="s">
        <v>5016</v>
      </c>
      <c r="E3069" t="s">
        <v>5019</v>
      </c>
      <c r="F3069" t="s">
        <v>5024</v>
      </c>
      <c r="G3069">
        <v>11.91</v>
      </c>
      <c r="H3069">
        <v>1</v>
      </c>
      <c r="I3069">
        <v>8.4</v>
      </c>
      <c r="J3069">
        <v>6.98</v>
      </c>
      <c r="K3069">
        <v>35.4</v>
      </c>
      <c r="L3069" t="s">
        <v>5028</v>
      </c>
      <c r="M3069">
        <v>11</v>
      </c>
      <c r="N3069">
        <v>3</v>
      </c>
      <c r="O3069">
        <v>0</v>
      </c>
    </row>
    <row r="3070" spans="1:15" x14ac:dyDescent="0.3">
      <c r="A3070" t="s">
        <v>3083</v>
      </c>
      <c r="B3070">
        <v>12</v>
      </c>
      <c r="C3070">
        <v>32</v>
      </c>
      <c r="D3070" t="s">
        <v>5016</v>
      </c>
      <c r="E3070" t="s">
        <v>5018</v>
      </c>
      <c r="F3070" t="s">
        <v>5020</v>
      </c>
      <c r="G3070">
        <v>16.84</v>
      </c>
      <c r="H3070">
        <v>4</v>
      </c>
      <c r="I3070">
        <v>6.8</v>
      </c>
      <c r="J3070">
        <v>3.76</v>
      </c>
      <c r="K3070">
        <v>67.900000000000006</v>
      </c>
      <c r="L3070" t="s">
        <v>5028</v>
      </c>
      <c r="M3070">
        <v>4</v>
      </c>
      <c r="N3070">
        <v>4</v>
      </c>
      <c r="O3070">
        <v>1</v>
      </c>
    </row>
    <row r="3071" spans="1:15" x14ac:dyDescent="0.3">
      <c r="A3071" t="s">
        <v>3084</v>
      </c>
      <c r="B3071">
        <v>9</v>
      </c>
      <c r="C3071">
        <v>45</v>
      </c>
      <c r="D3071" t="s">
        <v>5015</v>
      </c>
      <c r="E3071" t="s">
        <v>5017</v>
      </c>
      <c r="F3071" t="s">
        <v>5024</v>
      </c>
      <c r="G3071">
        <v>22.13</v>
      </c>
      <c r="H3071">
        <v>3</v>
      </c>
      <c r="I3071">
        <v>4.2</v>
      </c>
      <c r="J3071">
        <v>13.75</v>
      </c>
      <c r="K3071">
        <v>55.9</v>
      </c>
      <c r="L3071" t="s">
        <v>5026</v>
      </c>
      <c r="M3071">
        <v>11</v>
      </c>
      <c r="N3071">
        <v>3</v>
      </c>
      <c r="O3071">
        <v>0</v>
      </c>
    </row>
    <row r="3072" spans="1:15" x14ac:dyDescent="0.3">
      <c r="A3072" t="s">
        <v>3085</v>
      </c>
      <c r="B3072">
        <v>9</v>
      </c>
      <c r="C3072">
        <v>59</v>
      </c>
      <c r="D3072" t="s">
        <v>5016</v>
      </c>
      <c r="E3072" t="s">
        <v>5018</v>
      </c>
      <c r="F3072" t="s">
        <v>5020</v>
      </c>
      <c r="G3072">
        <v>12.51</v>
      </c>
      <c r="H3072">
        <v>4</v>
      </c>
      <c r="I3072">
        <v>5.6</v>
      </c>
      <c r="J3072">
        <v>24.74</v>
      </c>
      <c r="K3072">
        <v>30.9</v>
      </c>
      <c r="L3072" t="s">
        <v>5026</v>
      </c>
      <c r="M3072">
        <v>10</v>
      </c>
      <c r="N3072">
        <v>0</v>
      </c>
      <c r="O3072">
        <v>0</v>
      </c>
    </row>
    <row r="3073" spans="1:15" x14ac:dyDescent="0.3">
      <c r="A3073" t="s">
        <v>3086</v>
      </c>
      <c r="B3073">
        <v>1</v>
      </c>
      <c r="C3073">
        <v>33</v>
      </c>
      <c r="D3073" t="s">
        <v>5015</v>
      </c>
      <c r="E3073" t="s">
        <v>5018</v>
      </c>
      <c r="F3073" t="s">
        <v>5020</v>
      </c>
      <c r="G3073">
        <v>19.190000000000001</v>
      </c>
      <c r="H3073">
        <v>5</v>
      </c>
      <c r="I3073">
        <v>10</v>
      </c>
      <c r="J3073">
        <v>7.31</v>
      </c>
      <c r="K3073">
        <v>90.6</v>
      </c>
      <c r="L3073" t="s">
        <v>5026</v>
      </c>
      <c r="M3073">
        <v>1</v>
      </c>
      <c r="N3073">
        <v>2</v>
      </c>
      <c r="O3073">
        <v>0</v>
      </c>
    </row>
    <row r="3074" spans="1:15" x14ac:dyDescent="0.3">
      <c r="A3074" t="s">
        <v>3087</v>
      </c>
      <c r="B3074">
        <v>2</v>
      </c>
      <c r="C3074">
        <v>29</v>
      </c>
      <c r="D3074" t="s">
        <v>5015</v>
      </c>
      <c r="E3074" t="s">
        <v>5019</v>
      </c>
      <c r="F3074" t="s">
        <v>5021</v>
      </c>
      <c r="G3074">
        <v>21.24</v>
      </c>
      <c r="H3074">
        <v>5</v>
      </c>
      <c r="I3074">
        <v>7.7</v>
      </c>
      <c r="J3074">
        <v>14.81</v>
      </c>
      <c r="K3074">
        <v>95.5</v>
      </c>
      <c r="L3074" t="s">
        <v>5027</v>
      </c>
      <c r="M3074">
        <v>9</v>
      </c>
      <c r="N3074">
        <v>2</v>
      </c>
      <c r="O3074">
        <v>1</v>
      </c>
    </row>
    <row r="3075" spans="1:15" x14ac:dyDescent="0.3">
      <c r="A3075" t="s">
        <v>3088</v>
      </c>
      <c r="B3075">
        <v>5</v>
      </c>
      <c r="C3075">
        <v>69</v>
      </c>
      <c r="D3075" t="s">
        <v>5015</v>
      </c>
      <c r="E3075" t="s">
        <v>5017</v>
      </c>
      <c r="F3075" t="s">
        <v>5023</v>
      </c>
      <c r="G3075">
        <v>9.24</v>
      </c>
      <c r="H3075">
        <v>5</v>
      </c>
      <c r="I3075">
        <v>6.5</v>
      </c>
      <c r="J3075">
        <v>17.760000000000002</v>
      </c>
      <c r="K3075">
        <v>15</v>
      </c>
      <c r="L3075" t="s">
        <v>5026</v>
      </c>
      <c r="M3075">
        <v>10</v>
      </c>
      <c r="N3075">
        <v>1</v>
      </c>
      <c r="O3075">
        <v>0</v>
      </c>
    </row>
    <row r="3076" spans="1:15" x14ac:dyDescent="0.3">
      <c r="A3076" t="s">
        <v>3089</v>
      </c>
      <c r="B3076">
        <v>4</v>
      </c>
      <c r="C3076">
        <v>22</v>
      </c>
      <c r="D3076" t="s">
        <v>5016</v>
      </c>
      <c r="E3076" t="s">
        <v>5017</v>
      </c>
      <c r="F3076" t="s">
        <v>5024</v>
      </c>
      <c r="G3076">
        <v>23.03</v>
      </c>
      <c r="H3076">
        <v>3</v>
      </c>
      <c r="I3076">
        <v>8.5</v>
      </c>
      <c r="J3076">
        <v>13.64</v>
      </c>
      <c r="K3076">
        <v>66</v>
      </c>
      <c r="L3076" t="s">
        <v>5026</v>
      </c>
      <c r="M3076">
        <v>8</v>
      </c>
      <c r="N3076">
        <v>4</v>
      </c>
      <c r="O3076">
        <v>0</v>
      </c>
    </row>
    <row r="3077" spans="1:15" x14ac:dyDescent="0.3">
      <c r="A3077" t="s">
        <v>3090</v>
      </c>
      <c r="B3077">
        <v>10</v>
      </c>
      <c r="C3077">
        <v>51</v>
      </c>
      <c r="D3077" t="s">
        <v>5016</v>
      </c>
      <c r="E3077" t="s">
        <v>5019</v>
      </c>
      <c r="F3077" t="s">
        <v>5022</v>
      </c>
      <c r="G3077">
        <v>6.41</v>
      </c>
      <c r="H3077">
        <v>4</v>
      </c>
      <c r="I3077">
        <v>5</v>
      </c>
      <c r="J3077">
        <v>14.15</v>
      </c>
      <c r="K3077">
        <v>47.4</v>
      </c>
      <c r="L3077" t="s">
        <v>5025</v>
      </c>
      <c r="M3077">
        <v>3</v>
      </c>
      <c r="N3077">
        <v>1</v>
      </c>
      <c r="O3077">
        <v>1</v>
      </c>
    </row>
    <row r="3078" spans="1:15" x14ac:dyDescent="0.3">
      <c r="A3078" t="s">
        <v>3091</v>
      </c>
      <c r="B3078">
        <v>9</v>
      </c>
      <c r="C3078">
        <v>59</v>
      </c>
      <c r="D3078" t="s">
        <v>5016</v>
      </c>
      <c r="E3078" t="s">
        <v>5017</v>
      </c>
      <c r="F3078" t="s">
        <v>5020</v>
      </c>
      <c r="G3078">
        <v>23.03</v>
      </c>
      <c r="H3078">
        <v>5</v>
      </c>
      <c r="I3078">
        <v>9.6</v>
      </c>
      <c r="J3078">
        <v>17.55</v>
      </c>
      <c r="K3078">
        <v>57.3</v>
      </c>
      <c r="L3078" t="s">
        <v>5027</v>
      </c>
      <c r="M3078">
        <v>3</v>
      </c>
      <c r="N3078">
        <v>4</v>
      </c>
      <c r="O3078">
        <v>0</v>
      </c>
    </row>
    <row r="3079" spans="1:15" x14ac:dyDescent="0.3">
      <c r="A3079" t="s">
        <v>3092</v>
      </c>
      <c r="B3079">
        <v>7</v>
      </c>
      <c r="C3079">
        <v>18</v>
      </c>
      <c r="D3079" t="s">
        <v>5015</v>
      </c>
      <c r="E3079" t="s">
        <v>5018</v>
      </c>
      <c r="F3079" t="s">
        <v>5023</v>
      </c>
      <c r="G3079">
        <v>8.27</v>
      </c>
      <c r="H3079">
        <v>4</v>
      </c>
      <c r="I3079">
        <v>6</v>
      </c>
      <c r="J3079">
        <v>20.93</v>
      </c>
      <c r="K3079">
        <v>43.6</v>
      </c>
      <c r="L3079" t="s">
        <v>5027</v>
      </c>
      <c r="M3079">
        <v>10</v>
      </c>
      <c r="N3079">
        <v>4</v>
      </c>
      <c r="O3079">
        <v>1</v>
      </c>
    </row>
    <row r="3080" spans="1:15" x14ac:dyDescent="0.3">
      <c r="A3080" t="s">
        <v>3093</v>
      </c>
      <c r="B3080">
        <v>6</v>
      </c>
      <c r="C3080">
        <v>56</v>
      </c>
      <c r="D3080" t="s">
        <v>5015</v>
      </c>
      <c r="E3080" t="s">
        <v>5018</v>
      </c>
      <c r="F3080" t="s">
        <v>5020</v>
      </c>
      <c r="G3080">
        <v>11.74</v>
      </c>
      <c r="H3080">
        <v>2</v>
      </c>
      <c r="I3080">
        <v>3.9</v>
      </c>
      <c r="J3080">
        <v>10.33</v>
      </c>
      <c r="K3080">
        <v>52.7</v>
      </c>
      <c r="L3080" t="s">
        <v>5025</v>
      </c>
      <c r="M3080">
        <v>4</v>
      </c>
      <c r="N3080">
        <v>2</v>
      </c>
      <c r="O3080">
        <v>1</v>
      </c>
    </row>
    <row r="3081" spans="1:15" x14ac:dyDescent="0.3">
      <c r="A3081" t="s">
        <v>3094</v>
      </c>
      <c r="B3081">
        <v>7</v>
      </c>
      <c r="C3081">
        <v>49</v>
      </c>
      <c r="D3081" t="s">
        <v>5016</v>
      </c>
      <c r="E3081" t="s">
        <v>5018</v>
      </c>
      <c r="F3081" t="s">
        <v>5023</v>
      </c>
      <c r="G3081">
        <v>17.100000000000001</v>
      </c>
      <c r="H3081">
        <v>5</v>
      </c>
      <c r="I3081">
        <v>1.8</v>
      </c>
      <c r="J3081">
        <v>22.78</v>
      </c>
      <c r="K3081">
        <v>39.1</v>
      </c>
      <c r="L3081" t="s">
        <v>5026</v>
      </c>
      <c r="M3081">
        <v>4</v>
      </c>
      <c r="N3081">
        <v>2</v>
      </c>
      <c r="O3081">
        <v>0</v>
      </c>
    </row>
    <row r="3082" spans="1:15" x14ac:dyDescent="0.3">
      <c r="A3082" t="s">
        <v>3095</v>
      </c>
      <c r="B3082">
        <v>1</v>
      </c>
      <c r="C3082">
        <v>43</v>
      </c>
      <c r="D3082" t="s">
        <v>5015</v>
      </c>
      <c r="E3082" t="s">
        <v>5017</v>
      </c>
      <c r="F3082" t="s">
        <v>5023</v>
      </c>
      <c r="G3082">
        <v>23.11</v>
      </c>
      <c r="H3082">
        <v>5</v>
      </c>
      <c r="I3082">
        <v>4.4000000000000004</v>
      </c>
      <c r="J3082">
        <v>13.67</v>
      </c>
      <c r="K3082">
        <v>20.6</v>
      </c>
      <c r="L3082" t="s">
        <v>5029</v>
      </c>
      <c r="M3082">
        <v>2</v>
      </c>
      <c r="N3082">
        <v>3</v>
      </c>
      <c r="O3082">
        <v>0</v>
      </c>
    </row>
    <row r="3083" spans="1:15" x14ac:dyDescent="0.3">
      <c r="A3083" t="s">
        <v>3096</v>
      </c>
      <c r="B3083">
        <v>1</v>
      </c>
      <c r="C3083">
        <v>34</v>
      </c>
      <c r="D3083" t="s">
        <v>5016</v>
      </c>
      <c r="E3083" t="s">
        <v>5019</v>
      </c>
      <c r="F3083" t="s">
        <v>5022</v>
      </c>
      <c r="G3083">
        <v>10.11</v>
      </c>
      <c r="H3083">
        <v>3</v>
      </c>
      <c r="I3083">
        <v>6.1</v>
      </c>
      <c r="J3083">
        <v>17.559999999999999</v>
      </c>
      <c r="K3083">
        <v>37.200000000000003</v>
      </c>
      <c r="L3083" t="s">
        <v>5028</v>
      </c>
      <c r="M3083">
        <v>4</v>
      </c>
      <c r="N3083">
        <v>0</v>
      </c>
      <c r="O3083">
        <v>0</v>
      </c>
    </row>
    <row r="3084" spans="1:15" x14ac:dyDescent="0.3">
      <c r="A3084" t="s">
        <v>3097</v>
      </c>
      <c r="B3084">
        <v>8</v>
      </c>
      <c r="C3084">
        <v>65</v>
      </c>
      <c r="D3084" t="s">
        <v>5016</v>
      </c>
      <c r="E3084" t="s">
        <v>5018</v>
      </c>
      <c r="F3084" t="s">
        <v>5023</v>
      </c>
      <c r="G3084">
        <v>20.27</v>
      </c>
      <c r="H3084">
        <v>4</v>
      </c>
      <c r="I3084">
        <v>7.3</v>
      </c>
      <c r="J3084">
        <v>5.34</v>
      </c>
      <c r="K3084">
        <v>70.3</v>
      </c>
      <c r="L3084" t="s">
        <v>5027</v>
      </c>
      <c r="M3084">
        <v>2</v>
      </c>
      <c r="N3084">
        <v>0</v>
      </c>
      <c r="O3084">
        <v>0</v>
      </c>
    </row>
    <row r="3085" spans="1:15" x14ac:dyDescent="0.3">
      <c r="A3085" t="s">
        <v>3098</v>
      </c>
      <c r="B3085">
        <v>2</v>
      </c>
      <c r="C3085">
        <v>44</v>
      </c>
      <c r="D3085" t="s">
        <v>5016</v>
      </c>
      <c r="E3085" t="s">
        <v>5019</v>
      </c>
      <c r="F3085" t="s">
        <v>5022</v>
      </c>
      <c r="G3085">
        <v>19.21</v>
      </c>
      <c r="H3085">
        <v>3</v>
      </c>
      <c r="I3085">
        <v>8.9</v>
      </c>
      <c r="J3085">
        <v>13.83</v>
      </c>
      <c r="K3085">
        <v>14.5</v>
      </c>
      <c r="L3085" t="s">
        <v>5025</v>
      </c>
      <c r="M3085">
        <v>11</v>
      </c>
      <c r="N3085">
        <v>2</v>
      </c>
      <c r="O3085">
        <v>0</v>
      </c>
    </row>
    <row r="3086" spans="1:15" x14ac:dyDescent="0.3">
      <c r="A3086" t="s">
        <v>3099</v>
      </c>
      <c r="B3086">
        <v>12</v>
      </c>
      <c r="C3086">
        <v>41</v>
      </c>
      <c r="D3086" t="s">
        <v>5016</v>
      </c>
      <c r="E3086" t="s">
        <v>5018</v>
      </c>
      <c r="F3086" t="s">
        <v>5021</v>
      </c>
      <c r="G3086">
        <v>8.19</v>
      </c>
      <c r="H3086">
        <v>3</v>
      </c>
      <c r="I3086">
        <v>9.5</v>
      </c>
      <c r="J3086">
        <v>3.35</v>
      </c>
      <c r="K3086">
        <v>44.4</v>
      </c>
      <c r="L3086" t="s">
        <v>5029</v>
      </c>
      <c r="M3086">
        <v>11</v>
      </c>
      <c r="N3086">
        <v>0</v>
      </c>
      <c r="O3086">
        <v>0</v>
      </c>
    </row>
    <row r="3087" spans="1:15" x14ac:dyDescent="0.3">
      <c r="A3087" t="s">
        <v>3100</v>
      </c>
      <c r="B3087">
        <v>10</v>
      </c>
      <c r="C3087">
        <v>52</v>
      </c>
      <c r="D3087" t="s">
        <v>5016</v>
      </c>
      <c r="E3087" t="s">
        <v>5017</v>
      </c>
      <c r="F3087" t="s">
        <v>5020</v>
      </c>
      <c r="G3087">
        <v>14.59</v>
      </c>
      <c r="H3087">
        <v>4</v>
      </c>
      <c r="I3087">
        <v>1.9</v>
      </c>
      <c r="J3087">
        <v>11.6</v>
      </c>
      <c r="K3087">
        <v>13.8</v>
      </c>
      <c r="L3087" t="s">
        <v>5028</v>
      </c>
      <c r="M3087">
        <v>7</v>
      </c>
      <c r="N3087">
        <v>4</v>
      </c>
      <c r="O3087">
        <v>0</v>
      </c>
    </row>
    <row r="3088" spans="1:15" x14ac:dyDescent="0.3">
      <c r="A3088" t="s">
        <v>3101</v>
      </c>
      <c r="B3088">
        <v>11</v>
      </c>
      <c r="C3088">
        <v>63</v>
      </c>
      <c r="D3088" t="s">
        <v>5016</v>
      </c>
      <c r="E3088" t="s">
        <v>5017</v>
      </c>
      <c r="F3088" t="s">
        <v>5022</v>
      </c>
      <c r="G3088">
        <v>14.63</v>
      </c>
      <c r="H3088">
        <v>2</v>
      </c>
      <c r="I3088">
        <v>6.4</v>
      </c>
      <c r="J3088">
        <v>4.2</v>
      </c>
      <c r="K3088">
        <v>42.1</v>
      </c>
      <c r="L3088" t="s">
        <v>5029</v>
      </c>
      <c r="M3088">
        <v>5</v>
      </c>
      <c r="N3088">
        <v>0</v>
      </c>
      <c r="O3088">
        <v>0</v>
      </c>
    </row>
    <row r="3089" spans="1:15" x14ac:dyDescent="0.3">
      <c r="A3089" t="s">
        <v>3102</v>
      </c>
      <c r="B3089">
        <v>9</v>
      </c>
      <c r="C3089">
        <v>59</v>
      </c>
      <c r="D3089" t="s">
        <v>5016</v>
      </c>
      <c r="E3089" t="s">
        <v>5017</v>
      </c>
      <c r="F3089" t="s">
        <v>5020</v>
      </c>
      <c r="G3089">
        <v>11.09</v>
      </c>
      <c r="H3089">
        <v>4</v>
      </c>
      <c r="I3089">
        <v>7</v>
      </c>
      <c r="J3089">
        <v>22.73</v>
      </c>
      <c r="K3089">
        <v>17.899999999999999</v>
      </c>
      <c r="L3089" t="s">
        <v>5026</v>
      </c>
      <c r="M3089">
        <v>7</v>
      </c>
      <c r="N3089">
        <v>3</v>
      </c>
      <c r="O3089">
        <v>0</v>
      </c>
    </row>
    <row r="3090" spans="1:15" x14ac:dyDescent="0.3">
      <c r="A3090" t="s">
        <v>3103</v>
      </c>
      <c r="B3090">
        <v>7</v>
      </c>
      <c r="C3090">
        <v>56</v>
      </c>
      <c r="D3090" t="s">
        <v>5015</v>
      </c>
      <c r="E3090" t="s">
        <v>5018</v>
      </c>
      <c r="F3090" t="s">
        <v>5024</v>
      </c>
      <c r="G3090">
        <v>20.6</v>
      </c>
      <c r="H3090">
        <v>2</v>
      </c>
      <c r="I3090">
        <v>2.5</v>
      </c>
      <c r="J3090">
        <v>17.8</v>
      </c>
      <c r="K3090">
        <v>40.6</v>
      </c>
      <c r="L3090" t="s">
        <v>5025</v>
      </c>
      <c r="M3090">
        <v>6</v>
      </c>
      <c r="N3090">
        <v>0</v>
      </c>
      <c r="O3090">
        <v>0</v>
      </c>
    </row>
    <row r="3091" spans="1:15" x14ac:dyDescent="0.3">
      <c r="A3091" t="s">
        <v>3104</v>
      </c>
      <c r="B3091">
        <v>6</v>
      </c>
      <c r="C3091">
        <v>43</v>
      </c>
      <c r="D3091" t="s">
        <v>5016</v>
      </c>
      <c r="E3091" t="s">
        <v>5017</v>
      </c>
      <c r="F3091" t="s">
        <v>5021</v>
      </c>
      <c r="G3091">
        <v>23.52</v>
      </c>
      <c r="H3091">
        <v>3</v>
      </c>
      <c r="I3091">
        <v>5.9</v>
      </c>
      <c r="J3091">
        <v>20.420000000000002</v>
      </c>
      <c r="K3091">
        <v>85.4</v>
      </c>
      <c r="L3091" t="s">
        <v>5028</v>
      </c>
      <c r="M3091">
        <v>2</v>
      </c>
      <c r="N3091">
        <v>0</v>
      </c>
      <c r="O3091">
        <v>1</v>
      </c>
    </row>
    <row r="3092" spans="1:15" x14ac:dyDescent="0.3">
      <c r="A3092" t="s">
        <v>3105</v>
      </c>
      <c r="B3092">
        <v>1</v>
      </c>
      <c r="C3092">
        <v>66</v>
      </c>
      <c r="D3092" t="s">
        <v>5015</v>
      </c>
      <c r="E3092" t="s">
        <v>5018</v>
      </c>
      <c r="F3092" t="s">
        <v>5024</v>
      </c>
      <c r="G3092">
        <v>19.329999999999998</v>
      </c>
      <c r="H3092">
        <v>2</v>
      </c>
      <c r="I3092">
        <v>4</v>
      </c>
      <c r="J3092">
        <v>13.29</v>
      </c>
      <c r="K3092">
        <v>65.2</v>
      </c>
      <c r="L3092" t="s">
        <v>5028</v>
      </c>
      <c r="M3092">
        <v>2</v>
      </c>
      <c r="N3092">
        <v>3</v>
      </c>
      <c r="O3092">
        <v>0</v>
      </c>
    </row>
    <row r="3093" spans="1:15" x14ac:dyDescent="0.3">
      <c r="A3093" t="s">
        <v>3106</v>
      </c>
      <c r="B3093">
        <v>1</v>
      </c>
      <c r="C3093">
        <v>55</v>
      </c>
      <c r="D3093" t="s">
        <v>5015</v>
      </c>
      <c r="E3093" t="s">
        <v>5018</v>
      </c>
      <c r="F3093" t="s">
        <v>5024</v>
      </c>
      <c r="G3093">
        <v>24.46</v>
      </c>
      <c r="H3093">
        <v>2</v>
      </c>
      <c r="I3093">
        <v>1.7</v>
      </c>
      <c r="J3093">
        <v>21.74</v>
      </c>
      <c r="K3093">
        <v>71.400000000000006</v>
      </c>
      <c r="L3093" t="s">
        <v>5026</v>
      </c>
      <c r="M3093">
        <v>1</v>
      </c>
      <c r="N3093">
        <v>3</v>
      </c>
      <c r="O3093">
        <v>1</v>
      </c>
    </row>
    <row r="3094" spans="1:15" x14ac:dyDescent="0.3">
      <c r="A3094" t="s">
        <v>3107</v>
      </c>
      <c r="B3094">
        <v>2</v>
      </c>
      <c r="C3094">
        <v>40</v>
      </c>
      <c r="D3094" t="s">
        <v>5016</v>
      </c>
      <c r="E3094" t="s">
        <v>5017</v>
      </c>
      <c r="F3094" t="s">
        <v>5023</v>
      </c>
      <c r="G3094">
        <v>6.01</v>
      </c>
      <c r="H3094">
        <v>2</v>
      </c>
      <c r="I3094">
        <v>1.6</v>
      </c>
      <c r="J3094">
        <v>22.21</v>
      </c>
      <c r="K3094">
        <v>55.3</v>
      </c>
      <c r="L3094" t="s">
        <v>5026</v>
      </c>
      <c r="M3094">
        <v>1</v>
      </c>
      <c r="N3094">
        <v>2</v>
      </c>
      <c r="O3094">
        <v>0</v>
      </c>
    </row>
    <row r="3095" spans="1:15" x14ac:dyDescent="0.3">
      <c r="A3095" t="s">
        <v>3108</v>
      </c>
      <c r="B3095">
        <v>6</v>
      </c>
      <c r="C3095">
        <v>39</v>
      </c>
      <c r="D3095" t="s">
        <v>5015</v>
      </c>
      <c r="E3095" t="s">
        <v>5017</v>
      </c>
      <c r="F3095" t="s">
        <v>5023</v>
      </c>
      <c r="G3095">
        <v>5.74</v>
      </c>
      <c r="H3095">
        <v>5</v>
      </c>
      <c r="I3095">
        <v>7.8</v>
      </c>
      <c r="J3095">
        <v>10.85</v>
      </c>
      <c r="K3095">
        <v>93</v>
      </c>
      <c r="L3095" t="s">
        <v>5026</v>
      </c>
      <c r="M3095">
        <v>5</v>
      </c>
      <c r="N3095">
        <v>3</v>
      </c>
      <c r="O3095">
        <v>1</v>
      </c>
    </row>
    <row r="3096" spans="1:15" x14ac:dyDescent="0.3">
      <c r="A3096" t="s">
        <v>3109</v>
      </c>
      <c r="B3096">
        <v>6</v>
      </c>
      <c r="C3096">
        <v>21</v>
      </c>
      <c r="D3096" t="s">
        <v>5015</v>
      </c>
      <c r="E3096" t="s">
        <v>5019</v>
      </c>
      <c r="F3096" t="s">
        <v>5024</v>
      </c>
      <c r="G3096">
        <v>22.88</v>
      </c>
      <c r="H3096">
        <v>5</v>
      </c>
      <c r="I3096">
        <v>6.5</v>
      </c>
      <c r="J3096">
        <v>11.29</v>
      </c>
      <c r="K3096">
        <v>58.7</v>
      </c>
      <c r="L3096" t="s">
        <v>5025</v>
      </c>
      <c r="M3096">
        <v>5</v>
      </c>
      <c r="N3096">
        <v>2</v>
      </c>
      <c r="O3096">
        <v>0</v>
      </c>
    </row>
    <row r="3097" spans="1:15" x14ac:dyDescent="0.3">
      <c r="A3097" t="s">
        <v>3110</v>
      </c>
      <c r="B3097">
        <v>2</v>
      </c>
      <c r="C3097">
        <v>66</v>
      </c>
      <c r="D3097" t="s">
        <v>5015</v>
      </c>
      <c r="E3097" t="s">
        <v>5019</v>
      </c>
      <c r="F3097" t="s">
        <v>5023</v>
      </c>
      <c r="G3097">
        <v>22.96</v>
      </c>
      <c r="H3097">
        <v>3</v>
      </c>
      <c r="I3097">
        <v>7.4</v>
      </c>
      <c r="J3097">
        <v>14.18</v>
      </c>
      <c r="K3097">
        <v>19.399999999999999</v>
      </c>
      <c r="L3097" t="s">
        <v>5027</v>
      </c>
      <c r="M3097">
        <v>7</v>
      </c>
      <c r="N3097">
        <v>4</v>
      </c>
      <c r="O3097">
        <v>0</v>
      </c>
    </row>
    <row r="3098" spans="1:15" x14ac:dyDescent="0.3">
      <c r="A3098" t="s">
        <v>3111</v>
      </c>
      <c r="B3098">
        <v>1</v>
      </c>
      <c r="C3098">
        <v>26</v>
      </c>
      <c r="D3098" t="s">
        <v>5016</v>
      </c>
      <c r="E3098" t="s">
        <v>5017</v>
      </c>
      <c r="F3098" t="s">
        <v>5020</v>
      </c>
      <c r="G3098">
        <v>7.14</v>
      </c>
      <c r="H3098">
        <v>4</v>
      </c>
      <c r="I3098">
        <v>7.2</v>
      </c>
      <c r="J3098">
        <v>3.93</v>
      </c>
      <c r="K3098">
        <v>94</v>
      </c>
      <c r="L3098" t="s">
        <v>5029</v>
      </c>
      <c r="M3098">
        <v>1</v>
      </c>
      <c r="N3098">
        <v>1</v>
      </c>
      <c r="O3098">
        <v>0</v>
      </c>
    </row>
    <row r="3099" spans="1:15" x14ac:dyDescent="0.3">
      <c r="A3099" t="s">
        <v>3112</v>
      </c>
      <c r="B3099">
        <v>10</v>
      </c>
      <c r="C3099">
        <v>21</v>
      </c>
      <c r="D3099" t="s">
        <v>5016</v>
      </c>
      <c r="E3099" t="s">
        <v>5017</v>
      </c>
      <c r="F3099" t="s">
        <v>5023</v>
      </c>
      <c r="G3099">
        <v>12.15</v>
      </c>
      <c r="H3099">
        <v>2</v>
      </c>
      <c r="I3099">
        <v>2.2000000000000002</v>
      </c>
      <c r="J3099">
        <v>24.91</v>
      </c>
      <c r="K3099">
        <v>22</v>
      </c>
      <c r="L3099" t="s">
        <v>5025</v>
      </c>
      <c r="M3099">
        <v>5</v>
      </c>
      <c r="N3099">
        <v>0</v>
      </c>
      <c r="O3099">
        <v>1</v>
      </c>
    </row>
    <row r="3100" spans="1:15" x14ac:dyDescent="0.3">
      <c r="A3100" t="s">
        <v>3113</v>
      </c>
      <c r="B3100">
        <v>5</v>
      </c>
      <c r="C3100">
        <v>24</v>
      </c>
      <c r="D3100" t="s">
        <v>5016</v>
      </c>
      <c r="E3100" t="s">
        <v>5019</v>
      </c>
      <c r="F3100" t="s">
        <v>5024</v>
      </c>
      <c r="G3100">
        <v>21.71</v>
      </c>
      <c r="H3100">
        <v>5</v>
      </c>
      <c r="I3100">
        <v>2.4</v>
      </c>
      <c r="J3100">
        <v>10.9</v>
      </c>
      <c r="K3100">
        <v>99.9</v>
      </c>
      <c r="L3100" t="s">
        <v>5025</v>
      </c>
      <c r="M3100">
        <v>2</v>
      </c>
      <c r="N3100">
        <v>3</v>
      </c>
      <c r="O3100">
        <v>0</v>
      </c>
    </row>
    <row r="3101" spans="1:15" x14ac:dyDescent="0.3">
      <c r="A3101" t="s">
        <v>3114</v>
      </c>
      <c r="B3101">
        <v>5</v>
      </c>
      <c r="C3101">
        <v>40</v>
      </c>
      <c r="D3101" t="s">
        <v>5016</v>
      </c>
      <c r="E3101" t="s">
        <v>5017</v>
      </c>
      <c r="F3101" t="s">
        <v>5023</v>
      </c>
      <c r="G3101">
        <v>7.57</v>
      </c>
      <c r="H3101">
        <v>4</v>
      </c>
      <c r="I3101">
        <v>3.3</v>
      </c>
      <c r="J3101">
        <v>13.36</v>
      </c>
      <c r="K3101">
        <v>49.2</v>
      </c>
      <c r="L3101" t="s">
        <v>5029</v>
      </c>
      <c r="M3101">
        <v>10</v>
      </c>
      <c r="N3101">
        <v>0</v>
      </c>
      <c r="O3101">
        <v>0</v>
      </c>
    </row>
    <row r="3102" spans="1:15" x14ac:dyDescent="0.3">
      <c r="A3102" t="s">
        <v>3115</v>
      </c>
      <c r="B3102">
        <v>2</v>
      </c>
      <c r="C3102">
        <v>19</v>
      </c>
      <c r="D3102" t="s">
        <v>5016</v>
      </c>
      <c r="E3102" t="s">
        <v>5019</v>
      </c>
      <c r="F3102" t="s">
        <v>5023</v>
      </c>
      <c r="G3102">
        <v>10.35</v>
      </c>
      <c r="H3102">
        <v>2</v>
      </c>
      <c r="I3102">
        <v>4.5999999999999996</v>
      </c>
      <c r="J3102">
        <v>19.600000000000001</v>
      </c>
      <c r="K3102">
        <v>16.600000000000001</v>
      </c>
      <c r="L3102" t="s">
        <v>5028</v>
      </c>
      <c r="M3102">
        <v>1</v>
      </c>
      <c r="N3102">
        <v>4</v>
      </c>
      <c r="O3102">
        <v>0</v>
      </c>
    </row>
    <row r="3103" spans="1:15" x14ac:dyDescent="0.3">
      <c r="A3103" t="s">
        <v>3116</v>
      </c>
      <c r="B3103">
        <v>6</v>
      </c>
      <c r="C3103">
        <v>66</v>
      </c>
      <c r="D3103" t="s">
        <v>5015</v>
      </c>
      <c r="E3103" t="s">
        <v>5017</v>
      </c>
      <c r="F3103" t="s">
        <v>5022</v>
      </c>
      <c r="G3103">
        <v>18.62</v>
      </c>
      <c r="H3103">
        <v>4</v>
      </c>
      <c r="I3103">
        <v>9.5</v>
      </c>
      <c r="J3103">
        <v>9.5500000000000007</v>
      </c>
      <c r="K3103">
        <v>87.8</v>
      </c>
      <c r="L3103" t="s">
        <v>5029</v>
      </c>
      <c r="M3103">
        <v>7</v>
      </c>
      <c r="N3103">
        <v>1</v>
      </c>
      <c r="O3103">
        <v>0</v>
      </c>
    </row>
    <row r="3104" spans="1:15" x14ac:dyDescent="0.3">
      <c r="A3104" t="s">
        <v>3117</v>
      </c>
      <c r="B3104">
        <v>9</v>
      </c>
      <c r="C3104">
        <v>41</v>
      </c>
      <c r="D3104" t="s">
        <v>5015</v>
      </c>
      <c r="E3104" t="s">
        <v>5019</v>
      </c>
      <c r="F3104" t="s">
        <v>5022</v>
      </c>
      <c r="G3104">
        <v>24.64</v>
      </c>
      <c r="H3104">
        <v>1</v>
      </c>
      <c r="I3104">
        <v>7.1</v>
      </c>
      <c r="J3104">
        <v>7.44</v>
      </c>
      <c r="K3104">
        <v>18.399999999999999</v>
      </c>
      <c r="L3104" t="s">
        <v>5026</v>
      </c>
      <c r="M3104">
        <v>3</v>
      </c>
      <c r="N3104">
        <v>3</v>
      </c>
      <c r="O3104">
        <v>0</v>
      </c>
    </row>
    <row r="3105" spans="1:15" x14ac:dyDescent="0.3">
      <c r="A3105" t="s">
        <v>3118</v>
      </c>
      <c r="B3105">
        <v>2</v>
      </c>
      <c r="C3105">
        <v>57</v>
      </c>
      <c r="D3105" t="s">
        <v>5016</v>
      </c>
      <c r="E3105" t="s">
        <v>5018</v>
      </c>
      <c r="F3105" t="s">
        <v>5024</v>
      </c>
      <c r="G3105">
        <v>20.94</v>
      </c>
      <c r="H3105">
        <v>2</v>
      </c>
      <c r="I3105">
        <v>3.3</v>
      </c>
      <c r="J3105">
        <v>5.8</v>
      </c>
      <c r="K3105">
        <v>25.7</v>
      </c>
      <c r="L3105" t="s">
        <v>5028</v>
      </c>
      <c r="M3105">
        <v>11</v>
      </c>
      <c r="N3105">
        <v>2</v>
      </c>
      <c r="O3105">
        <v>0</v>
      </c>
    </row>
    <row r="3106" spans="1:15" x14ac:dyDescent="0.3">
      <c r="A3106" t="s">
        <v>3119</v>
      </c>
      <c r="B3106">
        <v>10</v>
      </c>
      <c r="C3106">
        <v>48</v>
      </c>
      <c r="D3106" t="s">
        <v>5015</v>
      </c>
      <c r="E3106" t="s">
        <v>5019</v>
      </c>
      <c r="F3106" t="s">
        <v>5020</v>
      </c>
      <c r="G3106">
        <v>20.55</v>
      </c>
      <c r="H3106">
        <v>4</v>
      </c>
      <c r="I3106">
        <v>1.5</v>
      </c>
      <c r="J3106">
        <v>14.62</v>
      </c>
      <c r="K3106">
        <v>47.6</v>
      </c>
      <c r="L3106" t="s">
        <v>5025</v>
      </c>
      <c r="M3106">
        <v>9</v>
      </c>
      <c r="N3106">
        <v>2</v>
      </c>
      <c r="O3106">
        <v>0</v>
      </c>
    </row>
    <row r="3107" spans="1:15" x14ac:dyDescent="0.3">
      <c r="A3107" t="s">
        <v>3120</v>
      </c>
      <c r="B3107">
        <v>2</v>
      </c>
      <c r="C3107">
        <v>64</v>
      </c>
      <c r="D3107" t="s">
        <v>5015</v>
      </c>
      <c r="E3107" t="s">
        <v>5018</v>
      </c>
      <c r="F3107" t="s">
        <v>5021</v>
      </c>
      <c r="G3107">
        <v>11.85</v>
      </c>
      <c r="H3107">
        <v>2</v>
      </c>
      <c r="I3107">
        <v>7.2</v>
      </c>
      <c r="J3107">
        <v>3.12</v>
      </c>
      <c r="K3107">
        <v>70.900000000000006</v>
      </c>
      <c r="L3107" t="s">
        <v>5029</v>
      </c>
      <c r="M3107">
        <v>5</v>
      </c>
      <c r="N3107">
        <v>3</v>
      </c>
      <c r="O3107">
        <v>0</v>
      </c>
    </row>
    <row r="3108" spans="1:15" x14ac:dyDescent="0.3">
      <c r="A3108" t="s">
        <v>3121</v>
      </c>
      <c r="B3108">
        <v>3</v>
      </c>
      <c r="C3108">
        <v>48</v>
      </c>
      <c r="D3108" t="s">
        <v>5015</v>
      </c>
      <c r="E3108" t="s">
        <v>5018</v>
      </c>
      <c r="F3108" t="s">
        <v>5021</v>
      </c>
      <c r="G3108">
        <v>18.23</v>
      </c>
      <c r="H3108">
        <v>2</v>
      </c>
      <c r="I3108">
        <v>6.6</v>
      </c>
      <c r="J3108">
        <v>18.61</v>
      </c>
      <c r="K3108">
        <v>20.9</v>
      </c>
      <c r="L3108" t="s">
        <v>5025</v>
      </c>
      <c r="M3108">
        <v>5</v>
      </c>
      <c r="N3108">
        <v>3</v>
      </c>
      <c r="O3108">
        <v>0</v>
      </c>
    </row>
    <row r="3109" spans="1:15" x14ac:dyDescent="0.3">
      <c r="A3109" t="s">
        <v>3122</v>
      </c>
      <c r="B3109">
        <v>7</v>
      </c>
      <c r="C3109">
        <v>64</v>
      </c>
      <c r="D3109" t="s">
        <v>5015</v>
      </c>
      <c r="E3109" t="s">
        <v>5017</v>
      </c>
      <c r="F3109" t="s">
        <v>5024</v>
      </c>
      <c r="G3109">
        <v>7.26</v>
      </c>
      <c r="H3109">
        <v>1</v>
      </c>
      <c r="I3109">
        <v>7.1</v>
      </c>
      <c r="J3109">
        <v>13.15</v>
      </c>
      <c r="K3109">
        <v>66</v>
      </c>
      <c r="L3109" t="s">
        <v>5025</v>
      </c>
      <c r="M3109">
        <v>5</v>
      </c>
      <c r="N3109">
        <v>4</v>
      </c>
      <c r="O3109">
        <v>0</v>
      </c>
    </row>
    <row r="3110" spans="1:15" x14ac:dyDescent="0.3">
      <c r="A3110" t="s">
        <v>3123</v>
      </c>
      <c r="B3110">
        <v>6</v>
      </c>
      <c r="C3110">
        <v>57</v>
      </c>
      <c r="D3110" t="s">
        <v>5016</v>
      </c>
      <c r="E3110" t="s">
        <v>5017</v>
      </c>
      <c r="F3110" t="s">
        <v>5020</v>
      </c>
      <c r="G3110">
        <v>24.85</v>
      </c>
      <c r="H3110">
        <v>4</v>
      </c>
      <c r="I3110">
        <v>3.4</v>
      </c>
      <c r="J3110">
        <v>14.7</v>
      </c>
      <c r="K3110">
        <v>80.2</v>
      </c>
      <c r="L3110" t="s">
        <v>5029</v>
      </c>
      <c r="M3110">
        <v>9</v>
      </c>
      <c r="N3110">
        <v>1</v>
      </c>
      <c r="O3110">
        <v>0</v>
      </c>
    </row>
    <row r="3111" spans="1:15" x14ac:dyDescent="0.3">
      <c r="A3111" t="s">
        <v>3124</v>
      </c>
      <c r="B3111">
        <v>12</v>
      </c>
      <c r="C3111">
        <v>65</v>
      </c>
      <c r="D3111" t="s">
        <v>5016</v>
      </c>
      <c r="E3111" t="s">
        <v>5019</v>
      </c>
      <c r="F3111" t="s">
        <v>5020</v>
      </c>
      <c r="G3111">
        <v>14.61</v>
      </c>
      <c r="H3111">
        <v>3</v>
      </c>
      <c r="I3111">
        <v>5.7</v>
      </c>
      <c r="J3111">
        <v>8.7899999999999991</v>
      </c>
      <c r="K3111">
        <v>21.1</v>
      </c>
      <c r="L3111" t="s">
        <v>5025</v>
      </c>
      <c r="M3111">
        <v>10</v>
      </c>
      <c r="N3111">
        <v>3</v>
      </c>
      <c r="O3111">
        <v>0</v>
      </c>
    </row>
    <row r="3112" spans="1:15" x14ac:dyDescent="0.3">
      <c r="A3112" t="s">
        <v>3125</v>
      </c>
      <c r="B3112">
        <v>8</v>
      </c>
      <c r="C3112">
        <v>68</v>
      </c>
      <c r="D3112" t="s">
        <v>5016</v>
      </c>
      <c r="E3112" t="s">
        <v>5018</v>
      </c>
      <c r="F3112" t="s">
        <v>5020</v>
      </c>
      <c r="G3112">
        <v>17.78</v>
      </c>
      <c r="H3112">
        <v>5</v>
      </c>
      <c r="I3112">
        <v>4.3</v>
      </c>
      <c r="J3112">
        <v>6.92</v>
      </c>
      <c r="K3112">
        <v>68.3</v>
      </c>
      <c r="L3112" t="s">
        <v>5027</v>
      </c>
      <c r="M3112">
        <v>1</v>
      </c>
      <c r="N3112">
        <v>2</v>
      </c>
      <c r="O3112">
        <v>0</v>
      </c>
    </row>
    <row r="3113" spans="1:15" x14ac:dyDescent="0.3">
      <c r="A3113" t="s">
        <v>3126</v>
      </c>
      <c r="B3113">
        <v>8</v>
      </c>
      <c r="C3113">
        <v>60</v>
      </c>
      <c r="D3113" t="s">
        <v>5015</v>
      </c>
      <c r="E3113" t="s">
        <v>5019</v>
      </c>
      <c r="F3113" t="s">
        <v>5022</v>
      </c>
      <c r="G3113">
        <v>22.52</v>
      </c>
      <c r="H3113">
        <v>2</v>
      </c>
      <c r="I3113">
        <v>8.4</v>
      </c>
      <c r="J3113">
        <v>18.399999999999999</v>
      </c>
      <c r="K3113">
        <v>96.3</v>
      </c>
      <c r="L3113" t="s">
        <v>5027</v>
      </c>
      <c r="M3113">
        <v>5</v>
      </c>
      <c r="N3113">
        <v>1</v>
      </c>
      <c r="O3113">
        <v>0</v>
      </c>
    </row>
    <row r="3114" spans="1:15" x14ac:dyDescent="0.3">
      <c r="A3114" t="s">
        <v>3127</v>
      </c>
      <c r="B3114">
        <v>6</v>
      </c>
      <c r="C3114">
        <v>51</v>
      </c>
      <c r="D3114" t="s">
        <v>5015</v>
      </c>
      <c r="E3114" t="s">
        <v>5018</v>
      </c>
      <c r="F3114" t="s">
        <v>5024</v>
      </c>
      <c r="G3114">
        <v>5.0199999999999996</v>
      </c>
      <c r="H3114">
        <v>2</v>
      </c>
      <c r="I3114">
        <v>1.6</v>
      </c>
      <c r="J3114">
        <v>7.63</v>
      </c>
      <c r="K3114">
        <v>97.1</v>
      </c>
      <c r="L3114" t="s">
        <v>5025</v>
      </c>
      <c r="M3114">
        <v>10</v>
      </c>
      <c r="N3114">
        <v>3</v>
      </c>
      <c r="O3114">
        <v>0</v>
      </c>
    </row>
    <row r="3115" spans="1:15" x14ac:dyDescent="0.3">
      <c r="A3115" t="s">
        <v>3128</v>
      </c>
      <c r="B3115">
        <v>12</v>
      </c>
      <c r="C3115">
        <v>41</v>
      </c>
      <c r="D3115" t="s">
        <v>5016</v>
      </c>
      <c r="E3115" t="s">
        <v>5019</v>
      </c>
      <c r="F3115" t="s">
        <v>5021</v>
      </c>
      <c r="G3115">
        <v>24.52</v>
      </c>
      <c r="H3115">
        <v>2</v>
      </c>
      <c r="I3115">
        <v>3.5</v>
      </c>
      <c r="J3115">
        <v>20.16</v>
      </c>
      <c r="K3115">
        <v>24.5</v>
      </c>
      <c r="L3115" t="s">
        <v>5028</v>
      </c>
      <c r="M3115">
        <v>6</v>
      </c>
      <c r="N3115">
        <v>1</v>
      </c>
      <c r="O3115">
        <v>1</v>
      </c>
    </row>
    <row r="3116" spans="1:15" x14ac:dyDescent="0.3">
      <c r="A3116" t="s">
        <v>3129</v>
      </c>
      <c r="B3116">
        <v>11</v>
      </c>
      <c r="C3116">
        <v>66</v>
      </c>
      <c r="D3116" t="s">
        <v>5016</v>
      </c>
      <c r="E3116" t="s">
        <v>5018</v>
      </c>
      <c r="F3116" t="s">
        <v>5020</v>
      </c>
      <c r="G3116">
        <v>12.18</v>
      </c>
      <c r="H3116">
        <v>2</v>
      </c>
      <c r="I3116">
        <v>6.4</v>
      </c>
      <c r="J3116">
        <v>7.48</v>
      </c>
      <c r="K3116">
        <v>78.400000000000006</v>
      </c>
      <c r="L3116" t="s">
        <v>5028</v>
      </c>
      <c r="M3116">
        <v>9</v>
      </c>
      <c r="N3116">
        <v>4</v>
      </c>
      <c r="O3116">
        <v>1</v>
      </c>
    </row>
    <row r="3117" spans="1:15" x14ac:dyDescent="0.3">
      <c r="A3117" t="s">
        <v>3130</v>
      </c>
      <c r="B3117">
        <v>10</v>
      </c>
      <c r="C3117">
        <v>43</v>
      </c>
      <c r="D3117" t="s">
        <v>5015</v>
      </c>
      <c r="E3117" t="s">
        <v>5019</v>
      </c>
      <c r="F3117" t="s">
        <v>5024</v>
      </c>
      <c r="G3117">
        <v>11.79</v>
      </c>
      <c r="H3117">
        <v>5</v>
      </c>
      <c r="I3117">
        <v>2.8</v>
      </c>
      <c r="J3117">
        <v>16.48</v>
      </c>
      <c r="K3117">
        <v>86.2</v>
      </c>
      <c r="L3117" t="s">
        <v>5028</v>
      </c>
      <c r="M3117">
        <v>3</v>
      </c>
      <c r="N3117">
        <v>3</v>
      </c>
      <c r="O3117">
        <v>0</v>
      </c>
    </row>
    <row r="3118" spans="1:15" x14ac:dyDescent="0.3">
      <c r="A3118" t="s">
        <v>3131</v>
      </c>
      <c r="B3118">
        <v>3</v>
      </c>
      <c r="C3118">
        <v>33</v>
      </c>
      <c r="D3118" t="s">
        <v>5016</v>
      </c>
      <c r="E3118" t="s">
        <v>5019</v>
      </c>
      <c r="F3118" t="s">
        <v>5021</v>
      </c>
      <c r="G3118">
        <v>7.9</v>
      </c>
      <c r="H3118">
        <v>3</v>
      </c>
      <c r="I3118">
        <v>7.1</v>
      </c>
      <c r="J3118">
        <v>17.170000000000002</v>
      </c>
      <c r="K3118">
        <v>90</v>
      </c>
      <c r="L3118" t="s">
        <v>5028</v>
      </c>
      <c r="M3118">
        <v>1</v>
      </c>
      <c r="N3118">
        <v>3</v>
      </c>
      <c r="O3118">
        <v>1</v>
      </c>
    </row>
    <row r="3119" spans="1:15" x14ac:dyDescent="0.3">
      <c r="A3119" t="s">
        <v>3132</v>
      </c>
      <c r="B3119">
        <v>3</v>
      </c>
      <c r="C3119">
        <v>64</v>
      </c>
      <c r="D3119" t="s">
        <v>5016</v>
      </c>
      <c r="E3119" t="s">
        <v>5018</v>
      </c>
      <c r="F3119" t="s">
        <v>5022</v>
      </c>
      <c r="G3119">
        <v>22.16</v>
      </c>
      <c r="H3119">
        <v>1</v>
      </c>
      <c r="I3119">
        <v>2.2000000000000002</v>
      </c>
      <c r="J3119">
        <v>14.12</v>
      </c>
      <c r="K3119">
        <v>39.1</v>
      </c>
      <c r="L3119" t="s">
        <v>5027</v>
      </c>
      <c r="M3119">
        <v>11</v>
      </c>
      <c r="N3119">
        <v>1</v>
      </c>
      <c r="O3119">
        <v>0</v>
      </c>
    </row>
    <row r="3120" spans="1:15" x14ac:dyDescent="0.3">
      <c r="A3120" t="s">
        <v>3133</v>
      </c>
      <c r="B3120">
        <v>1</v>
      </c>
      <c r="C3120">
        <v>30</v>
      </c>
      <c r="D3120" t="s">
        <v>5015</v>
      </c>
      <c r="E3120" t="s">
        <v>5019</v>
      </c>
      <c r="F3120" t="s">
        <v>5023</v>
      </c>
      <c r="G3120">
        <v>22.42</v>
      </c>
      <c r="H3120">
        <v>3</v>
      </c>
      <c r="I3120">
        <v>1.2</v>
      </c>
      <c r="J3120">
        <v>24.93</v>
      </c>
      <c r="K3120">
        <v>34.299999999999997</v>
      </c>
      <c r="L3120" t="s">
        <v>5028</v>
      </c>
      <c r="M3120">
        <v>11</v>
      </c>
      <c r="N3120">
        <v>3</v>
      </c>
      <c r="O3120">
        <v>0</v>
      </c>
    </row>
    <row r="3121" spans="1:15" x14ac:dyDescent="0.3">
      <c r="A3121" t="s">
        <v>3134</v>
      </c>
      <c r="B3121">
        <v>7</v>
      </c>
      <c r="C3121">
        <v>32</v>
      </c>
      <c r="D3121" t="s">
        <v>5015</v>
      </c>
      <c r="E3121" t="s">
        <v>5019</v>
      </c>
      <c r="F3121" t="s">
        <v>5021</v>
      </c>
      <c r="G3121">
        <v>5.4</v>
      </c>
      <c r="H3121">
        <v>5</v>
      </c>
      <c r="I3121">
        <v>8.8000000000000007</v>
      </c>
      <c r="J3121">
        <v>11.27</v>
      </c>
      <c r="K3121">
        <v>14.3</v>
      </c>
      <c r="L3121" t="s">
        <v>5029</v>
      </c>
      <c r="M3121">
        <v>8</v>
      </c>
      <c r="N3121">
        <v>1</v>
      </c>
      <c r="O3121">
        <v>1</v>
      </c>
    </row>
    <row r="3122" spans="1:15" x14ac:dyDescent="0.3">
      <c r="A3122" t="s">
        <v>3135</v>
      </c>
      <c r="B3122">
        <v>5</v>
      </c>
      <c r="C3122">
        <v>44</v>
      </c>
      <c r="D3122" t="s">
        <v>5016</v>
      </c>
      <c r="E3122" t="s">
        <v>5017</v>
      </c>
      <c r="F3122" t="s">
        <v>5021</v>
      </c>
      <c r="G3122">
        <v>6.11</v>
      </c>
      <c r="H3122">
        <v>4</v>
      </c>
      <c r="I3122">
        <v>4</v>
      </c>
      <c r="J3122">
        <v>22.43</v>
      </c>
      <c r="K3122">
        <v>46</v>
      </c>
      <c r="L3122" t="s">
        <v>5028</v>
      </c>
      <c r="M3122">
        <v>9</v>
      </c>
      <c r="N3122">
        <v>1</v>
      </c>
      <c r="O3122">
        <v>0</v>
      </c>
    </row>
    <row r="3123" spans="1:15" x14ac:dyDescent="0.3">
      <c r="A3123" t="s">
        <v>3136</v>
      </c>
      <c r="B3123">
        <v>4</v>
      </c>
      <c r="C3123">
        <v>21</v>
      </c>
      <c r="D3123" t="s">
        <v>5015</v>
      </c>
      <c r="E3123" t="s">
        <v>5018</v>
      </c>
      <c r="F3123" t="s">
        <v>5021</v>
      </c>
      <c r="G3123">
        <v>23.37</v>
      </c>
      <c r="H3123">
        <v>1</v>
      </c>
      <c r="I3123">
        <v>2.4</v>
      </c>
      <c r="J3123">
        <v>6.72</v>
      </c>
      <c r="K3123">
        <v>21.2</v>
      </c>
      <c r="L3123" t="s">
        <v>5029</v>
      </c>
      <c r="M3123">
        <v>11</v>
      </c>
      <c r="N3123">
        <v>3</v>
      </c>
      <c r="O3123">
        <v>0</v>
      </c>
    </row>
    <row r="3124" spans="1:15" x14ac:dyDescent="0.3">
      <c r="A3124" t="s">
        <v>3137</v>
      </c>
      <c r="B3124">
        <v>10</v>
      </c>
      <c r="C3124">
        <v>33</v>
      </c>
      <c r="D3124" t="s">
        <v>5016</v>
      </c>
      <c r="E3124" t="s">
        <v>5017</v>
      </c>
      <c r="F3124" t="s">
        <v>5023</v>
      </c>
      <c r="G3124">
        <v>7.46</v>
      </c>
      <c r="H3124">
        <v>1</v>
      </c>
      <c r="I3124">
        <v>2.6</v>
      </c>
      <c r="J3124">
        <v>10.42</v>
      </c>
      <c r="K3124">
        <v>80.8</v>
      </c>
      <c r="L3124" t="s">
        <v>5027</v>
      </c>
      <c r="M3124">
        <v>6</v>
      </c>
      <c r="N3124">
        <v>2</v>
      </c>
      <c r="O3124">
        <v>0</v>
      </c>
    </row>
    <row r="3125" spans="1:15" x14ac:dyDescent="0.3">
      <c r="A3125" t="s">
        <v>3138</v>
      </c>
      <c r="B3125">
        <v>4</v>
      </c>
      <c r="C3125">
        <v>47</v>
      </c>
      <c r="D3125" t="s">
        <v>5015</v>
      </c>
      <c r="E3125" t="s">
        <v>5019</v>
      </c>
      <c r="F3125" t="s">
        <v>5020</v>
      </c>
      <c r="G3125">
        <v>17.420000000000002</v>
      </c>
      <c r="H3125">
        <v>4</v>
      </c>
      <c r="I3125">
        <v>9</v>
      </c>
      <c r="J3125">
        <v>6.2</v>
      </c>
      <c r="K3125">
        <v>22.9</v>
      </c>
      <c r="L3125" t="s">
        <v>5029</v>
      </c>
      <c r="M3125">
        <v>5</v>
      </c>
      <c r="N3125">
        <v>4</v>
      </c>
      <c r="O3125">
        <v>0</v>
      </c>
    </row>
    <row r="3126" spans="1:15" x14ac:dyDescent="0.3">
      <c r="A3126" t="s">
        <v>3139</v>
      </c>
      <c r="B3126">
        <v>4</v>
      </c>
      <c r="C3126">
        <v>61</v>
      </c>
      <c r="D3126" t="s">
        <v>5015</v>
      </c>
      <c r="E3126" t="s">
        <v>5017</v>
      </c>
      <c r="F3126" t="s">
        <v>5023</v>
      </c>
      <c r="G3126">
        <v>17.39</v>
      </c>
      <c r="H3126">
        <v>2</v>
      </c>
      <c r="I3126">
        <v>6.9</v>
      </c>
      <c r="J3126">
        <v>16.28</v>
      </c>
      <c r="K3126">
        <v>83.7</v>
      </c>
      <c r="L3126" t="s">
        <v>5029</v>
      </c>
      <c r="M3126">
        <v>8</v>
      </c>
      <c r="N3126">
        <v>1</v>
      </c>
      <c r="O3126">
        <v>0</v>
      </c>
    </row>
    <row r="3127" spans="1:15" x14ac:dyDescent="0.3">
      <c r="A3127" t="s">
        <v>3140</v>
      </c>
      <c r="B3127">
        <v>6</v>
      </c>
      <c r="C3127">
        <v>47</v>
      </c>
      <c r="D3127" t="s">
        <v>5016</v>
      </c>
      <c r="E3127" t="s">
        <v>5017</v>
      </c>
      <c r="F3127" t="s">
        <v>5021</v>
      </c>
      <c r="G3127">
        <v>22.39</v>
      </c>
      <c r="H3127">
        <v>5</v>
      </c>
      <c r="I3127">
        <v>9.6</v>
      </c>
      <c r="J3127">
        <v>17.04</v>
      </c>
      <c r="K3127">
        <v>19.7</v>
      </c>
      <c r="L3127" t="s">
        <v>5025</v>
      </c>
      <c r="M3127">
        <v>6</v>
      </c>
      <c r="N3127">
        <v>2</v>
      </c>
      <c r="O3127">
        <v>0</v>
      </c>
    </row>
    <row r="3128" spans="1:15" x14ac:dyDescent="0.3">
      <c r="A3128" t="s">
        <v>3141</v>
      </c>
      <c r="B3128">
        <v>8</v>
      </c>
      <c r="C3128">
        <v>53</v>
      </c>
      <c r="D3128" t="s">
        <v>5015</v>
      </c>
      <c r="E3128" t="s">
        <v>5018</v>
      </c>
      <c r="F3128" t="s">
        <v>5022</v>
      </c>
      <c r="G3128">
        <v>16.45</v>
      </c>
      <c r="H3128">
        <v>4</v>
      </c>
      <c r="I3128">
        <v>8.1999999999999993</v>
      </c>
      <c r="J3128">
        <v>12.98</v>
      </c>
      <c r="K3128">
        <v>53.3</v>
      </c>
      <c r="L3128" t="s">
        <v>5029</v>
      </c>
      <c r="M3128">
        <v>6</v>
      </c>
      <c r="N3128">
        <v>1</v>
      </c>
      <c r="O3128">
        <v>0</v>
      </c>
    </row>
    <row r="3129" spans="1:15" x14ac:dyDescent="0.3">
      <c r="A3129" t="s">
        <v>3142</v>
      </c>
      <c r="B3129">
        <v>8</v>
      </c>
      <c r="C3129">
        <v>20</v>
      </c>
      <c r="D3129" t="s">
        <v>5016</v>
      </c>
      <c r="E3129" t="s">
        <v>5018</v>
      </c>
      <c r="F3129" t="s">
        <v>5021</v>
      </c>
      <c r="G3129">
        <v>13.68</v>
      </c>
      <c r="H3129">
        <v>3</v>
      </c>
      <c r="I3129">
        <v>7.9</v>
      </c>
      <c r="J3129">
        <v>18.84</v>
      </c>
      <c r="K3129">
        <v>44.6</v>
      </c>
      <c r="L3129" t="s">
        <v>5025</v>
      </c>
      <c r="M3129">
        <v>9</v>
      </c>
      <c r="N3129">
        <v>2</v>
      </c>
      <c r="O3129">
        <v>0</v>
      </c>
    </row>
    <row r="3130" spans="1:15" x14ac:dyDescent="0.3">
      <c r="A3130" t="s">
        <v>3143</v>
      </c>
      <c r="B3130">
        <v>5</v>
      </c>
      <c r="C3130">
        <v>39</v>
      </c>
      <c r="D3130" t="s">
        <v>5015</v>
      </c>
      <c r="E3130" t="s">
        <v>5019</v>
      </c>
      <c r="F3130" t="s">
        <v>5022</v>
      </c>
      <c r="G3130">
        <v>24.49</v>
      </c>
      <c r="H3130">
        <v>3</v>
      </c>
      <c r="I3130">
        <v>5.5</v>
      </c>
      <c r="J3130">
        <v>22.09</v>
      </c>
      <c r="K3130">
        <v>64.099999999999994</v>
      </c>
      <c r="L3130" t="s">
        <v>5028</v>
      </c>
      <c r="M3130">
        <v>9</v>
      </c>
      <c r="N3130">
        <v>3</v>
      </c>
      <c r="O3130">
        <v>0</v>
      </c>
    </row>
    <row r="3131" spans="1:15" x14ac:dyDescent="0.3">
      <c r="A3131" t="s">
        <v>3144</v>
      </c>
      <c r="B3131">
        <v>6</v>
      </c>
      <c r="C3131">
        <v>66</v>
      </c>
      <c r="D3131" t="s">
        <v>5016</v>
      </c>
      <c r="E3131" t="s">
        <v>5019</v>
      </c>
      <c r="F3131" t="s">
        <v>5024</v>
      </c>
      <c r="G3131">
        <v>9.58</v>
      </c>
      <c r="H3131">
        <v>4</v>
      </c>
      <c r="I3131">
        <v>8.4</v>
      </c>
      <c r="J3131">
        <v>20.079999999999998</v>
      </c>
      <c r="K3131">
        <v>56.7</v>
      </c>
      <c r="L3131" t="s">
        <v>5029</v>
      </c>
      <c r="M3131">
        <v>1</v>
      </c>
      <c r="N3131">
        <v>4</v>
      </c>
      <c r="O3131">
        <v>0</v>
      </c>
    </row>
    <row r="3132" spans="1:15" x14ac:dyDescent="0.3">
      <c r="A3132" t="s">
        <v>3145</v>
      </c>
      <c r="B3132">
        <v>4</v>
      </c>
      <c r="C3132">
        <v>39</v>
      </c>
      <c r="D3132" t="s">
        <v>5015</v>
      </c>
      <c r="E3132" t="s">
        <v>5018</v>
      </c>
      <c r="F3132" t="s">
        <v>5022</v>
      </c>
      <c r="G3132">
        <v>10.25</v>
      </c>
      <c r="H3132">
        <v>5</v>
      </c>
      <c r="I3132">
        <v>4.7</v>
      </c>
      <c r="J3132">
        <v>8.32</v>
      </c>
      <c r="K3132">
        <v>63.9</v>
      </c>
      <c r="L3132" t="s">
        <v>5029</v>
      </c>
      <c r="M3132">
        <v>2</v>
      </c>
      <c r="N3132">
        <v>2</v>
      </c>
      <c r="O3132">
        <v>0</v>
      </c>
    </row>
    <row r="3133" spans="1:15" x14ac:dyDescent="0.3">
      <c r="A3133" t="s">
        <v>3146</v>
      </c>
      <c r="B3133">
        <v>12</v>
      </c>
      <c r="C3133">
        <v>67</v>
      </c>
      <c r="D3133" t="s">
        <v>5015</v>
      </c>
      <c r="E3133" t="s">
        <v>5017</v>
      </c>
      <c r="F3133" t="s">
        <v>5021</v>
      </c>
      <c r="G3133">
        <v>6.7</v>
      </c>
      <c r="H3133">
        <v>1</v>
      </c>
      <c r="I3133">
        <v>8.4</v>
      </c>
      <c r="J3133">
        <v>10.050000000000001</v>
      </c>
      <c r="K3133">
        <v>10.1</v>
      </c>
      <c r="L3133" t="s">
        <v>5026</v>
      </c>
      <c r="M3133">
        <v>1</v>
      </c>
      <c r="N3133">
        <v>0</v>
      </c>
      <c r="O3133">
        <v>1</v>
      </c>
    </row>
    <row r="3134" spans="1:15" x14ac:dyDescent="0.3">
      <c r="A3134" t="s">
        <v>3147</v>
      </c>
      <c r="B3134">
        <v>11</v>
      </c>
      <c r="C3134">
        <v>67</v>
      </c>
      <c r="D3134" t="s">
        <v>5016</v>
      </c>
      <c r="E3134" t="s">
        <v>5019</v>
      </c>
      <c r="F3134" t="s">
        <v>5023</v>
      </c>
      <c r="G3134">
        <v>24.51</v>
      </c>
      <c r="H3134">
        <v>1</v>
      </c>
      <c r="I3134">
        <v>7.8</v>
      </c>
      <c r="J3134">
        <v>11.37</v>
      </c>
      <c r="K3134">
        <v>21.5</v>
      </c>
      <c r="L3134" t="s">
        <v>5028</v>
      </c>
      <c r="M3134">
        <v>2</v>
      </c>
      <c r="N3134">
        <v>1</v>
      </c>
      <c r="O3134">
        <v>0</v>
      </c>
    </row>
    <row r="3135" spans="1:15" x14ac:dyDescent="0.3">
      <c r="A3135" t="s">
        <v>3148</v>
      </c>
      <c r="B3135">
        <v>9</v>
      </c>
      <c r="C3135">
        <v>66</v>
      </c>
      <c r="D3135" t="s">
        <v>5015</v>
      </c>
      <c r="E3135" t="s">
        <v>5018</v>
      </c>
      <c r="F3135" t="s">
        <v>5021</v>
      </c>
      <c r="G3135">
        <v>19.13</v>
      </c>
      <c r="H3135">
        <v>2</v>
      </c>
      <c r="I3135">
        <v>7.1</v>
      </c>
      <c r="J3135">
        <v>7.48</v>
      </c>
      <c r="K3135">
        <v>56.5</v>
      </c>
      <c r="L3135" t="s">
        <v>5029</v>
      </c>
      <c r="M3135">
        <v>3</v>
      </c>
      <c r="N3135">
        <v>2</v>
      </c>
      <c r="O3135">
        <v>0</v>
      </c>
    </row>
    <row r="3136" spans="1:15" x14ac:dyDescent="0.3">
      <c r="A3136" t="s">
        <v>3149</v>
      </c>
      <c r="B3136">
        <v>8</v>
      </c>
      <c r="C3136">
        <v>29</v>
      </c>
      <c r="D3136" t="s">
        <v>5016</v>
      </c>
      <c r="E3136" t="s">
        <v>5018</v>
      </c>
      <c r="F3136" t="s">
        <v>5021</v>
      </c>
      <c r="G3136">
        <v>5.24</v>
      </c>
      <c r="H3136">
        <v>5</v>
      </c>
      <c r="I3136">
        <v>4</v>
      </c>
      <c r="J3136">
        <v>10.95</v>
      </c>
      <c r="K3136">
        <v>30.7</v>
      </c>
      <c r="L3136" t="s">
        <v>5029</v>
      </c>
      <c r="M3136">
        <v>2</v>
      </c>
      <c r="N3136">
        <v>4</v>
      </c>
      <c r="O3136">
        <v>0</v>
      </c>
    </row>
    <row r="3137" spans="1:15" x14ac:dyDescent="0.3">
      <c r="A3137" t="s">
        <v>3150</v>
      </c>
      <c r="B3137">
        <v>10</v>
      </c>
      <c r="C3137">
        <v>38</v>
      </c>
      <c r="D3137" t="s">
        <v>5015</v>
      </c>
      <c r="E3137" t="s">
        <v>5018</v>
      </c>
      <c r="F3137" t="s">
        <v>5024</v>
      </c>
      <c r="G3137">
        <v>19.09</v>
      </c>
      <c r="H3137">
        <v>3</v>
      </c>
      <c r="I3137">
        <v>6.7</v>
      </c>
      <c r="J3137">
        <v>8.24</v>
      </c>
      <c r="K3137">
        <v>16.899999999999999</v>
      </c>
      <c r="L3137" t="s">
        <v>5026</v>
      </c>
      <c r="M3137">
        <v>6</v>
      </c>
      <c r="N3137">
        <v>4</v>
      </c>
      <c r="O3137">
        <v>0</v>
      </c>
    </row>
    <row r="3138" spans="1:15" x14ac:dyDescent="0.3">
      <c r="A3138" t="s">
        <v>3151</v>
      </c>
      <c r="B3138">
        <v>12</v>
      </c>
      <c r="C3138">
        <v>21</v>
      </c>
      <c r="D3138" t="s">
        <v>5015</v>
      </c>
      <c r="E3138" t="s">
        <v>5018</v>
      </c>
      <c r="F3138" t="s">
        <v>5020</v>
      </c>
      <c r="G3138">
        <v>13.08</v>
      </c>
      <c r="H3138">
        <v>3</v>
      </c>
      <c r="I3138">
        <v>5.6</v>
      </c>
      <c r="J3138">
        <v>24.91</v>
      </c>
      <c r="K3138">
        <v>29.6</v>
      </c>
      <c r="L3138" t="s">
        <v>5025</v>
      </c>
      <c r="M3138">
        <v>4</v>
      </c>
      <c r="N3138">
        <v>4</v>
      </c>
      <c r="O3138">
        <v>0</v>
      </c>
    </row>
    <row r="3139" spans="1:15" x14ac:dyDescent="0.3">
      <c r="A3139" t="s">
        <v>3152</v>
      </c>
      <c r="B3139">
        <v>10</v>
      </c>
      <c r="C3139">
        <v>48</v>
      </c>
      <c r="D3139" t="s">
        <v>5016</v>
      </c>
      <c r="E3139" t="s">
        <v>5018</v>
      </c>
      <c r="F3139" t="s">
        <v>5021</v>
      </c>
      <c r="G3139">
        <v>24.35</v>
      </c>
      <c r="H3139">
        <v>2</v>
      </c>
      <c r="I3139">
        <v>5.2</v>
      </c>
      <c r="J3139">
        <v>20.23</v>
      </c>
      <c r="K3139">
        <v>80.2</v>
      </c>
      <c r="L3139" t="s">
        <v>5028</v>
      </c>
      <c r="M3139">
        <v>5</v>
      </c>
      <c r="N3139">
        <v>2</v>
      </c>
      <c r="O3139">
        <v>0</v>
      </c>
    </row>
    <row r="3140" spans="1:15" x14ac:dyDescent="0.3">
      <c r="A3140" t="s">
        <v>3153</v>
      </c>
      <c r="B3140">
        <v>1</v>
      </c>
      <c r="C3140">
        <v>61</v>
      </c>
      <c r="D3140" t="s">
        <v>5015</v>
      </c>
      <c r="E3140" t="s">
        <v>5019</v>
      </c>
      <c r="F3140" t="s">
        <v>5024</v>
      </c>
      <c r="G3140">
        <v>10.55</v>
      </c>
      <c r="H3140">
        <v>3</v>
      </c>
      <c r="I3140">
        <v>9.9</v>
      </c>
      <c r="J3140">
        <v>21.92</v>
      </c>
      <c r="K3140">
        <v>58.8</v>
      </c>
      <c r="L3140" t="s">
        <v>5026</v>
      </c>
      <c r="M3140">
        <v>10</v>
      </c>
      <c r="N3140">
        <v>2</v>
      </c>
      <c r="O3140">
        <v>0</v>
      </c>
    </row>
    <row r="3141" spans="1:15" x14ac:dyDescent="0.3">
      <c r="A3141" t="s">
        <v>3154</v>
      </c>
      <c r="B3141">
        <v>2</v>
      </c>
      <c r="C3141">
        <v>48</v>
      </c>
      <c r="D3141" t="s">
        <v>5015</v>
      </c>
      <c r="E3141" t="s">
        <v>5018</v>
      </c>
      <c r="F3141" t="s">
        <v>5023</v>
      </c>
      <c r="G3141">
        <v>19.21</v>
      </c>
      <c r="H3141">
        <v>2</v>
      </c>
      <c r="I3141">
        <v>5.5</v>
      </c>
      <c r="J3141">
        <v>23.29</v>
      </c>
      <c r="K3141">
        <v>27.1</v>
      </c>
      <c r="L3141" t="s">
        <v>5028</v>
      </c>
      <c r="M3141">
        <v>9</v>
      </c>
      <c r="N3141">
        <v>3</v>
      </c>
      <c r="O3141">
        <v>0</v>
      </c>
    </row>
    <row r="3142" spans="1:15" x14ac:dyDescent="0.3">
      <c r="A3142" t="s">
        <v>3155</v>
      </c>
      <c r="B3142">
        <v>9</v>
      </c>
      <c r="C3142">
        <v>40</v>
      </c>
      <c r="D3142" t="s">
        <v>5016</v>
      </c>
      <c r="E3142" t="s">
        <v>5019</v>
      </c>
      <c r="F3142" t="s">
        <v>5024</v>
      </c>
      <c r="G3142">
        <v>17.55</v>
      </c>
      <c r="H3142">
        <v>2</v>
      </c>
      <c r="I3142">
        <v>1.3</v>
      </c>
      <c r="J3142">
        <v>17.63</v>
      </c>
      <c r="K3142">
        <v>11.4</v>
      </c>
      <c r="L3142" t="s">
        <v>5028</v>
      </c>
      <c r="M3142">
        <v>2</v>
      </c>
      <c r="N3142">
        <v>0</v>
      </c>
      <c r="O3142">
        <v>0</v>
      </c>
    </row>
    <row r="3143" spans="1:15" x14ac:dyDescent="0.3">
      <c r="A3143" t="s">
        <v>3156</v>
      </c>
      <c r="B3143">
        <v>8</v>
      </c>
      <c r="C3143">
        <v>37</v>
      </c>
      <c r="D3143" t="s">
        <v>5015</v>
      </c>
      <c r="E3143" t="s">
        <v>5018</v>
      </c>
      <c r="F3143" t="s">
        <v>5024</v>
      </c>
      <c r="G3143">
        <v>5.24</v>
      </c>
      <c r="H3143">
        <v>4</v>
      </c>
      <c r="I3143">
        <v>6.6</v>
      </c>
      <c r="J3143">
        <v>6.87</v>
      </c>
      <c r="K3143">
        <v>42.2</v>
      </c>
      <c r="L3143" t="s">
        <v>5025</v>
      </c>
      <c r="M3143">
        <v>3</v>
      </c>
      <c r="N3143">
        <v>2</v>
      </c>
      <c r="O3143">
        <v>0</v>
      </c>
    </row>
    <row r="3144" spans="1:15" x14ac:dyDescent="0.3">
      <c r="A3144" t="s">
        <v>3157</v>
      </c>
      <c r="B3144">
        <v>3</v>
      </c>
      <c r="C3144">
        <v>32</v>
      </c>
      <c r="D3144" t="s">
        <v>5016</v>
      </c>
      <c r="E3144" t="s">
        <v>5017</v>
      </c>
      <c r="F3144" t="s">
        <v>5022</v>
      </c>
      <c r="G3144">
        <v>22.7</v>
      </c>
      <c r="H3144">
        <v>1</v>
      </c>
      <c r="I3144">
        <v>7.6</v>
      </c>
      <c r="J3144">
        <v>19.690000000000001</v>
      </c>
      <c r="K3144">
        <v>42.2</v>
      </c>
      <c r="L3144" t="s">
        <v>5025</v>
      </c>
      <c r="M3144">
        <v>10</v>
      </c>
      <c r="N3144">
        <v>3</v>
      </c>
      <c r="O3144">
        <v>0</v>
      </c>
    </row>
    <row r="3145" spans="1:15" x14ac:dyDescent="0.3">
      <c r="A3145" t="s">
        <v>3158</v>
      </c>
      <c r="B3145">
        <v>8</v>
      </c>
      <c r="C3145">
        <v>40</v>
      </c>
      <c r="D3145" t="s">
        <v>5016</v>
      </c>
      <c r="E3145" t="s">
        <v>5019</v>
      </c>
      <c r="F3145" t="s">
        <v>5020</v>
      </c>
      <c r="G3145">
        <v>7.79</v>
      </c>
      <c r="H3145">
        <v>5</v>
      </c>
      <c r="I3145">
        <v>9</v>
      </c>
      <c r="J3145">
        <v>3.34</v>
      </c>
      <c r="K3145">
        <v>76.2</v>
      </c>
      <c r="L3145" t="s">
        <v>5027</v>
      </c>
      <c r="M3145">
        <v>1</v>
      </c>
      <c r="N3145">
        <v>1</v>
      </c>
      <c r="O3145">
        <v>1</v>
      </c>
    </row>
    <row r="3146" spans="1:15" x14ac:dyDescent="0.3">
      <c r="A3146" t="s">
        <v>3159</v>
      </c>
      <c r="B3146">
        <v>12</v>
      </c>
      <c r="C3146">
        <v>45</v>
      </c>
      <c r="D3146" t="s">
        <v>5016</v>
      </c>
      <c r="E3146" t="s">
        <v>5018</v>
      </c>
      <c r="F3146" t="s">
        <v>5020</v>
      </c>
      <c r="G3146">
        <v>18.27</v>
      </c>
      <c r="H3146">
        <v>5</v>
      </c>
      <c r="I3146">
        <v>6.7</v>
      </c>
      <c r="J3146">
        <v>5.49</v>
      </c>
      <c r="K3146">
        <v>92.7</v>
      </c>
      <c r="L3146" t="s">
        <v>5026</v>
      </c>
      <c r="M3146">
        <v>2</v>
      </c>
      <c r="N3146">
        <v>0</v>
      </c>
      <c r="O3146">
        <v>1</v>
      </c>
    </row>
    <row r="3147" spans="1:15" x14ac:dyDescent="0.3">
      <c r="A3147" t="s">
        <v>3160</v>
      </c>
      <c r="B3147">
        <v>1</v>
      </c>
      <c r="C3147">
        <v>33</v>
      </c>
      <c r="D3147" t="s">
        <v>5015</v>
      </c>
      <c r="E3147" t="s">
        <v>5017</v>
      </c>
      <c r="F3147" t="s">
        <v>5023</v>
      </c>
      <c r="G3147">
        <v>20.51</v>
      </c>
      <c r="H3147">
        <v>1</v>
      </c>
      <c r="I3147">
        <v>1.2</v>
      </c>
      <c r="J3147">
        <v>3.65</v>
      </c>
      <c r="K3147">
        <v>43.5</v>
      </c>
      <c r="L3147" t="s">
        <v>5026</v>
      </c>
      <c r="M3147">
        <v>1</v>
      </c>
      <c r="N3147">
        <v>4</v>
      </c>
      <c r="O3147">
        <v>0</v>
      </c>
    </row>
    <row r="3148" spans="1:15" x14ac:dyDescent="0.3">
      <c r="A3148" t="s">
        <v>3161</v>
      </c>
      <c r="B3148">
        <v>10</v>
      </c>
      <c r="C3148">
        <v>54</v>
      </c>
      <c r="D3148" t="s">
        <v>5015</v>
      </c>
      <c r="E3148" t="s">
        <v>5018</v>
      </c>
      <c r="F3148" t="s">
        <v>5024</v>
      </c>
      <c r="G3148">
        <v>17.62</v>
      </c>
      <c r="H3148">
        <v>5</v>
      </c>
      <c r="I3148">
        <v>2.1</v>
      </c>
      <c r="J3148">
        <v>5.98</v>
      </c>
      <c r="K3148">
        <v>71.900000000000006</v>
      </c>
      <c r="L3148" t="s">
        <v>5028</v>
      </c>
      <c r="M3148">
        <v>9</v>
      </c>
      <c r="N3148">
        <v>0</v>
      </c>
      <c r="O3148">
        <v>1</v>
      </c>
    </row>
    <row r="3149" spans="1:15" x14ac:dyDescent="0.3">
      <c r="A3149" t="s">
        <v>3162</v>
      </c>
      <c r="B3149">
        <v>4</v>
      </c>
      <c r="C3149">
        <v>38</v>
      </c>
      <c r="D3149" t="s">
        <v>5016</v>
      </c>
      <c r="E3149" t="s">
        <v>5018</v>
      </c>
      <c r="F3149" t="s">
        <v>5023</v>
      </c>
      <c r="G3149">
        <v>6.94</v>
      </c>
      <c r="H3149">
        <v>3</v>
      </c>
      <c r="I3149">
        <v>2.5</v>
      </c>
      <c r="J3149">
        <v>19.54</v>
      </c>
      <c r="K3149">
        <v>67.099999999999994</v>
      </c>
      <c r="L3149" t="s">
        <v>5027</v>
      </c>
      <c r="M3149">
        <v>3</v>
      </c>
      <c r="N3149">
        <v>1</v>
      </c>
      <c r="O3149">
        <v>1</v>
      </c>
    </row>
    <row r="3150" spans="1:15" x14ac:dyDescent="0.3">
      <c r="A3150" t="s">
        <v>3163</v>
      </c>
      <c r="B3150">
        <v>3</v>
      </c>
      <c r="C3150">
        <v>32</v>
      </c>
      <c r="D3150" t="s">
        <v>5015</v>
      </c>
      <c r="E3150" t="s">
        <v>5019</v>
      </c>
      <c r="F3150" t="s">
        <v>5023</v>
      </c>
      <c r="G3150">
        <v>24.5</v>
      </c>
      <c r="H3150">
        <v>3</v>
      </c>
      <c r="I3150">
        <v>2.9</v>
      </c>
      <c r="J3150">
        <v>22.48</v>
      </c>
      <c r="K3150">
        <v>48</v>
      </c>
      <c r="L3150" t="s">
        <v>5027</v>
      </c>
      <c r="M3150">
        <v>3</v>
      </c>
      <c r="N3150">
        <v>2</v>
      </c>
      <c r="O3150">
        <v>0</v>
      </c>
    </row>
    <row r="3151" spans="1:15" x14ac:dyDescent="0.3">
      <c r="A3151" t="s">
        <v>3164</v>
      </c>
      <c r="B3151">
        <v>6</v>
      </c>
      <c r="C3151">
        <v>34</v>
      </c>
      <c r="D3151" t="s">
        <v>5016</v>
      </c>
      <c r="E3151" t="s">
        <v>5018</v>
      </c>
      <c r="F3151" t="s">
        <v>5020</v>
      </c>
      <c r="G3151">
        <v>9.74</v>
      </c>
      <c r="H3151">
        <v>5</v>
      </c>
      <c r="I3151">
        <v>8.1999999999999993</v>
      </c>
      <c r="J3151">
        <v>9.1300000000000008</v>
      </c>
      <c r="K3151">
        <v>15.9</v>
      </c>
      <c r="L3151" t="s">
        <v>5028</v>
      </c>
      <c r="M3151">
        <v>7</v>
      </c>
      <c r="N3151">
        <v>2</v>
      </c>
      <c r="O3151">
        <v>0</v>
      </c>
    </row>
    <row r="3152" spans="1:15" x14ac:dyDescent="0.3">
      <c r="A3152" t="s">
        <v>3165</v>
      </c>
      <c r="B3152">
        <v>7</v>
      </c>
      <c r="C3152">
        <v>67</v>
      </c>
      <c r="D3152" t="s">
        <v>5015</v>
      </c>
      <c r="E3152" t="s">
        <v>5019</v>
      </c>
      <c r="F3152" t="s">
        <v>5020</v>
      </c>
      <c r="G3152">
        <v>17.559999999999999</v>
      </c>
      <c r="H3152">
        <v>4</v>
      </c>
      <c r="I3152">
        <v>3.8</v>
      </c>
      <c r="J3152">
        <v>5.62</v>
      </c>
      <c r="K3152">
        <v>52.6</v>
      </c>
      <c r="L3152" t="s">
        <v>5025</v>
      </c>
      <c r="M3152">
        <v>1</v>
      </c>
      <c r="N3152">
        <v>3</v>
      </c>
      <c r="O3152">
        <v>0</v>
      </c>
    </row>
    <row r="3153" spans="1:15" x14ac:dyDescent="0.3">
      <c r="A3153" t="s">
        <v>3166</v>
      </c>
      <c r="B3153">
        <v>4</v>
      </c>
      <c r="C3153">
        <v>54</v>
      </c>
      <c r="D3153" t="s">
        <v>5016</v>
      </c>
      <c r="E3153" t="s">
        <v>5017</v>
      </c>
      <c r="F3153" t="s">
        <v>5020</v>
      </c>
      <c r="G3153">
        <v>20.94</v>
      </c>
      <c r="H3153">
        <v>5</v>
      </c>
      <c r="I3153">
        <v>3.8</v>
      </c>
      <c r="J3153">
        <v>9.01</v>
      </c>
      <c r="K3153">
        <v>41.9</v>
      </c>
      <c r="L3153" t="s">
        <v>5027</v>
      </c>
      <c r="M3153">
        <v>9</v>
      </c>
      <c r="N3153">
        <v>2</v>
      </c>
      <c r="O3153">
        <v>0</v>
      </c>
    </row>
    <row r="3154" spans="1:15" x14ac:dyDescent="0.3">
      <c r="A3154" t="s">
        <v>3167</v>
      </c>
      <c r="B3154">
        <v>7</v>
      </c>
      <c r="C3154">
        <v>30</v>
      </c>
      <c r="D3154" t="s">
        <v>5016</v>
      </c>
      <c r="E3154" t="s">
        <v>5018</v>
      </c>
      <c r="F3154" t="s">
        <v>5021</v>
      </c>
      <c r="G3154">
        <v>23.78</v>
      </c>
      <c r="H3154">
        <v>2</v>
      </c>
      <c r="I3154">
        <v>7.8</v>
      </c>
      <c r="J3154">
        <v>17.239999999999998</v>
      </c>
      <c r="K3154">
        <v>59.5</v>
      </c>
      <c r="L3154" t="s">
        <v>5026</v>
      </c>
      <c r="M3154">
        <v>7</v>
      </c>
      <c r="N3154">
        <v>2</v>
      </c>
      <c r="O3154">
        <v>0</v>
      </c>
    </row>
    <row r="3155" spans="1:15" x14ac:dyDescent="0.3">
      <c r="A3155" t="s">
        <v>3168</v>
      </c>
      <c r="B3155">
        <v>9</v>
      </c>
      <c r="C3155">
        <v>36</v>
      </c>
      <c r="D3155" t="s">
        <v>5015</v>
      </c>
      <c r="E3155" t="s">
        <v>5019</v>
      </c>
      <c r="F3155" t="s">
        <v>5024</v>
      </c>
      <c r="G3155">
        <v>17.079999999999998</v>
      </c>
      <c r="H3155">
        <v>2</v>
      </c>
      <c r="I3155">
        <v>4.7</v>
      </c>
      <c r="J3155">
        <v>10.7</v>
      </c>
      <c r="K3155">
        <v>21.3</v>
      </c>
      <c r="L3155" t="s">
        <v>5025</v>
      </c>
      <c r="M3155">
        <v>9</v>
      </c>
      <c r="N3155">
        <v>0</v>
      </c>
      <c r="O3155">
        <v>1</v>
      </c>
    </row>
    <row r="3156" spans="1:15" x14ac:dyDescent="0.3">
      <c r="A3156" t="s">
        <v>3169</v>
      </c>
      <c r="B3156">
        <v>11</v>
      </c>
      <c r="C3156">
        <v>47</v>
      </c>
      <c r="D3156" t="s">
        <v>5016</v>
      </c>
      <c r="E3156" t="s">
        <v>5019</v>
      </c>
      <c r="F3156" t="s">
        <v>5023</v>
      </c>
      <c r="G3156">
        <v>10.18</v>
      </c>
      <c r="H3156">
        <v>1</v>
      </c>
      <c r="I3156">
        <v>1.6</v>
      </c>
      <c r="J3156">
        <v>24.15</v>
      </c>
      <c r="K3156">
        <v>75.2</v>
      </c>
      <c r="L3156" t="s">
        <v>5029</v>
      </c>
      <c r="M3156">
        <v>8</v>
      </c>
      <c r="N3156">
        <v>1</v>
      </c>
      <c r="O3156">
        <v>0</v>
      </c>
    </row>
    <row r="3157" spans="1:15" x14ac:dyDescent="0.3">
      <c r="A3157" t="s">
        <v>3170</v>
      </c>
      <c r="B3157">
        <v>2</v>
      </c>
      <c r="C3157">
        <v>62</v>
      </c>
      <c r="D3157" t="s">
        <v>5016</v>
      </c>
      <c r="E3157" t="s">
        <v>5017</v>
      </c>
      <c r="F3157" t="s">
        <v>5024</v>
      </c>
      <c r="G3157">
        <v>21.73</v>
      </c>
      <c r="H3157">
        <v>3</v>
      </c>
      <c r="I3157">
        <v>6.3</v>
      </c>
      <c r="J3157">
        <v>5.88</v>
      </c>
      <c r="K3157">
        <v>80.900000000000006</v>
      </c>
      <c r="L3157" t="s">
        <v>5027</v>
      </c>
      <c r="M3157">
        <v>5</v>
      </c>
      <c r="N3157">
        <v>4</v>
      </c>
      <c r="O3157">
        <v>0</v>
      </c>
    </row>
    <row r="3158" spans="1:15" x14ac:dyDescent="0.3">
      <c r="A3158" t="s">
        <v>3171</v>
      </c>
      <c r="B3158">
        <v>11</v>
      </c>
      <c r="C3158">
        <v>35</v>
      </c>
      <c r="D3158" t="s">
        <v>5015</v>
      </c>
      <c r="E3158" t="s">
        <v>5017</v>
      </c>
      <c r="F3158" t="s">
        <v>5023</v>
      </c>
      <c r="G3158">
        <v>8.26</v>
      </c>
      <c r="H3158">
        <v>4</v>
      </c>
      <c r="I3158">
        <v>2.2000000000000002</v>
      </c>
      <c r="J3158">
        <v>24.79</v>
      </c>
      <c r="K3158">
        <v>45</v>
      </c>
      <c r="L3158" t="s">
        <v>5028</v>
      </c>
      <c r="M3158">
        <v>3</v>
      </c>
      <c r="N3158">
        <v>4</v>
      </c>
      <c r="O3158">
        <v>1</v>
      </c>
    </row>
    <row r="3159" spans="1:15" x14ac:dyDescent="0.3">
      <c r="A3159" t="s">
        <v>3172</v>
      </c>
      <c r="B3159">
        <v>3</v>
      </c>
      <c r="C3159">
        <v>31</v>
      </c>
      <c r="D3159" t="s">
        <v>5016</v>
      </c>
      <c r="E3159" t="s">
        <v>5018</v>
      </c>
      <c r="F3159" t="s">
        <v>5023</v>
      </c>
      <c r="G3159">
        <v>5.45</v>
      </c>
      <c r="H3159">
        <v>5</v>
      </c>
      <c r="I3159">
        <v>6.1</v>
      </c>
      <c r="J3159">
        <v>3.27</v>
      </c>
      <c r="K3159">
        <v>25.8</v>
      </c>
      <c r="L3159" t="s">
        <v>5026</v>
      </c>
      <c r="M3159">
        <v>11</v>
      </c>
      <c r="N3159">
        <v>3</v>
      </c>
      <c r="O3159">
        <v>1</v>
      </c>
    </row>
    <row r="3160" spans="1:15" x14ac:dyDescent="0.3">
      <c r="A3160" t="s">
        <v>3173</v>
      </c>
      <c r="B3160">
        <v>5</v>
      </c>
      <c r="C3160">
        <v>53</v>
      </c>
      <c r="D3160" t="s">
        <v>5016</v>
      </c>
      <c r="E3160" t="s">
        <v>5018</v>
      </c>
      <c r="F3160" t="s">
        <v>5023</v>
      </c>
      <c r="G3160">
        <v>23.16</v>
      </c>
      <c r="H3160">
        <v>2</v>
      </c>
      <c r="I3160">
        <v>8</v>
      </c>
      <c r="J3160">
        <v>12.94</v>
      </c>
      <c r="K3160">
        <v>66.099999999999994</v>
      </c>
      <c r="L3160" t="s">
        <v>5027</v>
      </c>
      <c r="M3160">
        <v>9</v>
      </c>
      <c r="N3160">
        <v>1</v>
      </c>
      <c r="O3160">
        <v>1</v>
      </c>
    </row>
    <row r="3161" spans="1:15" x14ac:dyDescent="0.3">
      <c r="A3161" t="s">
        <v>3174</v>
      </c>
      <c r="B3161">
        <v>3</v>
      </c>
      <c r="C3161">
        <v>53</v>
      </c>
      <c r="D3161" t="s">
        <v>5015</v>
      </c>
      <c r="E3161" t="s">
        <v>5019</v>
      </c>
      <c r="F3161" t="s">
        <v>5023</v>
      </c>
      <c r="G3161">
        <v>16.510000000000002</v>
      </c>
      <c r="H3161">
        <v>3</v>
      </c>
      <c r="I3161">
        <v>9.4</v>
      </c>
      <c r="J3161">
        <v>8.5399999999999991</v>
      </c>
      <c r="K3161">
        <v>96</v>
      </c>
      <c r="L3161" t="s">
        <v>5028</v>
      </c>
      <c r="M3161">
        <v>5</v>
      </c>
      <c r="N3161">
        <v>0</v>
      </c>
      <c r="O3161">
        <v>1</v>
      </c>
    </row>
    <row r="3162" spans="1:15" x14ac:dyDescent="0.3">
      <c r="A3162" t="s">
        <v>3175</v>
      </c>
      <c r="B3162">
        <v>11</v>
      </c>
      <c r="C3162">
        <v>37</v>
      </c>
      <c r="D3162" t="s">
        <v>5016</v>
      </c>
      <c r="E3162" t="s">
        <v>5019</v>
      </c>
      <c r="F3162" t="s">
        <v>5022</v>
      </c>
      <c r="G3162">
        <v>6.39</v>
      </c>
      <c r="H3162">
        <v>3</v>
      </c>
      <c r="I3162">
        <v>1.6</v>
      </c>
      <c r="J3162">
        <v>15.46</v>
      </c>
      <c r="K3162">
        <v>73</v>
      </c>
      <c r="L3162" t="s">
        <v>5026</v>
      </c>
      <c r="M3162">
        <v>9</v>
      </c>
      <c r="N3162">
        <v>4</v>
      </c>
      <c r="O3162">
        <v>0</v>
      </c>
    </row>
    <row r="3163" spans="1:15" x14ac:dyDescent="0.3">
      <c r="A3163" t="s">
        <v>3176</v>
      </c>
      <c r="B3163">
        <v>8</v>
      </c>
      <c r="C3163">
        <v>69</v>
      </c>
      <c r="D3163" t="s">
        <v>5016</v>
      </c>
      <c r="E3163" t="s">
        <v>5018</v>
      </c>
      <c r="F3163" t="s">
        <v>5022</v>
      </c>
      <c r="G3163">
        <v>16.59</v>
      </c>
      <c r="H3163">
        <v>4</v>
      </c>
      <c r="I3163">
        <v>3.7</v>
      </c>
      <c r="J3163">
        <v>5.12</v>
      </c>
      <c r="K3163">
        <v>21.1</v>
      </c>
      <c r="L3163" t="s">
        <v>5027</v>
      </c>
      <c r="M3163">
        <v>3</v>
      </c>
      <c r="N3163">
        <v>3</v>
      </c>
      <c r="O3163">
        <v>0</v>
      </c>
    </row>
    <row r="3164" spans="1:15" x14ac:dyDescent="0.3">
      <c r="A3164" t="s">
        <v>3177</v>
      </c>
      <c r="B3164">
        <v>12</v>
      </c>
      <c r="C3164">
        <v>36</v>
      </c>
      <c r="D3164" t="s">
        <v>5016</v>
      </c>
      <c r="E3164" t="s">
        <v>5019</v>
      </c>
      <c r="F3164" t="s">
        <v>5021</v>
      </c>
      <c r="G3164">
        <v>7.9</v>
      </c>
      <c r="H3164">
        <v>4</v>
      </c>
      <c r="I3164">
        <v>6.9</v>
      </c>
      <c r="J3164">
        <v>22.27</v>
      </c>
      <c r="K3164">
        <v>45.7</v>
      </c>
      <c r="L3164" t="s">
        <v>5026</v>
      </c>
      <c r="M3164">
        <v>6</v>
      </c>
      <c r="N3164">
        <v>2</v>
      </c>
      <c r="O3164">
        <v>0</v>
      </c>
    </row>
    <row r="3165" spans="1:15" x14ac:dyDescent="0.3">
      <c r="A3165" t="s">
        <v>3178</v>
      </c>
      <c r="B3165">
        <v>10</v>
      </c>
      <c r="C3165">
        <v>62</v>
      </c>
      <c r="D3165" t="s">
        <v>5016</v>
      </c>
      <c r="E3165" t="s">
        <v>5018</v>
      </c>
      <c r="F3165" t="s">
        <v>5020</v>
      </c>
      <c r="G3165">
        <v>5.63</v>
      </c>
      <c r="H3165">
        <v>4</v>
      </c>
      <c r="I3165">
        <v>3.8</v>
      </c>
      <c r="J3165">
        <v>6</v>
      </c>
      <c r="K3165">
        <v>92.4</v>
      </c>
      <c r="L3165" t="s">
        <v>5029</v>
      </c>
      <c r="M3165">
        <v>2</v>
      </c>
      <c r="N3165">
        <v>2</v>
      </c>
      <c r="O3165">
        <v>0</v>
      </c>
    </row>
    <row r="3166" spans="1:15" x14ac:dyDescent="0.3">
      <c r="A3166" t="s">
        <v>3179</v>
      </c>
      <c r="B3166">
        <v>8</v>
      </c>
      <c r="C3166">
        <v>61</v>
      </c>
      <c r="D3166" t="s">
        <v>5016</v>
      </c>
      <c r="E3166" t="s">
        <v>5017</v>
      </c>
      <c r="F3166" t="s">
        <v>5023</v>
      </c>
      <c r="G3166">
        <v>7.33</v>
      </c>
      <c r="H3166">
        <v>4</v>
      </c>
      <c r="I3166">
        <v>5.0999999999999996</v>
      </c>
      <c r="J3166">
        <v>15.92</v>
      </c>
      <c r="K3166">
        <v>67.099999999999994</v>
      </c>
      <c r="L3166" t="s">
        <v>5026</v>
      </c>
      <c r="M3166">
        <v>3</v>
      </c>
      <c r="N3166">
        <v>0</v>
      </c>
      <c r="O3166">
        <v>0</v>
      </c>
    </row>
    <row r="3167" spans="1:15" x14ac:dyDescent="0.3">
      <c r="A3167" t="s">
        <v>3180</v>
      </c>
      <c r="B3167">
        <v>8</v>
      </c>
      <c r="C3167">
        <v>24</v>
      </c>
      <c r="D3167" t="s">
        <v>5016</v>
      </c>
      <c r="E3167" t="s">
        <v>5018</v>
      </c>
      <c r="F3167" t="s">
        <v>5024</v>
      </c>
      <c r="G3167">
        <v>20.5</v>
      </c>
      <c r="H3167">
        <v>2</v>
      </c>
      <c r="I3167">
        <v>1.2</v>
      </c>
      <c r="J3167">
        <v>3.73</v>
      </c>
      <c r="K3167">
        <v>23.2</v>
      </c>
      <c r="L3167" t="s">
        <v>5028</v>
      </c>
      <c r="M3167">
        <v>2</v>
      </c>
      <c r="N3167">
        <v>4</v>
      </c>
      <c r="O3167">
        <v>0</v>
      </c>
    </row>
    <row r="3168" spans="1:15" x14ac:dyDescent="0.3">
      <c r="A3168" t="s">
        <v>3181</v>
      </c>
      <c r="B3168">
        <v>12</v>
      </c>
      <c r="C3168">
        <v>61</v>
      </c>
      <c r="D3168" t="s">
        <v>5016</v>
      </c>
      <c r="E3168" t="s">
        <v>5019</v>
      </c>
      <c r="F3168" t="s">
        <v>5022</v>
      </c>
      <c r="G3168">
        <v>20.11</v>
      </c>
      <c r="H3168">
        <v>4</v>
      </c>
      <c r="I3168">
        <v>7.2</v>
      </c>
      <c r="J3168">
        <v>9.84</v>
      </c>
      <c r="K3168">
        <v>75.2</v>
      </c>
      <c r="L3168" t="s">
        <v>5027</v>
      </c>
      <c r="M3168">
        <v>2</v>
      </c>
      <c r="N3168">
        <v>2</v>
      </c>
      <c r="O3168">
        <v>0</v>
      </c>
    </row>
    <row r="3169" spans="1:15" x14ac:dyDescent="0.3">
      <c r="A3169" t="s">
        <v>3182</v>
      </c>
      <c r="B3169">
        <v>12</v>
      </c>
      <c r="C3169">
        <v>21</v>
      </c>
      <c r="D3169" t="s">
        <v>5016</v>
      </c>
      <c r="E3169" t="s">
        <v>5019</v>
      </c>
      <c r="F3169" t="s">
        <v>5020</v>
      </c>
      <c r="G3169">
        <v>17.09</v>
      </c>
      <c r="H3169">
        <v>3</v>
      </c>
      <c r="I3169">
        <v>8.9</v>
      </c>
      <c r="J3169">
        <v>6.29</v>
      </c>
      <c r="K3169">
        <v>41.8</v>
      </c>
      <c r="L3169" t="s">
        <v>5028</v>
      </c>
      <c r="M3169">
        <v>5</v>
      </c>
      <c r="N3169">
        <v>3</v>
      </c>
      <c r="O3169">
        <v>0</v>
      </c>
    </row>
    <row r="3170" spans="1:15" x14ac:dyDescent="0.3">
      <c r="A3170" t="s">
        <v>3183</v>
      </c>
      <c r="B3170">
        <v>9</v>
      </c>
      <c r="C3170">
        <v>51</v>
      </c>
      <c r="D3170" t="s">
        <v>5015</v>
      </c>
      <c r="E3170" t="s">
        <v>5018</v>
      </c>
      <c r="F3170" t="s">
        <v>5021</v>
      </c>
      <c r="G3170">
        <v>9.19</v>
      </c>
      <c r="H3170">
        <v>3</v>
      </c>
      <c r="I3170">
        <v>9.8000000000000007</v>
      </c>
      <c r="J3170">
        <v>24.51</v>
      </c>
      <c r="K3170">
        <v>54.1</v>
      </c>
      <c r="L3170" t="s">
        <v>5029</v>
      </c>
      <c r="M3170">
        <v>10</v>
      </c>
      <c r="N3170">
        <v>3</v>
      </c>
      <c r="O3170">
        <v>0</v>
      </c>
    </row>
    <row r="3171" spans="1:15" x14ac:dyDescent="0.3">
      <c r="A3171" t="s">
        <v>3184</v>
      </c>
      <c r="B3171">
        <v>4</v>
      </c>
      <c r="C3171">
        <v>19</v>
      </c>
      <c r="D3171" t="s">
        <v>5016</v>
      </c>
      <c r="E3171" t="s">
        <v>5018</v>
      </c>
      <c r="F3171" t="s">
        <v>5020</v>
      </c>
      <c r="G3171">
        <v>19.78</v>
      </c>
      <c r="H3171">
        <v>5</v>
      </c>
      <c r="I3171">
        <v>8.5</v>
      </c>
      <c r="J3171">
        <v>3.26</v>
      </c>
      <c r="K3171">
        <v>47.4</v>
      </c>
      <c r="L3171" t="s">
        <v>5025</v>
      </c>
      <c r="M3171">
        <v>4</v>
      </c>
      <c r="N3171">
        <v>4</v>
      </c>
      <c r="O3171">
        <v>0</v>
      </c>
    </row>
    <row r="3172" spans="1:15" x14ac:dyDescent="0.3">
      <c r="A3172" t="s">
        <v>3185</v>
      </c>
      <c r="B3172">
        <v>5</v>
      </c>
      <c r="C3172">
        <v>22</v>
      </c>
      <c r="D3172" t="s">
        <v>5016</v>
      </c>
      <c r="E3172" t="s">
        <v>5019</v>
      </c>
      <c r="F3172" t="s">
        <v>5023</v>
      </c>
      <c r="G3172">
        <v>13.16</v>
      </c>
      <c r="H3172">
        <v>3</v>
      </c>
      <c r="I3172">
        <v>1.3</v>
      </c>
      <c r="J3172">
        <v>10.75</v>
      </c>
      <c r="K3172">
        <v>75.3</v>
      </c>
      <c r="L3172" t="s">
        <v>5026</v>
      </c>
      <c r="M3172">
        <v>11</v>
      </c>
      <c r="N3172">
        <v>0</v>
      </c>
      <c r="O3172">
        <v>0</v>
      </c>
    </row>
    <row r="3173" spans="1:15" x14ac:dyDescent="0.3">
      <c r="A3173" t="s">
        <v>3186</v>
      </c>
      <c r="B3173">
        <v>5</v>
      </c>
      <c r="C3173">
        <v>27</v>
      </c>
      <c r="D3173" t="s">
        <v>5015</v>
      </c>
      <c r="E3173" t="s">
        <v>5018</v>
      </c>
      <c r="F3173" t="s">
        <v>5020</v>
      </c>
      <c r="G3173">
        <v>15.22</v>
      </c>
      <c r="H3173">
        <v>3</v>
      </c>
      <c r="I3173">
        <v>6.9</v>
      </c>
      <c r="J3173">
        <v>9.66</v>
      </c>
      <c r="K3173">
        <v>29.6</v>
      </c>
      <c r="L3173" t="s">
        <v>5028</v>
      </c>
      <c r="M3173">
        <v>4</v>
      </c>
      <c r="N3173">
        <v>3</v>
      </c>
      <c r="O3173">
        <v>0</v>
      </c>
    </row>
    <row r="3174" spans="1:15" x14ac:dyDescent="0.3">
      <c r="A3174" t="s">
        <v>3187</v>
      </c>
      <c r="B3174">
        <v>8</v>
      </c>
      <c r="C3174">
        <v>49</v>
      </c>
      <c r="D3174" t="s">
        <v>5016</v>
      </c>
      <c r="E3174" t="s">
        <v>5018</v>
      </c>
      <c r="F3174" t="s">
        <v>5023</v>
      </c>
      <c r="G3174">
        <v>22.95</v>
      </c>
      <c r="H3174">
        <v>2</v>
      </c>
      <c r="I3174">
        <v>5.5</v>
      </c>
      <c r="J3174">
        <v>17.46</v>
      </c>
      <c r="K3174">
        <v>45</v>
      </c>
      <c r="L3174" t="s">
        <v>5027</v>
      </c>
      <c r="M3174">
        <v>8</v>
      </c>
      <c r="N3174">
        <v>1</v>
      </c>
      <c r="O3174">
        <v>0</v>
      </c>
    </row>
    <row r="3175" spans="1:15" x14ac:dyDescent="0.3">
      <c r="A3175" t="s">
        <v>3188</v>
      </c>
      <c r="B3175">
        <v>7</v>
      </c>
      <c r="C3175">
        <v>59</v>
      </c>
      <c r="D3175" t="s">
        <v>5016</v>
      </c>
      <c r="E3175" t="s">
        <v>5019</v>
      </c>
      <c r="F3175" t="s">
        <v>5022</v>
      </c>
      <c r="G3175">
        <v>14.16</v>
      </c>
      <c r="H3175">
        <v>3</v>
      </c>
      <c r="I3175">
        <v>9.4</v>
      </c>
      <c r="J3175">
        <v>4.24</v>
      </c>
      <c r="K3175">
        <v>77</v>
      </c>
      <c r="L3175" t="s">
        <v>5027</v>
      </c>
      <c r="M3175">
        <v>6</v>
      </c>
      <c r="N3175">
        <v>3</v>
      </c>
      <c r="O3175">
        <v>0</v>
      </c>
    </row>
    <row r="3176" spans="1:15" x14ac:dyDescent="0.3">
      <c r="A3176" t="s">
        <v>3189</v>
      </c>
      <c r="B3176">
        <v>9</v>
      </c>
      <c r="C3176">
        <v>58</v>
      </c>
      <c r="D3176" t="s">
        <v>5016</v>
      </c>
      <c r="E3176" t="s">
        <v>5019</v>
      </c>
      <c r="F3176" t="s">
        <v>5022</v>
      </c>
      <c r="G3176">
        <v>17.53</v>
      </c>
      <c r="H3176">
        <v>1</v>
      </c>
      <c r="I3176">
        <v>9.1</v>
      </c>
      <c r="J3176">
        <v>20.83</v>
      </c>
      <c r="K3176">
        <v>73.400000000000006</v>
      </c>
      <c r="L3176" t="s">
        <v>5025</v>
      </c>
      <c r="M3176">
        <v>10</v>
      </c>
      <c r="N3176">
        <v>0</v>
      </c>
      <c r="O3176">
        <v>1</v>
      </c>
    </row>
    <row r="3177" spans="1:15" x14ac:dyDescent="0.3">
      <c r="A3177" t="s">
        <v>3190</v>
      </c>
      <c r="B3177">
        <v>8</v>
      </c>
      <c r="C3177">
        <v>30</v>
      </c>
      <c r="D3177" t="s">
        <v>5016</v>
      </c>
      <c r="E3177" t="s">
        <v>5018</v>
      </c>
      <c r="F3177" t="s">
        <v>5023</v>
      </c>
      <c r="G3177">
        <v>24.24</v>
      </c>
      <c r="H3177">
        <v>3</v>
      </c>
      <c r="I3177">
        <v>9.9</v>
      </c>
      <c r="J3177">
        <v>13.26</v>
      </c>
      <c r="K3177">
        <v>28.2</v>
      </c>
      <c r="L3177" t="s">
        <v>5027</v>
      </c>
      <c r="M3177">
        <v>2</v>
      </c>
      <c r="N3177">
        <v>3</v>
      </c>
      <c r="O3177">
        <v>0</v>
      </c>
    </row>
    <row r="3178" spans="1:15" x14ac:dyDescent="0.3">
      <c r="A3178" t="s">
        <v>3191</v>
      </c>
      <c r="B3178">
        <v>2</v>
      </c>
      <c r="C3178">
        <v>56</v>
      </c>
      <c r="D3178" t="s">
        <v>5016</v>
      </c>
      <c r="E3178" t="s">
        <v>5018</v>
      </c>
      <c r="F3178" t="s">
        <v>5024</v>
      </c>
      <c r="G3178">
        <v>14.03</v>
      </c>
      <c r="H3178">
        <v>5</v>
      </c>
      <c r="I3178">
        <v>8.8000000000000007</v>
      </c>
      <c r="J3178">
        <v>12.96</v>
      </c>
      <c r="K3178">
        <v>41.6</v>
      </c>
      <c r="L3178" t="s">
        <v>5029</v>
      </c>
      <c r="M3178">
        <v>1</v>
      </c>
      <c r="N3178">
        <v>2</v>
      </c>
      <c r="O3178">
        <v>0</v>
      </c>
    </row>
    <row r="3179" spans="1:15" x14ac:dyDescent="0.3">
      <c r="A3179" t="s">
        <v>3192</v>
      </c>
      <c r="B3179">
        <v>10</v>
      </c>
      <c r="C3179">
        <v>22</v>
      </c>
      <c r="D3179" t="s">
        <v>5016</v>
      </c>
      <c r="E3179" t="s">
        <v>5018</v>
      </c>
      <c r="F3179" t="s">
        <v>5022</v>
      </c>
      <c r="G3179">
        <v>16.21</v>
      </c>
      <c r="H3179">
        <v>5</v>
      </c>
      <c r="I3179">
        <v>5.9</v>
      </c>
      <c r="J3179">
        <v>7.99</v>
      </c>
      <c r="K3179">
        <v>11.3</v>
      </c>
      <c r="L3179" t="s">
        <v>5025</v>
      </c>
      <c r="M3179">
        <v>5</v>
      </c>
      <c r="N3179">
        <v>0</v>
      </c>
      <c r="O3179">
        <v>0</v>
      </c>
    </row>
    <row r="3180" spans="1:15" x14ac:dyDescent="0.3">
      <c r="A3180" t="s">
        <v>3193</v>
      </c>
      <c r="B3180">
        <v>12</v>
      </c>
      <c r="C3180">
        <v>27</v>
      </c>
      <c r="D3180" t="s">
        <v>5015</v>
      </c>
      <c r="E3180" t="s">
        <v>5017</v>
      </c>
      <c r="F3180" t="s">
        <v>5024</v>
      </c>
      <c r="G3180">
        <v>16.690000000000001</v>
      </c>
      <c r="H3180">
        <v>4</v>
      </c>
      <c r="I3180">
        <v>7.4</v>
      </c>
      <c r="J3180">
        <v>13.78</v>
      </c>
      <c r="K3180">
        <v>57.7</v>
      </c>
      <c r="L3180" t="s">
        <v>5029</v>
      </c>
      <c r="M3180">
        <v>7</v>
      </c>
      <c r="N3180">
        <v>2</v>
      </c>
      <c r="O3180">
        <v>0</v>
      </c>
    </row>
    <row r="3181" spans="1:15" x14ac:dyDescent="0.3">
      <c r="A3181" t="s">
        <v>3194</v>
      </c>
      <c r="B3181">
        <v>4</v>
      </c>
      <c r="C3181">
        <v>27</v>
      </c>
      <c r="D3181" t="s">
        <v>5015</v>
      </c>
      <c r="E3181" t="s">
        <v>5019</v>
      </c>
      <c r="F3181" t="s">
        <v>5023</v>
      </c>
      <c r="G3181">
        <v>9.81</v>
      </c>
      <c r="H3181">
        <v>2</v>
      </c>
      <c r="I3181">
        <v>9.6999999999999993</v>
      </c>
      <c r="J3181">
        <v>11.01</v>
      </c>
      <c r="K3181">
        <v>35.299999999999997</v>
      </c>
      <c r="L3181" t="s">
        <v>5026</v>
      </c>
      <c r="M3181">
        <v>5</v>
      </c>
      <c r="N3181">
        <v>2</v>
      </c>
      <c r="O3181">
        <v>0</v>
      </c>
    </row>
    <row r="3182" spans="1:15" x14ac:dyDescent="0.3">
      <c r="A3182" t="s">
        <v>3195</v>
      </c>
      <c r="B3182">
        <v>6</v>
      </c>
      <c r="C3182">
        <v>55</v>
      </c>
      <c r="D3182" t="s">
        <v>5015</v>
      </c>
      <c r="E3182" t="s">
        <v>5018</v>
      </c>
      <c r="F3182" t="s">
        <v>5023</v>
      </c>
      <c r="G3182">
        <v>19.739999999999998</v>
      </c>
      <c r="H3182">
        <v>5</v>
      </c>
      <c r="I3182">
        <v>6.2</v>
      </c>
      <c r="J3182">
        <v>8.39</v>
      </c>
      <c r="K3182">
        <v>11.1</v>
      </c>
      <c r="L3182" t="s">
        <v>5029</v>
      </c>
      <c r="M3182">
        <v>4</v>
      </c>
      <c r="N3182">
        <v>4</v>
      </c>
      <c r="O3182">
        <v>1</v>
      </c>
    </row>
    <row r="3183" spans="1:15" x14ac:dyDescent="0.3">
      <c r="A3183" t="s">
        <v>3196</v>
      </c>
      <c r="B3183">
        <v>12</v>
      </c>
      <c r="C3183">
        <v>44</v>
      </c>
      <c r="D3183" t="s">
        <v>5015</v>
      </c>
      <c r="E3183" t="s">
        <v>5019</v>
      </c>
      <c r="F3183" t="s">
        <v>5022</v>
      </c>
      <c r="G3183">
        <v>19.53</v>
      </c>
      <c r="H3183">
        <v>1</v>
      </c>
      <c r="I3183">
        <v>8.6</v>
      </c>
      <c r="J3183">
        <v>6.71</v>
      </c>
      <c r="K3183">
        <v>48.2</v>
      </c>
      <c r="L3183" t="s">
        <v>5026</v>
      </c>
      <c r="M3183">
        <v>5</v>
      </c>
      <c r="N3183">
        <v>0</v>
      </c>
      <c r="O3183">
        <v>0</v>
      </c>
    </row>
    <row r="3184" spans="1:15" x14ac:dyDescent="0.3">
      <c r="A3184" t="s">
        <v>3197</v>
      </c>
      <c r="B3184">
        <v>2</v>
      </c>
      <c r="C3184">
        <v>68</v>
      </c>
      <c r="D3184" t="s">
        <v>5015</v>
      </c>
      <c r="E3184" t="s">
        <v>5017</v>
      </c>
      <c r="F3184" t="s">
        <v>5024</v>
      </c>
      <c r="G3184">
        <v>9.27</v>
      </c>
      <c r="H3184">
        <v>1</v>
      </c>
      <c r="I3184">
        <v>9.5</v>
      </c>
      <c r="J3184">
        <v>19.02</v>
      </c>
      <c r="K3184">
        <v>93.4</v>
      </c>
      <c r="L3184" t="s">
        <v>5029</v>
      </c>
      <c r="M3184">
        <v>11</v>
      </c>
      <c r="N3184">
        <v>2</v>
      </c>
      <c r="O3184">
        <v>0</v>
      </c>
    </row>
    <row r="3185" spans="1:15" x14ac:dyDescent="0.3">
      <c r="A3185" t="s">
        <v>3198</v>
      </c>
      <c r="B3185">
        <v>7</v>
      </c>
      <c r="C3185">
        <v>38</v>
      </c>
      <c r="D3185" t="s">
        <v>5016</v>
      </c>
      <c r="E3185" t="s">
        <v>5018</v>
      </c>
      <c r="F3185" t="s">
        <v>5023</v>
      </c>
      <c r="G3185">
        <v>5.27</v>
      </c>
      <c r="H3185">
        <v>4</v>
      </c>
      <c r="I3185">
        <v>6.1</v>
      </c>
      <c r="J3185">
        <v>6.12</v>
      </c>
      <c r="K3185">
        <v>93.1</v>
      </c>
      <c r="L3185" t="s">
        <v>5025</v>
      </c>
      <c r="M3185">
        <v>10</v>
      </c>
      <c r="N3185">
        <v>4</v>
      </c>
      <c r="O3185">
        <v>0</v>
      </c>
    </row>
    <row r="3186" spans="1:15" x14ac:dyDescent="0.3">
      <c r="A3186" t="s">
        <v>3199</v>
      </c>
      <c r="B3186">
        <v>3</v>
      </c>
      <c r="C3186">
        <v>25</v>
      </c>
      <c r="D3186" t="s">
        <v>5016</v>
      </c>
      <c r="E3186" t="s">
        <v>5017</v>
      </c>
      <c r="F3186" t="s">
        <v>5022</v>
      </c>
      <c r="G3186">
        <v>24.98</v>
      </c>
      <c r="H3186">
        <v>2</v>
      </c>
      <c r="I3186">
        <v>2.4</v>
      </c>
      <c r="J3186">
        <v>6.7</v>
      </c>
      <c r="K3186">
        <v>43.5</v>
      </c>
      <c r="L3186" t="s">
        <v>5026</v>
      </c>
      <c r="M3186">
        <v>8</v>
      </c>
      <c r="N3186">
        <v>4</v>
      </c>
      <c r="O3186">
        <v>0</v>
      </c>
    </row>
    <row r="3187" spans="1:15" x14ac:dyDescent="0.3">
      <c r="A3187" t="s">
        <v>3200</v>
      </c>
      <c r="B3187">
        <v>3</v>
      </c>
      <c r="C3187">
        <v>18</v>
      </c>
      <c r="D3187" t="s">
        <v>5016</v>
      </c>
      <c r="E3187" t="s">
        <v>5019</v>
      </c>
      <c r="F3187" t="s">
        <v>5023</v>
      </c>
      <c r="G3187">
        <v>16.63</v>
      </c>
      <c r="H3187">
        <v>2</v>
      </c>
      <c r="I3187">
        <v>2.4</v>
      </c>
      <c r="J3187">
        <v>15.7</v>
      </c>
      <c r="K3187">
        <v>50.4</v>
      </c>
      <c r="L3187" t="s">
        <v>5029</v>
      </c>
      <c r="M3187">
        <v>5</v>
      </c>
      <c r="N3187">
        <v>2</v>
      </c>
      <c r="O3187">
        <v>0</v>
      </c>
    </row>
    <row r="3188" spans="1:15" x14ac:dyDescent="0.3">
      <c r="A3188" t="s">
        <v>3201</v>
      </c>
      <c r="B3188">
        <v>11</v>
      </c>
      <c r="C3188">
        <v>45</v>
      </c>
      <c r="D3188" t="s">
        <v>5016</v>
      </c>
      <c r="E3188" t="s">
        <v>5018</v>
      </c>
      <c r="F3188" t="s">
        <v>5020</v>
      </c>
      <c r="G3188">
        <v>8.6199999999999992</v>
      </c>
      <c r="H3188">
        <v>3</v>
      </c>
      <c r="I3188">
        <v>2</v>
      </c>
      <c r="J3188">
        <v>7.97</v>
      </c>
      <c r="K3188">
        <v>31.8</v>
      </c>
      <c r="L3188" t="s">
        <v>5029</v>
      </c>
      <c r="M3188">
        <v>9</v>
      </c>
      <c r="N3188">
        <v>2</v>
      </c>
      <c r="O3188">
        <v>0</v>
      </c>
    </row>
    <row r="3189" spans="1:15" x14ac:dyDescent="0.3">
      <c r="A3189" t="s">
        <v>3202</v>
      </c>
      <c r="B3189">
        <v>2</v>
      </c>
      <c r="C3189">
        <v>66</v>
      </c>
      <c r="D3189" t="s">
        <v>5016</v>
      </c>
      <c r="E3189" t="s">
        <v>5018</v>
      </c>
      <c r="F3189" t="s">
        <v>5020</v>
      </c>
      <c r="G3189">
        <v>10.67</v>
      </c>
      <c r="H3189">
        <v>1</v>
      </c>
      <c r="I3189">
        <v>5.3</v>
      </c>
      <c r="J3189">
        <v>13.11</v>
      </c>
      <c r="K3189">
        <v>16.100000000000001</v>
      </c>
      <c r="L3189" t="s">
        <v>5027</v>
      </c>
      <c r="M3189">
        <v>10</v>
      </c>
      <c r="N3189">
        <v>1</v>
      </c>
      <c r="O3189">
        <v>0</v>
      </c>
    </row>
    <row r="3190" spans="1:15" x14ac:dyDescent="0.3">
      <c r="A3190" t="s">
        <v>3203</v>
      </c>
      <c r="B3190">
        <v>11</v>
      </c>
      <c r="C3190">
        <v>56</v>
      </c>
      <c r="D3190" t="s">
        <v>5015</v>
      </c>
      <c r="E3190" t="s">
        <v>5017</v>
      </c>
      <c r="F3190" t="s">
        <v>5022</v>
      </c>
      <c r="G3190">
        <v>17.36</v>
      </c>
      <c r="H3190">
        <v>1</v>
      </c>
      <c r="I3190">
        <v>5.3</v>
      </c>
      <c r="J3190">
        <v>15.16</v>
      </c>
      <c r="K3190">
        <v>72.5</v>
      </c>
      <c r="L3190" t="s">
        <v>5029</v>
      </c>
      <c r="M3190">
        <v>7</v>
      </c>
      <c r="N3190">
        <v>0</v>
      </c>
      <c r="O3190">
        <v>0</v>
      </c>
    </row>
    <row r="3191" spans="1:15" x14ac:dyDescent="0.3">
      <c r="A3191" t="s">
        <v>3204</v>
      </c>
      <c r="B3191">
        <v>8</v>
      </c>
      <c r="C3191">
        <v>31</v>
      </c>
      <c r="D3191" t="s">
        <v>5015</v>
      </c>
      <c r="E3191" t="s">
        <v>5017</v>
      </c>
      <c r="F3191" t="s">
        <v>5023</v>
      </c>
      <c r="G3191">
        <v>7.75</v>
      </c>
      <c r="H3191">
        <v>1</v>
      </c>
      <c r="I3191">
        <v>6.6</v>
      </c>
      <c r="J3191">
        <v>9.0399999999999991</v>
      </c>
      <c r="K3191">
        <v>82</v>
      </c>
      <c r="L3191" t="s">
        <v>5027</v>
      </c>
      <c r="M3191">
        <v>11</v>
      </c>
      <c r="N3191">
        <v>4</v>
      </c>
      <c r="O3191">
        <v>0</v>
      </c>
    </row>
    <row r="3192" spans="1:15" x14ac:dyDescent="0.3">
      <c r="A3192" t="s">
        <v>3205</v>
      </c>
      <c r="B3192">
        <v>6</v>
      </c>
      <c r="C3192">
        <v>38</v>
      </c>
      <c r="D3192" t="s">
        <v>5016</v>
      </c>
      <c r="E3192" t="s">
        <v>5017</v>
      </c>
      <c r="F3192" t="s">
        <v>5022</v>
      </c>
      <c r="G3192">
        <v>5.75</v>
      </c>
      <c r="H3192">
        <v>1</v>
      </c>
      <c r="I3192">
        <v>5.3</v>
      </c>
      <c r="J3192">
        <v>10.56</v>
      </c>
      <c r="K3192">
        <v>89.2</v>
      </c>
      <c r="L3192" t="s">
        <v>5029</v>
      </c>
      <c r="M3192">
        <v>11</v>
      </c>
      <c r="N3192">
        <v>0</v>
      </c>
      <c r="O3192">
        <v>1</v>
      </c>
    </row>
    <row r="3193" spans="1:15" x14ac:dyDescent="0.3">
      <c r="A3193" t="s">
        <v>3206</v>
      </c>
      <c r="B3193">
        <v>1</v>
      </c>
      <c r="C3193">
        <v>47</v>
      </c>
      <c r="D3193" t="s">
        <v>5016</v>
      </c>
      <c r="E3193" t="s">
        <v>5017</v>
      </c>
      <c r="F3193" t="s">
        <v>5021</v>
      </c>
      <c r="G3193">
        <v>20.97</v>
      </c>
      <c r="H3193">
        <v>5</v>
      </c>
      <c r="I3193">
        <v>9.8000000000000007</v>
      </c>
      <c r="J3193">
        <v>7.62</v>
      </c>
      <c r="K3193">
        <v>94.2</v>
      </c>
      <c r="L3193" t="s">
        <v>5028</v>
      </c>
      <c r="M3193">
        <v>2</v>
      </c>
      <c r="N3193">
        <v>4</v>
      </c>
      <c r="O3193">
        <v>0</v>
      </c>
    </row>
    <row r="3194" spans="1:15" x14ac:dyDescent="0.3">
      <c r="A3194" t="s">
        <v>3207</v>
      </c>
      <c r="B3194">
        <v>12</v>
      </c>
      <c r="C3194">
        <v>38</v>
      </c>
      <c r="D3194" t="s">
        <v>5016</v>
      </c>
      <c r="E3194" t="s">
        <v>5018</v>
      </c>
      <c r="F3194" t="s">
        <v>5022</v>
      </c>
      <c r="G3194">
        <v>19.32</v>
      </c>
      <c r="H3194">
        <v>2</v>
      </c>
      <c r="I3194">
        <v>3.6</v>
      </c>
      <c r="J3194">
        <v>13.13</v>
      </c>
      <c r="K3194">
        <v>92.4</v>
      </c>
      <c r="L3194" t="s">
        <v>5027</v>
      </c>
      <c r="M3194">
        <v>9</v>
      </c>
      <c r="N3194">
        <v>3</v>
      </c>
      <c r="O3194">
        <v>0</v>
      </c>
    </row>
    <row r="3195" spans="1:15" x14ac:dyDescent="0.3">
      <c r="A3195" t="s">
        <v>3208</v>
      </c>
      <c r="B3195">
        <v>1</v>
      </c>
      <c r="C3195">
        <v>66</v>
      </c>
      <c r="D3195" t="s">
        <v>5015</v>
      </c>
      <c r="E3195" t="s">
        <v>5018</v>
      </c>
      <c r="F3195" t="s">
        <v>5022</v>
      </c>
      <c r="G3195">
        <v>11.19</v>
      </c>
      <c r="H3195">
        <v>3</v>
      </c>
      <c r="I3195">
        <v>8.9</v>
      </c>
      <c r="J3195">
        <v>24.83</v>
      </c>
      <c r="K3195">
        <v>12.5</v>
      </c>
      <c r="L3195" t="s">
        <v>5025</v>
      </c>
      <c r="M3195">
        <v>2</v>
      </c>
      <c r="N3195">
        <v>3</v>
      </c>
      <c r="O3195">
        <v>0</v>
      </c>
    </row>
    <row r="3196" spans="1:15" x14ac:dyDescent="0.3">
      <c r="A3196" t="s">
        <v>3209</v>
      </c>
      <c r="B3196">
        <v>7</v>
      </c>
      <c r="C3196">
        <v>26</v>
      </c>
      <c r="D3196" t="s">
        <v>5015</v>
      </c>
      <c r="E3196" t="s">
        <v>5018</v>
      </c>
      <c r="F3196" t="s">
        <v>5020</v>
      </c>
      <c r="G3196">
        <v>6.17</v>
      </c>
      <c r="H3196">
        <v>5</v>
      </c>
      <c r="I3196">
        <v>1.9</v>
      </c>
      <c r="J3196">
        <v>10.98</v>
      </c>
      <c r="K3196">
        <v>98</v>
      </c>
      <c r="L3196" t="s">
        <v>5025</v>
      </c>
      <c r="M3196">
        <v>6</v>
      </c>
      <c r="N3196">
        <v>4</v>
      </c>
      <c r="O3196">
        <v>0</v>
      </c>
    </row>
    <row r="3197" spans="1:15" x14ac:dyDescent="0.3">
      <c r="A3197" t="s">
        <v>3210</v>
      </c>
      <c r="B3197">
        <v>8</v>
      </c>
      <c r="C3197">
        <v>34</v>
      </c>
      <c r="D3197" t="s">
        <v>5016</v>
      </c>
      <c r="E3197" t="s">
        <v>5018</v>
      </c>
      <c r="F3197" t="s">
        <v>5020</v>
      </c>
      <c r="G3197">
        <v>14.73</v>
      </c>
      <c r="H3197">
        <v>2</v>
      </c>
      <c r="I3197">
        <v>6.4</v>
      </c>
      <c r="J3197">
        <v>17.37</v>
      </c>
      <c r="K3197">
        <v>44.2</v>
      </c>
      <c r="L3197" t="s">
        <v>5026</v>
      </c>
      <c r="M3197">
        <v>8</v>
      </c>
      <c r="N3197">
        <v>1</v>
      </c>
      <c r="O3197">
        <v>0</v>
      </c>
    </row>
    <row r="3198" spans="1:15" x14ac:dyDescent="0.3">
      <c r="A3198" t="s">
        <v>3211</v>
      </c>
      <c r="B3198">
        <v>5</v>
      </c>
      <c r="C3198">
        <v>22</v>
      </c>
      <c r="D3198" t="s">
        <v>5015</v>
      </c>
      <c r="E3198" t="s">
        <v>5017</v>
      </c>
      <c r="F3198" t="s">
        <v>5023</v>
      </c>
      <c r="G3198">
        <v>10.52</v>
      </c>
      <c r="H3198">
        <v>4</v>
      </c>
      <c r="I3198">
        <v>6.8</v>
      </c>
      <c r="J3198">
        <v>16.989999999999998</v>
      </c>
      <c r="K3198">
        <v>89.7</v>
      </c>
      <c r="L3198" t="s">
        <v>5025</v>
      </c>
      <c r="M3198">
        <v>2</v>
      </c>
      <c r="N3198">
        <v>3</v>
      </c>
      <c r="O3198">
        <v>0</v>
      </c>
    </row>
    <row r="3199" spans="1:15" x14ac:dyDescent="0.3">
      <c r="A3199" t="s">
        <v>3212</v>
      </c>
      <c r="B3199">
        <v>12</v>
      </c>
      <c r="C3199">
        <v>48</v>
      </c>
      <c r="D3199" t="s">
        <v>5016</v>
      </c>
      <c r="E3199" t="s">
        <v>5017</v>
      </c>
      <c r="F3199" t="s">
        <v>5022</v>
      </c>
      <c r="G3199">
        <v>12.96</v>
      </c>
      <c r="H3199">
        <v>1</v>
      </c>
      <c r="I3199">
        <v>8</v>
      </c>
      <c r="J3199">
        <v>20.3</v>
      </c>
      <c r="K3199">
        <v>49.7</v>
      </c>
      <c r="L3199" t="s">
        <v>5026</v>
      </c>
      <c r="M3199">
        <v>6</v>
      </c>
      <c r="N3199">
        <v>0</v>
      </c>
      <c r="O3199">
        <v>0</v>
      </c>
    </row>
    <row r="3200" spans="1:15" x14ac:dyDescent="0.3">
      <c r="A3200" t="s">
        <v>3213</v>
      </c>
      <c r="B3200">
        <v>11</v>
      </c>
      <c r="C3200">
        <v>69</v>
      </c>
      <c r="D3200" t="s">
        <v>5015</v>
      </c>
      <c r="E3200" t="s">
        <v>5017</v>
      </c>
      <c r="F3200" t="s">
        <v>5022</v>
      </c>
      <c r="G3200">
        <v>10.48</v>
      </c>
      <c r="H3200">
        <v>3</v>
      </c>
      <c r="I3200">
        <v>5.5</v>
      </c>
      <c r="J3200">
        <v>18.66</v>
      </c>
      <c r="K3200">
        <v>48</v>
      </c>
      <c r="L3200" t="s">
        <v>5025</v>
      </c>
      <c r="M3200">
        <v>5</v>
      </c>
      <c r="N3200">
        <v>2</v>
      </c>
      <c r="O3200">
        <v>0</v>
      </c>
    </row>
    <row r="3201" spans="1:15" x14ac:dyDescent="0.3">
      <c r="A3201" t="s">
        <v>3214</v>
      </c>
      <c r="B3201">
        <v>5</v>
      </c>
      <c r="C3201">
        <v>57</v>
      </c>
      <c r="D3201" t="s">
        <v>5015</v>
      </c>
      <c r="E3201" t="s">
        <v>5019</v>
      </c>
      <c r="F3201" t="s">
        <v>5023</v>
      </c>
      <c r="G3201">
        <v>8.51</v>
      </c>
      <c r="H3201">
        <v>2</v>
      </c>
      <c r="I3201">
        <v>2.8</v>
      </c>
      <c r="J3201">
        <v>3.26</v>
      </c>
      <c r="K3201">
        <v>11</v>
      </c>
      <c r="L3201" t="s">
        <v>5027</v>
      </c>
      <c r="M3201">
        <v>7</v>
      </c>
      <c r="N3201">
        <v>0</v>
      </c>
      <c r="O3201">
        <v>0</v>
      </c>
    </row>
    <row r="3202" spans="1:15" x14ac:dyDescent="0.3">
      <c r="A3202" t="s">
        <v>3215</v>
      </c>
      <c r="B3202">
        <v>4</v>
      </c>
      <c r="C3202">
        <v>55</v>
      </c>
      <c r="D3202" t="s">
        <v>5016</v>
      </c>
      <c r="E3202" t="s">
        <v>5018</v>
      </c>
      <c r="F3202" t="s">
        <v>5024</v>
      </c>
      <c r="G3202">
        <v>12.74</v>
      </c>
      <c r="H3202">
        <v>4</v>
      </c>
      <c r="I3202">
        <v>4.3</v>
      </c>
      <c r="J3202">
        <v>9.8000000000000007</v>
      </c>
      <c r="K3202">
        <v>14.7</v>
      </c>
      <c r="L3202" t="s">
        <v>5028</v>
      </c>
      <c r="M3202">
        <v>10</v>
      </c>
      <c r="N3202">
        <v>0</v>
      </c>
      <c r="O3202">
        <v>0</v>
      </c>
    </row>
    <row r="3203" spans="1:15" x14ac:dyDescent="0.3">
      <c r="A3203" t="s">
        <v>3216</v>
      </c>
      <c r="B3203">
        <v>6</v>
      </c>
      <c r="C3203">
        <v>60</v>
      </c>
      <c r="D3203" t="s">
        <v>5015</v>
      </c>
      <c r="E3203" t="s">
        <v>5017</v>
      </c>
      <c r="F3203" t="s">
        <v>5023</v>
      </c>
      <c r="G3203">
        <v>24.3</v>
      </c>
      <c r="H3203">
        <v>1</v>
      </c>
      <c r="I3203">
        <v>3.4</v>
      </c>
      <c r="J3203">
        <v>22.15</v>
      </c>
      <c r="K3203">
        <v>70.400000000000006</v>
      </c>
      <c r="L3203" t="s">
        <v>5026</v>
      </c>
      <c r="M3203">
        <v>5</v>
      </c>
      <c r="N3203">
        <v>0</v>
      </c>
      <c r="O3203">
        <v>1</v>
      </c>
    </row>
    <row r="3204" spans="1:15" x14ac:dyDescent="0.3">
      <c r="A3204" t="s">
        <v>3217</v>
      </c>
      <c r="B3204">
        <v>6</v>
      </c>
      <c r="C3204">
        <v>36</v>
      </c>
      <c r="D3204" t="s">
        <v>5015</v>
      </c>
      <c r="E3204" t="s">
        <v>5017</v>
      </c>
      <c r="F3204" t="s">
        <v>5020</v>
      </c>
      <c r="G3204">
        <v>10.32</v>
      </c>
      <c r="H3204">
        <v>4</v>
      </c>
      <c r="I3204">
        <v>4.8</v>
      </c>
      <c r="J3204">
        <v>14.87</v>
      </c>
      <c r="K3204">
        <v>94.4</v>
      </c>
      <c r="L3204" t="s">
        <v>5028</v>
      </c>
      <c r="M3204">
        <v>3</v>
      </c>
      <c r="N3204">
        <v>4</v>
      </c>
      <c r="O3204">
        <v>0</v>
      </c>
    </row>
    <row r="3205" spans="1:15" x14ac:dyDescent="0.3">
      <c r="A3205" t="s">
        <v>3218</v>
      </c>
      <c r="B3205">
        <v>3</v>
      </c>
      <c r="C3205">
        <v>53</v>
      </c>
      <c r="D3205" t="s">
        <v>5016</v>
      </c>
      <c r="E3205" t="s">
        <v>5019</v>
      </c>
      <c r="F3205" t="s">
        <v>5020</v>
      </c>
      <c r="G3205">
        <v>11.72</v>
      </c>
      <c r="H3205">
        <v>4</v>
      </c>
      <c r="I3205">
        <v>5.8</v>
      </c>
      <c r="J3205">
        <v>5.29</v>
      </c>
      <c r="K3205">
        <v>30.2</v>
      </c>
      <c r="L3205" t="s">
        <v>5029</v>
      </c>
      <c r="M3205">
        <v>6</v>
      </c>
      <c r="N3205">
        <v>4</v>
      </c>
      <c r="O3205">
        <v>0</v>
      </c>
    </row>
    <row r="3206" spans="1:15" x14ac:dyDescent="0.3">
      <c r="A3206" t="s">
        <v>3219</v>
      </c>
      <c r="B3206">
        <v>9</v>
      </c>
      <c r="C3206">
        <v>67</v>
      </c>
      <c r="D3206" t="s">
        <v>5015</v>
      </c>
      <c r="E3206" t="s">
        <v>5019</v>
      </c>
      <c r="F3206" t="s">
        <v>5022</v>
      </c>
      <c r="G3206">
        <v>11.58</v>
      </c>
      <c r="H3206">
        <v>5</v>
      </c>
      <c r="I3206">
        <v>6.6</v>
      </c>
      <c r="J3206">
        <v>9.08</v>
      </c>
      <c r="K3206">
        <v>18.5</v>
      </c>
      <c r="L3206" t="s">
        <v>5029</v>
      </c>
      <c r="M3206">
        <v>7</v>
      </c>
      <c r="N3206">
        <v>0</v>
      </c>
      <c r="O3206">
        <v>0</v>
      </c>
    </row>
    <row r="3207" spans="1:15" x14ac:dyDescent="0.3">
      <c r="A3207" t="s">
        <v>3220</v>
      </c>
      <c r="B3207">
        <v>12</v>
      </c>
      <c r="C3207">
        <v>50</v>
      </c>
      <c r="D3207" t="s">
        <v>5016</v>
      </c>
      <c r="E3207" t="s">
        <v>5018</v>
      </c>
      <c r="F3207" t="s">
        <v>5020</v>
      </c>
      <c r="G3207">
        <v>14.61</v>
      </c>
      <c r="H3207">
        <v>4</v>
      </c>
      <c r="I3207">
        <v>8.6</v>
      </c>
      <c r="J3207">
        <v>9.23</v>
      </c>
      <c r="K3207">
        <v>29.2</v>
      </c>
      <c r="L3207" t="s">
        <v>5028</v>
      </c>
      <c r="M3207">
        <v>1</v>
      </c>
      <c r="N3207">
        <v>2</v>
      </c>
      <c r="O3207">
        <v>0</v>
      </c>
    </row>
    <row r="3208" spans="1:15" x14ac:dyDescent="0.3">
      <c r="A3208" t="s">
        <v>3221</v>
      </c>
      <c r="B3208">
        <v>11</v>
      </c>
      <c r="C3208">
        <v>30</v>
      </c>
      <c r="D3208" t="s">
        <v>5015</v>
      </c>
      <c r="E3208" t="s">
        <v>5018</v>
      </c>
      <c r="F3208" t="s">
        <v>5023</v>
      </c>
      <c r="G3208">
        <v>21.87</v>
      </c>
      <c r="H3208">
        <v>5</v>
      </c>
      <c r="I3208">
        <v>9.1999999999999993</v>
      </c>
      <c r="J3208">
        <v>22.21</v>
      </c>
      <c r="K3208">
        <v>29.1</v>
      </c>
      <c r="L3208" t="s">
        <v>5027</v>
      </c>
      <c r="M3208">
        <v>8</v>
      </c>
      <c r="N3208">
        <v>1</v>
      </c>
      <c r="O3208">
        <v>0</v>
      </c>
    </row>
    <row r="3209" spans="1:15" x14ac:dyDescent="0.3">
      <c r="A3209" t="s">
        <v>3222</v>
      </c>
      <c r="B3209">
        <v>7</v>
      </c>
      <c r="C3209">
        <v>31</v>
      </c>
      <c r="D3209" t="s">
        <v>5016</v>
      </c>
      <c r="E3209" t="s">
        <v>5017</v>
      </c>
      <c r="F3209" t="s">
        <v>5022</v>
      </c>
      <c r="G3209">
        <v>13.04</v>
      </c>
      <c r="H3209">
        <v>5</v>
      </c>
      <c r="I3209">
        <v>5.2</v>
      </c>
      <c r="J3209">
        <v>15.17</v>
      </c>
      <c r="K3209">
        <v>36.4</v>
      </c>
      <c r="L3209" t="s">
        <v>5028</v>
      </c>
      <c r="M3209">
        <v>8</v>
      </c>
      <c r="N3209">
        <v>1</v>
      </c>
      <c r="O3209">
        <v>1</v>
      </c>
    </row>
    <row r="3210" spans="1:15" x14ac:dyDescent="0.3">
      <c r="A3210" t="s">
        <v>3223</v>
      </c>
      <c r="B3210">
        <v>1</v>
      </c>
      <c r="C3210">
        <v>50</v>
      </c>
      <c r="D3210" t="s">
        <v>5016</v>
      </c>
      <c r="E3210" t="s">
        <v>5019</v>
      </c>
      <c r="F3210" t="s">
        <v>5023</v>
      </c>
      <c r="G3210">
        <v>21.12</v>
      </c>
      <c r="H3210">
        <v>4</v>
      </c>
      <c r="I3210">
        <v>1.8</v>
      </c>
      <c r="J3210">
        <v>16.38</v>
      </c>
      <c r="K3210">
        <v>18.5</v>
      </c>
      <c r="L3210" t="s">
        <v>5028</v>
      </c>
      <c r="M3210">
        <v>4</v>
      </c>
      <c r="N3210">
        <v>3</v>
      </c>
      <c r="O3210">
        <v>0</v>
      </c>
    </row>
    <row r="3211" spans="1:15" x14ac:dyDescent="0.3">
      <c r="A3211" t="s">
        <v>3224</v>
      </c>
      <c r="B3211">
        <v>7</v>
      </c>
      <c r="C3211">
        <v>46</v>
      </c>
      <c r="D3211" t="s">
        <v>5015</v>
      </c>
      <c r="E3211" t="s">
        <v>5019</v>
      </c>
      <c r="F3211" t="s">
        <v>5023</v>
      </c>
      <c r="G3211">
        <v>7.3</v>
      </c>
      <c r="H3211">
        <v>2</v>
      </c>
      <c r="I3211">
        <v>8.1999999999999993</v>
      </c>
      <c r="J3211">
        <v>11.08</v>
      </c>
      <c r="K3211">
        <v>31.2</v>
      </c>
      <c r="L3211" t="s">
        <v>5028</v>
      </c>
      <c r="M3211">
        <v>8</v>
      </c>
      <c r="N3211">
        <v>3</v>
      </c>
      <c r="O3211">
        <v>0</v>
      </c>
    </row>
    <row r="3212" spans="1:15" x14ac:dyDescent="0.3">
      <c r="A3212" t="s">
        <v>3225</v>
      </c>
      <c r="B3212">
        <v>5</v>
      </c>
      <c r="C3212">
        <v>60</v>
      </c>
      <c r="D3212" t="s">
        <v>5015</v>
      </c>
      <c r="E3212" t="s">
        <v>5018</v>
      </c>
      <c r="F3212" t="s">
        <v>5022</v>
      </c>
      <c r="G3212">
        <v>22.9</v>
      </c>
      <c r="H3212">
        <v>4</v>
      </c>
      <c r="I3212">
        <v>5.3</v>
      </c>
      <c r="J3212">
        <v>4.33</v>
      </c>
      <c r="K3212">
        <v>92.9</v>
      </c>
      <c r="L3212" t="s">
        <v>5026</v>
      </c>
      <c r="M3212">
        <v>3</v>
      </c>
      <c r="N3212">
        <v>2</v>
      </c>
      <c r="O3212">
        <v>0</v>
      </c>
    </row>
    <row r="3213" spans="1:15" x14ac:dyDescent="0.3">
      <c r="A3213" t="s">
        <v>3226</v>
      </c>
      <c r="B3213">
        <v>5</v>
      </c>
      <c r="C3213">
        <v>66</v>
      </c>
      <c r="D3213" t="s">
        <v>5016</v>
      </c>
      <c r="E3213" t="s">
        <v>5019</v>
      </c>
      <c r="F3213" t="s">
        <v>5024</v>
      </c>
      <c r="G3213">
        <v>8.7100000000000009</v>
      </c>
      <c r="H3213">
        <v>4</v>
      </c>
      <c r="I3213">
        <v>5.9</v>
      </c>
      <c r="J3213">
        <v>4.66</v>
      </c>
      <c r="K3213">
        <v>90.1</v>
      </c>
      <c r="L3213" t="s">
        <v>5026</v>
      </c>
      <c r="M3213">
        <v>5</v>
      </c>
      <c r="N3213">
        <v>0</v>
      </c>
      <c r="O3213">
        <v>1</v>
      </c>
    </row>
    <row r="3214" spans="1:15" x14ac:dyDescent="0.3">
      <c r="A3214" t="s">
        <v>3227</v>
      </c>
      <c r="B3214">
        <v>2</v>
      </c>
      <c r="C3214">
        <v>53</v>
      </c>
      <c r="D3214" t="s">
        <v>5015</v>
      </c>
      <c r="E3214" t="s">
        <v>5019</v>
      </c>
      <c r="F3214" t="s">
        <v>5020</v>
      </c>
      <c r="G3214">
        <v>5.78</v>
      </c>
      <c r="H3214">
        <v>2</v>
      </c>
      <c r="I3214">
        <v>6.4</v>
      </c>
      <c r="J3214">
        <v>12.25</v>
      </c>
      <c r="K3214">
        <v>38.5</v>
      </c>
      <c r="L3214" t="s">
        <v>5028</v>
      </c>
      <c r="M3214">
        <v>3</v>
      </c>
      <c r="N3214">
        <v>4</v>
      </c>
      <c r="O3214">
        <v>1</v>
      </c>
    </row>
    <row r="3215" spans="1:15" x14ac:dyDescent="0.3">
      <c r="A3215" t="s">
        <v>3228</v>
      </c>
      <c r="B3215">
        <v>4</v>
      </c>
      <c r="C3215">
        <v>61</v>
      </c>
      <c r="D3215" t="s">
        <v>5015</v>
      </c>
      <c r="E3215" t="s">
        <v>5017</v>
      </c>
      <c r="F3215" t="s">
        <v>5021</v>
      </c>
      <c r="G3215">
        <v>8.17</v>
      </c>
      <c r="H3215">
        <v>1</v>
      </c>
      <c r="I3215">
        <v>7</v>
      </c>
      <c r="J3215">
        <v>6.9</v>
      </c>
      <c r="K3215">
        <v>99.7</v>
      </c>
      <c r="L3215" t="s">
        <v>5027</v>
      </c>
      <c r="M3215">
        <v>2</v>
      </c>
      <c r="N3215">
        <v>3</v>
      </c>
      <c r="O3215">
        <v>1</v>
      </c>
    </row>
    <row r="3216" spans="1:15" x14ac:dyDescent="0.3">
      <c r="A3216" t="s">
        <v>3229</v>
      </c>
      <c r="B3216">
        <v>12</v>
      </c>
      <c r="C3216">
        <v>27</v>
      </c>
      <c r="D3216" t="s">
        <v>5015</v>
      </c>
      <c r="E3216" t="s">
        <v>5018</v>
      </c>
      <c r="F3216" t="s">
        <v>5021</v>
      </c>
      <c r="G3216">
        <v>8.81</v>
      </c>
      <c r="H3216">
        <v>3</v>
      </c>
      <c r="I3216">
        <v>9</v>
      </c>
      <c r="J3216">
        <v>5.29</v>
      </c>
      <c r="K3216">
        <v>36.9</v>
      </c>
      <c r="L3216" t="s">
        <v>5029</v>
      </c>
      <c r="M3216">
        <v>5</v>
      </c>
      <c r="N3216">
        <v>0</v>
      </c>
      <c r="O3216">
        <v>0</v>
      </c>
    </row>
    <row r="3217" spans="1:15" x14ac:dyDescent="0.3">
      <c r="A3217" t="s">
        <v>3230</v>
      </c>
      <c r="B3217">
        <v>6</v>
      </c>
      <c r="C3217">
        <v>48</v>
      </c>
      <c r="D3217" t="s">
        <v>5016</v>
      </c>
      <c r="E3217" t="s">
        <v>5017</v>
      </c>
      <c r="F3217" t="s">
        <v>5021</v>
      </c>
      <c r="G3217">
        <v>15.17</v>
      </c>
      <c r="H3217">
        <v>1</v>
      </c>
      <c r="I3217">
        <v>9.6</v>
      </c>
      <c r="J3217">
        <v>8.77</v>
      </c>
      <c r="K3217">
        <v>75</v>
      </c>
      <c r="L3217" t="s">
        <v>5029</v>
      </c>
      <c r="M3217">
        <v>8</v>
      </c>
      <c r="N3217">
        <v>1</v>
      </c>
      <c r="O3217">
        <v>0</v>
      </c>
    </row>
    <row r="3218" spans="1:15" x14ac:dyDescent="0.3">
      <c r="A3218" t="s">
        <v>3231</v>
      </c>
      <c r="B3218">
        <v>10</v>
      </c>
      <c r="C3218">
        <v>23</v>
      </c>
      <c r="D3218" t="s">
        <v>5016</v>
      </c>
      <c r="E3218" t="s">
        <v>5017</v>
      </c>
      <c r="F3218" t="s">
        <v>5020</v>
      </c>
      <c r="G3218">
        <v>14</v>
      </c>
      <c r="H3218">
        <v>4</v>
      </c>
      <c r="I3218">
        <v>9.5</v>
      </c>
      <c r="J3218">
        <v>19.329999999999998</v>
      </c>
      <c r="K3218">
        <v>68</v>
      </c>
      <c r="L3218" t="s">
        <v>5029</v>
      </c>
      <c r="M3218">
        <v>9</v>
      </c>
      <c r="N3218">
        <v>2</v>
      </c>
      <c r="O3218">
        <v>0</v>
      </c>
    </row>
    <row r="3219" spans="1:15" x14ac:dyDescent="0.3">
      <c r="A3219" t="s">
        <v>3232</v>
      </c>
      <c r="B3219">
        <v>11</v>
      </c>
      <c r="C3219">
        <v>18</v>
      </c>
      <c r="D3219" t="s">
        <v>5016</v>
      </c>
      <c r="E3219" t="s">
        <v>5019</v>
      </c>
      <c r="F3219" t="s">
        <v>5024</v>
      </c>
      <c r="G3219">
        <v>19.32</v>
      </c>
      <c r="H3219">
        <v>1</v>
      </c>
      <c r="I3219">
        <v>8.3000000000000007</v>
      </c>
      <c r="J3219">
        <v>4.6100000000000003</v>
      </c>
      <c r="K3219">
        <v>15.8</v>
      </c>
      <c r="L3219" t="s">
        <v>5025</v>
      </c>
      <c r="M3219">
        <v>5</v>
      </c>
      <c r="N3219">
        <v>4</v>
      </c>
      <c r="O3219">
        <v>0</v>
      </c>
    </row>
    <row r="3220" spans="1:15" x14ac:dyDescent="0.3">
      <c r="A3220" t="s">
        <v>3233</v>
      </c>
      <c r="B3220">
        <v>7</v>
      </c>
      <c r="C3220">
        <v>24</v>
      </c>
      <c r="D3220" t="s">
        <v>5015</v>
      </c>
      <c r="E3220" t="s">
        <v>5017</v>
      </c>
      <c r="F3220" t="s">
        <v>5023</v>
      </c>
      <c r="G3220">
        <v>6.02</v>
      </c>
      <c r="H3220">
        <v>3</v>
      </c>
      <c r="I3220">
        <v>9</v>
      </c>
      <c r="J3220">
        <v>12.86</v>
      </c>
      <c r="K3220">
        <v>40.799999999999997</v>
      </c>
      <c r="L3220" t="s">
        <v>5027</v>
      </c>
      <c r="M3220">
        <v>3</v>
      </c>
      <c r="N3220">
        <v>4</v>
      </c>
      <c r="O3220">
        <v>0</v>
      </c>
    </row>
    <row r="3221" spans="1:15" x14ac:dyDescent="0.3">
      <c r="A3221" t="s">
        <v>3234</v>
      </c>
      <c r="B3221">
        <v>11</v>
      </c>
      <c r="C3221">
        <v>44</v>
      </c>
      <c r="D3221" t="s">
        <v>5015</v>
      </c>
      <c r="E3221" t="s">
        <v>5019</v>
      </c>
      <c r="F3221" t="s">
        <v>5022</v>
      </c>
      <c r="G3221">
        <v>14.95</v>
      </c>
      <c r="H3221">
        <v>1</v>
      </c>
      <c r="I3221">
        <v>1.4</v>
      </c>
      <c r="J3221">
        <v>21.17</v>
      </c>
      <c r="K3221">
        <v>95.6</v>
      </c>
      <c r="L3221" t="s">
        <v>5026</v>
      </c>
      <c r="M3221">
        <v>3</v>
      </c>
      <c r="N3221">
        <v>3</v>
      </c>
      <c r="O3221">
        <v>0</v>
      </c>
    </row>
    <row r="3222" spans="1:15" x14ac:dyDescent="0.3">
      <c r="A3222" t="s">
        <v>3235</v>
      </c>
      <c r="B3222">
        <v>5</v>
      </c>
      <c r="C3222">
        <v>38</v>
      </c>
      <c r="D3222" t="s">
        <v>5016</v>
      </c>
      <c r="E3222" t="s">
        <v>5019</v>
      </c>
      <c r="F3222" t="s">
        <v>5024</v>
      </c>
      <c r="G3222">
        <v>11.65</v>
      </c>
      <c r="H3222">
        <v>3</v>
      </c>
      <c r="I3222">
        <v>8.6</v>
      </c>
      <c r="J3222">
        <v>8.89</v>
      </c>
      <c r="K3222">
        <v>14.6</v>
      </c>
      <c r="L3222" t="s">
        <v>5029</v>
      </c>
      <c r="M3222">
        <v>8</v>
      </c>
      <c r="N3222">
        <v>0</v>
      </c>
      <c r="O3222">
        <v>0</v>
      </c>
    </row>
    <row r="3223" spans="1:15" x14ac:dyDescent="0.3">
      <c r="A3223" t="s">
        <v>3236</v>
      </c>
      <c r="B3223">
        <v>9</v>
      </c>
      <c r="C3223">
        <v>45</v>
      </c>
      <c r="D3223" t="s">
        <v>5016</v>
      </c>
      <c r="E3223" t="s">
        <v>5017</v>
      </c>
      <c r="F3223" t="s">
        <v>5021</v>
      </c>
      <c r="G3223">
        <v>17.61</v>
      </c>
      <c r="H3223">
        <v>1</v>
      </c>
      <c r="I3223">
        <v>1.7</v>
      </c>
      <c r="J3223">
        <v>9.64</v>
      </c>
      <c r="K3223">
        <v>25.7</v>
      </c>
      <c r="L3223" t="s">
        <v>5026</v>
      </c>
      <c r="M3223">
        <v>3</v>
      </c>
      <c r="N3223">
        <v>4</v>
      </c>
      <c r="O3223">
        <v>0</v>
      </c>
    </row>
    <row r="3224" spans="1:15" x14ac:dyDescent="0.3">
      <c r="A3224" t="s">
        <v>3237</v>
      </c>
      <c r="B3224">
        <v>3</v>
      </c>
      <c r="C3224">
        <v>33</v>
      </c>
      <c r="D3224" t="s">
        <v>5015</v>
      </c>
      <c r="E3224" t="s">
        <v>5018</v>
      </c>
      <c r="F3224" t="s">
        <v>5020</v>
      </c>
      <c r="G3224">
        <v>5.87</v>
      </c>
      <c r="H3224">
        <v>5</v>
      </c>
      <c r="I3224">
        <v>7.7</v>
      </c>
      <c r="J3224">
        <v>22.45</v>
      </c>
      <c r="K3224">
        <v>97.4</v>
      </c>
      <c r="L3224" t="s">
        <v>5026</v>
      </c>
      <c r="M3224">
        <v>9</v>
      </c>
      <c r="N3224">
        <v>1</v>
      </c>
      <c r="O3224">
        <v>0</v>
      </c>
    </row>
    <row r="3225" spans="1:15" x14ac:dyDescent="0.3">
      <c r="A3225" t="s">
        <v>3238</v>
      </c>
      <c r="B3225">
        <v>1</v>
      </c>
      <c r="C3225">
        <v>63</v>
      </c>
      <c r="D3225" t="s">
        <v>5015</v>
      </c>
      <c r="E3225" t="s">
        <v>5019</v>
      </c>
      <c r="F3225" t="s">
        <v>5020</v>
      </c>
      <c r="G3225">
        <v>5.7</v>
      </c>
      <c r="H3225">
        <v>4</v>
      </c>
      <c r="I3225">
        <v>2.5</v>
      </c>
      <c r="J3225">
        <v>17.3</v>
      </c>
      <c r="K3225">
        <v>13.6</v>
      </c>
      <c r="L3225" t="s">
        <v>5026</v>
      </c>
      <c r="M3225">
        <v>10</v>
      </c>
      <c r="N3225">
        <v>1</v>
      </c>
      <c r="O3225">
        <v>0</v>
      </c>
    </row>
    <row r="3226" spans="1:15" x14ac:dyDescent="0.3">
      <c r="A3226" t="s">
        <v>3239</v>
      </c>
      <c r="B3226">
        <v>4</v>
      </c>
      <c r="C3226">
        <v>40</v>
      </c>
      <c r="D3226" t="s">
        <v>5015</v>
      </c>
      <c r="E3226" t="s">
        <v>5019</v>
      </c>
      <c r="F3226" t="s">
        <v>5022</v>
      </c>
      <c r="G3226">
        <v>13.55</v>
      </c>
      <c r="H3226">
        <v>3</v>
      </c>
      <c r="I3226">
        <v>4.2</v>
      </c>
      <c r="J3226">
        <v>20.55</v>
      </c>
      <c r="K3226">
        <v>50.2</v>
      </c>
      <c r="L3226" t="s">
        <v>5026</v>
      </c>
      <c r="M3226">
        <v>1</v>
      </c>
      <c r="N3226">
        <v>2</v>
      </c>
      <c r="O3226">
        <v>1</v>
      </c>
    </row>
    <row r="3227" spans="1:15" x14ac:dyDescent="0.3">
      <c r="A3227" t="s">
        <v>3240</v>
      </c>
      <c r="B3227">
        <v>9</v>
      </c>
      <c r="C3227">
        <v>69</v>
      </c>
      <c r="D3227" t="s">
        <v>5015</v>
      </c>
      <c r="E3227" t="s">
        <v>5019</v>
      </c>
      <c r="F3227" t="s">
        <v>5023</v>
      </c>
      <c r="G3227">
        <v>21.23</v>
      </c>
      <c r="H3227">
        <v>4</v>
      </c>
      <c r="I3227">
        <v>2.7</v>
      </c>
      <c r="J3227">
        <v>9.36</v>
      </c>
      <c r="K3227">
        <v>92.7</v>
      </c>
      <c r="L3227" t="s">
        <v>5028</v>
      </c>
      <c r="M3227">
        <v>1</v>
      </c>
      <c r="N3227">
        <v>2</v>
      </c>
      <c r="O3227">
        <v>1</v>
      </c>
    </row>
    <row r="3228" spans="1:15" x14ac:dyDescent="0.3">
      <c r="A3228" t="s">
        <v>3241</v>
      </c>
      <c r="B3228">
        <v>4</v>
      </c>
      <c r="C3228">
        <v>37</v>
      </c>
      <c r="D3228" t="s">
        <v>5016</v>
      </c>
      <c r="E3228" t="s">
        <v>5018</v>
      </c>
      <c r="F3228" t="s">
        <v>5024</v>
      </c>
      <c r="G3228">
        <v>18.420000000000002</v>
      </c>
      <c r="H3228">
        <v>5</v>
      </c>
      <c r="I3228">
        <v>5</v>
      </c>
      <c r="J3228">
        <v>24.93</v>
      </c>
      <c r="K3228">
        <v>94.9</v>
      </c>
      <c r="L3228" t="s">
        <v>5026</v>
      </c>
      <c r="M3228">
        <v>5</v>
      </c>
      <c r="N3228">
        <v>1</v>
      </c>
      <c r="O3228">
        <v>0</v>
      </c>
    </row>
    <row r="3229" spans="1:15" x14ac:dyDescent="0.3">
      <c r="A3229" t="s">
        <v>3242</v>
      </c>
      <c r="B3229">
        <v>2</v>
      </c>
      <c r="C3229">
        <v>55</v>
      </c>
      <c r="D3229" t="s">
        <v>5015</v>
      </c>
      <c r="E3229" t="s">
        <v>5018</v>
      </c>
      <c r="F3229" t="s">
        <v>5024</v>
      </c>
      <c r="G3229">
        <v>5.33</v>
      </c>
      <c r="H3229">
        <v>1</v>
      </c>
      <c r="I3229">
        <v>4.7</v>
      </c>
      <c r="J3229">
        <v>6.1</v>
      </c>
      <c r="K3229">
        <v>98.1</v>
      </c>
      <c r="L3229" t="s">
        <v>5025</v>
      </c>
      <c r="M3229">
        <v>4</v>
      </c>
      <c r="N3229">
        <v>1</v>
      </c>
      <c r="O3229">
        <v>0</v>
      </c>
    </row>
    <row r="3230" spans="1:15" x14ac:dyDescent="0.3">
      <c r="A3230" t="s">
        <v>3243</v>
      </c>
      <c r="B3230">
        <v>10</v>
      </c>
      <c r="C3230">
        <v>42</v>
      </c>
      <c r="D3230" t="s">
        <v>5015</v>
      </c>
      <c r="E3230" t="s">
        <v>5018</v>
      </c>
      <c r="F3230" t="s">
        <v>5024</v>
      </c>
      <c r="G3230">
        <v>8.57</v>
      </c>
      <c r="H3230">
        <v>4</v>
      </c>
      <c r="I3230">
        <v>1.4</v>
      </c>
      <c r="J3230">
        <v>24.16</v>
      </c>
      <c r="K3230">
        <v>53.3</v>
      </c>
      <c r="L3230" t="s">
        <v>5026</v>
      </c>
      <c r="M3230">
        <v>3</v>
      </c>
      <c r="N3230">
        <v>0</v>
      </c>
      <c r="O3230">
        <v>0</v>
      </c>
    </row>
    <row r="3231" spans="1:15" x14ac:dyDescent="0.3">
      <c r="A3231" t="s">
        <v>3244</v>
      </c>
      <c r="B3231">
        <v>5</v>
      </c>
      <c r="C3231">
        <v>45</v>
      </c>
      <c r="D3231" t="s">
        <v>5016</v>
      </c>
      <c r="E3231" t="s">
        <v>5019</v>
      </c>
      <c r="F3231" t="s">
        <v>5023</v>
      </c>
      <c r="G3231">
        <v>9.5299999999999994</v>
      </c>
      <c r="H3231">
        <v>1</v>
      </c>
      <c r="I3231">
        <v>8.5</v>
      </c>
      <c r="J3231">
        <v>22.85</v>
      </c>
      <c r="K3231">
        <v>17.8</v>
      </c>
      <c r="L3231" t="s">
        <v>5029</v>
      </c>
      <c r="M3231">
        <v>1</v>
      </c>
      <c r="N3231">
        <v>4</v>
      </c>
      <c r="O3231">
        <v>0</v>
      </c>
    </row>
    <row r="3232" spans="1:15" x14ac:dyDescent="0.3">
      <c r="A3232" t="s">
        <v>3245</v>
      </c>
      <c r="B3232">
        <v>3</v>
      </c>
      <c r="C3232">
        <v>22</v>
      </c>
      <c r="D3232" t="s">
        <v>5016</v>
      </c>
      <c r="E3232" t="s">
        <v>5018</v>
      </c>
      <c r="F3232" t="s">
        <v>5023</v>
      </c>
      <c r="G3232">
        <v>13.46</v>
      </c>
      <c r="H3232">
        <v>1</v>
      </c>
      <c r="I3232">
        <v>8.6999999999999993</v>
      </c>
      <c r="J3232">
        <v>15.14</v>
      </c>
      <c r="K3232">
        <v>79.5</v>
      </c>
      <c r="L3232" t="s">
        <v>5026</v>
      </c>
      <c r="M3232">
        <v>7</v>
      </c>
      <c r="N3232">
        <v>0</v>
      </c>
      <c r="O3232">
        <v>0</v>
      </c>
    </row>
    <row r="3233" spans="1:15" x14ac:dyDescent="0.3">
      <c r="A3233" t="s">
        <v>3246</v>
      </c>
      <c r="B3233">
        <v>12</v>
      </c>
      <c r="C3233">
        <v>38</v>
      </c>
      <c r="D3233" t="s">
        <v>5015</v>
      </c>
      <c r="E3233" t="s">
        <v>5019</v>
      </c>
      <c r="F3233" t="s">
        <v>5023</v>
      </c>
      <c r="G3233">
        <v>16.73</v>
      </c>
      <c r="H3233">
        <v>4</v>
      </c>
      <c r="I3233">
        <v>8.1</v>
      </c>
      <c r="J3233">
        <v>15.88</v>
      </c>
      <c r="K3233">
        <v>73.8</v>
      </c>
      <c r="L3233" t="s">
        <v>5029</v>
      </c>
      <c r="M3233">
        <v>1</v>
      </c>
      <c r="N3233">
        <v>2</v>
      </c>
      <c r="O3233">
        <v>1</v>
      </c>
    </row>
    <row r="3234" spans="1:15" x14ac:dyDescent="0.3">
      <c r="A3234" t="s">
        <v>3247</v>
      </c>
      <c r="B3234">
        <v>9</v>
      </c>
      <c r="C3234">
        <v>35</v>
      </c>
      <c r="D3234" t="s">
        <v>5016</v>
      </c>
      <c r="E3234" t="s">
        <v>5017</v>
      </c>
      <c r="F3234" t="s">
        <v>5022</v>
      </c>
      <c r="G3234">
        <v>9.33</v>
      </c>
      <c r="H3234">
        <v>3</v>
      </c>
      <c r="I3234">
        <v>8.6</v>
      </c>
      <c r="J3234">
        <v>20.05</v>
      </c>
      <c r="K3234">
        <v>62.2</v>
      </c>
      <c r="L3234" t="s">
        <v>5026</v>
      </c>
      <c r="M3234">
        <v>6</v>
      </c>
      <c r="N3234">
        <v>2</v>
      </c>
      <c r="O3234">
        <v>0</v>
      </c>
    </row>
    <row r="3235" spans="1:15" x14ac:dyDescent="0.3">
      <c r="A3235" t="s">
        <v>3248</v>
      </c>
      <c r="B3235">
        <v>4</v>
      </c>
      <c r="C3235">
        <v>64</v>
      </c>
      <c r="D3235" t="s">
        <v>5015</v>
      </c>
      <c r="E3235" t="s">
        <v>5019</v>
      </c>
      <c r="F3235" t="s">
        <v>5020</v>
      </c>
      <c r="G3235">
        <v>12.65</v>
      </c>
      <c r="H3235">
        <v>3</v>
      </c>
      <c r="I3235">
        <v>7.8</v>
      </c>
      <c r="J3235">
        <v>9.75</v>
      </c>
      <c r="K3235">
        <v>89.9</v>
      </c>
      <c r="L3235" t="s">
        <v>5027</v>
      </c>
      <c r="M3235">
        <v>10</v>
      </c>
      <c r="N3235">
        <v>2</v>
      </c>
      <c r="O3235">
        <v>0</v>
      </c>
    </row>
    <row r="3236" spans="1:15" x14ac:dyDescent="0.3">
      <c r="A3236" t="s">
        <v>3249</v>
      </c>
      <c r="B3236">
        <v>6</v>
      </c>
      <c r="C3236">
        <v>23</v>
      </c>
      <c r="D3236" t="s">
        <v>5015</v>
      </c>
      <c r="E3236" t="s">
        <v>5018</v>
      </c>
      <c r="F3236" t="s">
        <v>5021</v>
      </c>
      <c r="G3236">
        <v>16.68</v>
      </c>
      <c r="H3236">
        <v>4</v>
      </c>
      <c r="I3236">
        <v>9.4</v>
      </c>
      <c r="J3236">
        <v>14.6</v>
      </c>
      <c r="K3236">
        <v>92</v>
      </c>
      <c r="L3236" t="s">
        <v>5028</v>
      </c>
      <c r="M3236">
        <v>2</v>
      </c>
      <c r="N3236">
        <v>4</v>
      </c>
      <c r="O3236">
        <v>0</v>
      </c>
    </row>
    <row r="3237" spans="1:15" x14ac:dyDescent="0.3">
      <c r="A3237" t="s">
        <v>3250</v>
      </c>
      <c r="B3237">
        <v>2</v>
      </c>
      <c r="C3237">
        <v>46</v>
      </c>
      <c r="D3237" t="s">
        <v>5016</v>
      </c>
      <c r="E3237" t="s">
        <v>5018</v>
      </c>
      <c r="F3237" t="s">
        <v>5023</v>
      </c>
      <c r="G3237">
        <v>12.67</v>
      </c>
      <c r="H3237">
        <v>3</v>
      </c>
      <c r="I3237">
        <v>6.2</v>
      </c>
      <c r="J3237">
        <v>22.85</v>
      </c>
      <c r="K3237">
        <v>71.5</v>
      </c>
      <c r="L3237" t="s">
        <v>5029</v>
      </c>
      <c r="M3237">
        <v>4</v>
      </c>
      <c r="N3237">
        <v>3</v>
      </c>
      <c r="O3237">
        <v>1</v>
      </c>
    </row>
    <row r="3238" spans="1:15" x14ac:dyDescent="0.3">
      <c r="A3238" t="s">
        <v>3251</v>
      </c>
      <c r="B3238">
        <v>6</v>
      </c>
      <c r="C3238">
        <v>36</v>
      </c>
      <c r="D3238" t="s">
        <v>5016</v>
      </c>
      <c r="E3238" t="s">
        <v>5018</v>
      </c>
      <c r="F3238" t="s">
        <v>5020</v>
      </c>
      <c r="G3238">
        <v>7.86</v>
      </c>
      <c r="H3238">
        <v>2</v>
      </c>
      <c r="I3238">
        <v>6.2</v>
      </c>
      <c r="J3238">
        <v>4.5</v>
      </c>
      <c r="K3238">
        <v>20.100000000000001</v>
      </c>
      <c r="L3238" t="s">
        <v>5025</v>
      </c>
      <c r="M3238">
        <v>8</v>
      </c>
      <c r="N3238">
        <v>2</v>
      </c>
      <c r="O3238">
        <v>0</v>
      </c>
    </row>
    <row r="3239" spans="1:15" x14ac:dyDescent="0.3">
      <c r="A3239" t="s">
        <v>3252</v>
      </c>
      <c r="B3239">
        <v>3</v>
      </c>
      <c r="C3239">
        <v>50</v>
      </c>
      <c r="D3239" t="s">
        <v>5015</v>
      </c>
      <c r="E3239" t="s">
        <v>5017</v>
      </c>
      <c r="F3239" t="s">
        <v>5023</v>
      </c>
      <c r="G3239">
        <v>14.83</v>
      </c>
      <c r="H3239">
        <v>1</v>
      </c>
      <c r="I3239">
        <v>8.6999999999999993</v>
      </c>
      <c r="J3239">
        <v>22.92</v>
      </c>
      <c r="K3239">
        <v>18.600000000000001</v>
      </c>
      <c r="L3239" t="s">
        <v>5026</v>
      </c>
      <c r="M3239">
        <v>3</v>
      </c>
      <c r="N3239">
        <v>2</v>
      </c>
      <c r="O3239">
        <v>0</v>
      </c>
    </row>
    <row r="3240" spans="1:15" x14ac:dyDescent="0.3">
      <c r="A3240" t="s">
        <v>3253</v>
      </c>
      <c r="B3240">
        <v>12</v>
      </c>
      <c r="C3240">
        <v>18</v>
      </c>
      <c r="D3240" t="s">
        <v>5016</v>
      </c>
      <c r="E3240" t="s">
        <v>5017</v>
      </c>
      <c r="F3240" t="s">
        <v>5021</v>
      </c>
      <c r="G3240">
        <v>11.48</v>
      </c>
      <c r="H3240">
        <v>4</v>
      </c>
      <c r="I3240">
        <v>4.0999999999999996</v>
      </c>
      <c r="J3240">
        <v>19.03</v>
      </c>
      <c r="K3240">
        <v>46.8</v>
      </c>
      <c r="L3240" t="s">
        <v>5029</v>
      </c>
      <c r="M3240">
        <v>9</v>
      </c>
      <c r="N3240">
        <v>0</v>
      </c>
      <c r="O3240">
        <v>1</v>
      </c>
    </row>
    <row r="3241" spans="1:15" x14ac:dyDescent="0.3">
      <c r="A3241" t="s">
        <v>3254</v>
      </c>
      <c r="B3241">
        <v>12</v>
      </c>
      <c r="C3241">
        <v>62</v>
      </c>
      <c r="D3241" t="s">
        <v>5015</v>
      </c>
      <c r="E3241" t="s">
        <v>5017</v>
      </c>
      <c r="F3241" t="s">
        <v>5023</v>
      </c>
      <c r="G3241">
        <v>22.28</v>
      </c>
      <c r="H3241">
        <v>5</v>
      </c>
      <c r="I3241">
        <v>1.5</v>
      </c>
      <c r="J3241">
        <v>19.940000000000001</v>
      </c>
      <c r="K3241">
        <v>36.299999999999997</v>
      </c>
      <c r="L3241" t="s">
        <v>5028</v>
      </c>
      <c r="M3241">
        <v>5</v>
      </c>
      <c r="N3241">
        <v>0</v>
      </c>
      <c r="O3241">
        <v>0</v>
      </c>
    </row>
    <row r="3242" spans="1:15" x14ac:dyDescent="0.3">
      <c r="A3242" t="s">
        <v>3255</v>
      </c>
      <c r="B3242">
        <v>9</v>
      </c>
      <c r="C3242">
        <v>20</v>
      </c>
      <c r="D3242" t="s">
        <v>5015</v>
      </c>
      <c r="E3242" t="s">
        <v>5017</v>
      </c>
      <c r="F3242" t="s">
        <v>5020</v>
      </c>
      <c r="G3242">
        <v>20.51</v>
      </c>
      <c r="H3242">
        <v>4</v>
      </c>
      <c r="I3242">
        <v>7.7</v>
      </c>
      <c r="J3242">
        <v>4.42</v>
      </c>
      <c r="K3242">
        <v>22</v>
      </c>
      <c r="L3242" t="s">
        <v>5026</v>
      </c>
      <c r="M3242">
        <v>6</v>
      </c>
      <c r="N3242">
        <v>3</v>
      </c>
      <c r="O3242">
        <v>0</v>
      </c>
    </row>
    <row r="3243" spans="1:15" x14ac:dyDescent="0.3">
      <c r="A3243" t="s">
        <v>3256</v>
      </c>
      <c r="B3243">
        <v>11</v>
      </c>
      <c r="C3243">
        <v>59</v>
      </c>
      <c r="D3243" t="s">
        <v>5015</v>
      </c>
      <c r="E3243" t="s">
        <v>5018</v>
      </c>
      <c r="F3243" t="s">
        <v>5022</v>
      </c>
      <c r="G3243">
        <v>8.81</v>
      </c>
      <c r="H3243">
        <v>4</v>
      </c>
      <c r="I3243">
        <v>3.3</v>
      </c>
      <c r="J3243">
        <v>7.13</v>
      </c>
      <c r="K3243">
        <v>65</v>
      </c>
      <c r="L3243" t="s">
        <v>5028</v>
      </c>
      <c r="M3243">
        <v>2</v>
      </c>
      <c r="N3243">
        <v>3</v>
      </c>
      <c r="O3243">
        <v>0</v>
      </c>
    </row>
    <row r="3244" spans="1:15" x14ac:dyDescent="0.3">
      <c r="A3244" t="s">
        <v>3257</v>
      </c>
      <c r="B3244">
        <v>2</v>
      </c>
      <c r="C3244">
        <v>38</v>
      </c>
      <c r="D3244" t="s">
        <v>5016</v>
      </c>
      <c r="E3244" t="s">
        <v>5019</v>
      </c>
      <c r="F3244" t="s">
        <v>5021</v>
      </c>
      <c r="G3244">
        <v>8.0500000000000007</v>
      </c>
      <c r="H3244">
        <v>1</v>
      </c>
      <c r="I3244">
        <v>5.3</v>
      </c>
      <c r="J3244">
        <v>23.36</v>
      </c>
      <c r="K3244">
        <v>71.5</v>
      </c>
      <c r="L3244" t="s">
        <v>5025</v>
      </c>
      <c r="M3244">
        <v>1</v>
      </c>
      <c r="N3244">
        <v>3</v>
      </c>
      <c r="O3244">
        <v>0</v>
      </c>
    </row>
    <row r="3245" spans="1:15" x14ac:dyDescent="0.3">
      <c r="A3245" t="s">
        <v>3258</v>
      </c>
      <c r="B3245">
        <v>12</v>
      </c>
      <c r="C3245">
        <v>52</v>
      </c>
      <c r="D3245" t="s">
        <v>5015</v>
      </c>
      <c r="E3245" t="s">
        <v>5018</v>
      </c>
      <c r="F3245" t="s">
        <v>5020</v>
      </c>
      <c r="G3245">
        <v>11.95</v>
      </c>
      <c r="H3245">
        <v>5</v>
      </c>
      <c r="I3245">
        <v>3.2</v>
      </c>
      <c r="J3245">
        <v>5.73</v>
      </c>
      <c r="K3245">
        <v>72.8</v>
      </c>
      <c r="L3245" t="s">
        <v>5029</v>
      </c>
      <c r="M3245">
        <v>5</v>
      </c>
      <c r="N3245">
        <v>3</v>
      </c>
      <c r="O3245">
        <v>0</v>
      </c>
    </row>
    <row r="3246" spans="1:15" x14ac:dyDescent="0.3">
      <c r="A3246" t="s">
        <v>3259</v>
      </c>
      <c r="B3246">
        <v>12</v>
      </c>
      <c r="C3246">
        <v>58</v>
      </c>
      <c r="D3246" t="s">
        <v>5015</v>
      </c>
      <c r="E3246" t="s">
        <v>5017</v>
      </c>
      <c r="F3246" t="s">
        <v>5024</v>
      </c>
      <c r="G3246">
        <v>13.24</v>
      </c>
      <c r="H3246">
        <v>1</v>
      </c>
      <c r="I3246">
        <v>8.4</v>
      </c>
      <c r="J3246">
        <v>16.89</v>
      </c>
      <c r="K3246">
        <v>25.8</v>
      </c>
      <c r="L3246" t="s">
        <v>5025</v>
      </c>
      <c r="M3246">
        <v>1</v>
      </c>
      <c r="N3246">
        <v>0</v>
      </c>
      <c r="O3246">
        <v>0</v>
      </c>
    </row>
    <row r="3247" spans="1:15" x14ac:dyDescent="0.3">
      <c r="A3247" t="s">
        <v>3260</v>
      </c>
      <c r="B3247">
        <v>9</v>
      </c>
      <c r="C3247">
        <v>57</v>
      </c>
      <c r="D3247" t="s">
        <v>5015</v>
      </c>
      <c r="E3247" t="s">
        <v>5019</v>
      </c>
      <c r="F3247" t="s">
        <v>5024</v>
      </c>
      <c r="G3247">
        <v>23.64</v>
      </c>
      <c r="H3247">
        <v>3</v>
      </c>
      <c r="I3247">
        <v>9.6</v>
      </c>
      <c r="J3247">
        <v>20.22</v>
      </c>
      <c r="K3247">
        <v>37.5</v>
      </c>
      <c r="L3247" t="s">
        <v>5028</v>
      </c>
      <c r="M3247">
        <v>4</v>
      </c>
      <c r="N3247">
        <v>2</v>
      </c>
      <c r="O3247">
        <v>0</v>
      </c>
    </row>
    <row r="3248" spans="1:15" x14ac:dyDescent="0.3">
      <c r="A3248" t="s">
        <v>3261</v>
      </c>
      <c r="B3248">
        <v>5</v>
      </c>
      <c r="C3248">
        <v>20</v>
      </c>
      <c r="D3248" t="s">
        <v>5016</v>
      </c>
      <c r="E3248" t="s">
        <v>5018</v>
      </c>
      <c r="F3248" t="s">
        <v>5024</v>
      </c>
      <c r="G3248">
        <v>11.03</v>
      </c>
      <c r="H3248">
        <v>4</v>
      </c>
      <c r="I3248">
        <v>1.5</v>
      </c>
      <c r="J3248">
        <v>8.09</v>
      </c>
      <c r="K3248">
        <v>27.9</v>
      </c>
      <c r="L3248" t="s">
        <v>5027</v>
      </c>
      <c r="M3248">
        <v>8</v>
      </c>
      <c r="N3248">
        <v>0</v>
      </c>
      <c r="O3248">
        <v>1</v>
      </c>
    </row>
    <row r="3249" spans="1:15" x14ac:dyDescent="0.3">
      <c r="A3249" t="s">
        <v>3262</v>
      </c>
      <c r="B3249">
        <v>8</v>
      </c>
      <c r="C3249">
        <v>42</v>
      </c>
      <c r="D3249" t="s">
        <v>5015</v>
      </c>
      <c r="E3249" t="s">
        <v>5019</v>
      </c>
      <c r="F3249" t="s">
        <v>5022</v>
      </c>
      <c r="G3249">
        <v>22.35</v>
      </c>
      <c r="H3249">
        <v>1</v>
      </c>
      <c r="I3249">
        <v>3.1</v>
      </c>
      <c r="J3249">
        <v>18.37</v>
      </c>
      <c r="K3249">
        <v>64.099999999999994</v>
      </c>
      <c r="L3249" t="s">
        <v>5027</v>
      </c>
      <c r="M3249">
        <v>2</v>
      </c>
      <c r="N3249">
        <v>1</v>
      </c>
      <c r="O3249">
        <v>0</v>
      </c>
    </row>
    <row r="3250" spans="1:15" x14ac:dyDescent="0.3">
      <c r="A3250" t="s">
        <v>3263</v>
      </c>
      <c r="B3250">
        <v>2</v>
      </c>
      <c r="C3250">
        <v>62</v>
      </c>
      <c r="D3250" t="s">
        <v>5015</v>
      </c>
      <c r="E3250" t="s">
        <v>5018</v>
      </c>
      <c r="F3250" t="s">
        <v>5023</v>
      </c>
      <c r="G3250">
        <v>15.11</v>
      </c>
      <c r="H3250">
        <v>2</v>
      </c>
      <c r="I3250">
        <v>2.7</v>
      </c>
      <c r="J3250">
        <v>4.4400000000000004</v>
      </c>
      <c r="K3250">
        <v>61</v>
      </c>
      <c r="L3250" t="s">
        <v>5029</v>
      </c>
      <c r="M3250">
        <v>6</v>
      </c>
      <c r="N3250">
        <v>1</v>
      </c>
      <c r="O3250">
        <v>0</v>
      </c>
    </row>
    <row r="3251" spans="1:15" x14ac:dyDescent="0.3">
      <c r="A3251" t="s">
        <v>3264</v>
      </c>
      <c r="B3251">
        <v>6</v>
      </c>
      <c r="C3251">
        <v>55</v>
      </c>
      <c r="D3251" t="s">
        <v>5015</v>
      </c>
      <c r="E3251" t="s">
        <v>5017</v>
      </c>
      <c r="F3251" t="s">
        <v>5023</v>
      </c>
      <c r="G3251">
        <v>22.71</v>
      </c>
      <c r="H3251">
        <v>4</v>
      </c>
      <c r="I3251">
        <v>7.1</v>
      </c>
      <c r="J3251">
        <v>13.97</v>
      </c>
      <c r="K3251">
        <v>55.3</v>
      </c>
      <c r="L3251" t="s">
        <v>5026</v>
      </c>
      <c r="M3251">
        <v>10</v>
      </c>
      <c r="N3251">
        <v>2</v>
      </c>
      <c r="O3251">
        <v>0</v>
      </c>
    </row>
    <row r="3252" spans="1:15" x14ac:dyDescent="0.3">
      <c r="A3252" t="s">
        <v>3265</v>
      </c>
      <c r="B3252">
        <v>3</v>
      </c>
      <c r="C3252">
        <v>62</v>
      </c>
      <c r="D3252" t="s">
        <v>5016</v>
      </c>
      <c r="E3252" t="s">
        <v>5018</v>
      </c>
      <c r="F3252" t="s">
        <v>5023</v>
      </c>
      <c r="G3252">
        <v>19.04</v>
      </c>
      <c r="H3252">
        <v>3</v>
      </c>
      <c r="I3252">
        <v>4.9000000000000004</v>
      </c>
      <c r="J3252">
        <v>10.36</v>
      </c>
      <c r="K3252">
        <v>36.6</v>
      </c>
      <c r="L3252" t="s">
        <v>5025</v>
      </c>
      <c r="M3252">
        <v>5</v>
      </c>
      <c r="N3252">
        <v>3</v>
      </c>
      <c r="O3252">
        <v>1</v>
      </c>
    </row>
    <row r="3253" spans="1:15" x14ac:dyDescent="0.3">
      <c r="A3253" t="s">
        <v>3266</v>
      </c>
      <c r="B3253">
        <v>12</v>
      </c>
      <c r="C3253">
        <v>37</v>
      </c>
      <c r="D3253" t="s">
        <v>5015</v>
      </c>
      <c r="E3253" t="s">
        <v>5018</v>
      </c>
      <c r="F3253" t="s">
        <v>5022</v>
      </c>
      <c r="G3253">
        <v>19.170000000000002</v>
      </c>
      <c r="H3253">
        <v>1</v>
      </c>
      <c r="I3253">
        <v>5.0999999999999996</v>
      </c>
      <c r="J3253">
        <v>17.21</v>
      </c>
      <c r="K3253">
        <v>31.3</v>
      </c>
      <c r="L3253" t="s">
        <v>5027</v>
      </c>
      <c r="M3253">
        <v>1</v>
      </c>
      <c r="N3253">
        <v>2</v>
      </c>
      <c r="O3253">
        <v>1</v>
      </c>
    </row>
    <row r="3254" spans="1:15" x14ac:dyDescent="0.3">
      <c r="A3254" t="s">
        <v>3267</v>
      </c>
      <c r="B3254">
        <v>12</v>
      </c>
      <c r="C3254">
        <v>69</v>
      </c>
      <c r="D3254" t="s">
        <v>5015</v>
      </c>
      <c r="E3254" t="s">
        <v>5017</v>
      </c>
      <c r="F3254" t="s">
        <v>5024</v>
      </c>
      <c r="G3254">
        <v>15.38</v>
      </c>
      <c r="H3254">
        <v>1</v>
      </c>
      <c r="I3254">
        <v>2.4</v>
      </c>
      <c r="J3254">
        <v>22.56</v>
      </c>
      <c r="K3254">
        <v>90.1</v>
      </c>
      <c r="L3254" t="s">
        <v>5027</v>
      </c>
      <c r="M3254">
        <v>8</v>
      </c>
      <c r="N3254">
        <v>1</v>
      </c>
      <c r="O3254">
        <v>0</v>
      </c>
    </row>
    <row r="3255" spans="1:15" x14ac:dyDescent="0.3">
      <c r="A3255" t="s">
        <v>3268</v>
      </c>
      <c r="B3255">
        <v>10</v>
      </c>
      <c r="C3255">
        <v>61</v>
      </c>
      <c r="D3255" t="s">
        <v>5016</v>
      </c>
      <c r="E3255" t="s">
        <v>5017</v>
      </c>
      <c r="F3255" t="s">
        <v>5023</v>
      </c>
      <c r="G3255">
        <v>21.81</v>
      </c>
      <c r="H3255">
        <v>2</v>
      </c>
      <c r="I3255">
        <v>4.7</v>
      </c>
      <c r="J3255">
        <v>5.76</v>
      </c>
      <c r="K3255">
        <v>14.4</v>
      </c>
      <c r="L3255" t="s">
        <v>5026</v>
      </c>
      <c r="M3255">
        <v>5</v>
      </c>
      <c r="N3255">
        <v>2</v>
      </c>
      <c r="O3255">
        <v>0</v>
      </c>
    </row>
    <row r="3256" spans="1:15" x14ac:dyDescent="0.3">
      <c r="A3256" t="s">
        <v>3269</v>
      </c>
      <c r="B3256">
        <v>5</v>
      </c>
      <c r="C3256">
        <v>62</v>
      </c>
      <c r="D3256" t="s">
        <v>5016</v>
      </c>
      <c r="E3256" t="s">
        <v>5017</v>
      </c>
      <c r="F3256" t="s">
        <v>5022</v>
      </c>
      <c r="G3256">
        <v>10.09</v>
      </c>
      <c r="H3256">
        <v>3</v>
      </c>
      <c r="I3256">
        <v>3.7</v>
      </c>
      <c r="J3256">
        <v>12.91</v>
      </c>
      <c r="K3256">
        <v>69.099999999999994</v>
      </c>
      <c r="L3256" t="s">
        <v>5025</v>
      </c>
      <c r="M3256">
        <v>9</v>
      </c>
      <c r="N3256">
        <v>3</v>
      </c>
      <c r="O3256">
        <v>0</v>
      </c>
    </row>
    <row r="3257" spans="1:15" x14ac:dyDescent="0.3">
      <c r="A3257" t="s">
        <v>3270</v>
      </c>
      <c r="B3257">
        <v>12</v>
      </c>
      <c r="C3257">
        <v>51</v>
      </c>
      <c r="D3257" t="s">
        <v>5015</v>
      </c>
      <c r="E3257" t="s">
        <v>5017</v>
      </c>
      <c r="F3257" t="s">
        <v>5022</v>
      </c>
      <c r="G3257">
        <v>23.15</v>
      </c>
      <c r="H3257">
        <v>2</v>
      </c>
      <c r="I3257">
        <v>6.5</v>
      </c>
      <c r="J3257">
        <v>12.31</v>
      </c>
      <c r="K3257">
        <v>11.8</v>
      </c>
      <c r="L3257" t="s">
        <v>5028</v>
      </c>
      <c r="M3257">
        <v>2</v>
      </c>
      <c r="N3257">
        <v>0</v>
      </c>
      <c r="O3257">
        <v>0</v>
      </c>
    </row>
    <row r="3258" spans="1:15" x14ac:dyDescent="0.3">
      <c r="A3258" t="s">
        <v>3271</v>
      </c>
      <c r="B3258">
        <v>8</v>
      </c>
      <c r="C3258">
        <v>38</v>
      </c>
      <c r="D3258" t="s">
        <v>5015</v>
      </c>
      <c r="E3258" t="s">
        <v>5018</v>
      </c>
      <c r="F3258" t="s">
        <v>5020</v>
      </c>
      <c r="G3258">
        <v>17.739999999999998</v>
      </c>
      <c r="H3258">
        <v>4</v>
      </c>
      <c r="I3258">
        <v>3</v>
      </c>
      <c r="J3258">
        <v>10.119999999999999</v>
      </c>
      <c r="K3258">
        <v>27.4</v>
      </c>
      <c r="L3258" t="s">
        <v>5027</v>
      </c>
      <c r="M3258">
        <v>6</v>
      </c>
      <c r="N3258">
        <v>3</v>
      </c>
      <c r="O3258">
        <v>1</v>
      </c>
    </row>
    <row r="3259" spans="1:15" x14ac:dyDescent="0.3">
      <c r="A3259" t="s">
        <v>3272</v>
      </c>
      <c r="B3259">
        <v>10</v>
      </c>
      <c r="C3259">
        <v>65</v>
      </c>
      <c r="D3259" t="s">
        <v>5015</v>
      </c>
      <c r="E3259" t="s">
        <v>5018</v>
      </c>
      <c r="F3259" t="s">
        <v>5023</v>
      </c>
      <c r="G3259">
        <v>13.77</v>
      </c>
      <c r="H3259">
        <v>5</v>
      </c>
      <c r="I3259">
        <v>6.5</v>
      </c>
      <c r="J3259">
        <v>13.56</v>
      </c>
      <c r="K3259">
        <v>36.1</v>
      </c>
      <c r="L3259" t="s">
        <v>5029</v>
      </c>
      <c r="M3259">
        <v>7</v>
      </c>
      <c r="N3259">
        <v>0</v>
      </c>
      <c r="O3259">
        <v>0</v>
      </c>
    </row>
    <row r="3260" spans="1:15" x14ac:dyDescent="0.3">
      <c r="A3260" t="s">
        <v>3273</v>
      </c>
      <c r="B3260">
        <v>1</v>
      </c>
      <c r="C3260">
        <v>40</v>
      </c>
      <c r="D3260" t="s">
        <v>5016</v>
      </c>
      <c r="E3260" t="s">
        <v>5017</v>
      </c>
      <c r="F3260" t="s">
        <v>5024</v>
      </c>
      <c r="G3260">
        <v>24.64</v>
      </c>
      <c r="H3260">
        <v>1</v>
      </c>
      <c r="I3260">
        <v>4.4000000000000004</v>
      </c>
      <c r="J3260">
        <v>22.38</v>
      </c>
      <c r="K3260">
        <v>89.8</v>
      </c>
      <c r="L3260" t="s">
        <v>5029</v>
      </c>
      <c r="M3260">
        <v>1</v>
      </c>
      <c r="N3260">
        <v>1</v>
      </c>
      <c r="O3260">
        <v>0</v>
      </c>
    </row>
    <row r="3261" spans="1:15" x14ac:dyDescent="0.3">
      <c r="A3261" t="s">
        <v>3274</v>
      </c>
      <c r="B3261">
        <v>5</v>
      </c>
      <c r="C3261">
        <v>23</v>
      </c>
      <c r="D3261" t="s">
        <v>5016</v>
      </c>
      <c r="E3261" t="s">
        <v>5018</v>
      </c>
      <c r="F3261" t="s">
        <v>5021</v>
      </c>
      <c r="G3261">
        <v>22.24</v>
      </c>
      <c r="H3261">
        <v>2</v>
      </c>
      <c r="I3261">
        <v>4.0999999999999996</v>
      </c>
      <c r="J3261">
        <v>24.42</v>
      </c>
      <c r="K3261">
        <v>22.4</v>
      </c>
      <c r="L3261" t="s">
        <v>5028</v>
      </c>
      <c r="M3261">
        <v>10</v>
      </c>
      <c r="N3261">
        <v>4</v>
      </c>
      <c r="O3261">
        <v>1</v>
      </c>
    </row>
    <row r="3262" spans="1:15" x14ac:dyDescent="0.3">
      <c r="A3262" t="s">
        <v>3275</v>
      </c>
      <c r="B3262">
        <v>3</v>
      </c>
      <c r="C3262">
        <v>68</v>
      </c>
      <c r="D3262" t="s">
        <v>5015</v>
      </c>
      <c r="E3262" t="s">
        <v>5018</v>
      </c>
      <c r="F3262" t="s">
        <v>5022</v>
      </c>
      <c r="G3262">
        <v>20.440000000000001</v>
      </c>
      <c r="H3262">
        <v>1</v>
      </c>
      <c r="I3262">
        <v>3.8</v>
      </c>
      <c r="J3262">
        <v>3.06</v>
      </c>
      <c r="K3262">
        <v>94.4</v>
      </c>
      <c r="L3262" t="s">
        <v>5026</v>
      </c>
      <c r="M3262">
        <v>4</v>
      </c>
      <c r="N3262">
        <v>2</v>
      </c>
      <c r="O3262">
        <v>1</v>
      </c>
    </row>
    <row r="3263" spans="1:15" x14ac:dyDescent="0.3">
      <c r="A3263" t="s">
        <v>3276</v>
      </c>
      <c r="B3263">
        <v>4</v>
      </c>
      <c r="C3263">
        <v>30</v>
      </c>
      <c r="D3263" t="s">
        <v>5016</v>
      </c>
      <c r="E3263" t="s">
        <v>5017</v>
      </c>
      <c r="F3263" t="s">
        <v>5020</v>
      </c>
      <c r="G3263">
        <v>10.48</v>
      </c>
      <c r="H3263">
        <v>1</v>
      </c>
      <c r="I3263">
        <v>7.1</v>
      </c>
      <c r="J3263">
        <v>19.260000000000002</v>
      </c>
      <c r="K3263">
        <v>83.4</v>
      </c>
      <c r="L3263" t="s">
        <v>5026</v>
      </c>
      <c r="M3263">
        <v>2</v>
      </c>
      <c r="N3263">
        <v>4</v>
      </c>
      <c r="O3263">
        <v>1</v>
      </c>
    </row>
    <row r="3264" spans="1:15" x14ac:dyDescent="0.3">
      <c r="A3264" t="s">
        <v>3277</v>
      </c>
      <c r="B3264">
        <v>2</v>
      </c>
      <c r="C3264">
        <v>66</v>
      </c>
      <c r="D3264" t="s">
        <v>5015</v>
      </c>
      <c r="E3264" t="s">
        <v>5017</v>
      </c>
      <c r="F3264" t="s">
        <v>5021</v>
      </c>
      <c r="G3264">
        <v>24.47</v>
      </c>
      <c r="H3264">
        <v>2</v>
      </c>
      <c r="I3264">
        <v>6.1</v>
      </c>
      <c r="J3264">
        <v>16.53</v>
      </c>
      <c r="K3264">
        <v>71.099999999999994</v>
      </c>
      <c r="L3264" t="s">
        <v>5027</v>
      </c>
      <c r="M3264">
        <v>7</v>
      </c>
      <c r="N3264">
        <v>3</v>
      </c>
      <c r="O3264">
        <v>0</v>
      </c>
    </row>
    <row r="3265" spans="1:15" x14ac:dyDescent="0.3">
      <c r="A3265" t="s">
        <v>3278</v>
      </c>
      <c r="B3265">
        <v>9</v>
      </c>
      <c r="C3265">
        <v>40</v>
      </c>
      <c r="D3265" t="s">
        <v>5015</v>
      </c>
      <c r="E3265" t="s">
        <v>5017</v>
      </c>
      <c r="F3265" t="s">
        <v>5022</v>
      </c>
      <c r="G3265">
        <v>19.86</v>
      </c>
      <c r="H3265">
        <v>1</v>
      </c>
      <c r="I3265">
        <v>8.6999999999999993</v>
      </c>
      <c r="J3265">
        <v>24.88</v>
      </c>
      <c r="K3265">
        <v>47.1</v>
      </c>
      <c r="L3265" t="s">
        <v>5027</v>
      </c>
      <c r="M3265">
        <v>3</v>
      </c>
      <c r="N3265">
        <v>0</v>
      </c>
      <c r="O3265">
        <v>0</v>
      </c>
    </row>
    <row r="3266" spans="1:15" x14ac:dyDescent="0.3">
      <c r="A3266" t="s">
        <v>3279</v>
      </c>
      <c r="B3266">
        <v>3</v>
      </c>
      <c r="C3266">
        <v>26</v>
      </c>
      <c r="D3266" t="s">
        <v>5016</v>
      </c>
      <c r="E3266" t="s">
        <v>5018</v>
      </c>
      <c r="F3266" t="s">
        <v>5020</v>
      </c>
      <c r="G3266">
        <v>17.100000000000001</v>
      </c>
      <c r="H3266">
        <v>3</v>
      </c>
      <c r="I3266">
        <v>3.2</v>
      </c>
      <c r="J3266">
        <v>4.9800000000000004</v>
      </c>
      <c r="K3266">
        <v>91.5</v>
      </c>
      <c r="L3266" t="s">
        <v>5027</v>
      </c>
      <c r="M3266">
        <v>9</v>
      </c>
      <c r="N3266">
        <v>3</v>
      </c>
      <c r="O3266">
        <v>0</v>
      </c>
    </row>
    <row r="3267" spans="1:15" x14ac:dyDescent="0.3">
      <c r="A3267" t="s">
        <v>3280</v>
      </c>
      <c r="B3267">
        <v>2</v>
      </c>
      <c r="C3267">
        <v>34</v>
      </c>
      <c r="D3267" t="s">
        <v>5015</v>
      </c>
      <c r="E3267" t="s">
        <v>5017</v>
      </c>
      <c r="F3267" t="s">
        <v>5023</v>
      </c>
      <c r="G3267">
        <v>23.44</v>
      </c>
      <c r="H3267">
        <v>3</v>
      </c>
      <c r="I3267">
        <v>1.4</v>
      </c>
      <c r="J3267">
        <v>20.85</v>
      </c>
      <c r="K3267">
        <v>57.5</v>
      </c>
      <c r="L3267" t="s">
        <v>5028</v>
      </c>
      <c r="M3267">
        <v>8</v>
      </c>
      <c r="N3267">
        <v>3</v>
      </c>
      <c r="O3267">
        <v>0</v>
      </c>
    </row>
    <row r="3268" spans="1:15" x14ac:dyDescent="0.3">
      <c r="A3268" t="s">
        <v>3281</v>
      </c>
      <c r="B3268">
        <v>10</v>
      </c>
      <c r="C3268">
        <v>19</v>
      </c>
      <c r="D3268" t="s">
        <v>5016</v>
      </c>
      <c r="E3268" t="s">
        <v>5018</v>
      </c>
      <c r="F3268" t="s">
        <v>5020</v>
      </c>
      <c r="G3268">
        <v>8.24</v>
      </c>
      <c r="H3268">
        <v>5</v>
      </c>
      <c r="I3268">
        <v>2.6</v>
      </c>
      <c r="J3268">
        <v>23.55</v>
      </c>
      <c r="K3268">
        <v>43.4</v>
      </c>
      <c r="L3268" t="s">
        <v>5028</v>
      </c>
      <c r="M3268">
        <v>10</v>
      </c>
      <c r="N3268">
        <v>1</v>
      </c>
      <c r="O3268">
        <v>0</v>
      </c>
    </row>
    <row r="3269" spans="1:15" x14ac:dyDescent="0.3">
      <c r="A3269" t="s">
        <v>3282</v>
      </c>
      <c r="B3269">
        <v>11</v>
      </c>
      <c r="C3269">
        <v>36</v>
      </c>
      <c r="D3269" t="s">
        <v>5016</v>
      </c>
      <c r="E3269" t="s">
        <v>5018</v>
      </c>
      <c r="F3269" t="s">
        <v>5022</v>
      </c>
      <c r="G3269">
        <v>7.78</v>
      </c>
      <c r="H3269">
        <v>3</v>
      </c>
      <c r="I3269">
        <v>4.0999999999999996</v>
      </c>
      <c r="J3269">
        <v>23.07</v>
      </c>
      <c r="K3269">
        <v>62.7</v>
      </c>
      <c r="L3269" t="s">
        <v>5027</v>
      </c>
      <c r="M3269">
        <v>7</v>
      </c>
      <c r="N3269">
        <v>3</v>
      </c>
      <c r="O3269">
        <v>0</v>
      </c>
    </row>
    <row r="3270" spans="1:15" x14ac:dyDescent="0.3">
      <c r="A3270" t="s">
        <v>3283</v>
      </c>
      <c r="B3270">
        <v>9</v>
      </c>
      <c r="C3270">
        <v>36</v>
      </c>
      <c r="D3270" t="s">
        <v>5015</v>
      </c>
      <c r="E3270" t="s">
        <v>5018</v>
      </c>
      <c r="F3270" t="s">
        <v>5023</v>
      </c>
      <c r="G3270">
        <v>16.27</v>
      </c>
      <c r="H3270">
        <v>2</v>
      </c>
      <c r="I3270">
        <v>2.6</v>
      </c>
      <c r="J3270">
        <v>15.33</v>
      </c>
      <c r="K3270">
        <v>30.9</v>
      </c>
      <c r="L3270" t="s">
        <v>5026</v>
      </c>
      <c r="M3270">
        <v>8</v>
      </c>
      <c r="N3270">
        <v>2</v>
      </c>
      <c r="O3270">
        <v>0</v>
      </c>
    </row>
    <row r="3271" spans="1:15" x14ac:dyDescent="0.3">
      <c r="A3271" t="s">
        <v>3284</v>
      </c>
      <c r="B3271">
        <v>7</v>
      </c>
      <c r="C3271">
        <v>24</v>
      </c>
      <c r="D3271" t="s">
        <v>5016</v>
      </c>
      <c r="E3271" t="s">
        <v>5017</v>
      </c>
      <c r="F3271" t="s">
        <v>5024</v>
      </c>
      <c r="G3271">
        <v>6.13</v>
      </c>
      <c r="H3271">
        <v>3</v>
      </c>
      <c r="I3271">
        <v>1.8</v>
      </c>
      <c r="J3271">
        <v>10.210000000000001</v>
      </c>
      <c r="K3271">
        <v>34.6</v>
      </c>
      <c r="L3271" t="s">
        <v>5025</v>
      </c>
      <c r="M3271">
        <v>1</v>
      </c>
      <c r="N3271">
        <v>1</v>
      </c>
      <c r="O3271">
        <v>0</v>
      </c>
    </row>
    <row r="3272" spans="1:15" x14ac:dyDescent="0.3">
      <c r="A3272" t="s">
        <v>3285</v>
      </c>
      <c r="B3272">
        <v>6</v>
      </c>
      <c r="C3272">
        <v>59</v>
      </c>
      <c r="D3272" t="s">
        <v>5015</v>
      </c>
      <c r="E3272" t="s">
        <v>5018</v>
      </c>
      <c r="F3272" t="s">
        <v>5020</v>
      </c>
      <c r="G3272">
        <v>18.28</v>
      </c>
      <c r="H3272">
        <v>5</v>
      </c>
      <c r="I3272">
        <v>5</v>
      </c>
      <c r="J3272">
        <v>17.079999999999998</v>
      </c>
      <c r="K3272">
        <v>92.7</v>
      </c>
      <c r="L3272" t="s">
        <v>5027</v>
      </c>
      <c r="M3272">
        <v>10</v>
      </c>
      <c r="N3272">
        <v>4</v>
      </c>
      <c r="O3272">
        <v>0</v>
      </c>
    </row>
    <row r="3273" spans="1:15" x14ac:dyDescent="0.3">
      <c r="A3273" t="s">
        <v>3286</v>
      </c>
      <c r="B3273">
        <v>1</v>
      </c>
      <c r="C3273">
        <v>59</v>
      </c>
      <c r="D3273" t="s">
        <v>5016</v>
      </c>
      <c r="E3273" t="s">
        <v>5018</v>
      </c>
      <c r="F3273" t="s">
        <v>5021</v>
      </c>
      <c r="G3273">
        <v>9.81</v>
      </c>
      <c r="H3273">
        <v>4</v>
      </c>
      <c r="I3273">
        <v>7.1</v>
      </c>
      <c r="J3273">
        <v>9.73</v>
      </c>
      <c r="K3273">
        <v>81.5</v>
      </c>
      <c r="L3273" t="s">
        <v>5026</v>
      </c>
      <c r="M3273">
        <v>6</v>
      </c>
      <c r="N3273">
        <v>3</v>
      </c>
      <c r="O3273">
        <v>0</v>
      </c>
    </row>
    <row r="3274" spans="1:15" x14ac:dyDescent="0.3">
      <c r="A3274" t="s">
        <v>3287</v>
      </c>
      <c r="B3274">
        <v>5</v>
      </c>
      <c r="C3274">
        <v>37</v>
      </c>
      <c r="D3274" t="s">
        <v>5015</v>
      </c>
      <c r="E3274" t="s">
        <v>5019</v>
      </c>
      <c r="F3274" t="s">
        <v>5023</v>
      </c>
      <c r="G3274">
        <v>7.38</v>
      </c>
      <c r="H3274">
        <v>4</v>
      </c>
      <c r="I3274">
        <v>7.8</v>
      </c>
      <c r="J3274">
        <v>12.07</v>
      </c>
      <c r="K3274">
        <v>56.2</v>
      </c>
      <c r="L3274" t="s">
        <v>5026</v>
      </c>
      <c r="M3274">
        <v>7</v>
      </c>
      <c r="N3274">
        <v>4</v>
      </c>
      <c r="O3274">
        <v>0</v>
      </c>
    </row>
    <row r="3275" spans="1:15" x14ac:dyDescent="0.3">
      <c r="A3275" t="s">
        <v>3288</v>
      </c>
      <c r="B3275">
        <v>12</v>
      </c>
      <c r="C3275">
        <v>26</v>
      </c>
      <c r="D3275" t="s">
        <v>5015</v>
      </c>
      <c r="E3275" t="s">
        <v>5019</v>
      </c>
      <c r="F3275" t="s">
        <v>5023</v>
      </c>
      <c r="G3275">
        <v>13.19</v>
      </c>
      <c r="H3275">
        <v>2</v>
      </c>
      <c r="I3275">
        <v>4.5999999999999996</v>
      </c>
      <c r="J3275">
        <v>12.81</v>
      </c>
      <c r="K3275">
        <v>47.5</v>
      </c>
      <c r="L3275" t="s">
        <v>5029</v>
      </c>
      <c r="M3275">
        <v>7</v>
      </c>
      <c r="N3275">
        <v>2</v>
      </c>
      <c r="O3275">
        <v>1</v>
      </c>
    </row>
    <row r="3276" spans="1:15" x14ac:dyDescent="0.3">
      <c r="A3276" t="s">
        <v>3289</v>
      </c>
      <c r="B3276">
        <v>11</v>
      </c>
      <c r="C3276">
        <v>34</v>
      </c>
      <c r="D3276" t="s">
        <v>5015</v>
      </c>
      <c r="E3276" t="s">
        <v>5018</v>
      </c>
      <c r="F3276" t="s">
        <v>5024</v>
      </c>
      <c r="G3276">
        <v>14.32</v>
      </c>
      <c r="H3276">
        <v>5</v>
      </c>
      <c r="I3276">
        <v>5.3</v>
      </c>
      <c r="J3276">
        <v>9.64</v>
      </c>
      <c r="K3276">
        <v>82.7</v>
      </c>
      <c r="L3276" t="s">
        <v>5025</v>
      </c>
      <c r="M3276">
        <v>9</v>
      </c>
      <c r="N3276">
        <v>2</v>
      </c>
      <c r="O3276">
        <v>0</v>
      </c>
    </row>
    <row r="3277" spans="1:15" x14ac:dyDescent="0.3">
      <c r="A3277" t="s">
        <v>3290</v>
      </c>
      <c r="B3277">
        <v>11</v>
      </c>
      <c r="C3277">
        <v>44</v>
      </c>
      <c r="D3277" t="s">
        <v>5016</v>
      </c>
      <c r="E3277" t="s">
        <v>5018</v>
      </c>
      <c r="F3277" t="s">
        <v>5020</v>
      </c>
      <c r="G3277">
        <v>8.41</v>
      </c>
      <c r="H3277">
        <v>3</v>
      </c>
      <c r="I3277">
        <v>7.8</v>
      </c>
      <c r="J3277">
        <v>10.52</v>
      </c>
      <c r="K3277">
        <v>61.4</v>
      </c>
      <c r="L3277" t="s">
        <v>5027</v>
      </c>
      <c r="M3277">
        <v>7</v>
      </c>
      <c r="N3277">
        <v>2</v>
      </c>
      <c r="O3277">
        <v>0</v>
      </c>
    </row>
    <row r="3278" spans="1:15" x14ac:dyDescent="0.3">
      <c r="A3278" t="s">
        <v>3291</v>
      </c>
      <c r="B3278">
        <v>3</v>
      </c>
      <c r="C3278">
        <v>64</v>
      </c>
      <c r="D3278" t="s">
        <v>5015</v>
      </c>
      <c r="E3278" t="s">
        <v>5018</v>
      </c>
      <c r="F3278" t="s">
        <v>5021</v>
      </c>
      <c r="G3278">
        <v>5.83</v>
      </c>
      <c r="H3278">
        <v>5</v>
      </c>
      <c r="I3278">
        <v>4.2</v>
      </c>
      <c r="J3278">
        <v>3.16</v>
      </c>
      <c r="K3278">
        <v>47.4</v>
      </c>
      <c r="L3278" t="s">
        <v>5025</v>
      </c>
      <c r="M3278">
        <v>7</v>
      </c>
      <c r="N3278">
        <v>4</v>
      </c>
      <c r="O3278">
        <v>0</v>
      </c>
    </row>
    <row r="3279" spans="1:15" x14ac:dyDescent="0.3">
      <c r="A3279" t="s">
        <v>3292</v>
      </c>
      <c r="B3279">
        <v>1</v>
      </c>
      <c r="C3279">
        <v>19</v>
      </c>
      <c r="D3279" t="s">
        <v>5016</v>
      </c>
      <c r="E3279" t="s">
        <v>5019</v>
      </c>
      <c r="F3279" t="s">
        <v>5024</v>
      </c>
      <c r="G3279">
        <v>13.28</v>
      </c>
      <c r="H3279">
        <v>1</v>
      </c>
      <c r="I3279">
        <v>8.1</v>
      </c>
      <c r="J3279">
        <v>9.5399999999999991</v>
      </c>
      <c r="K3279">
        <v>56.4</v>
      </c>
      <c r="L3279" t="s">
        <v>5027</v>
      </c>
      <c r="M3279">
        <v>6</v>
      </c>
      <c r="N3279">
        <v>4</v>
      </c>
      <c r="O3279">
        <v>0</v>
      </c>
    </row>
    <row r="3280" spans="1:15" x14ac:dyDescent="0.3">
      <c r="A3280" t="s">
        <v>3293</v>
      </c>
      <c r="B3280">
        <v>4</v>
      </c>
      <c r="C3280">
        <v>53</v>
      </c>
      <c r="D3280" t="s">
        <v>5016</v>
      </c>
      <c r="E3280" t="s">
        <v>5017</v>
      </c>
      <c r="F3280" t="s">
        <v>5020</v>
      </c>
      <c r="G3280">
        <v>20.190000000000001</v>
      </c>
      <c r="H3280">
        <v>5</v>
      </c>
      <c r="I3280">
        <v>9.6999999999999993</v>
      </c>
      <c r="J3280">
        <v>13.39</v>
      </c>
      <c r="K3280">
        <v>30.9</v>
      </c>
      <c r="L3280" t="s">
        <v>5025</v>
      </c>
      <c r="M3280">
        <v>3</v>
      </c>
      <c r="N3280">
        <v>0</v>
      </c>
      <c r="O3280">
        <v>1</v>
      </c>
    </row>
    <row r="3281" spans="1:15" x14ac:dyDescent="0.3">
      <c r="A3281" t="s">
        <v>3294</v>
      </c>
      <c r="B3281">
        <v>2</v>
      </c>
      <c r="C3281">
        <v>36</v>
      </c>
      <c r="D3281" t="s">
        <v>5016</v>
      </c>
      <c r="E3281" t="s">
        <v>5019</v>
      </c>
      <c r="F3281" t="s">
        <v>5021</v>
      </c>
      <c r="G3281">
        <v>22.48</v>
      </c>
      <c r="H3281">
        <v>3</v>
      </c>
      <c r="I3281">
        <v>8.9</v>
      </c>
      <c r="J3281">
        <v>6.81</v>
      </c>
      <c r="K3281">
        <v>28.2</v>
      </c>
      <c r="L3281" t="s">
        <v>5025</v>
      </c>
      <c r="M3281">
        <v>6</v>
      </c>
      <c r="N3281">
        <v>1</v>
      </c>
      <c r="O3281">
        <v>1</v>
      </c>
    </row>
    <row r="3282" spans="1:15" x14ac:dyDescent="0.3">
      <c r="A3282" t="s">
        <v>3295</v>
      </c>
      <c r="B3282">
        <v>2</v>
      </c>
      <c r="C3282">
        <v>34</v>
      </c>
      <c r="D3282" t="s">
        <v>5016</v>
      </c>
      <c r="E3282" t="s">
        <v>5018</v>
      </c>
      <c r="F3282" t="s">
        <v>5021</v>
      </c>
      <c r="G3282">
        <v>6.95</v>
      </c>
      <c r="H3282">
        <v>2</v>
      </c>
      <c r="I3282">
        <v>5.0999999999999996</v>
      </c>
      <c r="J3282">
        <v>20.72</v>
      </c>
      <c r="K3282">
        <v>99</v>
      </c>
      <c r="L3282" t="s">
        <v>5026</v>
      </c>
      <c r="M3282">
        <v>9</v>
      </c>
      <c r="N3282">
        <v>3</v>
      </c>
      <c r="O3282">
        <v>1</v>
      </c>
    </row>
    <row r="3283" spans="1:15" x14ac:dyDescent="0.3">
      <c r="A3283" t="s">
        <v>3296</v>
      </c>
      <c r="B3283">
        <v>3</v>
      </c>
      <c r="C3283">
        <v>22</v>
      </c>
      <c r="D3283" t="s">
        <v>5016</v>
      </c>
      <c r="E3283" t="s">
        <v>5018</v>
      </c>
      <c r="F3283" t="s">
        <v>5022</v>
      </c>
      <c r="G3283">
        <v>15.49</v>
      </c>
      <c r="H3283">
        <v>1</v>
      </c>
      <c r="I3283">
        <v>6.2</v>
      </c>
      <c r="J3283">
        <v>14.83</v>
      </c>
      <c r="K3283">
        <v>97.3</v>
      </c>
      <c r="L3283" t="s">
        <v>5025</v>
      </c>
      <c r="M3283">
        <v>11</v>
      </c>
      <c r="N3283">
        <v>1</v>
      </c>
      <c r="O3283">
        <v>0</v>
      </c>
    </row>
    <row r="3284" spans="1:15" x14ac:dyDescent="0.3">
      <c r="A3284" t="s">
        <v>3297</v>
      </c>
      <c r="B3284">
        <v>8</v>
      </c>
      <c r="C3284">
        <v>56</v>
      </c>
      <c r="D3284" t="s">
        <v>5015</v>
      </c>
      <c r="E3284" t="s">
        <v>5017</v>
      </c>
      <c r="F3284" t="s">
        <v>5021</v>
      </c>
      <c r="G3284">
        <v>10.27</v>
      </c>
      <c r="H3284">
        <v>5</v>
      </c>
      <c r="I3284">
        <v>7.4</v>
      </c>
      <c r="J3284">
        <v>20.47</v>
      </c>
      <c r="K3284">
        <v>47.9</v>
      </c>
      <c r="L3284" t="s">
        <v>5025</v>
      </c>
      <c r="M3284">
        <v>10</v>
      </c>
      <c r="N3284">
        <v>2</v>
      </c>
      <c r="O3284">
        <v>0</v>
      </c>
    </row>
    <row r="3285" spans="1:15" x14ac:dyDescent="0.3">
      <c r="A3285" t="s">
        <v>3298</v>
      </c>
      <c r="B3285">
        <v>8</v>
      </c>
      <c r="C3285">
        <v>35</v>
      </c>
      <c r="D3285" t="s">
        <v>5016</v>
      </c>
      <c r="E3285" t="s">
        <v>5018</v>
      </c>
      <c r="F3285" t="s">
        <v>5020</v>
      </c>
      <c r="G3285">
        <v>12.49</v>
      </c>
      <c r="H3285">
        <v>4</v>
      </c>
      <c r="I3285">
        <v>4.0999999999999996</v>
      </c>
      <c r="J3285">
        <v>5.82</v>
      </c>
      <c r="K3285">
        <v>56.4</v>
      </c>
      <c r="L3285" t="s">
        <v>5027</v>
      </c>
      <c r="M3285">
        <v>3</v>
      </c>
      <c r="N3285">
        <v>3</v>
      </c>
      <c r="O3285">
        <v>0</v>
      </c>
    </row>
    <row r="3286" spans="1:15" x14ac:dyDescent="0.3">
      <c r="A3286" t="s">
        <v>3299</v>
      </c>
      <c r="B3286">
        <v>12</v>
      </c>
      <c r="C3286">
        <v>24</v>
      </c>
      <c r="D3286" t="s">
        <v>5015</v>
      </c>
      <c r="E3286" t="s">
        <v>5018</v>
      </c>
      <c r="F3286" t="s">
        <v>5024</v>
      </c>
      <c r="G3286">
        <v>23.67</v>
      </c>
      <c r="H3286">
        <v>3</v>
      </c>
      <c r="I3286">
        <v>8.1999999999999993</v>
      </c>
      <c r="J3286">
        <v>21.05</v>
      </c>
      <c r="K3286">
        <v>84.4</v>
      </c>
      <c r="L3286" t="s">
        <v>5026</v>
      </c>
      <c r="M3286">
        <v>3</v>
      </c>
      <c r="N3286">
        <v>0</v>
      </c>
      <c r="O3286">
        <v>0</v>
      </c>
    </row>
    <row r="3287" spans="1:15" x14ac:dyDescent="0.3">
      <c r="A3287" t="s">
        <v>3300</v>
      </c>
      <c r="B3287">
        <v>7</v>
      </c>
      <c r="C3287">
        <v>34</v>
      </c>
      <c r="D3287" t="s">
        <v>5015</v>
      </c>
      <c r="E3287" t="s">
        <v>5017</v>
      </c>
      <c r="F3287" t="s">
        <v>5024</v>
      </c>
      <c r="G3287">
        <v>12.04</v>
      </c>
      <c r="H3287">
        <v>2</v>
      </c>
      <c r="I3287">
        <v>4.9000000000000004</v>
      </c>
      <c r="J3287">
        <v>24.08</v>
      </c>
      <c r="K3287">
        <v>75.3</v>
      </c>
      <c r="L3287" t="s">
        <v>5025</v>
      </c>
      <c r="M3287">
        <v>11</v>
      </c>
      <c r="N3287">
        <v>1</v>
      </c>
      <c r="O3287">
        <v>0</v>
      </c>
    </row>
    <row r="3288" spans="1:15" x14ac:dyDescent="0.3">
      <c r="A3288" t="s">
        <v>3301</v>
      </c>
      <c r="B3288">
        <v>6</v>
      </c>
      <c r="C3288">
        <v>56</v>
      </c>
      <c r="D3288" t="s">
        <v>5016</v>
      </c>
      <c r="E3288" t="s">
        <v>5017</v>
      </c>
      <c r="F3288" t="s">
        <v>5022</v>
      </c>
      <c r="G3288">
        <v>12.31</v>
      </c>
      <c r="H3288">
        <v>3</v>
      </c>
      <c r="I3288">
        <v>8.6</v>
      </c>
      <c r="J3288">
        <v>10.75</v>
      </c>
      <c r="K3288">
        <v>19</v>
      </c>
      <c r="L3288" t="s">
        <v>5026</v>
      </c>
      <c r="M3288">
        <v>7</v>
      </c>
      <c r="N3288">
        <v>2</v>
      </c>
      <c r="O3288">
        <v>0</v>
      </c>
    </row>
    <row r="3289" spans="1:15" x14ac:dyDescent="0.3">
      <c r="A3289" t="s">
        <v>3302</v>
      </c>
      <c r="B3289">
        <v>9</v>
      </c>
      <c r="C3289">
        <v>53</v>
      </c>
      <c r="D3289" t="s">
        <v>5015</v>
      </c>
      <c r="E3289" t="s">
        <v>5019</v>
      </c>
      <c r="F3289" t="s">
        <v>5020</v>
      </c>
      <c r="G3289">
        <v>9.19</v>
      </c>
      <c r="H3289">
        <v>5</v>
      </c>
      <c r="I3289">
        <v>3.3</v>
      </c>
      <c r="J3289">
        <v>9.25</v>
      </c>
      <c r="K3289">
        <v>43.7</v>
      </c>
      <c r="L3289" t="s">
        <v>5026</v>
      </c>
      <c r="M3289">
        <v>7</v>
      </c>
      <c r="N3289">
        <v>3</v>
      </c>
      <c r="O3289">
        <v>0</v>
      </c>
    </row>
    <row r="3290" spans="1:15" x14ac:dyDescent="0.3">
      <c r="A3290" t="s">
        <v>3303</v>
      </c>
      <c r="B3290">
        <v>4</v>
      </c>
      <c r="C3290">
        <v>57</v>
      </c>
      <c r="D3290" t="s">
        <v>5015</v>
      </c>
      <c r="E3290" t="s">
        <v>5018</v>
      </c>
      <c r="F3290" t="s">
        <v>5021</v>
      </c>
      <c r="G3290">
        <v>24.2</v>
      </c>
      <c r="H3290">
        <v>2</v>
      </c>
      <c r="I3290">
        <v>1.1000000000000001</v>
      </c>
      <c r="J3290">
        <v>17.23</v>
      </c>
      <c r="K3290">
        <v>32.5</v>
      </c>
      <c r="L3290" t="s">
        <v>5028</v>
      </c>
      <c r="M3290">
        <v>5</v>
      </c>
      <c r="N3290">
        <v>3</v>
      </c>
      <c r="O3290">
        <v>0</v>
      </c>
    </row>
    <row r="3291" spans="1:15" x14ac:dyDescent="0.3">
      <c r="A3291" t="s">
        <v>3304</v>
      </c>
      <c r="B3291">
        <v>12</v>
      </c>
      <c r="C3291">
        <v>62</v>
      </c>
      <c r="D3291" t="s">
        <v>5016</v>
      </c>
      <c r="E3291" t="s">
        <v>5018</v>
      </c>
      <c r="F3291" t="s">
        <v>5022</v>
      </c>
      <c r="G3291">
        <v>14.13</v>
      </c>
      <c r="H3291">
        <v>4</v>
      </c>
      <c r="I3291">
        <v>6.7</v>
      </c>
      <c r="J3291">
        <v>16.989999999999998</v>
      </c>
      <c r="K3291">
        <v>99.3</v>
      </c>
      <c r="L3291" t="s">
        <v>5027</v>
      </c>
      <c r="M3291">
        <v>8</v>
      </c>
      <c r="N3291">
        <v>2</v>
      </c>
      <c r="O3291">
        <v>1</v>
      </c>
    </row>
    <row r="3292" spans="1:15" x14ac:dyDescent="0.3">
      <c r="A3292" t="s">
        <v>3305</v>
      </c>
      <c r="B3292">
        <v>1</v>
      </c>
      <c r="C3292">
        <v>21</v>
      </c>
      <c r="D3292" t="s">
        <v>5015</v>
      </c>
      <c r="E3292" t="s">
        <v>5017</v>
      </c>
      <c r="F3292" t="s">
        <v>5023</v>
      </c>
      <c r="G3292">
        <v>16.41</v>
      </c>
      <c r="H3292">
        <v>1</v>
      </c>
      <c r="I3292">
        <v>5.0999999999999996</v>
      </c>
      <c r="J3292">
        <v>5.47</v>
      </c>
      <c r="K3292">
        <v>77.400000000000006</v>
      </c>
      <c r="L3292" t="s">
        <v>5028</v>
      </c>
      <c r="M3292">
        <v>8</v>
      </c>
      <c r="N3292">
        <v>4</v>
      </c>
      <c r="O3292">
        <v>1</v>
      </c>
    </row>
    <row r="3293" spans="1:15" x14ac:dyDescent="0.3">
      <c r="A3293" t="s">
        <v>3306</v>
      </c>
      <c r="B3293">
        <v>8</v>
      </c>
      <c r="C3293">
        <v>55</v>
      </c>
      <c r="D3293" t="s">
        <v>5016</v>
      </c>
      <c r="E3293" t="s">
        <v>5019</v>
      </c>
      <c r="F3293" t="s">
        <v>5020</v>
      </c>
      <c r="G3293">
        <v>14.06</v>
      </c>
      <c r="H3293">
        <v>5</v>
      </c>
      <c r="I3293">
        <v>1.5</v>
      </c>
      <c r="J3293">
        <v>23.39</v>
      </c>
      <c r="K3293">
        <v>14.3</v>
      </c>
      <c r="L3293" t="s">
        <v>5026</v>
      </c>
      <c r="M3293">
        <v>11</v>
      </c>
      <c r="N3293">
        <v>1</v>
      </c>
      <c r="O3293">
        <v>0</v>
      </c>
    </row>
    <row r="3294" spans="1:15" x14ac:dyDescent="0.3">
      <c r="A3294" t="s">
        <v>3307</v>
      </c>
      <c r="B3294">
        <v>7</v>
      </c>
      <c r="C3294">
        <v>42</v>
      </c>
      <c r="D3294" t="s">
        <v>5016</v>
      </c>
      <c r="E3294" t="s">
        <v>5019</v>
      </c>
      <c r="F3294" t="s">
        <v>5022</v>
      </c>
      <c r="G3294">
        <v>10.06</v>
      </c>
      <c r="H3294">
        <v>2</v>
      </c>
      <c r="I3294">
        <v>5.4</v>
      </c>
      <c r="J3294">
        <v>13.54</v>
      </c>
      <c r="K3294">
        <v>91</v>
      </c>
      <c r="L3294" t="s">
        <v>5025</v>
      </c>
      <c r="M3294">
        <v>11</v>
      </c>
      <c r="N3294">
        <v>3</v>
      </c>
      <c r="O3294">
        <v>0</v>
      </c>
    </row>
    <row r="3295" spans="1:15" x14ac:dyDescent="0.3">
      <c r="A3295" t="s">
        <v>3308</v>
      </c>
      <c r="B3295">
        <v>7</v>
      </c>
      <c r="C3295">
        <v>22</v>
      </c>
      <c r="D3295" t="s">
        <v>5016</v>
      </c>
      <c r="E3295" t="s">
        <v>5018</v>
      </c>
      <c r="F3295" t="s">
        <v>5024</v>
      </c>
      <c r="G3295">
        <v>21.21</v>
      </c>
      <c r="H3295">
        <v>1</v>
      </c>
      <c r="I3295">
        <v>2.5</v>
      </c>
      <c r="J3295">
        <v>19.82</v>
      </c>
      <c r="K3295">
        <v>93.5</v>
      </c>
      <c r="L3295" t="s">
        <v>5027</v>
      </c>
      <c r="M3295">
        <v>2</v>
      </c>
      <c r="N3295">
        <v>4</v>
      </c>
      <c r="O3295">
        <v>0</v>
      </c>
    </row>
    <row r="3296" spans="1:15" x14ac:dyDescent="0.3">
      <c r="A3296" t="s">
        <v>3309</v>
      </c>
      <c r="B3296">
        <v>3</v>
      </c>
      <c r="C3296">
        <v>47</v>
      </c>
      <c r="D3296" t="s">
        <v>5015</v>
      </c>
      <c r="E3296" t="s">
        <v>5018</v>
      </c>
      <c r="F3296" t="s">
        <v>5022</v>
      </c>
      <c r="G3296">
        <v>5.57</v>
      </c>
      <c r="H3296">
        <v>2</v>
      </c>
      <c r="I3296">
        <v>6.7</v>
      </c>
      <c r="J3296">
        <v>10.9</v>
      </c>
      <c r="K3296">
        <v>40</v>
      </c>
      <c r="L3296" t="s">
        <v>5029</v>
      </c>
      <c r="M3296">
        <v>11</v>
      </c>
      <c r="N3296">
        <v>0</v>
      </c>
      <c r="O3296">
        <v>0</v>
      </c>
    </row>
    <row r="3297" spans="1:15" x14ac:dyDescent="0.3">
      <c r="A3297" t="s">
        <v>3310</v>
      </c>
      <c r="B3297">
        <v>4</v>
      </c>
      <c r="C3297">
        <v>29</v>
      </c>
      <c r="D3297" t="s">
        <v>5015</v>
      </c>
      <c r="E3297" t="s">
        <v>5018</v>
      </c>
      <c r="F3297" t="s">
        <v>5023</v>
      </c>
      <c r="G3297">
        <v>18.8</v>
      </c>
      <c r="H3297">
        <v>5</v>
      </c>
      <c r="I3297">
        <v>5</v>
      </c>
      <c r="J3297">
        <v>8.75</v>
      </c>
      <c r="K3297">
        <v>67.8</v>
      </c>
      <c r="L3297" t="s">
        <v>5027</v>
      </c>
      <c r="M3297">
        <v>6</v>
      </c>
      <c r="N3297">
        <v>3</v>
      </c>
      <c r="O3297">
        <v>0</v>
      </c>
    </row>
    <row r="3298" spans="1:15" x14ac:dyDescent="0.3">
      <c r="A3298" t="s">
        <v>3311</v>
      </c>
      <c r="B3298">
        <v>10</v>
      </c>
      <c r="C3298">
        <v>21</v>
      </c>
      <c r="D3298" t="s">
        <v>5015</v>
      </c>
      <c r="E3298" t="s">
        <v>5018</v>
      </c>
      <c r="F3298" t="s">
        <v>5020</v>
      </c>
      <c r="G3298">
        <v>16.89</v>
      </c>
      <c r="H3298">
        <v>2</v>
      </c>
      <c r="I3298">
        <v>2.5</v>
      </c>
      <c r="J3298">
        <v>5.45</v>
      </c>
      <c r="K3298">
        <v>71.400000000000006</v>
      </c>
      <c r="L3298" t="s">
        <v>5028</v>
      </c>
      <c r="M3298">
        <v>5</v>
      </c>
      <c r="N3298">
        <v>3</v>
      </c>
      <c r="O3298">
        <v>0</v>
      </c>
    </row>
    <row r="3299" spans="1:15" x14ac:dyDescent="0.3">
      <c r="A3299" t="s">
        <v>3312</v>
      </c>
      <c r="B3299">
        <v>9</v>
      </c>
      <c r="C3299">
        <v>41</v>
      </c>
      <c r="D3299" t="s">
        <v>5015</v>
      </c>
      <c r="E3299" t="s">
        <v>5017</v>
      </c>
      <c r="F3299" t="s">
        <v>5022</v>
      </c>
      <c r="G3299">
        <v>7.89</v>
      </c>
      <c r="H3299">
        <v>4</v>
      </c>
      <c r="I3299">
        <v>4.7</v>
      </c>
      <c r="J3299">
        <v>9.0399999999999991</v>
      </c>
      <c r="K3299">
        <v>75.7</v>
      </c>
      <c r="L3299" t="s">
        <v>5027</v>
      </c>
      <c r="M3299">
        <v>4</v>
      </c>
      <c r="N3299">
        <v>0</v>
      </c>
      <c r="O3299">
        <v>1</v>
      </c>
    </row>
    <row r="3300" spans="1:15" x14ac:dyDescent="0.3">
      <c r="A3300" t="s">
        <v>3313</v>
      </c>
      <c r="B3300">
        <v>6</v>
      </c>
      <c r="C3300">
        <v>46</v>
      </c>
      <c r="D3300" t="s">
        <v>5016</v>
      </c>
      <c r="E3300" t="s">
        <v>5019</v>
      </c>
      <c r="F3300" t="s">
        <v>5021</v>
      </c>
      <c r="G3300">
        <v>8.32</v>
      </c>
      <c r="H3300">
        <v>2</v>
      </c>
      <c r="I3300">
        <v>3.1</v>
      </c>
      <c r="J3300">
        <v>24.86</v>
      </c>
      <c r="K3300">
        <v>72.400000000000006</v>
      </c>
      <c r="L3300" t="s">
        <v>5025</v>
      </c>
      <c r="M3300">
        <v>7</v>
      </c>
      <c r="N3300">
        <v>0</v>
      </c>
      <c r="O3300">
        <v>1</v>
      </c>
    </row>
    <row r="3301" spans="1:15" x14ac:dyDescent="0.3">
      <c r="A3301" t="s">
        <v>3314</v>
      </c>
      <c r="B3301">
        <v>5</v>
      </c>
      <c r="C3301">
        <v>26</v>
      </c>
      <c r="D3301" t="s">
        <v>5016</v>
      </c>
      <c r="E3301" t="s">
        <v>5018</v>
      </c>
      <c r="F3301" t="s">
        <v>5020</v>
      </c>
      <c r="G3301">
        <v>18.18</v>
      </c>
      <c r="H3301">
        <v>5</v>
      </c>
      <c r="I3301">
        <v>6.9</v>
      </c>
      <c r="J3301">
        <v>17.48</v>
      </c>
      <c r="K3301">
        <v>60.4</v>
      </c>
      <c r="L3301" t="s">
        <v>5027</v>
      </c>
      <c r="M3301">
        <v>4</v>
      </c>
      <c r="N3301">
        <v>3</v>
      </c>
      <c r="O3301">
        <v>0</v>
      </c>
    </row>
    <row r="3302" spans="1:15" x14ac:dyDescent="0.3">
      <c r="A3302" t="s">
        <v>3315</v>
      </c>
      <c r="B3302">
        <v>3</v>
      </c>
      <c r="C3302">
        <v>21</v>
      </c>
      <c r="D3302" t="s">
        <v>5015</v>
      </c>
      <c r="E3302" t="s">
        <v>5018</v>
      </c>
      <c r="F3302" t="s">
        <v>5022</v>
      </c>
      <c r="G3302">
        <v>11.24</v>
      </c>
      <c r="H3302">
        <v>2</v>
      </c>
      <c r="I3302">
        <v>3.7</v>
      </c>
      <c r="J3302">
        <v>20.66</v>
      </c>
      <c r="K3302">
        <v>95.8</v>
      </c>
      <c r="L3302" t="s">
        <v>5029</v>
      </c>
      <c r="M3302">
        <v>5</v>
      </c>
      <c r="N3302">
        <v>2</v>
      </c>
      <c r="O3302">
        <v>0</v>
      </c>
    </row>
    <row r="3303" spans="1:15" x14ac:dyDescent="0.3">
      <c r="A3303" t="s">
        <v>3316</v>
      </c>
      <c r="B3303">
        <v>9</v>
      </c>
      <c r="C3303">
        <v>68</v>
      </c>
      <c r="D3303" t="s">
        <v>5016</v>
      </c>
      <c r="E3303" t="s">
        <v>5018</v>
      </c>
      <c r="F3303" t="s">
        <v>5022</v>
      </c>
      <c r="G3303">
        <v>10.31</v>
      </c>
      <c r="H3303">
        <v>1</v>
      </c>
      <c r="I3303">
        <v>8.4</v>
      </c>
      <c r="J3303">
        <v>24.09</v>
      </c>
      <c r="K3303">
        <v>56.1</v>
      </c>
      <c r="L3303" t="s">
        <v>5028</v>
      </c>
      <c r="M3303">
        <v>8</v>
      </c>
      <c r="N3303">
        <v>0</v>
      </c>
      <c r="O3303">
        <v>0</v>
      </c>
    </row>
    <row r="3304" spans="1:15" x14ac:dyDescent="0.3">
      <c r="A3304" t="s">
        <v>3317</v>
      </c>
      <c r="B3304">
        <v>5</v>
      </c>
      <c r="C3304">
        <v>41</v>
      </c>
      <c r="D3304" t="s">
        <v>5015</v>
      </c>
      <c r="E3304" t="s">
        <v>5019</v>
      </c>
      <c r="F3304" t="s">
        <v>5020</v>
      </c>
      <c r="G3304">
        <v>6.18</v>
      </c>
      <c r="H3304">
        <v>1</v>
      </c>
      <c r="I3304">
        <v>1.1000000000000001</v>
      </c>
      <c r="J3304">
        <v>4.74</v>
      </c>
      <c r="K3304">
        <v>20</v>
      </c>
      <c r="L3304" t="s">
        <v>5028</v>
      </c>
      <c r="M3304">
        <v>5</v>
      </c>
      <c r="N3304">
        <v>4</v>
      </c>
      <c r="O3304">
        <v>1</v>
      </c>
    </row>
    <row r="3305" spans="1:15" x14ac:dyDescent="0.3">
      <c r="A3305" t="s">
        <v>3318</v>
      </c>
      <c r="B3305">
        <v>5</v>
      </c>
      <c r="C3305">
        <v>31</v>
      </c>
      <c r="D3305" t="s">
        <v>5016</v>
      </c>
      <c r="E3305" t="s">
        <v>5017</v>
      </c>
      <c r="F3305" t="s">
        <v>5024</v>
      </c>
      <c r="G3305">
        <v>20.329999999999998</v>
      </c>
      <c r="H3305">
        <v>3</v>
      </c>
      <c r="I3305">
        <v>4.5999999999999996</v>
      </c>
      <c r="J3305">
        <v>6.62</v>
      </c>
      <c r="K3305">
        <v>17.2</v>
      </c>
      <c r="L3305" t="s">
        <v>5026</v>
      </c>
      <c r="M3305">
        <v>11</v>
      </c>
      <c r="N3305">
        <v>0</v>
      </c>
      <c r="O3305">
        <v>1</v>
      </c>
    </row>
    <row r="3306" spans="1:15" x14ac:dyDescent="0.3">
      <c r="A3306" t="s">
        <v>3319</v>
      </c>
      <c r="B3306">
        <v>4</v>
      </c>
      <c r="C3306">
        <v>22</v>
      </c>
      <c r="D3306" t="s">
        <v>5016</v>
      </c>
      <c r="E3306" t="s">
        <v>5017</v>
      </c>
      <c r="F3306" t="s">
        <v>5021</v>
      </c>
      <c r="G3306">
        <v>22.65</v>
      </c>
      <c r="H3306">
        <v>3</v>
      </c>
      <c r="I3306">
        <v>6.6</v>
      </c>
      <c r="J3306">
        <v>23.42</v>
      </c>
      <c r="K3306">
        <v>11.7</v>
      </c>
      <c r="L3306" t="s">
        <v>5028</v>
      </c>
      <c r="M3306">
        <v>11</v>
      </c>
      <c r="N3306">
        <v>3</v>
      </c>
      <c r="O3306">
        <v>0</v>
      </c>
    </row>
    <row r="3307" spans="1:15" x14ac:dyDescent="0.3">
      <c r="A3307" t="s">
        <v>3320</v>
      </c>
      <c r="B3307">
        <v>4</v>
      </c>
      <c r="C3307">
        <v>35</v>
      </c>
      <c r="D3307" t="s">
        <v>5016</v>
      </c>
      <c r="E3307" t="s">
        <v>5018</v>
      </c>
      <c r="F3307" t="s">
        <v>5020</v>
      </c>
      <c r="G3307">
        <v>21.4</v>
      </c>
      <c r="H3307">
        <v>4</v>
      </c>
      <c r="I3307">
        <v>1.2</v>
      </c>
      <c r="J3307">
        <v>15.42</v>
      </c>
      <c r="K3307">
        <v>48.5</v>
      </c>
      <c r="L3307" t="s">
        <v>5029</v>
      </c>
      <c r="M3307">
        <v>9</v>
      </c>
      <c r="N3307">
        <v>3</v>
      </c>
      <c r="O3307">
        <v>1</v>
      </c>
    </row>
    <row r="3308" spans="1:15" x14ac:dyDescent="0.3">
      <c r="A3308" t="s">
        <v>3321</v>
      </c>
      <c r="B3308">
        <v>12</v>
      </c>
      <c r="C3308">
        <v>59</v>
      </c>
      <c r="D3308" t="s">
        <v>5016</v>
      </c>
      <c r="E3308" t="s">
        <v>5018</v>
      </c>
      <c r="F3308" t="s">
        <v>5021</v>
      </c>
      <c r="G3308">
        <v>14.32</v>
      </c>
      <c r="H3308">
        <v>1</v>
      </c>
      <c r="I3308">
        <v>2.9</v>
      </c>
      <c r="J3308">
        <v>16.97</v>
      </c>
      <c r="K3308">
        <v>34.6</v>
      </c>
      <c r="L3308" t="s">
        <v>5029</v>
      </c>
      <c r="M3308">
        <v>10</v>
      </c>
      <c r="N3308">
        <v>1</v>
      </c>
      <c r="O3308">
        <v>0</v>
      </c>
    </row>
    <row r="3309" spans="1:15" x14ac:dyDescent="0.3">
      <c r="A3309" t="s">
        <v>3322</v>
      </c>
      <c r="B3309">
        <v>1</v>
      </c>
      <c r="C3309">
        <v>36</v>
      </c>
      <c r="D3309" t="s">
        <v>5016</v>
      </c>
      <c r="E3309" t="s">
        <v>5019</v>
      </c>
      <c r="F3309" t="s">
        <v>5021</v>
      </c>
      <c r="G3309">
        <v>15.68</v>
      </c>
      <c r="H3309">
        <v>3</v>
      </c>
      <c r="I3309">
        <v>3.9</v>
      </c>
      <c r="J3309">
        <v>12.41</v>
      </c>
      <c r="K3309">
        <v>90.6</v>
      </c>
      <c r="L3309" t="s">
        <v>5028</v>
      </c>
      <c r="M3309">
        <v>2</v>
      </c>
      <c r="N3309">
        <v>4</v>
      </c>
      <c r="O3309">
        <v>0</v>
      </c>
    </row>
    <row r="3310" spans="1:15" x14ac:dyDescent="0.3">
      <c r="A3310" t="s">
        <v>3323</v>
      </c>
      <c r="B3310">
        <v>7</v>
      </c>
      <c r="C3310">
        <v>29</v>
      </c>
      <c r="D3310" t="s">
        <v>5015</v>
      </c>
      <c r="E3310" t="s">
        <v>5017</v>
      </c>
      <c r="F3310" t="s">
        <v>5020</v>
      </c>
      <c r="G3310">
        <v>9.85</v>
      </c>
      <c r="H3310">
        <v>2</v>
      </c>
      <c r="I3310">
        <v>1.2</v>
      </c>
      <c r="J3310">
        <v>20.92</v>
      </c>
      <c r="K3310">
        <v>88</v>
      </c>
      <c r="L3310" t="s">
        <v>5027</v>
      </c>
      <c r="M3310">
        <v>2</v>
      </c>
      <c r="N3310">
        <v>1</v>
      </c>
      <c r="O3310">
        <v>1</v>
      </c>
    </row>
    <row r="3311" spans="1:15" x14ac:dyDescent="0.3">
      <c r="A3311" t="s">
        <v>3324</v>
      </c>
      <c r="B3311">
        <v>9</v>
      </c>
      <c r="C3311">
        <v>35</v>
      </c>
      <c r="D3311" t="s">
        <v>5015</v>
      </c>
      <c r="E3311" t="s">
        <v>5019</v>
      </c>
      <c r="F3311" t="s">
        <v>5022</v>
      </c>
      <c r="G3311">
        <v>8.4600000000000009</v>
      </c>
      <c r="H3311">
        <v>4</v>
      </c>
      <c r="I3311">
        <v>5.9</v>
      </c>
      <c r="J3311">
        <v>14.38</v>
      </c>
      <c r="K3311">
        <v>85.4</v>
      </c>
      <c r="L3311" t="s">
        <v>5029</v>
      </c>
      <c r="M3311">
        <v>9</v>
      </c>
      <c r="N3311">
        <v>0</v>
      </c>
      <c r="O3311">
        <v>0</v>
      </c>
    </row>
    <row r="3312" spans="1:15" x14ac:dyDescent="0.3">
      <c r="A3312" t="s">
        <v>3325</v>
      </c>
      <c r="B3312">
        <v>3</v>
      </c>
      <c r="C3312">
        <v>34</v>
      </c>
      <c r="D3312" t="s">
        <v>5016</v>
      </c>
      <c r="E3312" t="s">
        <v>5017</v>
      </c>
      <c r="F3312" t="s">
        <v>5024</v>
      </c>
      <c r="G3312">
        <v>21.46</v>
      </c>
      <c r="H3312">
        <v>5</v>
      </c>
      <c r="I3312">
        <v>6.7</v>
      </c>
      <c r="J3312">
        <v>21.17</v>
      </c>
      <c r="K3312">
        <v>88.1</v>
      </c>
      <c r="L3312" t="s">
        <v>5028</v>
      </c>
      <c r="M3312">
        <v>2</v>
      </c>
      <c r="N3312">
        <v>1</v>
      </c>
      <c r="O3312">
        <v>0</v>
      </c>
    </row>
    <row r="3313" spans="1:15" x14ac:dyDescent="0.3">
      <c r="A3313" t="s">
        <v>3326</v>
      </c>
      <c r="B3313">
        <v>12</v>
      </c>
      <c r="C3313">
        <v>47</v>
      </c>
      <c r="D3313" t="s">
        <v>5015</v>
      </c>
      <c r="E3313" t="s">
        <v>5017</v>
      </c>
      <c r="F3313" t="s">
        <v>5021</v>
      </c>
      <c r="G3313">
        <v>20.97</v>
      </c>
      <c r="H3313">
        <v>3</v>
      </c>
      <c r="I3313">
        <v>3</v>
      </c>
      <c r="J3313">
        <v>24.83</v>
      </c>
      <c r="K3313">
        <v>36.799999999999997</v>
      </c>
      <c r="L3313" t="s">
        <v>5028</v>
      </c>
      <c r="M3313">
        <v>3</v>
      </c>
      <c r="N3313">
        <v>3</v>
      </c>
      <c r="O3313">
        <v>0</v>
      </c>
    </row>
    <row r="3314" spans="1:15" x14ac:dyDescent="0.3">
      <c r="A3314" t="s">
        <v>3327</v>
      </c>
      <c r="B3314">
        <v>2</v>
      </c>
      <c r="C3314">
        <v>41</v>
      </c>
      <c r="D3314" t="s">
        <v>5016</v>
      </c>
      <c r="E3314" t="s">
        <v>5019</v>
      </c>
      <c r="F3314" t="s">
        <v>5021</v>
      </c>
      <c r="G3314">
        <v>20.55</v>
      </c>
      <c r="H3314">
        <v>3</v>
      </c>
      <c r="I3314">
        <v>5.9</v>
      </c>
      <c r="J3314">
        <v>17.23</v>
      </c>
      <c r="K3314">
        <v>48.4</v>
      </c>
      <c r="L3314" t="s">
        <v>5027</v>
      </c>
      <c r="M3314">
        <v>6</v>
      </c>
      <c r="N3314">
        <v>2</v>
      </c>
      <c r="O3314">
        <v>0</v>
      </c>
    </row>
    <row r="3315" spans="1:15" x14ac:dyDescent="0.3">
      <c r="A3315" t="s">
        <v>3328</v>
      </c>
      <c r="B3315">
        <v>3</v>
      </c>
      <c r="C3315">
        <v>28</v>
      </c>
      <c r="D3315" t="s">
        <v>5016</v>
      </c>
      <c r="E3315" t="s">
        <v>5018</v>
      </c>
      <c r="F3315" t="s">
        <v>5022</v>
      </c>
      <c r="G3315">
        <v>14.27</v>
      </c>
      <c r="H3315">
        <v>1</v>
      </c>
      <c r="I3315">
        <v>10</v>
      </c>
      <c r="J3315">
        <v>14.63</v>
      </c>
      <c r="K3315">
        <v>38.1</v>
      </c>
      <c r="L3315" t="s">
        <v>5028</v>
      </c>
      <c r="M3315">
        <v>4</v>
      </c>
      <c r="N3315">
        <v>0</v>
      </c>
      <c r="O3315">
        <v>1</v>
      </c>
    </row>
    <row r="3316" spans="1:15" x14ac:dyDescent="0.3">
      <c r="A3316" t="s">
        <v>3329</v>
      </c>
      <c r="B3316">
        <v>1</v>
      </c>
      <c r="C3316">
        <v>52</v>
      </c>
      <c r="D3316" t="s">
        <v>5016</v>
      </c>
      <c r="E3316" t="s">
        <v>5018</v>
      </c>
      <c r="F3316" t="s">
        <v>5020</v>
      </c>
      <c r="G3316">
        <v>22.29</v>
      </c>
      <c r="H3316">
        <v>4</v>
      </c>
      <c r="I3316">
        <v>9</v>
      </c>
      <c r="J3316">
        <v>11.03</v>
      </c>
      <c r="K3316">
        <v>17.7</v>
      </c>
      <c r="L3316" t="s">
        <v>5025</v>
      </c>
      <c r="M3316">
        <v>8</v>
      </c>
      <c r="N3316">
        <v>3</v>
      </c>
      <c r="O3316">
        <v>1</v>
      </c>
    </row>
    <row r="3317" spans="1:15" x14ac:dyDescent="0.3">
      <c r="A3317" t="s">
        <v>3330</v>
      </c>
      <c r="B3317">
        <v>6</v>
      </c>
      <c r="C3317">
        <v>40</v>
      </c>
      <c r="D3317" t="s">
        <v>5016</v>
      </c>
      <c r="E3317" t="s">
        <v>5017</v>
      </c>
      <c r="F3317" t="s">
        <v>5024</v>
      </c>
      <c r="G3317">
        <v>23.52</v>
      </c>
      <c r="H3317">
        <v>1</v>
      </c>
      <c r="I3317">
        <v>1.5</v>
      </c>
      <c r="J3317">
        <v>7.28</v>
      </c>
      <c r="K3317">
        <v>93.2</v>
      </c>
      <c r="L3317" t="s">
        <v>5026</v>
      </c>
      <c r="M3317">
        <v>8</v>
      </c>
      <c r="N3317">
        <v>0</v>
      </c>
      <c r="O3317">
        <v>1</v>
      </c>
    </row>
    <row r="3318" spans="1:15" x14ac:dyDescent="0.3">
      <c r="A3318" t="s">
        <v>3331</v>
      </c>
      <c r="B3318">
        <v>11</v>
      </c>
      <c r="C3318">
        <v>34</v>
      </c>
      <c r="D3318" t="s">
        <v>5015</v>
      </c>
      <c r="E3318" t="s">
        <v>5018</v>
      </c>
      <c r="F3318" t="s">
        <v>5021</v>
      </c>
      <c r="G3318">
        <v>11.57</v>
      </c>
      <c r="H3318">
        <v>1</v>
      </c>
      <c r="I3318">
        <v>2.2000000000000002</v>
      </c>
      <c r="J3318">
        <v>17.45</v>
      </c>
      <c r="K3318">
        <v>65.400000000000006</v>
      </c>
      <c r="L3318" t="s">
        <v>5029</v>
      </c>
      <c r="M3318">
        <v>2</v>
      </c>
      <c r="N3318">
        <v>1</v>
      </c>
      <c r="O3318">
        <v>0</v>
      </c>
    </row>
    <row r="3319" spans="1:15" x14ac:dyDescent="0.3">
      <c r="A3319" t="s">
        <v>3332</v>
      </c>
      <c r="B3319">
        <v>11</v>
      </c>
      <c r="C3319">
        <v>18</v>
      </c>
      <c r="D3319" t="s">
        <v>5016</v>
      </c>
      <c r="E3319" t="s">
        <v>5018</v>
      </c>
      <c r="F3319" t="s">
        <v>5021</v>
      </c>
      <c r="G3319">
        <v>9.49</v>
      </c>
      <c r="H3319">
        <v>4</v>
      </c>
      <c r="I3319">
        <v>5.4</v>
      </c>
      <c r="J3319">
        <v>4.38</v>
      </c>
      <c r="K3319">
        <v>21.9</v>
      </c>
      <c r="L3319" t="s">
        <v>5027</v>
      </c>
      <c r="M3319">
        <v>2</v>
      </c>
      <c r="N3319">
        <v>1</v>
      </c>
      <c r="O3319">
        <v>1</v>
      </c>
    </row>
    <row r="3320" spans="1:15" x14ac:dyDescent="0.3">
      <c r="A3320" t="s">
        <v>3333</v>
      </c>
      <c r="B3320">
        <v>7</v>
      </c>
      <c r="C3320">
        <v>32</v>
      </c>
      <c r="D3320" t="s">
        <v>5015</v>
      </c>
      <c r="E3320" t="s">
        <v>5019</v>
      </c>
      <c r="F3320" t="s">
        <v>5020</v>
      </c>
      <c r="G3320">
        <v>14.29</v>
      </c>
      <c r="H3320">
        <v>2</v>
      </c>
      <c r="I3320">
        <v>3.2</v>
      </c>
      <c r="J3320">
        <v>24.04</v>
      </c>
      <c r="K3320">
        <v>28.5</v>
      </c>
      <c r="L3320" t="s">
        <v>5027</v>
      </c>
      <c r="M3320">
        <v>3</v>
      </c>
      <c r="N3320">
        <v>0</v>
      </c>
      <c r="O3320">
        <v>0</v>
      </c>
    </row>
    <row r="3321" spans="1:15" x14ac:dyDescent="0.3">
      <c r="A3321" t="s">
        <v>3334</v>
      </c>
      <c r="B3321">
        <v>11</v>
      </c>
      <c r="C3321">
        <v>49</v>
      </c>
      <c r="D3321" t="s">
        <v>5016</v>
      </c>
      <c r="E3321" t="s">
        <v>5019</v>
      </c>
      <c r="F3321" t="s">
        <v>5022</v>
      </c>
      <c r="G3321">
        <v>8.59</v>
      </c>
      <c r="H3321">
        <v>3</v>
      </c>
      <c r="I3321">
        <v>1.7</v>
      </c>
      <c r="J3321">
        <v>17.25</v>
      </c>
      <c r="K3321">
        <v>50.6</v>
      </c>
      <c r="L3321" t="s">
        <v>5026</v>
      </c>
      <c r="M3321">
        <v>11</v>
      </c>
      <c r="N3321">
        <v>0</v>
      </c>
      <c r="O3321">
        <v>0</v>
      </c>
    </row>
    <row r="3322" spans="1:15" x14ac:dyDescent="0.3">
      <c r="A3322" t="s">
        <v>3335</v>
      </c>
      <c r="B3322">
        <v>11</v>
      </c>
      <c r="C3322">
        <v>26</v>
      </c>
      <c r="D3322" t="s">
        <v>5016</v>
      </c>
      <c r="E3322" t="s">
        <v>5018</v>
      </c>
      <c r="F3322" t="s">
        <v>5023</v>
      </c>
      <c r="G3322">
        <v>22.68</v>
      </c>
      <c r="H3322">
        <v>1</v>
      </c>
      <c r="I3322">
        <v>3.3</v>
      </c>
      <c r="J3322">
        <v>24.11</v>
      </c>
      <c r="K3322">
        <v>14.7</v>
      </c>
      <c r="L3322" t="s">
        <v>5025</v>
      </c>
      <c r="M3322">
        <v>2</v>
      </c>
      <c r="N3322">
        <v>1</v>
      </c>
      <c r="O3322">
        <v>0</v>
      </c>
    </row>
    <row r="3323" spans="1:15" x14ac:dyDescent="0.3">
      <c r="A3323" t="s">
        <v>3336</v>
      </c>
      <c r="B3323">
        <v>2</v>
      </c>
      <c r="C3323">
        <v>32</v>
      </c>
      <c r="D3323" t="s">
        <v>5015</v>
      </c>
      <c r="E3323" t="s">
        <v>5018</v>
      </c>
      <c r="F3323" t="s">
        <v>5022</v>
      </c>
      <c r="G3323">
        <v>11.76</v>
      </c>
      <c r="H3323">
        <v>3</v>
      </c>
      <c r="I3323">
        <v>1.6</v>
      </c>
      <c r="J3323">
        <v>8.99</v>
      </c>
      <c r="K3323">
        <v>34.5</v>
      </c>
      <c r="L3323" t="s">
        <v>5026</v>
      </c>
      <c r="M3323">
        <v>5</v>
      </c>
      <c r="N3323">
        <v>0</v>
      </c>
      <c r="O3323">
        <v>0</v>
      </c>
    </row>
    <row r="3324" spans="1:15" x14ac:dyDescent="0.3">
      <c r="A3324" t="s">
        <v>3337</v>
      </c>
      <c r="B3324">
        <v>8</v>
      </c>
      <c r="C3324">
        <v>45</v>
      </c>
      <c r="D3324" t="s">
        <v>5016</v>
      </c>
      <c r="E3324" t="s">
        <v>5018</v>
      </c>
      <c r="F3324" t="s">
        <v>5021</v>
      </c>
      <c r="G3324">
        <v>16.52</v>
      </c>
      <c r="H3324">
        <v>4</v>
      </c>
      <c r="I3324">
        <v>5.8</v>
      </c>
      <c r="J3324">
        <v>23.82</v>
      </c>
      <c r="K3324">
        <v>73.3</v>
      </c>
      <c r="L3324" t="s">
        <v>5028</v>
      </c>
      <c r="M3324">
        <v>1</v>
      </c>
      <c r="N3324">
        <v>1</v>
      </c>
      <c r="O3324">
        <v>0</v>
      </c>
    </row>
    <row r="3325" spans="1:15" x14ac:dyDescent="0.3">
      <c r="A3325" t="s">
        <v>3338</v>
      </c>
      <c r="B3325">
        <v>6</v>
      </c>
      <c r="C3325">
        <v>41</v>
      </c>
      <c r="D3325" t="s">
        <v>5016</v>
      </c>
      <c r="E3325" t="s">
        <v>5018</v>
      </c>
      <c r="F3325" t="s">
        <v>5021</v>
      </c>
      <c r="G3325">
        <v>16.89</v>
      </c>
      <c r="H3325">
        <v>2</v>
      </c>
      <c r="I3325">
        <v>5.4</v>
      </c>
      <c r="J3325">
        <v>16.47</v>
      </c>
      <c r="K3325">
        <v>92.8</v>
      </c>
      <c r="L3325" t="s">
        <v>5027</v>
      </c>
      <c r="M3325">
        <v>7</v>
      </c>
      <c r="N3325">
        <v>0</v>
      </c>
      <c r="O3325">
        <v>0</v>
      </c>
    </row>
    <row r="3326" spans="1:15" x14ac:dyDescent="0.3">
      <c r="A3326" t="s">
        <v>3339</v>
      </c>
      <c r="B3326">
        <v>4</v>
      </c>
      <c r="C3326">
        <v>52</v>
      </c>
      <c r="D3326" t="s">
        <v>5015</v>
      </c>
      <c r="E3326" t="s">
        <v>5017</v>
      </c>
      <c r="F3326" t="s">
        <v>5024</v>
      </c>
      <c r="G3326">
        <v>15.3</v>
      </c>
      <c r="H3326">
        <v>5</v>
      </c>
      <c r="I3326">
        <v>1.1000000000000001</v>
      </c>
      <c r="J3326">
        <v>20.83</v>
      </c>
      <c r="K3326">
        <v>93.6</v>
      </c>
      <c r="L3326" t="s">
        <v>5028</v>
      </c>
      <c r="M3326">
        <v>8</v>
      </c>
      <c r="N3326">
        <v>2</v>
      </c>
      <c r="O3326">
        <v>0</v>
      </c>
    </row>
    <row r="3327" spans="1:15" x14ac:dyDescent="0.3">
      <c r="A3327" t="s">
        <v>3340</v>
      </c>
      <c r="B3327">
        <v>5</v>
      </c>
      <c r="C3327">
        <v>39</v>
      </c>
      <c r="D3327" t="s">
        <v>5015</v>
      </c>
      <c r="E3327" t="s">
        <v>5018</v>
      </c>
      <c r="F3327" t="s">
        <v>5022</v>
      </c>
      <c r="G3327">
        <v>8.1300000000000008</v>
      </c>
      <c r="H3327">
        <v>2</v>
      </c>
      <c r="I3327">
        <v>5.3</v>
      </c>
      <c r="J3327">
        <v>6.94</v>
      </c>
      <c r="K3327">
        <v>56.8</v>
      </c>
      <c r="L3327" t="s">
        <v>5027</v>
      </c>
      <c r="M3327">
        <v>4</v>
      </c>
      <c r="N3327">
        <v>0</v>
      </c>
      <c r="O3327">
        <v>0</v>
      </c>
    </row>
    <row r="3328" spans="1:15" x14ac:dyDescent="0.3">
      <c r="A3328" t="s">
        <v>3341</v>
      </c>
      <c r="B3328">
        <v>8</v>
      </c>
      <c r="C3328">
        <v>44</v>
      </c>
      <c r="D3328" t="s">
        <v>5015</v>
      </c>
      <c r="E3328" t="s">
        <v>5017</v>
      </c>
      <c r="F3328" t="s">
        <v>5023</v>
      </c>
      <c r="G3328">
        <v>24.82</v>
      </c>
      <c r="H3328">
        <v>4</v>
      </c>
      <c r="I3328">
        <v>5.7</v>
      </c>
      <c r="J3328">
        <v>14</v>
      </c>
      <c r="K3328">
        <v>38.1</v>
      </c>
      <c r="L3328" t="s">
        <v>5027</v>
      </c>
      <c r="M3328">
        <v>7</v>
      </c>
      <c r="N3328">
        <v>0</v>
      </c>
      <c r="O3328">
        <v>0</v>
      </c>
    </row>
    <row r="3329" spans="1:15" x14ac:dyDescent="0.3">
      <c r="A3329" t="s">
        <v>3342</v>
      </c>
      <c r="B3329">
        <v>3</v>
      </c>
      <c r="C3329">
        <v>36</v>
      </c>
      <c r="D3329" t="s">
        <v>5016</v>
      </c>
      <c r="E3329" t="s">
        <v>5017</v>
      </c>
      <c r="F3329" t="s">
        <v>5024</v>
      </c>
      <c r="G3329">
        <v>8.4499999999999993</v>
      </c>
      <c r="H3329">
        <v>2</v>
      </c>
      <c r="I3329">
        <v>6.5</v>
      </c>
      <c r="J3329">
        <v>15.52</v>
      </c>
      <c r="K3329">
        <v>92.9</v>
      </c>
      <c r="L3329" t="s">
        <v>5028</v>
      </c>
      <c r="M3329">
        <v>9</v>
      </c>
      <c r="N3329">
        <v>3</v>
      </c>
      <c r="O3329">
        <v>0</v>
      </c>
    </row>
    <row r="3330" spans="1:15" x14ac:dyDescent="0.3">
      <c r="A3330" t="s">
        <v>3343</v>
      </c>
      <c r="B3330">
        <v>3</v>
      </c>
      <c r="C3330">
        <v>62</v>
      </c>
      <c r="D3330" t="s">
        <v>5016</v>
      </c>
      <c r="E3330" t="s">
        <v>5017</v>
      </c>
      <c r="F3330" t="s">
        <v>5023</v>
      </c>
      <c r="G3330">
        <v>20.03</v>
      </c>
      <c r="H3330">
        <v>5</v>
      </c>
      <c r="I3330">
        <v>9.6999999999999993</v>
      </c>
      <c r="J3330">
        <v>11.64</v>
      </c>
      <c r="K3330">
        <v>80.8</v>
      </c>
      <c r="L3330" t="s">
        <v>5026</v>
      </c>
      <c r="M3330">
        <v>7</v>
      </c>
      <c r="N3330">
        <v>2</v>
      </c>
      <c r="O3330">
        <v>0</v>
      </c>
    </row>
    <row r="3331" spans="1:15" x14ac:dyDescent="0.3">
      <c r="A3331" t="s">
        <v>3344</v>
      </c>
      <c r="B3331">
        <v>11</v>
      </c>
      <c r="C3331">
        <v>29</v>
      </c>
      <c r="D3331" t="s">
        <v>5015</v>
      </c>
      <c r="E3331" t="s">
        <v>5018</v>
      </c>
      <c r="F3331" t="s">
        <v>5024</v>
      </c>
      <c r="G3331">
        <v>20.83</v>
      </c>
      <c r="H3331">
        <v>1</v>
      </c>
      <c r="I3331">
        <v>9.8000000000000007</v>
      </c>
      <c r="J3331">
        <v>8.57</v>
      </c>
      <c r="K3331">
        <v>62.8</v>
      </c>
      <c r="L3331" t="s">
        <v>5029</v>
      </c>
      <c r="M3331">
        <v>2</v>
      </c>
      <c r="N3331">
        <v>1</v>
      </c>
      <c r="O3331">
        <v>0</v>
      </c>
    </row>
    <row r="3332" spans="1:15" x14ac:dyDescent="0.3">
      <c r="A3332" t="s">
        <v>3345</v>
      </c>
      <c r="B3332">
        <v>4</v>
      </c>
      <c r="C3332">
        <v>37</v>
      </c>
      <c r="D3332" t="s">
        <v>5015</v>
      </c>
      <c r="E3332" t="s">
        <v>5019</v>
      </c>
      <c r="F3332" t="s">
        <v>5022</v>
      </c>
      <c r="G3332">
        <v>7.9</v>
      </c>
      <c r="H3332">
        <v>2</v>
      </c>
      <c r="I3332">
        <v>5.7</v>
      </c>
      <c r="J3332">
        <v>22.91</v>
      </c>
      <c r="K3332">
        <v>85.1</v>
      </c>
      <c r="L3332" t="s">
        <v>5029</v>
      </c>
      <c r="M3332">
        <v>2</v>
      </c>
      <c r="N3332">
        <v>1</v>
      </c>
      <c r="O3332">
        <v>1</v>
      </c>
    </row>
    <row r="3333" spans="1:15" x14ac:dyDescent="0.3">
      <c r="A3333" t="s">
        <v>3346</v>
      </c>
      <c r="B3333">
        <v>1</v>
      </c>
      <c r="C3333">
        <v>18</v>
      </c>
      <c r="D3333" t="s">
        <v>5016</v>
      </c>
      <c r="E3333" t="s">
        <v>5018</v>
      </c>
      <c r="F3333" t="s">
        <v>5021</v>
      </c>
      <c r="G3333">
        <v>23.66</v>
      </c>
      <c r="H3333">
        <v>4</v>
      </c>
      <c r="I3333">
        <v>8.6</v>
      </c>
      <c r="J3333">
        <v>4.87</v>
      </c>
      <c r="K3333">
        <v>51.3</v>
      </c>
      <c r="L3333" t="s">
        <v>5026</v>
      </c>
      <c r="M3333">
        <v>10</v>
      </c>
      <c r="N3333">
        <v>4</v>
      </c>
      <c r="O3333">
        <v>0</v>
      </c>
    </row>
    <row r="3334" spans="1:15" x14ac:dyDescent="0.3">
      <c r="A3334" t="s">
        <v>3347</v>
      </c>
      <c r="B3334">
        <v>9</v>
      </c>
      <c r="C3334">
        <v>38</v>
      </c>
      <c r="D3334" t="s">
        <v>5016</v>
      </c>
      <c r="E3334" t="s">
        <v>5018</v>
      </c>
      <c r="F3334" t="s">
        <v>5023</v>
      </c>
      <c r="G3334">
        <v>14.76</v>
      </c>
      <c r="H3334">
        <v>2</v>
      </c>
      <c r="I3334">
        <v>1.8</v>
      </c>
      <c r="J3334">
        <v>6.39</v>
      </c>
      <c r="K3334">
        <v>20.100000000000001</v>
      </c>
      <c r="L3334" t="s">
        <v>5025</v>
      </c>
      <c r="M3334">
        <v>10</v>
      </c>
      <c r="N3334">
        <v>2</v>
      </c>
      <c r="O3334">
        <v>1</v>
      </c>
    </row>
    <row r="3335" spans="1:15" x14ac:dyDescent="0.3">
      <c r="A3335" t="s">
        <v>3348</v>
      </c>
      <c r="B3335">
        <v>8</v>
      </c>
      <c r="C3335">
        <v>66</v>
      </c>
      <c r="D3335" t="s">
        <v>5015</v>
      </c>
      <c r="E3335" t="s">
        <v>5017</v>
      </c>
      <c r="F3335" t="s">
        <v>5022</v>
      </c>
      <c r="G3335">
        <v>17.579999999999998</v>
      </c>
      <c r="H3335">
        <v>5</v>
      </c>
      <c r="I3335">
        <v>5.8</v>
      </c>
      <c r="J3335">
        <v>10.050000000000001</v>
      </c>
      <c r="K3335">
        <v>94.4</v>
      </c>
      <c r="L3335" t="s">
        <v>5026</v>
      </c>
      <c r="M3335">
        <v>10</v>
      </c>
      <c r="N3335">
        <v>2</v>
      </c>
      <c r="O3335">
        <v>0</v>
      </c>
    </row>
    <row r="3336" spans="1:15" x14ac:dyDescent="0.3">
      <c r="A3336" t="s">
        <v>3349</v>
      </c>
      <c r="B3336">
        <v>8</v>
      </c>
      <c r="C3336">
        <v>62</v>
      </c>
      <c r="D3336" t="s">
        <v>5015</v>
      </c>
      <c r="E3336" t="s">
        <v>5018</v>
      </c>
      <c r="F3336" t="s">
        <v>5023</v>
      </c>
      <c r="G3336">
        <v>17.84</v>
      </c>
      <c r="H3336">
        <v>4</v>
      </c>
      <c r="I3336">
        <v>7.1</v>
      </c>
      <c r="J3336">
        <v>23.23</v>
      </c>
      <c r="K3336">
        <v>58.1</v>
      </c>
      <c r="L3336" t="s">
        <v>5026</v>
      </c>
      <c r="M3336">
        <v>6</v>
      </c>
      <c r="N3336">
        <v>0</v>
      </c>
      <c r="O3336">
        <v>0</v>
      </c>
    </row>
    <row r="3337" spans="1:15" x14ac:dyDescent="0.3">
      <c r="A3337" t="s">
        <v>3350</v>
      </c>
      <c r="B3337">
        <v>10</v>
      </c>
      <c r="C3337">
        <v>18</v>
      </c>
      <c r="D3337" t="s">
        <v>5015</v>
      </c>
      <c r="E3337" t="s">
        <v>5017</v>
      </c>
      <c r="F3337" t="s">
        <v>5022</v>
      </c>
      <c r="G3337">
        <v>15.1</v>
      </c>
      <c r="H3337">
        <v>2</v>
      </c>
      <c r="I3337">
        <v>6.1</v>
      </c>
      <c r="J3337">
        <v>15.41</v>
      </c>
      <c r="K3337">
        <v>72.599999999999994</v>
      </c>
      <c r="L3337" t="s">
        <v>5026</v>
      </c>
      <c r="M3337">
        <v>8</v>
      </c>
      <c r="N3337">
        <v>3</v>
      </c>
      <c r="O3337">
        <v>0</v>
      </c>
    </row>
    <row r="3338" spans="1:15" x14ac:dyDescent="0.3">
      <c r="A3338" t="s">
        <v>3351</v>
      </c>
      <c r="B3338">
        <v>6</v>
      </c>
      <c r="C3338">
        <v>27</v>
      </c>
      <c r="D3338" t="s">
        <v>5015</v>
      </c>
      <c r="E3338" t="s">
        <v>5018</v>
      </c>
      <c r="F3338" t="s">
        <v>5024</v>
      </c>
      <c r="G3338">
        <v>7.84</v>
      </c>
      <c r="H3338">
        <v>4</v>
      </c>
      <c r="I3338">
        <v>3.1</v>
      </c>
      <c r="J3338">
        <v>11.21</v>
      </c>
      <c r="K3338">
        <v>45.3</v>
      </c>
      <c r="L3338" t="s">
        <v>5029</v>
      </c>
      <c r="M3338">
        <v>10</v>
      </c>
      <c r="N3338">
        <v>1</v>
      </c>
      <c r="O3338">
        <v>0</v>
      </c>
    </row>
    <row r="3339" spans="1:15" x14ac:dyDescent="0.3">
      <c r="A3339" t="s">
        <v>3352</v>
      </c>
      <c r="B3339">
        <v>7</v>
      </c>
      <c r="C3339">
        <v>64</v>
      </c>
      <c r="D3339" t="s">
        <v>5016</v>
      </c>
      <c r="E3339" t="s">
        <v>5019</v>
      </c>
      <c r="F3339" t="s">
        <v>5022</v>
      </c>
      <c r="G3339">
        <v>20.04</v>
      </c>
      <c r="H3339">
        <v>5</v>
      </c>
      <c r="I3339">
        <v>1.6</v>
      </c>
      <c r="J3339">
        <v>11.86</v>
      </c>
      <c r="K3339">
        <v>22.2</v>
      </c>
      <c r="L3339" t="s">
        <v>5027</v>
      </c>
      <c r="M3339">
        <v>11</v>
      </c>
      <c r="N3339">
        <v>1</v>
      </c>
      <c r="O3339">
        <v>0</v>
      </c>
    </row>
    <row r="3340" spans="1:15" x14ac:dyDescent="0.3">
      <c r="A3340" t="s">
        <v>3353</v>
      </c>
      <c r="B3340">
        <v>6</v>
      </c>
      <c r="C3340">
        <v>49</v>
      </c>
      <c r="D3340" t="s">
        <v>5016</v>
      </c>
      <c r="E3340" t="s">
        <v>5017</v>
      </c>
      <c r="F3340" t="s">
        <v>5024</v>
      </c>
      <c r="G3340">
        <v>16.64</v>
      </c>
      <c r="H3340">
        <v>1</v>
      </c>
      <c r="I3340">
        <v>4.5</v>
      </c>
      <c r="J3340">
        <v>21.43</v>
      </c>
      <c r="K3340">
        <v>34.5</v>
      </c>
      <c r="L3340" t="s">
        <v>5025</v>
      </c>
      <c r="M3340">
        <v>10</v>
      </c>
      <c r="N3340">
        <v>3</v>
      </c>
      <c r="O3340">
        <v>0</v>
      </c>
    </row>
    <row r="3341" spans="1:15" x14ac:dyDescent="0.3">
      <c r="A3341" t="s">
        <v>3354</v>
      </c>
      <c r="B3341">
        <v>9</v>
      </c>
      <c r="C3341">
        <v>56</v>
      </c>
      <c r="D3341" t="s">
        <v>5016</v>
      </c>
      <c r="E3341" t="s">
        <v>5017</v>
      </c>
      <c r="F3341" t="s">
        <v>5021</v>
      </c>
      <c r="G3341">
        <v>7.37</v>
      </c>
      <c r="H3341">
        <v>5</v>
      </c>
      <c r="I3341">
        <v>6.8</v>
      </c>
      <c r="J3341">
        <v>3.59</v>
      </c>
      <c r="K3341">
        <v>13.9</v>
      </c>
      <c r="L3341" t="s">
        <v>5025</v>
      </c>
      <c r="M3341">
        <v>11</v>
      </c>
      <c r="N3341">
        <v>3</v>
      </c>
      <c r="O3341">
        <v>1</v>
      </c>
    </row>
    <row r="3342" spans="1:15" x14ac:dyDescent="0.3">
      <c r="A3342" t="s">
        <v>3355</v>
      </c>
      <c r="B3342">
        <v>3</v>
      </c>
      <c r="C3342">
        <v>39</v>
      </c>
      <c r="D3342" t="s">
        <v>5016</v>
      </c>
      <c r="E3342" t="s">
        <v>5018</v>
      </c>
      <c r="F3342" t="s">
        <v>5024</v>
      </c>
      <c r="G3342">
        <v>19.010000000000002</v>
      </c>
      <c r="H3342">
        <v>1</v>
      </c>
      <c r="I3342">
        <v>9.9</v>
      </c>
      <c r="J3342">
        <v>3.25</v>
      </c>
      <c r="K3342">
        <v>17.899999999999999</v>
      </c>
      <c r="L3342" t="s">
        <v>5025</v>
      </c>
      <c r="M3342">
        <v>3</v>
      </c>
      <c r="N3342">
        <v>2</v>
      </c>
      <c r="O3342">
        <v>1</v>
      </c>
    </row>
    <row r="3343" spans="1:15" x14ac:dyDescent="0.3">
      <c r="A3343" t="s">
        <v>3356</v>
      </c>
      <c r="B3343">
        <v>3</v>
      </c>
      <c r="C3343">
        <v>35</v>
      </c>
      <c r="D3343" t="s">
        <v>5015</v>
      </c>
      <c r="E3343" t="s">
        <v>5019</v>
      </c>
      <c r="F3343" t="s">
        <v>5020</v>
      </c>
      <c r="G3343">
        <v>19.059999999999999</v>
      </c>
      <c r="H3343">
        <v>3</v>
      </c>
      <c r="I3343">
        <v>3.1</v>
      </c>
      <c r="J3343">
        <v>4.01</v>
      </c>
      <c r="K3343">
        <v>28.4</v>
      </c>
      <c r="L3343" t="s">
        <v>5028</v>
      </c>
      <c r="M3343">
        <v>1</v>
      </c>
      <c r="N3343">
        <v>3</v>
      </c>
      <c r="O3343">
        <v>1</v>
      </c>
    </row>
    <row r="3344" spans="1:15" x14ac:dyDescent="0.3">
      <c r="A3344" t="s">
        <v>3357</v>
      </c>
      <c r="B3344">
        <v>3</v>
      </c>
      <c r="C3344">
        <v>65</v>
      </c>
      <c r="D3344" t="s">
        <v>5016</v>
      </c>
      <c r="E3344" t="s">
        <v>5019</v>
      </c>
      <c r="F3344" t="s">
        <v>5021</v>
      </c>
      <c r="G3344">
        <v>15.97</v>
      </c>
      <c r="H3344">
        <v>5</v>
      </c>
      <c r="I3344">
        <v>9.3000000000000007</v>
      </c>
      <c r="J3344">
        <v>13.32</v>
      </c>
      <c r="K3344">
        <v>60.5</v>
      </c>
      <c r="L3344" t="s">
        <v>5026</v>
      </c>
      <c r="M3344">
        <v>1</v>
      </c>
      <c r="N3344">
        <v>3</v>
      </c>
      <c r="O3344">
        <v>0</v>
      </c>
    </row>
    <row r="3345" spans="1:15" x14ac:dyDescent="0.3">
      <c r="A3345" t="s">
        <v>3358</v>
      </c>
      <c r="B3345">
        <v>10</v>
      </c>
      <c r="C3345">
        <v>63</v>
      </c>
      <c r="D3345" t="s">
        <v>5015</v>
      </c>
      <c r="E3345" t="s">
        <v>5019</v>
      </c>
      <c r="F3345" t="s">
        <v>5022</v>
      </c>
      <c r="G3345">
        <v>6.81</v>
      </c>
      <c r="H3345">
        <v>1</v>
      </c>
      <c r="I3345">
        <v>1.6</v>
      </c>
      <c r="J3345">
        <v>15.79</v>
      </c>
      <c r="K3345">
        <v>99.4</v>
      </c>
      <c r="L3345" t="s">
        <v>5027</v>
      </c>
      <c r="M3345">
        <v>11</v>
      </c>
      <c r="N3345">
        <v>0</v>
      </c>
      <c r="O3345">
        <v>0</v>
      </c>
    </row>
    <row r="3346" spans="1:15" x14ac:dyDescent="0.3">
      <c r="A3346" t="s">
        <v>3359</v>
      </c>
      <c r="B3346">
        <v>3</v>
      </c>
      <c r="C3346">
        <v>49</v>
      </c>
      <c r="D3346" t="s">
        <v>5016</v>
      </c>
      <c r="E3346" t="s">
        <v>5018</v>
      </c>
      <c r="F3346" t="s">
        <v>5022</v>
      </c>
      <c r="G3346">
        <v>12.05</v>
      </c>
      <c r="H3346">
        <v>3</v>
      </c>
      <c r="I3346">
        <v>9.4</v>
      </c>
      <c r="J3346">
        <v>16.739999999999998</v>
      </c>
      <c r="K3346">
        <v>85.9</v>
      </c>
      <c r="L3346" t="s">
        <v>5027</v>
      </c>
      <c r="M3346">
        <v>2</v>
      </c>
      <c r="N3346">
        <v>2</v>
      </c>
      <c r="O3346">
        <v>1</v>
      </c>
    </row>
    <row r="3347" spans="1:15" x14ac:dyDescent="0.3">
      <c r="A3347" t="s">
        <v>3360</v>
      </c>
      <c r="B3347">
        <v>9</v>
      </c>
      <c r="C3347">
        <v>44</v>
      </c>
      <c r="D3347" t="s">
        <v>5016</v>
      </c>
      <c r="E3347" t="s">
        <v>5019</v>
      </c>
      <c r="F3347" t="s">
        <v>5020</v>
      </c>
      <c r="G3347">
        <v>6.02</v>
      </c>
      <c r="H3347">
        <v>3</v>
      </c>
      <c r="I3347">
        <v>8.5</v>
      </c>
      <c r="J3347">
        <v>19.09</v>
      </c>
      <c r="K3347">
        <v>17.7</v>
      </c>
      <c r="L3347" t="s">
        <v>5028</v>
      </c>
      <c r="M3347">
        <v>10</v>
      </c>
      <c r="N3347">
        <v>4</v>
      </c>
      <c r="O3347">
        <v>1</v>
      </c>
    </row>
    <row r="3348" spans="1:15" x14ac:dyDescent="0.3">
      <c r="A3348" t="s">
        <v>3361</v>
      </c>
      <c r="B3348">
        <v>12</v>
      </c>
      <c r="C3348">
        <v>45</v>
      </c>
      <c r="D3348" t="s">
        <v>5016</v>
      </c>
      <c r="E3348" t="s">
        <v>5017</v>
      </c>
      <c r="F3348" t="s">
        <v>5022</v>
      </c>
      <c r="G3348">
        <v>14.55</v>
      </c>
      <c r="H3348">
        <v>3</v>
      </c>
      <c r="I3348">
        <v>1.2</v>
      </c>
      <c r="J3348">
        <v>7.17</v>
      </c>
      <c r="K3348">
        <v>85.8</v>
      </c>
      <c r="L3348" t="s">
        <v>5029</v>
      </c>
      <c r="M3348">
        <v>6</v>
      </c>
      <c r="N3348">
        <v>4</v>
      </c>
      <c r="O3348">
        <v>1</v>
      </c>
    </row>
    <row r="3349" spans="1:15" x14ac:dyDescent="0.3">
      <c r="A3349" t="s">
        <v>3362</v>
      </c>
      <c r="B3349">
        <v>4</v>
      </c>
      <c r="C3349">
        <v>35</v>
      </c>
      <c r="D3349" t="s">
        <v>5015</v>
      </c>
      <c r="E3349" t="s">
        <v>5017</v>
      </c>
      <c r="F3349" t="s">
        <v>5021</v>
      </c>
      <c r="G3349">
        <v>23.13</v>
      </c>
      <c r="H3349">
        <v>4</v>
      </c>
      <c r="I3349">
        <v>3.7</v>
      </c>
      <c r="J3349">
        <v>8.77</v>
      </c>
      <c r="K3349">
        <v>58.3</v>
      </c>
      <c r="L3349" t="s">
        <v>5028</v>
      </c>
      <c r="M3349">
        <v>2</v>
      </c>
      <c r="N3349">
        <v>1</v>
      </c>
      <c r="O3349">
        <v>1</v>
      </c>
    </row>
    <row r="3350" spans="1:15" x14ac:dyDescent="0.3">
      <c r="A3350" t="s">
        <v>3363</v>
      </c>
      <c r="B3350">
        <v>7</v>
      </c>
      <c r="C3350">
        <v>56</v>
      </c>
      <c r="D3350" t="s">
        <v>5016</v>
      </c>
      <c r="E3350" t="s">
        <v>5019</v>
      </c>
      <c r="F3350" t="s">
        <v>5021</v>
      </c>
      <c r="G3350">
        <v>5.05</v>
      </c>
      <c r="H3350">
        <v>5</v>
      </c>
      <c r="I3350">
        <v>1.5</v>
      </c>
      <c r="J3350">
        <v>8.36</v>
      </c>
      <c r="K3350">
        <v>69.400000000000006</v>
      </c>
      <c r="L3350" t="s">
        <v>5028</v>
      </c>
      <c r="M3350">
        <v>6</v>
      </c>
      <c r="N3350">
        <v>3</v>
      </c>
      <c r="O3350">
        <v>0</v>
      </c>
    </row>
    <row r="3351" spans="1:15" x14ac:dyDescent="0.3">
      <c r="A3351" t="s">
        <v>3364</v>
      </c>
      <c r="B3351">
        <v>9</v>
      </c>
      <c r="C3351">
        <v>66</v>
      </c>
      <c r="D3351" t="s">
        <v>5015</v>
      </c>
      <c r="E3351" t="s">
        <v>5019</v>
      </c>
      <c r="F3351" t="s">
        <v>5024</v>
      </c>
      <c r="G3351">
        <v>10.33</v>
      </c>
      <c r="H3351">
        <v>5</v>
      </c>
      <c r="I3351">
        <v>10</v>
      </c>
      <c r="J3351">
        <v>6.28</v>
      </c>
      <c r="K3351">
        <v>21.7</v>
      </c>
      <c r="L3351" t="s">
        <v>5026</v>
      </c>
      <c r="M3351">
        <v>11</v>
      </c>
      <c r="N3351">
        <v>0</v>
      </c>
      <c r="O3351">
        <v>0</v>
      </c>
    </row>
    <row r="3352" spans="1:15" x14ac:dyDescent="0.3">
      <c r="A3352" t="s">
        <v>3365</v>
      </c>
      <c r="B3352">
        <v>11</v>
      </c>
      <c r="C3352">
        <v>46</v>
      </c>
      <c r="D3352" t="s">
        <v>5015</v>
      </c>
      <c r="E3352" t="s">
        <v>5017</v>
      </c>
      <c r="F3352" t="s">
        <v>5023</v>
      </c>
      <c r="G3352">
        <v>21</v>
      </c>
      <c r="H3352">
        <v>5</v>
      </c>
      <c r="I3352">
        <v>4.9000000000000004</v>
      </c>
      <c r="J3352">
        <v>8.3800000000000008</v>
      </c>
      <c r="K3352">
        <v>45.6</v>
      </c>
      <c r="L3352" t="s">
        <v>5029</v>
      </c>
      <c r="M3352">
        <v>1</v>
      </c>
      <c r="N3352">
        <v>3</v>
      </c>
      <c r="O3352">
        <v>0</v>
      </c>
    </row>
    <row r="3353" spans="1:15" x14ac:dyDescent="0.3">
      <c r="A3353" t="s">
        <v>3366</v>
      </c>
      <c r="B3353">
        <v>12</v>
      </c>
      <c r="C3353">
        <v>35</v>
      </c>
      <c r="D3353" t="s">
        <v>5016</v>
      </c>
      <c r="E3353" t="s">
        <v>5017</v>
      </c>
      <c r="F3353" t="s">
        <v>5022</v>
      </c>
      <c r="G3353">
        <v>5.2</v>
      </c>
      <c r="H3353">
        <v>5</v>
      </c>
      <c r="I3353">
        <v>7</v>
      </c>
      <c r="J3353">
        <v>16.5</v>
      </c>
      <c r="K3353">
        <v>89.6</v>
      </c>
      <c r="L3353" t="s">
        <v>5028</v>
      </c>
      <c r="M3353">
        <v>9</v>
      </c>
      <c r="N3353">
        <v>1</v>
      </c>
      <c r="O3353">
        <v>1</v>
      </c>
    </row>
    <row r="3354" spans="1:15" x14ac:dyDescent="0.3">
      <c r="A3354" t="s">
        <v>3367</v>
      </c>
      <c r="B3354">
        <v>7</v>
      </c>
      <c r="C3354">
        <v>61</v>
      </c>
      <c r="D3354" t="s">
        <v>5015</v>
      </c>
      <c r="E3354" t="s">
        <v>5017</v>
      </c>
      <c r="F3354" t="s">
        <v>5020</v>
      </c>
      <c r="G3354">
        <v>5.2</v>
      </c>
      <c r="H3354">
        <v>4</v>
      </c>
      <c r="I3354">
        <v>3.1</v>
      </c>
      <c r="J3354">
        <v>11.06</v>
      </c>
      <c r="K3354">
        <v>48.3</v>
      </c>
      <c r="L3354" t="s">
        <v>5027</v>
      </c>
      <c r="M3354">
        <v>7</v>
      </c>
      <c r="N3354">
        <v>3</v>
      </c>
      <c r="O3354">
        <v>0</v>
      </c>
    </row>
    <row r="3355" spans="1:15" x14ac:dyDescent="0.3">
      <c r="A3355" t="s">
        <v>3368</v>
      </c>
      <c r="B3355">
        <v>9</v>
      </c>
      <c r="C3355">
        <v>25</v>
      </c>
      <c r="D3355" t="s">
        <v>5016</v>
      </c>
      <c r="E3355" t="s">
        <v>5017</v>
      </c>
      <c r="F3355" t="s">
        <v>5021</v>
      </c>
      <c r="G3355">
        <v>17.22</v>
      </c>
      <c r="H3355">
        <v>5</v>
      </c>
      <c r="I3355">
        <v>9.4</v>
      </c>
      <c r="J3355">
        <v>19.89</v>
      </c>
      <c r="K3355">
        <v>21.4</v>
      </c>
      <c r="L3355" t="s">
        <v>5026</v>
      </c>
      <c r="M3355">
        <v>1</v>
      </c>
      <c r="N3355">
        <v>4</v>
      </c>
      <c r="O3355">
        <v>0</v>
      </c>
    </row>
    <row r="3356" spans="1:15" x14ac:dyDescent="0.3">
      <c r="A3356" t="s">
        <v>3369</v>
      </c>
      <c r="B3356">
        <v>12</v>
      </c>
      <c r="C3356">
        <v>48</v>
      </c>
      <c r="D3356" t="s">
        <v>5015</v>
      </c>
      <c r="E3356" t="s">
        <v>5017</v>
      </c>
      <c r="F3356" t="s">
        <v>5021</v>
      </c>
      <c r="G3356">
        <v>20.78</v>
      </c>
      <c r="H3356">
        <v>1</v>
      </c>
      <c r="I3356">
        <v>3.5</v>
      </c>
      <c r="J3356">
        <v>14.8</v>
      </c>
      <c r="K3356">
        <v>38</v>
      </c>
      <c r="L3356" t="s">
        <v>5029</v>
      </c>
      <c r="M3356">
        <v>9</v>
      </c>
      <c r="N3356">
        <v>2</v>
      </c>
      <c r="O3356">
        <v>0</v>
      </c>
    </row>
    <row r="3357" spans="1:15" x14ac:dyDescent="0.3">
      <c r="A3357" t="s">
        <v>3370</v>
      </c>
      <c r="B3357">
        <v>3</v>
      </c>
      <c r="C3357">
        <v>51</v>
      </c>
      <c r="D3357" t="s">
        <v>5016</v>
      </c>
      <c r="E3357" t="s">
        <v>5019</v>
      </c>
      <c r="F3357" t="s">
        <v>5021</v>
      </c>
      <c r="G3357">
        <v>20.53</v>
      </c>
      <c r="H3357">
        <v>3</v>
      </c>
      <c r="I3357">
        <v>3.3</v>
      </c>
      <c r="J3357">
        <v>7.66</v>
      </c>
      <c r="K3357">
        <v>29.9</v>
      </c>
      <c r="L3357" t="s">
        <v>5027</v>
      </c>
      <c r="M3357">
        <v>9</v>
      </c>
      <c r="N3357">
        <v>3</v>
      </c>
      <c r="O3357">
        <v>1</v>
      </c>
    </row>
    <row r="3358" spans="1:15" x14ac:dyDescent="0.3">
      <c r="A3358" t="s">
        <v>3371</v>
      </c>
      <c r="B3358">
        <v>4</v>
      </c>
      <c r="C3358">
        <v>24</v>
      </c>
      <c r="D3358" t="s">
        <v>5015</v>
      </c>
      <c r="E3358" t="s">
        <v>5018</v>
      </c>
      <c r="F3358" t="s">
        <v>5023</v>
      </c>
      <c r="G3358">
        <v>20.59</v>
      </c>
      <c r="H3358">
        <v>4</v>
      </c>
      <c r="I3358">
        <v>3.8</v>
      </c>
      <c r="J3358">
        <v>13.28</v>
      </c>
      <c r="K3358">
        <v>71.8</v>
      </c>
      <c r="L3358" t="s">
        <v>5025</v>
      </c>
      <c r="M3358">
        <v>11</v>
      </c>
      <c r="N3358">
        <v>4</v>
      </c>
      <c r="O3358">
        <v>1</v>
      </c>
    </row>
    <row r="3359" spans="1:15" x14ac:dyDescent="0.3">
      <c r="A3359" t="s">
        <v>3372</v>
      </c>
      <c r="B3359">
        <v>8</v>
      </c>
      <c r="C3359">
        <v>53</v>
      </c>
      <c r="D3359" t="s">
        <v>5015</v>
      </c>
      <c r="E3359" t="s">
        <v>5019</v>
      </c>
      <c r="F3359" t="s">
        <v>5023</v>
      </c>
      <c r="G3359">
        <v>12.22</v>
      </c>
      <c r="H3359">
        <v>4</v>
      </c>
      <c r="I3359">
        <v>5.2</v>
      </c>
      <c r="J3359">
        <v>16.05</v>
      </c>
      <c r="K3359">
        <v>92</v>
      </c>
      <c r="L3359" t="s">
        <v>5026</v>
      </c>
      <c r="M3359">
        <v>10</v>
      </c>
      <c r="N3359">
        <v>4</v>
      </c>
      <c r="O3359">
        <v>0</v>
      </c>
    </row>
    <row r="3360" spans="1:15" x14ac:dyDescent="0.3">
      <c r="A3360" t="s">
        <v>3373</v>
      </c>
      <c r="B3360">
        <v>6</v>
      </c>
      <c r="C3360">
        <v>35</v>
      </c>
      <c r="D3360" t="s">
        <v>5016</v>
      </c>
      <c r="E3360" t="s">
        <v>5019</v>
      </c>
      <c r="F3360" t="s">
        <v>5022</v>
      </c>
      <c r="G3360">
        <v>22.65</v>
      </c>
      <c r="H3360">
        <v>5</v>
      </c>
      <c r="I3360">
        <v>1.2</v>
      </c>
      <c r="J3360">
        <v>22.06</v>
      </c>
      <c r="K3360">
        <v>76</v>
      </c>
      <c r="L3360" t="s">
        <v>5027</v>
      </c>
      <c r="M3360">
        <v>11</v>
      </c>
      <c r="N3360">
        <v>1</v>
      </c>
      <c r="O3360">
        <v>0</v>
      </c>
    </row>
    <row r="3361" spans="1:15" x14ac:dyDescent="0.3">
      <c r="A3361" t="s">
        <v>3374</v>
      </c>
      <c r="B3361">
        <v>5</v>
      </c>
      <c r="C3361">
        <v>55</v>
      </c>
      <c r="D3361" t="s">
        <v>5016</v>
      </c>
      <c r="E3361" t="s">
        <v>5018</v>
      </c>
      <c r="F3361" t="s">
        <v>5020</v>
      </c>
      <c r="G3361">
        <v>5.26</v>
      </c>
      <c r="H3361">
        <v>3</v>
      </c>
      <c r="I3361">
        <v>6.4</v>
      </c>
      <c r="J3361">
        <v>21.34</v>
      </c>
      <c r="K3361">
        <v>85.9</v>
      </c>
      <c r="L3361" t="s">
        <v>5028</v>
      </c>
      <c r="M3361">
        <v>6</v>
      </c>
      <c r="N3361">
        <v>2</v>
      </c>
      <c r="O3361">
        <v>0</v>
      </c>
    </row>
    <row r="3362" spans="1:15" x14ac:dyDescent="0.3">
      <c r="A3362" t="s">
        <v>3375</v>
      </c>
      <c r="B3362">
        <v>4</v>
      </c>
      <c r="C3362">
        <v>26</v>
      </c>
      <c r="D3362" t="s">
        <v>5016</v>
      </c>
      <c r="E3362" t="s">
        <v>5019</v>
      </c>
      <c r="F3362" t="s">
        <v>5023</v>
      </c>
      <c r="G3362">
        <v>11.24</v>
      </c>
      <c r="H3362">
        <v>1</v>
      </c>
      <c r="I3362">
        <v>1.3</v>
      </c>
      <c r="J3362">
        <v>12.38</v>
      </c>
      <c r="K3362">
        <v>82.5</v>
      </c>
      <c r="L3362" t="s">
        <v>5028</v>
      </c>
      <c r="M3362">
        <v>2</v>
      </c>
      <c r="N3362">
        <v>1</v>
      </c>
      <c r="O3362">
        <v>0</v>
      </c>
    </row>
    <row r="3363" spans="1:15" x14ac:dyDescent="0.3">
      <c r="A3363" t="s">
        <v>3376</v>
      </c>
      <c r="B3363">
        <v>8</v>
      </c>
      <c r="C3363">
        <v>26</v>
      </c>
      <c r="D3363" t="s">
        <v>5016</v>
      </c>
      <c r="E3363" t="s">
        <v>5018</v>
      </c>
      <c r="F3363" t="s">
        <v>5024</v>
      </c>
      <c r="G3363">
        <v>11.74</v>
      </c>
      <c r="H3363">
        <v>3</v>
      </c>
      <c r="I3363">
        <v>5.9</v>
      </c>
      <c r="J3363">
        <v>17.25</v>
      </c>
      <c r="K3363">
        <v>11.3</v>
      </c>
      <c r="L3363" t="s">
        <v>5026</v>
      </c>
      <c r="M3363">
        <v>2</v>
      </c>
      <c r="N3363">
        <v>0</v>
      </c>
      <c r="O3363">
        <v>0</v>
      </c>
    </row>
    <row r="3364" spans="1:15" x14ac:dyDescent="0.3">
      <c r="A3364" t="s">
        <v>3377</v>
      </c>
      <c r="B3364">
        <v>1</v>
      </c>
      <c r="C3364">
        <v>63</v>
      </c>
      <c r="D3364" t="s">
        <v>5015</v>
      </c>
      <c r="E3364" t="s">
        <v>5018</v>
      </c>
      <c r="F3364" t="s">
        <v>5023</v>
      </c>
      <c r="G3364">
        <v>8.31</v>
      </c>
      <c r="H3364">
        <v>2</v>
      </c>
      <c r="I3364">
        <v>5.0999999999999996</v>
      </c>
      <c r="J3364">
        <v>9.5500000000000007</v>
      </c>
      <c r="K3364">
        <v>21.2</v>
      </c>
      <c r="L3364" t="s">
        <v>5029</v>
      </c>
      <c r="M3364">
        <v>8</v>
      </c>
      <c r="N3364">
        <v>2</v>
      </c>
      <c r="O3364">
        <v>1</v>
      </c>
    </row>
    <row r="3365" spans="1:15" x14ac:dyDescent="0.3">
      <c r="A3365" t="s">
        <v>3378</v>
      </c>
      <c r="B3365">
        <v>9</v>
      </c>
      <c r="C3365">
        <v>25</v>
      </c>
      <c r="D3365" t="s">
        <v>5015</v>
      </c>
      <c r="E3365" t="s">
        <v>5018</v>
      </c>
      <c r="F3365" t="s">
        <v>5021</v>
      </c>
      <c r="G3365">
        <v>11.72</v>
      </c>
      <c r="H3365">
        <v>3</v>
      </c>
      <c r="I3365">
        <v>3.2</v>
      </c>
      <c r="J3365">
        <v>16.93</v>
      </c>
      <c r="K3365">
        <v>48.1</v>
      </c>
      <c r="L3365" t="s">
        <v>5028</v>
      </c>
      <c r="M3365">
        <v>9</v>
      </c>
      <c r="N3365">
        <v>0</v>
      </c>
      <c r="O3365">
        <v>0</v>
      </c>
    </row>
    <row r="3366" spans="1:15" x14ac:dyDescent="0.3">
      <c r="A3366" t="s">
        <v>3379</v>
      </c>
      <c r="B3366">
        <v>1</v>
      </c>
      <c r="C3366">
        <v>68</v>
      </c>
      <c r="D3366" t="s">
        <v>5015</v>
      </c>
      <c r="E3366" t="s">
        <v>5018</v>
      </c>
      <c r="F3366" t="s">
        <v>5020</v>
      </c>
      <c r="G3366">
        <v>16.72</v>
      </c>
      <c r="H3366">
        <v>1</v>
      </c>
      <c r="I3366">
        <v>4</v>
      </c>
      <c r="J3366">
        <v>23.08</v>
      </c>
      <c r="K3366">
        <v>20.100000000000001</v>
      </c>
      <c r="L3366" t="s">
        <v>5027</v>
      </c>
      <c r="M3366">
        <v>4</v>
      </c>
      <c r="N3366">
        <v>2</v>
      </c>
      <c r="O3366">
        <v>0</v>
      </c>
    </row>
    <row r="3367" spans="1:15" x14ac:dyDescent="0.3">
      <c r="A3367" t="s">
        <v>3380</v>
      </c>
      <c r="B3367">
        <v>8</v>
      </c>
      <c r="C3367">
        <v>52</v>
      </c>
      <c r="D3367" t="s">
        <v>5015</v>
      </c>
      <c r="E3367" t="s">
        <v>5019</v>
      </c>
      <c r="F3367" t="s">
        <v>5022</v>
      </c>
      <c r="G3367">
        <v>15.41</v>
      </c>
      <c r="H3367">
        <v>1</v>
      </c>
      <c r="I3367">
        <v>7.4</v>
      </c>
      <c r="J3367">
        <v>16.739999999999998</v>
      </c>
      <c r="K3367">
        <v>76.099999999999994</v>
      </c>
      <c r="L3367" t="s">
        <v>5025</v>
      </c>
      <c r="M3367">
        <v>2</v>
      </c>
      <c r="N3367">
        <v>4</v>
      </c>
      <c r="O3367">
        <v>1</v>
      </c>
    </row>
    <row r="3368" spans="1:15" x14ac:dyDescent="0.3">
      <c r="A3368" t="s">
        <v>3381</v>
      </c>
      <c r="B3368">
        <v>4</v>
      </c>
      <c r="C3368">
        <v>35</v>
      </c>
      <c r="D3368" t="s">
        <v>5016</v>
      </c>
      <c r="E3368" t="s">
        <v>5019</v>
      </c>
      <c r="F3368" t="s">
        <v>5023</v>
      </c>
      <c r="G3368">
        <v>11.39</v>
      </c>
      <c r="H3368">
        <v>1</v>
      </c>
      <c r="I3368">
        <v>1.1000000000000001</v>
      </c>
      <c r="J3368">
        <v>9.68</v>
      </c>
      <c r="K3368">
        <v>16.3</v>
      </c>
      <c r="L3368" t="s">
        <v>5029</v>
      </c>
      <c r="M3368">
        <v>5</v>
      </c>
      <c r="N3368">
        <v>0</v>
      </c>
      <c r="O3368">
        <v>0</v>
      </c>
    </row>
    <row r="3369" spans="1:15" x14ac:dyDescent="0.3">
      <c r="A3369" t="s">
        <v>3382</v>
      </c>
      <c r="B3369">
        <v>9</v>
      </c>
      <c r="C3369">
        <v>22</v>
      </c>
      <c r="D3369" t="s">
        <v>5015</v>
      </c>
      <c r="E3369" t="s">
        <v>5018</v>
      </c>
      <c r="F3369" t="s">
        <v>5021</v>
      </c>
      <c r="G3369">
        <v>19.989999999999998</v>
      </c>
      <c r="H3369">
        <v>4</v>
      </c>
      <c r="I3369">
        <v>3.8</v>
      </c>
      <c r="J3369">
        <v>17.170000000000002</v>
      </c>
      <c r="K3369">
        <v>47.5</v>
      </c>
      <c r="L3369" t="s">
        <v>5026</v>
      </c>
      <c r="M3369">
        <v>7</v>
      </c>
      <c r="N3369">
        <v>2</v>
      </c>
      <c r="O3369">
        <v>0</v>
      </c>
    </row>
    <row r="3370" spans="1:15" x14ac:dyDescent="0.3">
      <c r="A3370" t="s">
        <v>3383</v>
      </c>
      <c r="B3370">
        <v>11</v>
      </c>
      <c r="C3370">
        <v>31</v>
      </c>
      <c r="D3370" t="s">
        <v>5016</v>
      </c>
      <c r="E3370" t="s">
        <v>5019</v>
      </c>
      <c r="F3370" t="s">
        <v>5024</v>
      </c>
      <c r="G3370">
        <v>19.3</v>
      </c>
      <c r="H3370">
        <v>4</v>
      </c>
      <c r="I3370">
        <v>7.1</v>
      </c>
      <c r="J3370">
        <v>22.86</v>
      </c>
      <c r="K3370">
        <v>45.3</v>
      </c>
      <c r="L3370" t="s">
        <v>5028</v>
      </c>
      <c r="M3370">
        <v>4</v>
      </c>
      <c r="N3370">
        <v>2</v>
      </c>
      <c r="O3370">
        <v>0</v>
      </c>
    </row>
    <row r="3371" spans="1:15" x14ac:dyDescent="0.3">
      <c r="A3371" t="s">
        <v>3384</v>
      </c>
      <c r="B3371">
        <v>5</v>
      </c>
      <c r="C3371">
        <v>45</v>
      </c>
      <c r="D3371" t="s">
        <v>5015</v>
      </c>
      <c r="E3371" t="s">
        <v>5017</v>
      </c>
      <c r="F3371" t="s">
        <v>5024</v>
      </c>
      <c r="G3371">
        <v>10.61</v>
      </c>
      <c r="H3371">
        <v>2</v>
      </c>
      <c r="I3371">
        <v>2.4</v>
      </c>
      <c r="J3371">
        <v>6.02</v>
      </c>
      <c r="K3371">
        <v>58.9</v>
      </c>
      <c r="L3371" t="s">
        <v>5029</v>
      </c>
      <c r="M3371">
        <v>9</v>
      </c>
      <c r="N3371">
        <v>0</v>
      </c>
      <c r="O3371">
        <v>1</v>
      </c>
    </row>
    <row r="3372" spans="1:15" x14ac:dyDescent="0.3">
      <c r="A3372" t="s">
        <v>3385</v>
      </c>
      <c r="B3372">
        <v>3</v>
      </c>
      <c r="C3372">
        <v>47</v>
      </c>
      <c r="D3372" t="s">
        <v>5016</v>
      </c>
      <c r="E3372" t="s">
        <v>5019</v>
      </c>
      <c r="F3372" t="s">
        <v>5022</v>
      </c>
      <c r="G3372">
        <v>11.46</v>
      </c>
      <c r="H3372">
        <v>3</v>
      </c>
      <c r="I3372">
        <v>6</v>
      </c>
      <c r="J3372">
        <v>13.61</v>
      </c>
      <c r="K3372">
        <v>66.599999999999994</v>
      </c>
      <c r="L3372" t="s">
        <v>5025</v>
      </c>
      <c r="M3372">
        <v>4</v>
      </c>
      <c r="N3372">
        <v>2</v>
      </c>
      <c r="O3372">
        <v>0</v>
      </c>
    </row>
    <row r="3373" spans="1:15" x14ac:dyDescent="0.3">
      <c r="A3373" t="s">
        <v>3386</v>
      </c>
      <c r="B3373">
        <v>9</v>
      </c>
      <c r="C3373">
        <v>21</v>
      </c>
      <c r="D3373" t="s">
        <v>5016</v>
      </c>
      <c r="E3373" t="s">
        <v>5018</v>
      </c>
      <c r="F3373" t="s">
        <v>5022</v>
      </c>
      <c r="G3373">
        <v>10.75</v>
      </c>
      <c r="H3373">
        <v>5</v>
      </c>
      <c r="I3373">
        <v>2.5</v>
      </c>
      <c r="J3373">
        <v>10.06</v>
      </c>
      <c r="K3373">
        <v>95.2</v>
      </c>
      <c r="L3373" t="s">
        <v>5029</v>
      </c>
      <c r="M3373">
        <v>8</v>
      </c>
      <c r="N3373">
        <v>1</v>
      </c>
      <c r="O3373">
        <v>1</v>
      </c>
    </row>
    <row r="3374" spans="1:15" x14ac:dyDescent="0.3">
      <c r="A3374" t="s">
        <v>3387</v>
      </c>
      <c r="B3374">
        <v>11</v>
      </c>
      <c r="C3374">
        <v>56</v>
      </c>
      <c r="D3374" t="s">
        <v>5016</v>
      </c>
      <c r="E3374" t="s">
        <v>5017</v>
      </c>
      <c r="F3374" t="s">
        <v>5023</v>
      </c>
      <c r="G3374">
        <v>7.58</v>
      </c>
      <c r="H3374">
        <v>2</v>
      </c>
      <c r="I3374">
        <v>2.4</v>
      </c>
      <c r="J3374">
        <v>8.31</v>
      </c>
      <c r="K3374">
        <v>34.4</v>
      </c>
      <c r="L3374" t="s">
        <v>5029</v>
      </c>
      <c r="M3374">
        <v>3</v>
      </c>
      <c r="N3374">
        <v>1</v>
      </c>
      <c r="O3374">
        <v>0</v>
      </c>
    </row>
    <row r="3375" spans="1:15" x14ac:dyDescent="0.3">
      <c r="A3375" t="s">
        <v>3388</v>
      </c>
      <c r="B3375">
        <v>9</v>
      </c>
      <c r="C3375">
        <v>37</v>
      </c>
      <c r="D3375" t="s">
        <v>5016</v>
      </c>
      <c r="E3375" t="s">
        <v>5018</v>
      </c>
      <c r="F3375" t="s">
        <v>5022</v>
      </c>
      <c r="G3375">
        <v>20.059999999999999</v>
      </c>
      <c r="H3375">
        <v>5</v>
      </c>
      <c r="I3375">
        <v>8</v>
      </c>
      <c r="J3375">
        <v>11.72</v>
      </c>
      <c r="K3375">
        <v>69.900000000000006</v>
      </c>
      <c r="L3375" t="s">
        <v>5026</v>
      </c>
      <c r="M3375">
        <v>6</v>
      </c>
      <c r="N3375">
        <v>0</v>
      </c>
      <c r="O3375">
        <v>1</v>
      </c>
    </row>
    <row r="3376" spans="1:15" x14ac:dyDescent="0.3">
      <c r="A3376" t="s">
        <v>3389</v>
      </c>
      <c r="B3376">
        <v>4</v>
      </c>
      <c r="C3376">
        <v>42</v>
      </c>
      <c r="D3376" t="s">
        <v>5016</v>
      </c>
      <c r="E3376" t="s">
        <v>5018</v>
      </c>
      <c r="F3376" t="s">
        <v>5021</v>
      </c>
      <c r="G3376">
        <v>5.93</v>
      </c>
      <c r="H3376">
        <v>5</v>
      </c>
      <c r="I3376">
        <v>3.4</v>
      </c>
      <c r="J3376">
        <v>11.67</v>
      </c>
      <c r="K3376">
        <v>13.2</v>
      </c>
      <c r="L3376" t="s">
        <v>5025</v>
      </c>
      <c r="M3376">
        <v>6</v>
      </c>
      <c r="N3376">
        <v>4</v>
      </c>
      <c r="O3376">
        <v>1</v>
      </c>
    </row>
    <row r="3377" spans="1:15" x14ac:dyDescent="0.3">
      <c r="A3377" t="s">
        <v>3390</v>
      </c>
      <c r="B3377">
        <v>11</v>
      </c>
      <c r="C3377">
        <v>45</v>
      </c>
      <c r="D3377" t="s">
        <v>5015</v>
      </c>
      <c r="E3377" t="s">
        <v>5017</v>
      </c>
      <c r="F3377" t="s">
        <v>5021</v>
      </c>
      <c r="G3377">
        <v>8.01</v>
      </c>
      <c r="H3377">
        <v>2</v>
      </c>
      <c r="I3377">
        <v>4.4000000000000004</v>
      </c>
      <c r="J3377">
        <v>7.63</v>
      </c>
      <c r="K3377">
        <v>10.1</v>
      </c>
      <c r="L3377" t="s">
        <v>5025</v>
      </c>
      <c r="M3377">
        <v>3</v>
      </c>
      <c r="N3377">
        <v>3</v>
      </c>
      <c r="O3377">
        <v>0</v>
      </c>
    </row>
    <row r="3378" spans="1:15" x14ac:dyDescent="0.3">
      <c r="A3378" t="s">
        <v>3391</v>
      </c>
      <c r="B3378">
        <v>4</v>
      </c>
      <c r="C3378">
        <v>29</v>
      </c>
      <c r="D3378" t="s">
        <v>5016</v>
      </c>
      <c r="E3378" t="s">
        <v>5019</v>
      </c>
      <c r="F3378" t="s">
        <v>5021</v>
      </c>
      <c r="G3378">
        <v>7.11</v>
      </c>
      <c r="H3378">
        <v>3</v>
      </c>
      <c r="I3378">
        <v>7.6</v>
      </c>
      <c r="J3378">
        <v>11.88</v>
      </c>
      <c r="K3378">
        <v>12.3</v>
      </c>
      <c r="L3378" t="s">
        <v>5029</v>
      </c>
      <c r="M3378">
        <v>2</v>
      </c>
      <c r="N3378">
        <v>0</v>
      </c>
      <c r="O3378">
        <v>0</v>
      </c>
    </row>
    <row r="3379" spans="1:15" x14ac:dyDescent="0.3">
      <c r="A3379" t="s">
        <v>3392</v>
      </c>
      <c r="B3379">
        <v>12</v>
      </c>
      <c r="C3379">
        <v>19</v>
      </c>
      <c r="D3379" t="s">
        <v>5015</v>
      </c>
      <c r="E3379" t="s">
        <v>5017</v>
      </c>
      <c r="F3379" t="s">
        <v>5023</v>
      </c>
      <c r="G3379">
        <v>21.51</v>
      </c>
      <c r="H3379">
        <v>5</v>
      </c>
      <c r="I3379">
        <v>2.6</v>
      </c>
      <c r="J3379">
        <v>16.940000000000001</v>
      </c>
      <c r="K3379">
        <v>50.4</v>
      </c>
      <c r="L3379" t="s">
        <v>5028</v>
      </c>
      <c r="M3379">
        <v>6</v>
      </c>
      <c r="N3379">
        <v>0</v>
      </c>
      <c r="O3379">
        <v>0</v>
      </c>
    </row>
    <row r="3380" spans="1:15" x14ac:dyDescent="0.3">
      <c r="A3380" t="s">
        <v>3393</v>
      </c>
      <c r="B3380">
        <v>8</v>
      </c>
      <c r="C3380">
        <v>60</v>
      </c>
      <c r="D3380" t="s">
        <v>5015</v>
      </c>
      <c r="E3380" t="s">
        <v>5019</v>
      </c>
      <c r="F3380" t="s">
        <v>5023</v>
      </c>
      <c r="G3380">
        <v>5.88</v>
      </c>
      <c r="H3380">
        <v>4</v>
      </c>
      <c r="I3380">
        <v>5.8</v>
      </c>
      <c r="J3380">
        <v>3.57</v>
      </c>
      <c r="K3380">
        <v>60</v>
      </c>
      <c r="L3380" t="s">
        <v>5029</v>
      </c>
      <c r="M3380">
        <v>7</v>
      </c>
      <c r="N3380">
        <v>0</v>
      </c>
      <c r="O3380">
        <v>0</v>
      </c>
    </row>
    <row r="3381" spans="1:15" x14ac:dyDescent="0.3">
      <c r="A3381" t="s">
        <v>3394</v>
      </c>
      <c r="B3381">
        <v>2</v>
      </c>
      <c r="C3381">
        <v>31</v>
      </c>
      <c r="D3381" t="s">
        <v>5016</v>
      </c>
      <c r="E3381" t="s">
        <v>5019</v>
      </c>
      <c r="F3381" t="s">
        <v>5022</v>
      </c>
      <c r="G3381">
        <v>18.29</v>
      </c>
      <c r="H3381">
        <v>4</v>
      </c>
      <c r="I3381">
        <v>9.3000000000000007</v>
      </c>
      <c r="J3381">
        <v>24.76</v>
      </c>
      <c r="K3381">
        <v>10.6</v>
      </c>
      <c r="L3381" t="s">
        <v>5027</v>
      </c>
      <c r="M3381">
        <v>7</v>
      </c>
      <c r="N3381">
        <v>0</v>
      </c>
      <c r="O3381">
        <v>1</v>
      </c>
    </row>
    <row r="3382" spans="1:15" x14ac:dyDescent="0.3">
      <c r="A3382" t="s">
        <v>3395</v>
      </c>
      <c r="B3382">
        <v>9</v>
      </c>
      <c r="C3382">
        <v>39</v>
      </c>
      <c r="D3382" t="s">
        <v>5015</v>
      </c>
      <c r="E3382" t="s">
        <v>5018</v>
      </c>
      <c r="F3382" t="s">
        <v>5023</v>
      </c>
      <c r="G3382">
        <v>5.89</v>
      </c>
      <c r="H3382">
        <v>2</v>
      </c>
      <c r="I3382">
        <v>6</v>
      </c>
      <c r="J3382">
        <v>9.51</v>
      </c>
      <c r="K3382">
        <v>45.7</v>
      </c>
      <c r="L3382" t="s">
        <v>5028</v>
      </c>
      <c r="M3382">
        <v>10</v>
      </c>
      <c r="N3382">
        <v>1</v>
      </c>
      <c r="O3382">
        <v>0</v>
      </c>
    </row>
    <row r="3383" spans="1:15" x14ac:dyDescent="0.3">
      <c r="A3383" t="s">
        <v>3396</v>
      </c>
      <c r="B3383">
        <v>6</v>
      </c>
      <c r="C3383">
        <v>48</v>
      </c>
      <c r="D3383" t="s">
        <v>5015</v>
      </c>
      <c r="E3383" t="s">
        <v>5018</v>
      </c>
      <c r="F3383" t="s">
        <v>5021</v>
      </c>
      <c r="G3383">
        <v>20.73</v>
      </c>
      <c r="H3383">
        <v>5</v>
      </c>
      <c r="I3383">
        <v>1.4</v>
      </c>
      <c r="J3383">
        <v>16.72</v>
      </c>
      <c r="K3383">
        <v>13.7</v>
      </c>
      <c r="L3383" t="s">
        <v>5026</v>
      </c>
      <c r="M3383">
        <v>11</v>
      </c>
      <c r="N3383">
        <v>0</v>
      </c>
      <c r="O3383">
        <v>0</v>
      </c>
    </row>
    <row r="3384" spans="1:15" x14ac:dyDescent="0.3">
      <c r="A3384" t="s">
        <v>3397</v>
      </c>
      <c r="B3384">
        <v>9</v>
      </c>
      <c r="C3384">
        <v>40</v>
      </c>
      <c r="D3384" t="s">
        <v>5015</v>
      </c>
      <c r="E3384" t="s">
        <v>5019</v>
      </c>
      <c r="F3384" t="s">
        <v>5020</v>
      </c>
      <c r="G3384">
        <v>23.25</v>
      </c>
      <c r="H3384">
        <v>2</v>
      </c>
      <c r="I3384">
        <v>6.3</v>
      </c>
      <c r="J3384">
        <v>9.24</v>
      </c>
      <c r="K3384">
        <v>68.8</v>
      </c>
      <c r="L3384" t="s">
        <v>5025</v>
      </c>
      <c r="M3384">
        <v>1</v>
      </c>
      <c r="N3384">
        <v>4</v>
      </c>
      <c r="O3384">
        <v>1</v>
      </c>
    </row>
    <row r="3385" spans="1:15" x14ac:dyDescent="0.3">
      <c r="A3385" t="s">
        <v>3398</v>
      </c>
      <c r="B3385">
        <v>8</v>
      </c>
      <c r="C3385">
        <v>65</v>
      </c>
      <c r="D3385" t="s">
        <v>5016</v>
      </c>
      <c r="E3385" t="s">
        <v>5018</v>
      </c>
      <c r="F3385" t="s">
        <v>5021</v>
      </c>
      <c r="G3385">
        <v>14.74</v>
      </c>
      <c r="H3385">
        <v>4</v>
      </c>
      <c r="I3385">
        <v>1.8</v>
      </c>
      <c r="J3385">
        <v>11.66</v>
      </c>
      <c r="K3385">
        <v>66.8</v>
      </c>
      <c r="L3385" t="s">
        <v>5028</v>
      </c>
      <c r="M3385">
        <v>6</v>
      </c>
      <c r="N3385">
        <v>3</v>
      </c>
      <c r="O3385">
        <v>1</v>
      </c>
    </row>
    <row r="3386" spans="1:15" x14ac:dyDescent="0.3">
      <c r="A3386" t="s">
        <v>3399</v>
      </c>
      <c r="B3386">
        <v>7</v>
      </c>
      <c r="C3386">
        <v>37</v>
      </c>
      <c r="D3386" t="s">
        <v>5016</v>
      </c>
      <c r="E3386" t="s">
        <v>5018</v>
      </c>
      <c r="F3386" t="s">
        <v>5020</v>
      </c>
      <c r="G3386">
        <v>21.09</v>
      </c>
      <c r="H3386">
        <v>2</v>
      </c>
      <c r="I3386">
        <v>3.5</v>
      </c>
      <c r="J3386">
        <v>15.08</v>
      </c>
      <c r="K3386">
        <v>80.599999999999994</v>
      </c>
      <c r="L3386" t="s">
        <v>5026</v>
      </c>
      <c r="M3386">
        <v>9</v>
      </c>
      <c r="N3386">
        <v>3</v>
      </c>
      <c r="O3386">
        <v>0</v>
      </c>
    </row>
    <row r="3387" spans="1:15" x14ac:dyDescent="0.3">
      <c r="A3387" t="s">
        <v>3400</v>
      </c>
      <c r="B3387">
        <v>1</v>
      </c>
      <c r="C3387">
        <v>55</v>
      </c>
      <c r="D3387" t="s">
        <v>5016</v>
      </c>
      <c r="E3387" t="s">
        <v>5018</v>
      </c>
      <c r="F3387" t="s">
        <v>5022</v>
      </c>
      <c r="G3387">
        <v>19.13</v>
      </c>
      <c r="H3387">
        <v>5</v>
      </c>
      <c r="I3387">
        <v>8.6</v>
      </c>
      <c r="J3387">
        <v>16.46</v>
      </c>
      <c r="K3387">
        <v>59.2</v>
      </c>
      <c r="L3387" t="s">
        <v>5029</v>
      </c>
      <c r="M3387">
        <v>9</v>
      </c>
      <c r="N3387">
        <v>4</v>
      </c>
      <c r="O3387">
        <v>1</v>
      </c>
    </row>
    <row r="3388" spans="1:15" x14ac:dyDescent="0.3">
      <c r="A3388" t="s">
        <v>3401</v>
      </c>
      <c r="B3388">
        <v>12</v>
      </c>
      <c r="C3388">
        <v>21</v>
      </c>
      <c r="D3388" t="s">
        <v>5016</v>
      </c>
      <c r="E3388" t="s">
        <v>5018</v>
      </c>
      <c r="F3388" t="s">
        <v>5024</v>
      </c>
      <c r="G3388">
        <v>20.91</v>
      </c>
      <c r="H3388">
        <v>5</v>
      </c>
      <c r="I3388">
        <v>1.1000000000000001</v>
      </c>
      <c r="J3388">
        <v>19.95</v>
      </c>
      <c r="K3388">
        <v>66.099999999999994</v>
      </c>
      <c r="L3388" t="s">
        <v>5026</v>
      </c>
      <c r="M3388">
        <v>2</v>
      </c>
      <c r="N3388">
        <v>0</v>
      </c>
      <c r="O3388">
        <v>0</v>
      </c>
    </row>
    <row r="3389" spans="1:15" x14ac:dyDescent="0.3">
      <c r="A3389" t="s">
        <v>3402</v>
      </c>
      <c r="B3389">
        <v>3</v>
      </c>
      <c r="C3389">
        <v>32</v>
      </c>
      <c r="D3389" t="s">
        <v>5015</v>
      </c>
      <c r="E3389" t="s">
        <v>5019</v>
      </c>
      <c r="F3389" t="s">
        <v>5023</v>
      </c>
      <c r="G3389">
        <v>20.34</v>
      </c>
      <c r="H3389">
        <v>4</v>
      </c>
      <c r="I3389">
        <v>1.7</v>
      </c>
      <c r="J3389">
        <v>20.420000000000002</v>
      </c>
      <c r="K3389">
        <v>35.1</v>
      </c>
      <c r="L3389" t="s">
        <v>5027</v>
      </c>
      <c r="M3389">
        <v>4</v>
      </c>
      <c r="N3389">
        <v>3</v>
      </c>
      <c r="O3389">
        <v>0</v>
      </c>
    </row>
    <row r="3390" spans="1:15" x14ac:dyDescent="0.3">
      <c r="A3390" t="s">
        <v>3403</v>
      </c>
      <c r="B3390">
        <v>11</v>
      </c>
      <c r="C3390">
        <v>41</v>
      </c>
      <c r="D3390" t="s">
        <v>5015</v>
      </c>
      <c r="E3390" t="s">
        <v>5017</v>
      </c>
      <c r="F3390" t="s">
        <v>5023</v>
      </c>
      <c r="G3390">
        <v>9.11</v>
      </c>
      <c r="H3390">
        <v>1</v>
      </c>
      <c r="I3390">
        <v>4.3</v>
      </c>
      <c r="J3390">
        <v>14.41</v>
      </c>
      <c r="K3390">
        <v>17.7</v>
      </c>
      <c r="L3390" t="s">
        <v>5026</v>
      </c>
      <c r="M3390">
        <v>6</v>
      </c>
      <c r="N3390">
        <v>1</v>
      </c>
      <c r="O3390">
        <v>0</v>
      </c>
    </row>
    <row r="3391" spans="1:15" x14ac:dyDescent="0.3">
      <c r="A3391" t="s">
        <v>3404</v>
      </c>
      <c r="B3391">
        <v>2</v>
      </c>
      <c r="C3391">
        <v>42</v>
      </c>
      <c r="D3391" t="s">
        <v>5015</v>
      </c>
      <c r="E3391" t="s">
        <v>5018</v>
      </c>
      <c r="F3391" t="s">
        <v>5021</v>
      </c>
      <c r="G3391">
        <v>14.99</v>
      </c>
      <c r="H3391">
        <v>1</v>
      </c>
      <c r="I3391">
        <v>10</v>
      </c>
      <c r="J3391">
        <v>4.67</v>
      </c>
      <c r="K3391">
        <v>76.400000000000006</v>
      </c>
      <c r="L3391" t="s">
        <v>5028</v>
      </c>
      <c r="M3391">
        <v>4</v>
      </c>
      <c r="N3391">
        <v>3</v>
      </c>
      <c r="O3391">
        <v>0</v>
      </c>
    </row>
    <row r="3392" spans="1:15" x14ac:dyDescent="0.3">
      <c r="A3392" t="s">
        <v>3405</v>
      </c>
      <c r="B3392">
        <v>5</v>
      </c>
      <c r="C3392">
        <v>18</v>
      </c>
      <c r="D3392" t="s">
        <v>5015</v>
      </c>
      <c r="E3392" t="s">
        <v>5017</v>
      </c>
      <c r="F3392" t="s">
        <v>5021</v>
      </c>
      <c r="G3392">
        <v>24.21</v>
      </c>
      <c r="H3392">
        <v>3</v>
      </c>
      <c r="I3392">
        <v>3.6</v>
      </c>
      <c r="J3392">
        <v>15.27</v>
      </c>
      <c r="K3392">
        <v>65.099999999999994</v>
      </c>
      <c r="L3392" t="s">
        <v>5025</v>
      </c>
      <c r="M3392">
        <v>9</v>
      </c>
      <c r="N3392">
        <v>4</v>
      </c>
      <c r="O3392">
        <v>0</v>
      </c>
    </row>
    <row r="3393" spans="1:15" x14ac:dyDescent="0.3">
      <c r="A3393" t="s">
        <v>3406</v>
      </c>
      <c r="B3393">
        <v>5</v>
      </c>
      <c r="C3393">
        <v>24</v>
      </c>
      <c r="D3393" t="s">
        <v>5015</v>
      </c>
      <c r="E3393" t="s">
        <v>5019</v>
      </c>
      <c r="F3393" t="s">
        <v>5020</v>
      </c>
      <c r="G3393">
        <v>11.87</v>
      </c>
      <c r="H3393">
        <v>4</v>
      </c>
      <c r="I3393">
        <v>2.4</v>
      </c>
      <c r="J3393">
        <v>13.51</v>
      </c>
      <c r="K3393">
        <v>94.4</v>
      </c>
      <c r="L3393" t="s">
        <v>5028</v>
      </c>
      <c r="M3393">
        <v>2</v>
      </c>
      <c r="N3393">
        <v>3</v>
      </c>
      <c r="O3393">
        <v>0</v>
      </c>
    </row>
    <row r="3394" spans="1:15" x14ac:dyDescent="0.3">
      <c r="A3394" t="s">
        <v>3407</v>
      </c>
      <c r="B3394">
        <v>5</v>
      </c>
      <c r="C3394">
        <v>48</v>
      </c>
      <c r="D3394" t="s">
        <v>5015</v>
      </c>
      <c r="E3394" t="s">
        <v>5019</v>
      </c>
      <c r="F3394" t="s">
        <v>5023</v>
      </c>
      <c r="G3394">
        <v>24.41</v>
      </c>
      <c r="H3394">
        <v>3</v>
      </c>
      <c r="I3394">
        <v>5.9</v>
      </c>
      <c r="J3394">
        <v>7.74</v>
      </c>
      <c r="K3394">
        <v>99</v>
      </c>
      <c r="L3394" t="s">
        <v>5028</v>
      </c>
      <c r="M3394">
        <v>10</v>
      </c>
      <c r="N3394">
        <v>4</v>
      </c>
      <c r="O3394">
        <v>0</v>
      </c>
    </row>
    <row r="3395" spans="1:15" x14ac:dyDescent="0.3">
      <c r="A3395" t="s">
        <v>3408</v>
      </c>
      <c r="B3395">
        <v>4</v>
      </c>
      <c r="C3395">
        <v>29</v>
      </c>
      <c r="D3395" t="s">
        <v>5016</v>
      </c>
      <c r="E3395" t="s">
        <v>5017</v>
      </c>
      <c r="F3395" t="s">
        <v>5022</v>
      </c>
      <c r="G3395">
        <v>16.66</v>
      </c>
      <c r="H3395">
        <v>4</v>
      </c>
      <c r="I3395">
        <v>5.7</v>
      </c>
      <c r="J3395">
        <v>3.22</v>
      </c>
      <c r="K3395">
        <v>86.3</v>
      </c>
      <c r="L3395" t="s">
        <v>5025</v>
      </c>
      <c r="M3395">
        <v>6</v>
      </c>
      <c r="N3395">
        <v>0</v>
      </c>
      <c r="O3395">
        <v>0</v>
      </c>
    </row>
    <row r="3396" spans="1:15" x14ac:dyDescent="0.3">
      <c r="A3396" t="s">
        <v>3409</v>
      </c>
      <c r="B3396">
        <v>5</v>
      </c>
      <c r="C3396">
        <v>59</v>
      </c>
      <c r="D3396" t="s">
        <v>5015</v>
      </c>
      <c r="E3396" t="s">
        <v>5017</v>
      </c>
      <c r="F3396" t="s">
        <v>5021</v>
      </c>
      <c r="G3396">
        <v>14.23</v>
      </c>
      <c r="H3396">
        <v>5</v>
      </c>
      <c r="I3396">
        <v>5</v>
      </c>
      <c r="J3396">
        <v>9.9499999999999993</v>
      </c>
      <c r="K3396">
        <v>98.7</v>
      </c>
      <c r="L3396" t="s">
        <v>5027</v>
      </c>
      <c r="M3396">
        <v>1</v>
      </c>
      <c r="N3396">
        <v>3</v>
      </c>
      <c r="O3396">
        <v>0</v>
      </c>
    </row>
    <row r="3397" spans="1:15" x14ac:dyDescent="0.3">
      <c r="A3397" t="s">
        <v>3410</v>
      </c>
      <c r="B3397">
        <v>3</v>
      </c>
      <c r="C3397">
        <v>22</v>
      </c>
      <c r="D3397" t="s">
        <v>5015</v>
      </c>
      <c r="E3397" t="s">
        <v>5017</v>
      </c>
      <c r="F3397" t="s">
        <v>5023</v>
      </c>
      <c r="G3397">
        <v>18.16</v>
      </c>
      <c r="H3397">
        <v>4</v>
      </c>
      <c r="I3397">
        <v>9.5</v>
      </c>
      <c r="J3397">
        <v>8.7100000000000009</v>
      </c>
      <c r="K3397">
        <v>68.3</v>
      </c>
      <c r="L3397" t="s">
        <v>5028</v>
      </c>
      <c r="M3397">
        <v>9</v>
      </c>
      <c r="N3397">
        <v>4</v>
      </c>
      <c r="O3397">
        <v>1</v>
      </c>
    </row>
    <row r="3398" spans="1:15" x14ac:dyDescent="0.3">
      <c r="A3398" t="s">
        <v>3411</v>
      </c>
      <c r="B3398">
        <v>12</v>
      </c>
      <c r="C3398">
        <v>61</v>
      </c>
      <c r="D3398" t="s">
        <v>5015</v>
      </c>
      <c r="E3398" t="s">
        <v>5018</v>
      </c>
      <c r="F3398" t="s">
        <v>5024</v>
      </c>
      <c r="G3398">
        <v>21.32</v>
      </c>
      <c r="H3398">
        <v>2</v>
      </c>
      <c r="I3398">
        <v>3.5</v>
      </c>
      <c r="J3398">
        <v>13.62</v>
      </c>
      <c r="K3398">
        <v>18.3</v>
      </c>
      <c r="L3398" t="s">
        <v>5025</v>
      </c>
      <c r="M3398">
        <v>1</v>
      </c>
      <c r="N3398">
        <v>1</v>
      </c>
      <c r="O3398">
        <v>1</v>
      </c>
    </row>
    <row r="3399" spans="1:15" x14ac:dyDescent="0.3">
      <c r="A3399" t="s">
        <v>3412</v>
      </c>
      <c r="B3399">
        <v>1</v>
      </c>
      <c r="C3399">
        <v>67</v>
      </c>
      <c r="D3399" t="s">
        <v>5016</v>
      </c>
      <c r="E3399" t="s">
        <v>5018</v>
      </c>
      <c r="F3399" t="s">
        <v>5020</v>
      </c>
      <c r="G3399">
        <v>12.88</v>
      </c>
      <c r="H3399">
        <v>3</v>
      </c>
      <c r="I3399">
        <v>3.6</v>
      </c>
      <c r="J3399">
        <v>19.760000000000002</v>
      </c>
      <c r="K3399">
        <v>18.100000000000001</v>
      </c>
      <c r="L3399" t="s">
        <v>5025</v>
      </c>
      <c r="M3399">
        <v>8</v>
      </c>
      <c r="N3399">
        <v>1</v>
      </c>
      <c r="O3399">
        <v>0</v>
      </c>
    </row>
    <row r="3400" spans="1:15" x14ac:dyDescent="0.3">
      <c r="A3400" t="s">
        <v>3413</v>
      </c>
      <c r="B3400">
        <v>5</v>
      </c>
      <c r="C3400">
        <v>59</v>
      </c>
      <c r="D3400" t="s">
        <v>5015</v>
      </c>
      <c r="E3400" t="s">
        <v>5019</v>
      </c>
      <c r="F3400" t="s">
        <v>5021</v>
      </c>
      <c r="G3400">
        <v>5.66</v>
      </c>
      <c r="H3400">
        <v>4</v>
      </c>
      <c r="I3400">
        <v>2.2999999999999998</v>
      </c>
      <c r="J3400">
        <v>12.66</v>
      </c>
      <c r="K3400">
        <v>82.6</v>
      </c>
      <c r="L3400" t="s">
        <v>5028</v>
      </c>
      <c r="M3400">
        <v>9</v>
      </c>
      <c r="N3400">
        <v>2</v>
      </c>
      <c r="O3400">
        <v>0</v>
      </c>
    </row>
    <row r="3401" spans="1:15" x14ac:dyDescent="0.3">
      <c r="A3401" t="s">
        <v>3414</v>
      </c>
      <c r="B3401">
        <v>9</v>
      </c>
      <c r="C3401">
        <v>55</v>
      </c>
      <c r="D3401" t="s">
        <v>5015</v>
      </c>
      <c r="E3401" t="s">
        <v>5018</v>
      </c>
      <c r="F3401" t="s">
        <v>5021</v>
      </c>
      <c r="G3401">
        <v>19.18</v>
      </c>
      <c r="H3401">
        <v>3</v>
      </c>
      <c r="I3401">
        <v>7.3</v>
      </c>
      <c r="J3401">
        <v>23.93</v>
      </c>
      <c r="K3401">
        <v>31.3</v>
      </c>
      <c r="L3401" t="s">
        <v>5025</v>
      </c>
      <c r="M3401">
        <v>1</v>
      </c>
      <c r="N3401">
        <v>3</v>
      </c>
      <c r="O3401">
        <v>1</v>
      </c>
    </row>
    <row r="3402" spans="1:15" x14ac:dyDescent="0.3">
      <c r="A3402" t="s">
        <v>3415</v>
      </c>
      <c r="B3402">
        <v>9</v>
      </c>
      <c r="C3402">
        <v>29</v>
      </c>
      <c r="D3402" t="s">
        <v>5016</v>
      </c>
      <c r="E3402" t="s">
        <v>5017</v>
      </c>
      <c r="F3402" t="s">
        <v>5022</v>
      </c>
      <c r="G3402">
        <v>24.12</v>
      </c>
      <c r="H3402">
        <v>4</v>
      </c>
      <c r="I3402">
        <v>3.9</v>
      </c>
      <c r="J3402">
        <v>7.87</v>
      </c>
      <c r="K3402">
        <v>15.5</v>
      </c>
      <c r="L3402" t="s">
        <v>5029</v>
      </c>
      <c r="M3402">
        <v>1</v>
      </c>
      <c r="N3402">
        <v>0</v>
      </c>
      <c r="O3402">
        <v>0</v>
      </c>
    </row>
    <row r="3403" spans="1:15" x14ac:dyDescent="0.3">
      <c r="A3403" t="s">
        <v>3416</v>
      </c>
      <c r="B3403">
        <v>4</v>
      </c>
      <c r="C3403">
        <v>56</v>
      </c>
      <c r="D3403" t="s">
        <v>5015</v>
      </c>
      <c r="E3403" t="s">
        <v>5019</v>
      </c>
      <c r="F3403" t="s">
        <v>5021</v>
      </c>
      <c r="G3403">
        <v>17.5</v>
      </c>
      <c r="H3403">
        <v>1</v>
      </c>
      <c r="I3403">
        <v>8.1999999999999993</v>
      </c>
      <c r="J3403">
        <v>7.86</v>
      </c>
      <c r="K3403">
        <v>52.5</v>
      </c>
      <c r="L3403" t="s">
        <v>5028</v>
      </c>
      <c r="M3403">
        <v>10</v>
      </c>
      <c r="N3403">
        <v>2</v>
      </c>
      <c r="O3403">
        <v>1</v>
      </c>
    </row>
    <row r="3404" spans="1:15" x14ac:dyDescent="0.3">
      <c r="A3404" t="s">
        <v>3417</v>
      </c>
      <c r="B3404">
        <v>3</v>
      </c>
      <c r="C3404">
        <v>35</v>
      </c>
      <c r="D3404" t="s">
        <v>5016</v>
      </c>
      <c r="E3404" t="s">
        <v>5018</v>
      </c>
      <c r="F3404" t="s">
        <v>5023</v>
      </c>
      <c r="G3404">
        <v>8.77</v>
      </c>
      <c r="H3404">
        <v>3</v>
      </c>
      <c r="I3404">
        <v>9.6999999999999993</v>
      </c>
      <c r="J3404">
        <v>16.3</v>
      </c>
      <c r="K3404">
        <v>38.299999999999997</v>
      </c>
      <c r="L3404" t="s">
        <v>5027</v>
      </c>
      <c r="M3404">
        <v>7</v>
      </c>
      <c r="N3404">
        <v>3</v>
      </c>
      <c r="O3404">
        <v>0</v>
      </c>
    </row>
    <row r="3405" spans="1:15" x14ac:dyDescent="0.3">
      <c r="A3405" t="s">
        <v>3418</v>
      </c>
      <c r="B3405">
        <v>1</v>
      </c>
      <c r="C3405">
        <v>19</v>
      </c>
      <c r="D3405" t="s">
        <v>5016</v>
      </c>
      <c r="E3405" t="s">
        <v>5018</v>
      </c>
      <c r="F3405" t="s">
        <v>5023</v>
      </c>
      <c r="G3405">
        <v>9.9600000000000009</v>
      </c>
      <c r="H3405">
        <v>5</v>
      </c>
      <c r="I3405">
        <v>1.4</v>
      </c>
      <c r="J3405">
        <v>22.72</v>
      </c>
      <c r="K3405">
        <v>62.9</v>
      </c>
      <c r="L3405" t="s">
        <v>5029</v>
      </c>
      <c r="M3405">
        <v>10</v>
      </c>
      <c r="N3405">
        <v>1</v>
      </c>
      <c r="O3405">
        <v>0</v>
      </c>
    </row>
    <row r="3406" spans="1:15" x14ac:dyDescent="0.3">
      <c r="A3406" t="s">
        <v>3419</v>
      </c>
      <c r="B3406">
        <v>2</v>
      </c>
      <c r="C3406">
        <v>27</v>
      </c>
      <c r="D3406" t="s">
        <v>5015</v>
      </c>
      <c r="E3406" t="s">
        <v>5017</v>
      </c>
      <c r="F3406" t="s">
        <v>5023</v>
      </c>
      <c r="G3406">
        <v>23.2</v>
      </c>
      <c r="H3406">
        <v>5</v>
      </c>
      <c r="I3406">
        <v>9.9</v>
      </c>
      <c r="J3406">
        <v>17.78</v>
      </c>
      <c r="K3406">
        <v>64</v>
      </c>
      <c r="L3406" t="s">
        <v>5027</v>
      </c>
      <c r="M3406">
        <v>5</v>
      </c>
      <c r="N3406">
        <v>0</v>
      </c>
      <c r="O3406">
        <v>1</v>
      </c>
    </row>
    <row r="3407" spans="1:15" x14ac:dyDescent="0.3">
      <c r="A3407" t="s">
        <v>3420</v>
      </c>
      <c r="B3407">
        <v>8</v>
      </c>
      <c r="C3407">
        <v>32</v>
      </c>
      <c r="D3407" t="s">
        <v>5015</v>
      </c>
      <c r="E3407" t="s">
        <v>5018</v>
      </c>
      <c r="F3407" t="s">
        <v>5024</v>
      </c>
      <c r="G3407">
        <v>5.27</v>
      </c>
      <c r="H3407">
        <v>4</v>
      </c>
      <c r="I3407">
        <v>3.3</v>
      </c>
      <c r="J3407">
        <v>17.82</v>
      </c>
      <c r="K3407">
        <v>71.3</v>
      </c>
      <c r="L3407" t="s">
        <v>5028</v>
      </c>
      <c r="M3407">
        <v>11</v>
      </c>
      <c r="N3407">
        <v>1</v>
      </c>
      <c r="O3407">
        <v>0</v>
      </c>
    </row>
    <row r="3408" spans="1:15" x14ac:dyDescent="0.3">
      <c r="A3408" t="s">
        <v>3421</v>
      </c>
      <c r="B3408">
        <v>1</v>
      </c>
      <c r="C3408">
        <v>47</v>
      </c>
      <c r="D3408" t="s">
        <v>5016</v>
      </c>
      <c r="E3408" t="s">
        <v>5019</v>
      </c>
      <c r="F3408" t="s">
        <v>5024</v>
      </c>
      <c r="G3408">
        <v>15.97</v>
      </c>
      <c r="H3408">
        <v>5</v>
      </c>
      <c r="I3408">
        <v>4.8</v>
      </c>
      <c r="J3408">
        <v>20.74</v>
      </c>
      <c r="K3408">
        <v>61.9</v>
      </c>
      <c r="L3408" t="s">
        <v>5026</v>
      </c>
      <c r="M3408">
        <v>3</v>
      </c>
      <c r="N3408">
        <v>3</v>
      </c>
      <c r="O3408">
        <v>0</v>
      </c>
    </row>
    <row r="3409" spans="1:15" x14ac:dyDescent="0.3">
      <c r="A3409" t="s">
        <v>3422</v>
      </c>
      <c r="B3409">
        <v>8</v>
      </c>
      <c r="C3409">
        <v>61</v>
      </c>
      <c r="D3409" t="s">
        <v>5015</v>
      </c>
      <c r="E3409" t="s">
        <v>5018</v>
      </c>
      <c r="F3409" t="s">
        <v>5021</v>
      </c>
      <c r="G3409">
        <v>8.17</v>
      </c>
      <c r="H3409">
        <v>5</v>
      </c>
      <c r="I3409">
        <v>8</v>
      </c>
      <c r="J3409">
        <v>17.71</v>
      </c>
      <c r="K3409">
        <v>44.3</v>
      </c>
      <c r="L3409" t="s">
        <v>5025</v>
      </c>
      <c r="M3409">
        <v>9</v>
      </c>
      <c r="N3409">
        <v>0</v>
      </c>
      <c r="O3409">
        <v>1</v>
      </c>
    </row>
    <row r="3410" spans="1:15" x14ac:dyDescent="0.3">
      <c r="A3410" t="s">
        <v>3423</v>
      </c>
      <c r="B3410">
        <v>7</v>
      </c>
      <c r="C3410">
        <v>34</v>
      </c>
      <c r="D3410" t="s">
        <v>5015</v>
      </c>
      <c r="E3410" t="s">
        <v>5018</v>
      </c>
      <c r="F3410" t="s">
        <v>5024</v>
      </c>
      <c r="G3410">
        <v>10.66</v>
      </c>
      <c r="H3410">
        <v>3</v>
      </c>
      <c r="I3410">
        <v>7</v>
      </c>
      <c r="J3410">
        <v>19.71</v>
      </c>
      <c r="K3410">
        <v>12.1</v>
      </c>
      <c r="L3410" t="s">
        <v>5029</v>
      </c>
      <c r="M3410">
        <v>2</v>
      </c>
      <c r="N3410">
        <v>0</v>
      </c>
      <c r="O3410">
        <v>1</v>
      </c>
    </row>
    <row r="3411" spans="1:15" x14ac:dyDescent="0.3">
      <c r="A3411" t="s">
        <v>3424</v>
      </c>
      <c r="B3411">
        <v>8</v>
      </c>
      <c r="C3411">
        <v>21</v>
      </c>
      <c r="D3411" t="s">
        <v>5016</v>
      </c>
      <c r="E3411" t="s">
        <v>5018</v>
      </c>
      <c r="F3411" t="s">
        <v>5024</v>
      </c>
      <c r="G3411">
        <v>11.14</v>
      </c>
      <c r="H3411">
        <v>4</v>
      </c>
      <c r="I3411">
        <v>8</v>
      </c>
      <c r="J3411">
        <v>22.05</v>
      </c>
      <c r="K3411">
        <v>91.5</v>
      </c>
      <c r="L3411" t="s">
        <v>5028</v>
      </c>
      <c r="M3411">
        <v>6</v>
      </c>
      <c r="N3411">
        <v>2</v>
      </c>
      <c r="O3411">
        <v>0</v>
      </c>
    </row>
    <row r="3412" spans="1:15" x14ac:dyDescent="0.3">
      <c r="A3412" t="s">
        <v>3425</v>
      </c>
      <c r="B3412">
        <v>12</v>
      </c>
      <c r="C3412">
        <v>24</v>
      </c>
      <c r="D3412" t="s">
        <v>5016</v>
      </c>
      <c r="E3412" t="s">
        <v>5019</v>
      </c>
      <c r="F3412" t="s">
        <v>5022</v>
      </c>
      <c r="G3412">
        <v>9.39</v>
      </c>
      <c r="H3412">
        <v>3</v>
      </c>
      <c r="I3412">
        <v>5.2</v>
      </c>
      <c r="J3412">
        <v>3.17</v>
      </c>
      <c r="K3412">
        <v>39.4</v>
      </c>
      <c r="L3412" t="s">
        <v>5025</v>
      </c>
      <c r="M3412">
        <v>4</v>
      </c>
      <c r="N3412">
        <v>0</v>
      </c>
      <c r="O3412">
        <v>1</v>
      </c>
    </row>
    <row r="3413" spans="1:15" x14ac:dyDescent="0.3">
      <c r="A3413" t="s">
        <v>3426</v>
      </c>
      <c r="B3413">
        <v>6</v>
      </c>
      <c r="C3413">
        <v>58</v>
      </c>
      <c r="D3413" t="s">
        <v>5015</v>
      </c>
      <c r="E3413" t="s">
        <v>5017</v>
      </c>
      <c r="F3413" t="s">
        <v>5024</v>
      </c>
      <c r="G3413">
        <v>20.85</v>
      </c>
      <c r="H3413">
        <v>4</v>
      </c>
      <c r="I3413">
        <v>9.1999999999999993</v>
      </c>
      <c r="J3413">
        <v>22.48</v>
      </c>
      <c r="K3413">
        <v>55.6</v>
      </c>
      <c r="L3413" t="s">
        <v>5026</v>
      </c>
      <c r="M3413">
        <v>5</v>
      </c>
      <c r="N3413">
        <v>3</v>
      </c>
      <c r="O3413">
        <v>1</v>
      </c>
    </row>
    <row r="3414" spans="1:15" x14ac:dyDescent="0.3">
      <c r="A3414" t="s">
        <v>3427</v>
      </c>
      <c r="B3414">
        <v>12</v>
      </c>
      <c r="C3414">
        <v>48</v>
      </c>
      <c r="D3414" t="s">
        <v>5016</v>
      </c>
      <c r="E3414" t="s">
        <v>5018</v>
      </c>
      <c r="F3414" t="s">
        <v>5020</v>
      </c>
      <c r="G3414">
        <v>11.64</v>
      </c>
      <c r="H3414">
        <v>5</v>
      </c>
      <c r="I3414">
        <v>8.1</v>
      </c>
      <c r="J3414">
        <v>7.74</v>
      </c>
      <c r="K3414">
        <v>60.1</v>
      </c>
      <c r="L3414" t="s">
        <v>5027</v>
      </c>
      <c r="M3414">
        <v>2</v>
      </c>
      <c r="N3414">
        <v>4</v>
      </c>
      <c r="O3414">
        <v>0</v>
      </c>
    </row>
    <row r="3415" spans="1:15" x14ac:dyDescent="0.3">
      <c r="A3415" t="s">
        <v>3428</v>
      </c>
      <c r="B3415">
        <v>9</v>
      </c>
      <c r="C3415">
        <v>68</v>
      </c>
      <c r="D3415" t="s">
        <v>5015</v>
      </c>
      <c r="E3415" t="s">
        <v>5019</v>
      </c>
      <c r="F3415" t="s">
        <v>5020</v>
      </c>
      <c r="G3415">
        <v>11.91</v>
      </c>
      <c r="H3415">
        <v>4</v>
      </c>
      <c r="I3415">
        <v>3.8</v>
      </c>
      <c r="J3415">
        <v>23.07</v>
      </c>
      <c r="K3415">
        <v>38.299999999999997</v>
      </c>
      <c r="L3415" t="s">
        <v>5028</v>
      </c>
      <c r="M3415">
        <v>1</v>
      </c>
      <c r="N3415">
        <v>4</v>
      </c>
      <c r="O3415">
        <v>0</v>
      </c>
    </row>
    <row r="3416" spans="1:15" x14ac:dyDescent="0.3">
      <c r="A3416" t="s">
        <v>3429</v>
      </c>
      <c r="B3416">
        <v>3</v>
      </c>
      <c r="C3416">
        <v>56</v>
      </c>
      <c r="D3416" t="s">
        <v>5015</v>
      </c>
      <c r="E3416" t="s">
        <v>5017</v>
      </c>
      <c r="F3416" t="s">
        <v>5020</v>
      </c>
      <c r="G3416">
        <v>14.06</v>
      </c>
      <c r="H3416">
        <v>4</v>
      </c>
      <c r="I3416">
        <v>9.5</v>
      </c>
      <c r="J3416">
        <v>8.86</v>
      </c>
      <c r="K3416">
        <v>37.799999999999997</v>
      </c>
      <c r="L3416" t="s">
        <v>5028</v>
      </c>
      <c r="M3416">
        <v>9</v>
      </c>
      <c r="N3416">
        <v>0</v>
      </c>
      <c r="O3416">
        <v>0</v>
      </c>
    </row>
    <row r="3417" spans="1:15" x14ac:dyDescent="0.3">
      <c r="A3417" t="s">
        <v>3430</v>
      </c>
      <c r="B3417">
        <v>10</v>
      </c>
      <c r="C3417">
        <v>51</v>
      </c>
      <c r="D3417" t="s">
        <v>5015</v>
      </c>
      <c r="E3417" t="s">
        <v>5019</v>
      </c>
      <c r="F3417" t="s">
        <v>5021</v>
      </c>
      <c r="G3417">
        <v>23.05</v>
      </c>
      <c r="H3417">
        <v>2</v>
      </c>
      <c r="I3417">
        <v>9.6</v>
      </c>
      <c r="J3417">
        <v>13.02</v>
      </c>
      <c r="K3417">
        <v>33.5</v>
      </c>
      <c r="L3417" t="s">
        <v>5026</v>
      </c>
      <c r="M3417">
        <v>3</v>
      </c>
      <c r="N3417">
        <v>4</v>
      </c>
      <c r="O3417">
        <v>0</v>
      </c>
    </row>
    <row r="3418" spans="1:15" x14ac:dyDescent="0.3">
      <c r="A3418" t="s">
        <v>3431</v>
      </c>
      <c r="B3418">
        <v>4</v>
      </c>
      <c r="C3418">
        <v>23</v>
      </c>
      <c r="D3418" t="s">
        <v>5015</v>
      </c>
      <c r="E3418" t="s">
        <v>5018</v>
      </c>
      <c r="F3418" t="s">
        <v>5023</v>
      </c>
      <c r="G3418">
        <v>18.760000000000002</v>
      </c>
      <c r="H3418">
        <v>4</v>
      </c>
      <c r="I3418">
        <v>4.7</v>
      </c>
      <c r="J3418">
        <v>23.55</v>
      </c>
      <c r="K3418">
        <v>31.9</v>
      </c>
      <c r="L3418" t="s">
        <v>5027</v>
      </c>
      <c r="M3418">
        <v>6</v>
      </c>
      <c r="N3418">
        <v>3</v>
      </c>
      <c r="O3418">
        <v>0</v>
      </c>
    </row>
    <row r="3419" spans="1:15" x14ac:dyDescent="0.3">
      <c r="A3419" t="s">
        <v>3432</v>
      </c>
      <c r="B3419">
        <v>6</v>
      </c>
      <c r="C3419">
        <v>67</v>
      </c>
      <c r="D3419" t="s">
        <v>5016</v>
      </c>
      <c r="E3419" t="s">
        <v>5018</v>
      </c>
      <c r="F3419" t="s">
        <v>5022</v>
      </c>
      <c r="G3419">
        <v>6.23</v>
      </c>
      <c r="H3419">
        <v>2</v>
      </c>
      <c r="I3419">
        <v>6.9</v>
      </c>
      <c r="J3419">
        <v>5.41</v>
      </c>
      <c r="K3419">
        <v>12.7</v>
      </c>
      <c r="L3419" t="s">
        <v>5028</v>
      </c>
      <c r="M3419">
        <v>9</v>
      </c>
      <c r="N3419">
        <v>2</v>
      </c>
      <c r="O3419">
        <v>0</v>
      </c>
    </row>
    <row r="3420" spans="1:15" x14ac:dyDescent="0.3">
      <c r="A3420" t="s">
        <v>3433</v>
      </c>
      <c r="B3420">
        <v>8</v>
      </c>
      <c r="C3420">
        <v>55</v>
      </c>
      <c r="D3420" t="s">
        <v>5015</v>
      </c>
      <c r="E3420" t="s">
        <v>5018</v>
      </c>
      <c r="F3420" t="s">
        <v>5021</v>
      </c>
      <c r="G3420">
        <v>5.79</v>
      </c>
      <c r="H3420">
        <v>3</v>
      </c>
      <c r="I3420">
        <v>8.3000000000000007</v>
      </c>
      <c r="J3420">
        <v>19.399999999999999</v>
      </c>
      <c r="K3420">
        <v>96.2</v>
      </c>
      <c r="L3420" t="s">
        <v>5025</v>
      </c>
      <c r="M3420">
        <v>1</v>
      </c>
      <c r="N3420">
        <v>1</v>
      </c>
      <c r="O3420">
        <v>0</v>
      </c>
    </row>
    <row r="3421" spans="1:15" x14ac:dyDescent="0.3">
      <c r="A3421" t="s">
        <v>3434</v>
      </c>
      <c r="B3421">
        <v>5</v>
      </c>
      <c r="C3421">
        <v>62</v>
      </c>
      <c r="D3421" t="s">
        <v>5016</v>
      </c>
      <c r="E3421" t="s">
        <v>5018</v>
      </c>
      <c r="F3421" t="s">
        <v>5023</v>
      </c>
      <c r="G3421">
        <v>16.329999999999998</v>
      </c>
      <c r="H3421">
        <v>2</v>
      </c>
      <c r="I3421">
        <v>8.4</v>
      </c>
      <c r="J3421">
        <v>11.63</v>
      </c>
      <c r="K3421">
        <v>63.6</v>
      </c>
      <c r="L3421" t="s">
        <v>5026</v>
      </c>
      <c r="M3421">
        <v>5</v>
      </c>
      <c r="N3421">
        <v>1</v>
      </c>
      <c r="O3421">
        <v>0</v>
      </c>
    </row>
    <row r="3422" spans="1:15" x14ac:dyDescent="0.3">
      <c r="A3422" t="s">
        <v>3435</v>
      </c>
      <c r="B3422">
        <v>3</v>
      </c>
      <c r="C3422">
        <v>68</v>
      </c>
      <c r="D3422" t="s">
        <v>5015</v>
      </c>
      <c r="E3422" t="s">
        <v>5018</v>
      </c>
      <c r="F3422" t="s">
        <v>5022</v>
      </c>
      <c r="G3422">
        <v>22.74</v>
      </c>
      <c r="H3422">
        <v>3</v>
      </c>
      <c r="I3422">
        <v>1.1000000000000001</v>
      </c>
      <c r="J3422">
        <v>3.53</v>
      </c>
      <c r="K3422">
        <v>19.7</v>
      </c>
      <c r="L3422" t="s">
        <v>5028</v>
      </c>
      <c r="M3422">
        <v>4</v>
      </c>
      <c r="N3422">
        <v>3</v>
      </c>
      <c r="O3422">
        <v>0</v>
      </c>
    </row>
    <row r="3423" spans="1:15" x14ac:dyDescent="0.3">
      <c r="A3423" t="s">
        <v>3436</v>
      </c>
      <c r="B3423">
        <v>6</v>
      </c>
      <c r="C3423">
        <v>51</v>
      </c>
      <c r="D3423" t="s">
        <v>5015</v>
      </c>
      <c r="E3423" t="s">
        <v>5017</v>
      </c>
      <c r="F3423" t="s">
        <v>5022</v>
      </c>
      <c r="G3423">
        <v>11.47</v>
      </c>
      <c r="H3423">
        <v>4</v>
      </c>
      <c r="I3423">
        <v>6.7</v>
      </c>
      <c r="J3423">
        <v>23.66</v>
      </c>
      <c r="K3423">
        <v>63.3</v>
      </c>
      <c r="L3423" t="s">
        <v>5027</v>
      </c>
      <c r="M3423">
        <v>3</v>
      </c>
      <c r="N3423">
        <v>2</v>
      </c>
      <c r="O3423">
        <v>0</v>
      </c>
    </row>
    <row r="3424" spans="1:15" x14ac:dyDescent="0.3">
      <c r="A3424" t="s">
        <v>3437</v>
      </c>
      <c r="B3424">
        <v>4</v>
      </c>
      <c r="C3424">
        <v>61</v>
      </c>
      <c r="D3424" t="s">
        <v>5016</v>
      </c>
      <c r="E3424" t="s">
        <v>5018</v>
      </c>
      <c r="F3424" t="s">
        <v>5022</v>
      </c>
      <c r="G3424">
        <v>9.9600000000000009</v>
      </c>
      <c r="H3424">
        <v>3</v>
      </c>
      <c r="I3424">
        <v>9.8000000000000007</v>
      </c>
      <c r="J3424">
        <v>5.59</v>
      </c>
      <c r="K3424">
        <v>30.9</v>
      </c>
      <c r="L3424" t="s">
        <v>5029</v>
      </c>
      <c r="M3424">
        <v>2</v>
      </c>
      <c r="N3424">
        <v>3</v>
      </c>
      <c r="O3424">
        <v>0</v>
      </c>
    </row>
    <row r="3425" spans="1:15" x14ac:dyDescent="0.3">
      <c r="A3425" t="s">
        <v>3438</v>
      </c>
      <c r="B3425">
        <v>9</v>
      </c>
      <c r="C3425">
        <v>32</v>
      </c>
      <c r="D3425" t="s">
        <v>5015</v>
      </c>
      <c r="E3425" t="s">
        <v>5017</v>
      </c>
      <c r="F3425" t="s">
        <v>5020</v>
      </c>
      <c r="G3425">
        <v>19.96</v>
      </c>
      <c r="H3425">
        <v>5</v>
      </c>
      <c r="I3425">
        <v>3.1</v>
      </c>
      <c r="J3425">
        <v>20.03</v>
      </c>
      <c r="K3425">
        <v>38</v>
      </c>
      <c r="L3425" t="s">
        <v>5028</v>
      </c>
      <c r="M3425">
        <v>3</v>
      </c>
      <c r="N3425">
        <v>0</v>
      </c>
      <c r="O3425">
        <v>1</v>
      </c>
    </row>
    <row r="3426" spans="1:15" x14ac:dyDescent="0.3">
      <c r="A3426" t="s">
        <v>3439</v>
      </c>
      <c r="B3426">
        <v>3</v>
      </c>
      <c r="C3426">
        <v>31</v>
      </c>
      <c r="D3426" t="s">
        <v>5016</v>
      </c>
      <c r="E3426" t="s">
        <v>5017</v>
      </c>
      <c r="F3426" t="s">
        <v>5020</v>
      </c>
      <c r="G3426">
        <v>17.04</v>
      </c>
      <c r="H3426">
        <v>4</v>
      </c>
      <c r="I3426">
        <v>8.1999999999999993</v>
      </c>
      <c r="J3426">
        <v>11.45</v>
      </c>
      <c r="K3426">
        <v>82.1</v>
      </c>
      <c r="L3426" t="s">
        <v>5027</v>
      </c>
      <c r="M3426">
        <v>1</v>
      </c>
      <c r="N3426">
        <v>2</v>
      </c>
      <c r="O3426">
        <v>1</v>
      </c>
    </row>
    <row r="3427" spans="1:15" x14ac:dyDescent="0.3">
      <c r="A3427" t="s">
        <v>3440</v>
      </c>
      <c r="B3427">
        <v>4</v>
      </c>
      <c r="C3427">
        <v>23</v>
      </c>
      <c r="D3427" t="s">
        <v>5016</v>
      </c>
      <c r="E3427" t="s">
        <v>5019</v>
      </c>
      <c r="F3427" t="s">
        <v>5020</v>
      </c>
      <c r="G3427">
        <v>16.3</v>
      </c>
      <c r="H3427">
        <v>2</v>
      </c>
      <c r="I3427">
        <v>5.8</v>
      </c>
      <c r="J3427">
        <v>20.83</v>
      </c>
      <c r="K3427">
        <v>89.7</v>
      </c>
      <c r="L3427" t="s">
        <v>5026</v>
      </c>
      <c r="M3427">
        <v>1</v>
      </c>
      <c r="N3427">
        <v>4</v>
      </c>
      <c r="O3427">
        <v>1</v>
      </c>
    </row>
    <row r="3428" spans="1:15" x14ac:dyDescent="0.3">
      <c r="A3428" t="s">
        <v>3441</v>
      </c>
      <c r="B3428">
        <v>7</v>
      </c>
      <c r="C3428">
        <v>67</v>
      </c>
      <c r="D3428" t="s">
        <v>5015</v>
      </c>
      <c r="E3428" t="s">
        <v>5018</v>
      </c>
      <c r="F3428" t="s">
        <v>5022</v>
      </c>
      <c r="G3428">
        <v>7.99</v>
      </c>
      <c r="H3428">
        <v>1</v>
      </c>
      <c r="I3428">
        <v>3</v>
      </c>
      <c r="J3428">
        <v>19.510000000000002</v>
      </c>
      <c r="K3428">
        <v>73</v>
      </c>
      <c r="L3428" t="s">
        <v>5027</v>
      </c>
      <c r="M3428">
        <v>8</v>
      </c>
      <c r="N3428">
        <v>0</v>
      </c>
      <c r="O3428">
        <v>1</v>
      </c>
    </row>
    <row r="3429" spans="1:15" x14ac:dyDescent="0.3">
      <c r="A3429" t="s">
        <v>3442</v>
      </c>
      <c r="B3429">
        <v>7</v>
      </c>
      <c r="C3429">
        <v>54</v>
      </c>
      <c r="D3429" t="s">
        <v>5015</v>
      </c>
      <c r="E3429" t="s">
        <v>5019</v>
      </c>
      <c r="F3429" t="s">
        <v>5022</v>
      </c>
      <c r="G3429">
        <v>8.52</v>
      </c>
      <c r="H3429">
        <v>4</v>
      </c>
      <c r="I3429">
        <v>1.5</v>
      </c>
      <c r="J3429">
        <v>16.93</v>
      </c>
      <c r="K3429">
        <v>93.9</v>
      </c>
      <c r="L3429" t="s">
        <v>5027</v>
      </c>
      <c r="M3429">
        <v>5</v>
      </c>
      <c r="N3429">
        <v>4</v>
      </c>
      <c r="O3429">
        <v>1</v>
      </c>
    </row>
    <row r="3430" spans="1:15" x14ac:dyDescent="0.3">
      <c r="A3430" t="s">
        <v>3443</v>
      </c>
      <c r="B3430">
        <v>12</v>
      </c>
      <c r="C3430">
        <v>67</v>
      </c>
      <c r="D3430" t="s">
        <v>5015</v>
      </c>
      <c r="E3430" t="s">
        <v>5017</v>
      </c>
      <c r="F3430" t="s">
        <v>5020</v>
      </c>
      <c r="G3430">
        <v>10.64</v>
      </c>
      <c r="H3430">
        <v>5</v>
      </c>
      <c r="I3430">
        <v>7.8</v>
      </c>
      <c r="J3430">
        <v>23.66</v>
      </c>
      <c r="K3430">
        <v>91.5</v>
      </c>
      <c r="L3430" t="s">
        <v>5026</v>
      </c>
      <c r="M3430">
        <v>2</v>
      </c>
      <c r="N3430">
        <v>0</v>
      </c>
      <c r="O3430">
        <v>0</v>
      </c>
    </row>
    <row r="3431" spans="1:15" x14ac:dyDescent="0.3">
      <c r="A3431" t="s">
        <v>3444</v>
      </c>
      <c r="B3431">
        <v>12</v>
      </c>
      <c r="C3431">
        <v>49</v>
      </c>
      <c r="D3431" t="s">
        <v>5015</v>
      </c>
      <c r="E3431" t="s">
        <v>5018</v>
      </c>
      <c r="F3431" t="s">
        <v>5022</v>
      </c>
      <c r="G3431">
        <v>9.14</v>
      </c>
      <c r="H3431">
        <v>3</v>
      </c>
      <c r="I3431">
        <v>3.8</v>
      </c>
      <c r="J3431">
        <v>5.18</v>
      </c>
      <c r="K3431">
        <v>59.6</v>
      </c>
      <c r="L3431" t="s">
        <v>5029</v>
      </c>
      <c r="M3431">
        <v>3</v>
      </c>
      <c r="N3431">
        <v>0</v>
      </c>
      <c r="O3431">
        <v>1</v>
      </c>
    </row>
    <row r="3432" spans="1:15" x14ac:dyDescent="0.3">
      <c r="A3432" t="s">
        <v>3445</v>
      </c>
      <c r="B3432">
        <v>4</v>
      </c>
      <c r="C3432">
        <v>20</v>
      </c>
      <c r="D3432" t="s">
        <v>5016</v>
      </c>
      <c r="E3432" t="s">
        <v>5017</v>
      </c>
      <c r="F3432" t="s">
        <v>5020</v>
      </c>
      <c r="G3432">
        <v>24.43</v>
      </c>
      <c r="H3432">
        <v>2</v>
      </c>
      <c r="I3432">
        <v>4.4000000000000004</v>
      </c>
      <c r="J3432">
        <v>20.57</v>
      </c>
      <c r="K3432">
        <v>91.7</v>
      </c>
      <c r="L3432" t="s">
        <v>5025</v>
      </c>
      <c r="M3432">
        <v>2</v>
      </c>
      <c r="N3432">
        <v>0</v>
      </c>
      <c r="O3432">
        <v>0</v>
      </c>
    </row>
    <row r="3433" spans="1:15" x14ac:dyDescent="0.3">
      <c r="A3433" t="s">
        <v>3446</v>
      </c>
      <c r="B3433">
        <v>6</v>
      </c>
      <c r="C3433">
        <v>20</v>
      </c>
      <c r="D3433" t="s">
        <v>5015</v>
      </c>
      <c r="E3433" t="s">
        <v>5019</v>
      </c>
      <c r="F3433" t="s">
        <v>5020</v>
      </c>
      <c r="G3433">
        <v>5.37</v>
      </c>
      <c r="H3433">
        <v>2</v>
      </c>
      <c r="I3433">
        <v>5.4</v>
      </c>
      <c r="J3433">
        <v>17.760000000000002</v>
      </c>
      <c r="K3433">
        <v>59</v>
      </c>
      <c r="L3433" t="s">
        <v>5029</v>
      </c>
      <c r="M3433">
        <v>10</v>
      </c>
      <c r="N3433">
        <v>0</v>
      </c>
      <c r="O3433">
        <v>0</v>
      </c>
    </row>
    <row r="3434" spans="1:15" x14ac:dyDescent="0.3">
      <c r="A3434" t="s">
        <v>3447</v>
      </c>
      <c r="B3434">
        <v>12</v>
      </c>
      <c r="C3434">
        <v>39</v>
      </c>
      <c r="D3434" t="s">
        <v>5015</v>
      </c>
      <c r="E3434" t="s">
        <v>5019</v>
      </c>
      <c r="F3434" t="s">
        <v>5020</v>
      </c>
      <c r="G3434">
        <v>17.52</v>
      </c>
      <c r="H3434">
        <v>5</v>
      </c>
      <c r="I3434">
        <v>5.6</v>
      </c>
      <c r="J3434">
        <v>9.92</v>
      </c>
      <c r="K3434">
        <v>19.399999999999999</v>
      </c>
      <c r="L3434" t="s">
        <v>5025</v>
      </c>
      <c r="M3434">
        <v>2</v>
      </c>
      <c r="N3434">
        <v>2</v>
      </c>
      <c r="O3434">
        <v>0</v>
      </c>
    </row>
    <row r="3435" spans="1:15" x14ac:dyDescent="0.3">
      <c r="A3435" t="s">
        <v>3448</v>
      </c>
      <c r="B3435">
        <v>3</v>
      </c>
      <c r="C3435">
        <v>39</v>
      </c>
      <c r="D3435" t="s">
        <v>5015</v>
      </c>
      <c r="E3435" t="s">
        <v>5017</v>
      </c>
      <c r="F3435" t="s">
        <v>5023</v>
      </c>
      <c r="G3435">
        <v>15.35</v>
      </c>
      <c r="H3435">
        <v>5</v>
      </c>
      <c r="I3435">
        <v>2.9</v>
      </c>
      <c r="J3435">
        <v>15.01</v>
      </c>
      <c r="K3435">
        <v>84.7</v>
      </c>
      <c r="L3435" t="s">
        <v>5025</v>
      </c>
      <c r="M3435">
        <v>4</v>
      </c>
      <c r="N3435">
        <v>2</v>
      </c>
      <c r="O3435">
        <v>0</v>
      </c>
    </row>
    <row r="3436" spans="1:15" x14ac:dyDescent="0.3">
      <c r="A3436" t="s">
        <v>3449</v>
      </c>
      <c r="B3436">
        <v>6</v>
      </c>
      <c r="C3436">
        <v>27</v>
      </c>
      <c r="D3436" t="s">
        <v>5015</v>
      </c>
      <c r="E3436" t="s">
        <v>5019</v>
      </c>
      <c r="F3436" t="s">
        <v>5022</v>
      </c>
      <c r="G3436">
        <v>11.47</v>
      </c>
      <c r="H3436">
        <v>4</v>
      </c>
      <c r="I3436">
        <v>7</v>
      </c>
      <c r="J3436">
        <v>17.18</v>
      </c>
      <c r="K3436">
        <v>21.8</v>
      </c>
      <c r="L3436" t="s">
        <v>5025</v>
      </c>
      <c r="M3436">
        <v>4</v>
      </c>
      <c r="N3436">
        <v>0</v>
      </c>
      <c r="O3436">
        <v>0</v>
      </c>
    </row>
    <row r="3437" spans="1:15" x14ac:dyDescent="0.3">
      <c r="A3437" t="s">
        <v>3450</v>
      </c>
      <c r="B3437">
        <v>12</v>
      </c>
      <c r="C3437">
        <v>68</v>
      </c>
      <c r="D3437" t="s">
        <v>5015</v>
      </c>
      <c r="E3437" t="s">
        <v>5017</v>
      </c>
      <c r="F3437" t="s">
        <v>5021</v>
      </c>
      <c r="G3437">
        <v>22.75</v>
      </c>
      <c r="H3437">
        <v>1</v>
      </c>
      <c r="I3437">
        <v>7.2</v>
      </c>
      <c r="J3437">
        <v>19.2</v>
      </c>
      <c r="K3437">
        <v>38.4</v>
      </c>
      <c r="L3437" t="s">
        <v>5028</v>
      </c>
      <c r="M3437">
        <v>7</v>
      </c>
      <c r="N3437">
        <v>3</v>
      </c>
      <c r="O3437">
        <v>0</v>
      </c>
    </row>
    <row r="3438" spans="1:15" x14ac:dyDescent="0.3">
      <c r="A3438" t="s">
        <v>3451</v>
      </c>
      <c r="B3438">
        <v>2</v>
      </c>
      <c r="C3438">
        <v>20</v>
      </c>
      <c r="D3438" t="s">
        <v>5016</v>
      </c>
      <c r="E3438" t="s">
        <v>5018</v>
      </c>
      <c r="F3438" t="s">
        <v>5020</v>
      </c>
      <c r="G3438">
        <v>18.399999999999999</v>
      </c>
      <c r="H3438">
        <v>1</v>
      </c>
      <c r="I3438">
        <v>2.2999999999999998</v>
      </c>
      <c r="J3438">
        <v>7.12</v>
      </c>
      <c r="K3438">
        <v>44.2</v>
      </c>
      <c r="L3438" t="s">
        <v>5029</v>
      </c>
      <c r="M3438">
        <v>2</v>
      </c>
      <c r="N3438">
        <v>0</v>
      </c>
      <c r="O3438">
        <v>0</v>
      </c>
    </row>
    <row r="3439" spans="1:15" x14ac:dyDescent="0.3">
      <c r="A3439" t="s">
        <v>3452</v>
      </c>
      <c r="B3439">
        <v>8</v>
      </c>
      <c r="C3439">
        <v>29</v>
      </c>
      <c r="D3439" t="s">
        <v>5015</v>
      </c>
      <c r="E3439" t="s">
        <v>5019</v>
      </c>
      <c r="F3439" t="s">
        <v>5021</v>
      </c>
      <c r="G3439">
        <v>24.97</v>
      </c>
      <c r="H3439">
        <v>3</v>
      </c>
      <c r="I3439">
        <v>5.8</v>
      </c>
      <c r="J3439">
        <v>5.25</v>
      </c>
      <c r="K3439">
        <v>82.7</v>
      </c>
      <c r="L3439" t="s">
        <v>5027</v>
      </c>
      <c r="M3439">
        <v>9</v>
      </c>
      <c r="N3439">
        <v>0</v>
      </c>
      <c r="O3439">
        <v>1</v>
      </c>
    </row>
    <row r="3440" spans="1:15" x14ac:dyDescent="0.3">
      <c r="A3440" t="s">
        <v>3453</v>
      </c>
      <c r="B3440">
        <v>2</v>
      </c>
      <c r="C3440">
        <v>46</v>
      </c>
      <c r="D3440" t="s">
        <v>5016</v>
      </c>
      <c r="E3440" t="s">
        <v>5019</v>
      </c>
      <c r="F3440" t="s">
        <v>5023</v>
      </c>
      <c r="G3440">
        <v>8.3699999999999992</v>
      </c>
      <c r="H3440">
        <v>2</v>
      </c>
      <c r="I3440">
        <v>6.5</v>
      </c>
      <c r="J3440">
        <v>5.25</v>
      </c>
      <c r="K3440">
        <v>17.5</v>
      </c>
      <c r="L3440" t="s">
        <v>5028</v>
      </c>
      <c r="M3440">
        <v>7</v>
      </c>
      <c r="N3440">
        <v>3</v>
      </c>
      <c r="O3440">
        <v>0</v>
      </c>
    </row>
    <row r="3441" spans="1:15" x14ac:dyDescent="0.3">
      <c r="A3441" t="s">
        <v>3454</v>
      </c>
      <c r="B3441">
        <v>11</v>
      </c>
      <c r="C3441">
        <v>65</v>
      </c>
      <c r="D3441" t="s">
        <v>5015</v>
      </c>
      <c r="E3441" t="s">
        <v>5019</v>
      </c>
      <c r="F3441" t="s">
        <v>5022</v>
      </c>
      <c r="G3441">
        <v>6.76</v>
      </c>
      <c r="H3441">
        <v>4</v>
      </c>
      <c r="I3441">
        <v>2.7</v>
      </c>
      <c r="J3441">
        <v>9.4700000000000006</v>
      </c>
      <c r="K3441">
        <v>50</v>
      </c>
      <c r="L3441" t="s">
        <v>5026</v>
      </c>
      <c r="M3441">
        <v>4</v>
      </c>
      <c r="N3441">
        <v>3</v>
      </c>
      <c r="O3441">
        <v>1</v>
      </c>
    </row>
    <row r="3442" spans="1:15" x14ac:dyDescent="0.3">
      <c r="A3442" t="s">
        <v>3455</v>
      </c>
      <c r="B3442">
        <v>7</v>
      </c>
      <c r="C3442">
        <v>34</v>
      </c>
      <c r="D3442" t="s">
        <v>5015</v>
      </c>
      <c r="E3442" t="s">
        <v>5018</v>
      </c>
      <c r="F3442" t="s">
        <v>5020</v>
      </c>
      <c r="G3442">
        <v>7.79</v>
      </c>
      <c r="H3442">
        <v>2</v>
      </c>
      <c r="I3442">
        <v>9.1</v>
      </c>
      <c r="J3442">
        <v>6.39</v>
      </c>
      <c r="K3442">
        <v>49.3</v>
      </c>
      <c r="L3442" t="s">
        <v>5026</v>
      </c>
      <c r="M3442">
        <v>7</v>
      </c>
      <c r="N3442">
        <v>0</v>
      </c>
      <c r="O3442">
        <v>0</v>
      </c>
    </row>
    <row r="3443" spans="1:15" x14ac:dyDescent="0.3">
      <c r="A3443" t="s">
        <v>3456</v>
      </c>
      <c r="B3443">
        <v>9</v>
      </c>
      <c r="C3443">
        <v>24</v>
      </c>
      <c r="D3443" t="s">
        <v>5015</v>
      </c>
      <c r="E3443" t="s">
        <v>5017</v>
      </c>
      <c r="F3443" t="s">
        <v>5020</v>
      </c>
      <c r="G3443">
        <v>10.39</v>
      </c>
      <c r="H3443">
        <v>4</v>
      </c>
      <c r="I3443">
        <v>5.3</v>
      </c>
      <c r="J3443">
        <v>14.78</v>
      </c>
      <c r="K3443">
        <v>62.4</v>
      </c>
      <c r="L3443" t="s">
        <v>5025</v>
      </c>
      <c r="M3443">
        <v>10</v>
      </c>
      <c r="N3443">
        <v>1</v>
      </c>
      <c r="O3443">
        <v>0</v>
      </c>
    </row>
    <row r="3444" spans="1:15" x14ac:dyDescent="0.3">
      <c r="A3444" t="s">
        <v>3457</v>
      </c>
      <c r="B3444">
        <v>1</v>
      </c>
      <c r="C3444">
        <v>30</v>
      </c>
      <c r="D3444" t="s">
        <v>5016</v>
      </c>
      <c r="E3444" t="s">
        <v>5017</v>
      </c>
      <c r="F3444" t="s">
        <v>5020</v>
      </c>
      <c r="G3444">
        <v>13.34</v>
      </c>
      <c r="H3444">
        <v>5</v>
      </c>
      <c r="I3444">
        <v>2</v>
      </c>
      <c r="J3444">
        <v>12.61</v>
      </c>
      <c r="K3444">
        <v>41.8</v>
      </c>
      <c r="L3444" t="s">
        <v>5028</v>
      </c>
      <c r="M3444">
        <v>11</v>
      </c>
      <c r="N3444">
        <v>1</v>
      </c>
      <c r="O3444">
        <v>0</v>
      </c>
    </row>
    <row r="3445" spans="1:15" x14ac:dyDescent="0.3">
      <c r="A3445" t="s">
        <v>3458</v>
      </c>
      <c r="B3445">
        <v>8</v>
      </c>
      <c r="C3445">
        <v>19</v>
      </c>
      <c r="D3445" t="s">
        <v>5015</v>
      </c>
      <c r="E3445" t="s">
        <v>5018</v>
      </c>
      <c r="F3445" t="s">
        <v>5021</v>
      </c>
      <c r="G3445">
        <v>22.25</v>
      </c>
      <c r="H3445">
        <v>3</v>
      </c>
      <c r="I3445">
        <v>4</v>
      </c>
      <c r="J3445">
        <v>22.65</v>
      </c>
      <c r="K3445">
        <v>61.9</v>
      </c>
      <c r="L3445" t="s">
        <v>5028</v>
      </c>
      <c r="M3445">
        <v>1</v>
      </c>
      <c r="N3445">
        <v>3</v>
      </c>
      <c r="O3445">
        <v>1</v>
      </c>
    </row>
    <row r="3446" spans="1:15" x14ac:dyDescent="0.3">
      <c r="A3446" t="s">
        <v>3459</v>
      </c>
      <c r="B3446">
        <v>7</v>
      </c>
      <c r="C3446">
        <v>21</v>
      </c>
      <c r="D3446" t="s">
        <v>5016</v>
      </c>
      <c r="E3446" t="s">
        <v>5019</v>
      </c>
      <c r="F3446" t="s">
        <v>5023</v>
      </c>
      <c r="G3446">
        <v>10.67</v>
      </c>
      <c r="H3446">
        <v>5</v>
      </c>
      <c r="I3446">
        <v>5.3</v>
      </c>
      <c r="J3446">
        <v>18.78</v>
      </c>
      <c r="K3446">
        <v>98.7</v>
      </c>
      <c r="L3446" t="s">
        <v>5026</v>
      </c>
      <c r="M3446">
        <v>7</v>
      </c>
      <c r="N3446">
        <v>0</v>
      </c>
      <c r="O3446">
        <v>1</v>
      </c>
    </row>
    <row r="3447" spans="1:15" x14ac:dyDescent="0.3">
      <c r="A3447" t="s">
        <v>3460</v>
      </c>
      <c r="B3447">
        <v>6</v>
      </c>
      <c r="C3447">
        <v>27</v>
      </c>
      <c r="D3447" t="s">
        <v>5016</v>
      </c>
      <c r="E3447" t="s">
        <v>5017</v>
      </c>
      <c r="F3447" t="s">
        <v>5022</v>
      </c>
      <c r="G3447">
        <v>23.3</v>
      </c>
      <c r="H3447">
        <v>2</v>
      </c>
      <c r="I3447">
        <v>1.1000000000000001</v>
      </c>
      <c r="J3447">
        <v>7.53</v>
      </c>
      <c r="K3447">
        <v>16.399999999999999</v>
      </c>
      <c r="L3447" t="s">
        <v>5027</v>
      </c>
      <c r="M3447">
        <v>6</v>
      </c>
      <c r="N3447">
        <v>4</v>
      </c>
      <c r="O3447">
        <v>0</v>
      </c>
    </row>
    <row r="3448" spans="1:15" x14ac:dyDescent="0.3">
      <c r="A3448" t="s">
        <v>3461</v>
      </c>
      <c r="B3448">
        <v>6</v>
      </c>
      <c r="C3448">
        <v>56</v>
      </c>
      <c r="D3448" t="s">
        <v>5015</v>
      </c>
      <c r="E3448" t="s">
        <v>5018</v>
      </c>
      <c r="F3448" t="s">
        <v>5023</v>
      </c>
      <c r="G3448">
        <v>14.26</v>
      </c>
      <c r="H3448">
        <v>3</v>
      </c>
      <c r="I3448">
        <v>1.3</v>
      </c>
      <c r="J3448">
        <v>4.01</v>
      </c>
      <c r="K3448">
        <v>88.7</v>
      </c>
      <c r="L3448" t="s">
        <v>5029</v>
      </c>
      <c r="M3448">
        <v>9</v>
      </c>
      <c r="N3448">
        <v>4</v>
      </c>
      <c r="O3448">
        <v>1</v>
      </c>
    </row>
    <row r="3449" spans="1:15" x14ac:dyDescent="0.3">
      <c r="A3449" t="s">
        <v>3462</v>
      </c>
      <c r="B3449">
        <v>6</v>
      </c>
      <c r="C3449">
        <v>41</v>
      </c>
      <c r="D3449" t="s">
        <v>5016</v>
      </c>
      <c r="E3449" t="s">
        <v>5018</v>
      </c>
      <c r="F3449" t="s">
        <v>5020</v>
      </c>
      <c r="G3449">
        <v>17.940000000000001</v>
      </c>
      <c r="H3449">
        <v>4</v>
      </c>
      <c r="I3449">
        <v>1.5</v>
      </c>
      <c r="J3449">
        <v>18.600000000000001</v>
      </c>
      <c r="K3449">
        <v>37.799999999999997</v>
      </c>
      <c r="L3449" t="s">
        <v>5029</v>
      </c>
      <c r="M3449">
        <v>8</v>
      </c>
      <c r="N3449">
        <v>0</v>
      </c>
      <c r="O3449">
        <v>1</v>
      </c>
    </row>
    <row r="3450" spans="1:15" x14ac:dyDescent="0.3">
      <c r="A3450" t="s">
        <v>3463</v>
      </c>
      <c r="B3450">
        <v>9</v>
      </c>
      <c r="C3450">
        <v>34</v>
      </c>
      <c r="D3450" t="s">
        <v>5015</v>
      </c>
      <c r="E3450" t="s">
        <v>5018</v>
      </c>
      <c r="F3450" t="s">
        <v>5023</v>
      </c>
      <c r="G3450">
        <v>10.29</v>
      </c>
      <c r="H3450">
        <v>4</v>
      </c>
      <c r="I3450">
        <v>5.8</v>
      </c>
      <c r="J3450">
        <v>21.61</v>
      </c>
      <c r="K3450">
        <v>51.9</v>
      </c>
      <c r="L3450" t="s">
        <v>5025</v>
      </c>
      <c r="M3450">
        <v>2</v>
      </c>
      <c r="N3450">
        <v>0</v>
      </c>
      <c r="O3450">
        <v>0</v>
      </c>
    </row>
    <row r="3451" spans="1:15" x14ac:dyDescent="0.3">
      <c r="A3451" t="s">
        <v>3464</v>
      </c>
      <c r="B3451">
        <v>2</v>
      </c>
      <c r="C3451">
        <v>69</v>
      </c>
      <c r="D3451" t="s">
        <v>5015</v>
      </c>
      <c r="E3451" t="s">
        <v>5018</v>
      </c>
      <c r="F3451" t="s">
        <v>5021</v>
      </c>
      <c r="G3451">
        <v>8.1199999999999992</v>
      </c>
      <c r="H3451">
        <v>3</v>
      </c>
      <c r="I3451">
        <v>4</v>
      </c>
      <c r="J3451">
        <v>18.420000000000002</v>
      </c>
      <c r="K3451">
        <v>76.7</v>
      </c>
      <c r="L3451" t="s">
        <v>5025</v>
      </c>
      <c r="M3451">
        <v>11</v>
      </c>
      <c r="N3451">
        <v>0</v>
      </c>
      <c r="O3451">
        <v>0</v>
      </c>
    </row>
    <row r="3452" spans="1:15" x14ac:dyDescent="0.3">
      <c r="A3452" t="s">
        <v>3465</v>
      </c>
      <c r="B3452">
        <v>1</v>
      </c>
      <c r="C3452">
        <v>23</v>
      </c>
      <c r="D3452" t="s">
        <v>5016</v>
      </c>
      <c r="E3452" t="s">
        <v>5018</v>
      </c>
      <c r="F3452" t="s">
        <v>5024</v>
      </c>
      <c r="G3452">
        <v>22.39</v>
      </c>
      <c r="H3452">
        <v>5</v>
      </c>
      <c r="I3452">
        <v>9</v>
      </c>
      <c r="J3452">
        <v>17.16</v>
      </c>
      <c r="K3452">
        <v>91.9</v>
      </c>
      <c r="L3452" t="s">
        <v>5025</v>
      </c>
      <c r="M3452">
        <v>3</v>
      </c>
      <c r="N3452">
        <v>4</v>
      </c>
      <c r="O3452">
        <v>1</v>
      </c>
    </row>
    <row r="3453" spans="1:15" x14ac:dyDescent="0.3">
      <c r="A3453" t="s">
        <v>3466</v>
      </c>
      <c r="B3453">
        <v>12</v>
      </c>
      <c r="C3453">
        <v>36</v>
      </c>
      <c r="D3453" t="s">
        <v>5015</v>
      </c>
      <c r="E3453" t="s">
        <v>5019</v>
      </c>
      <c r="F3453" t="s">
        <v>5024</v>
      </c>
      <c r="G3453">
        <v>7.19</v>
      </c>
      <c r="H3453">
        <v>3</v>
      </c>
      <c r="I3453">
        <v>6</v>
      </c>
      <c r="J3453">
        <v>8.48</v>
      </c>
      <c r="K3453">
        <v>10.8</v>
      </c>
      <c r="L3453" t="s">
        <v>5026</v>
      </c>
      <c r="M3453">
        <v>3</v>
      </c>
      <c r="N3453">
        <v>4</v>
      </c>
      <c r="O3453">
        <v>0</v>
      </c>
    </row>
    <row r="3454" spans="1:15" x14ac:dyDescent="0.3">
      <c r="A3454" t="s">
        <v>3467</v>
      </c>
      <c r="B3454">
        <v>6</v>
      </c>
      <c r="C3454">
        <v>22</v>
      </c>
      <c r="D3454" t="s">
        <v>5015</v>
      </c>
      <c r="E3454" t="s">
        <v>5017</v>
      </c>
      <c r="F3454" t="s">
        <v>5022</v>
      </c>
      <c r="G3454">
        <v>20.48</v>
      </c>
      <c r="H3454">
        <v>5</v>
      </c>
      <c r="I3454">
        <v>7.8</v>
      </c>
      <c r="J3454">
        <v>13.88</v>
      </c>
      <c r="K3454">
        <v>69.599999999999994</v>
      </c>
      <c r="L3454" t="s">
        <v>5026</v>
      </c>
      <c r="M3454">
        <v>6</v>
      </c>
      <c r="N3454">
        <v>3</v>
      </c>
      <c r="O3454">
        <v>0</v>
      </c>
    </row>
    <row r="3455" spans="1:15" x14ac:dyDescent="0.3">
      <c r="A3455" t="s">
        <v>3468</v>
      </c>
      <c r="B3455">
        <v>10</v>
      </c>
      <c r="C3455">
        <v>49</v>
      </c>
      <c r="D3455" t="s">
        <v>5016</v>
      </c>
      <c r="E3455" t="s">
        <v>5019</v>
      </c>
      <c r="F3455" t="s">
        <v>5022</v>
      </c>
      <c r="G3455">
        <v>16.62</v>
      </c>
      <c r="H3455">
        <v>3</v>
      </c>
      <c r="I3455">
        <v>7.2</v>
      </c>
      <c r="J3455">
        <v>18.95</v>
      </c>
      <c r="K3455">
        <v>16.3</v>
      </c>
      <c r="L3455" t="s">
        <v>5029</v>
      </c>
      <c r="M3455">
        <v>2</v>
      </c>
      <c r="N3455">
        <v>2</v>
      </c>
      <c r="O3455">
        <v>0</v>
      </c>
    </row>
    <row r="3456" spans="1:15" x14ac:dyDescent="0.3">
      <c r="A3456" t="s">
        <v>3469</v>
      </c>
      <c r="B3456">
        <v>11</v>
      </c>
      <c r="C3456">
        <v>27</v>
      </c>
      <c r="D3456" t="s">
        <v>5016</v>
      </c>
      <c r="E3456" t="s">
        <v>5017</v>
      </c>
      <c r="F3456" t="s">
        <v>5023</v>
      </c>
      <c r="G3456">
        <v>22.22</v>
      </c>
      <c r="H3456">
        <v>5</v>
      </c>
      <c r="I3456">
        <v>5.7</v>
      </c>
      <c r="J3456">
        <v>7.25</v>
      </c>
      <c r="K3456">
        <v>57.3</v>
      </c>
      <c r="L3456" t="s">
        <v>5025</v>
      </c>
      <c r="M3456">
        <v>11</v>
      </c>
      <c r="N3456">
        <v>3</v>
      </c>
      <c r="O3456">
        <v>0</v>
      </c>
    </row>
    <row r="3457" spans="1:15" x14ac:dyDescent="0.3">
      <c r="A3457" t="s">
        <v>3470</v>
      </c>
      <c r="B3457">
        <v>8</v>
      </c>
      <c r="C3457">
        <v>26</v>
      </c>
      <c r="D3457" t="s">
        <v>5016</v>
      </c>
      <c r="E3457" t="s">
        <v>5017</v>
      </c>
      <c r="F3457" t="s">
        <v>5022</v>
      </c>
      <c r="G3457">
        <v>19.36</v>
      </c>
      <c r="H3457">
        <v>1</v>
      </c>
      <c r="I3457">
        <v>7.7</v>
      </c>
      <c r="J3457">
        <v>13.48</v>
      </c>
      <c r="K3457">
        <v>77.5</v>
      </c>
      <c r="L3457" t="s">
        <v>5028</v>
      </c>
      <c r="M3457">
        <v>2</v>
      </c>
      <c r="N3457">
        <v>3</v>
      </c>
      <c r="O3457">
        <v>0</v>
      </c>
    </row>
    <row r="3458" spans="1:15" x14ac:dyDescent="0.3">
      <c r="A3458" t="s">
        <v>3471</v>
      </c>
      <c r="B3458">
        <v>3</v>
      </c>
      <c r="C3458">
        <v>44</v>
      </c>
      <c r="D3458" t="s">
        <v>5016</v>
      </c>
      <c r="E3458" t="s">
        <v>5018</v>
      </c>
      <c r="F3458" t="s">
        <v>5021</v>
      </c>
      <c r="G3458">
        <v>10.63</v>
      </c>
      <c r="H3458">
        <v>3</v>
      </c>
      <c r="I3458">
        <v>5.9</v>
      </c>
      <c r="J3458">
        <v>5.57</v>
      </c>
      <c r="K3458">
        <v>25.3</v>
      </c>
      <c r="L3458" t="s">
        <v>5027</v>
      </c>
      <c r="M3458">
        <v>4</v>
      </c>
      <c r="N3458">
        <v>1</v>
      </c>
      <c r="O3458">
        <v>0</v>
      </c>
    </row>
    <row r="3459" spans="1:15" x14ac:dyDescent="0.3">
      <c r="A3459" t="s">
        <v>3472</v>
      </c>
      <c r="B3459">
        <v>12</v>
      </c>
      <c r="C3459">
        <v>30</v>
      </c>
      <c r="D3459" t="s">
        <v>5016</v>
      </c>
      <c r="E3459" t="s">
        <v>5019</v>
      </c>
      <c r="F3459" t="s">
        <v>5020</v>
      </c>
      <c r="G3459">
        <v>16.489999999999998</v>
      </c>
      <c r="H3459">
        <v>5</v>
      </c>
      <c r="I3459">
        <v>4.5</v>
      </c>
      <c r="J3459">
        <v>14.68</v>
      </c>
      <c r="K3459">
        <v>78.7</v>
      </c>
      <c r="L3459" t="s">
        <v>5026</v>
      </c>
      <c r="M3459">
        <v>1</v>
      </c>
      <c r="N3459">
        <v>3</v>
      </c>
      <c r="O3459">
        <v>1</v>
      </c>
    </row>
    <row r="3460" spans="1:15" x14ac:dyDescent="0.3">
      <c r="A3460" t="s">
        <v>3473</v>
      </c>
      <c r="B3460">
        <v>10</v>
      </c>
      <c r="C3460">
        <v>36</v>
      </c>
      <c r="D3460" t="s">
        <v>5016</v>
      </c>
      <c r="E3460" t="s">
        <v>5017</v>
      </c>
      <c r="F3460" t="s">
        <v>5020</v>
      </c>
      <c r="G3460">
        <v>5.26</v>
      </c>
      <c r="H3460">
        <v>2</v>
      </c>
      <c r="I3460">
        <v>4.9000000000000004</v>
      </c>
      <c r="J3460">
        <v>15.62</v>
      </c>
      <c r="K3460">
        <v>37.9</v>
      </c>
      <c r="L3460" t="s">
        <v>5025</v>
      </c>
      <c r="M3460">
        <v>1</v>
      </c>
      <c r="N3460">
        <v>3</v>
      </c>
      <c r="O3460">
        <v>1</v>
      </c>
    </row>
    <row r="3461" spans="1:15" x14ac:dyDescent="0.3">
      <c r="A3461" t="s">
        <v>3474</v>
      </c>
      <c r="B3461">
        <v>1</v>
      </c>
      <c r="C3461">
        <v>38</v>
      </c>
      <c r="D3461" t="s">
        <v>5015</v>
      </c>
      <c r="E3461" t="s">
        <v>5018</v>
      </c>
      <c r="F3461" t="s">
        <v>5023</v>
      </c>
      <c r="G3461">
        <v>14.5</v>
      </c>
      <c r="H3461">
        <v>2</v>
      </c>
      <c r="I3461">
        <v>8.5</v>
      </c>
      <c r="J3461">
        <v>14.78</v>
      </c>
      <c r="K3461">
        <v>64.900000000000006</v>
      </c>
      <c r="L3461" t="s">
        <v>5025</v>
      </c>
      <c r="M3461">
        <v>1</v>
      </c>
      <c r="N3461">
        <v>3</v>
      </c>
      <c r="O3461">
        <v>0</v>
      </c>
    </row>
    <row r="3462" spans="1:15" x14ac:dyDescent="0.3">
      <c r="A3462" t="s">
        <v>3475</v>
      </c>
      <c r="B3462">
        <v>9</v>
      </c>
      <c r="C3462">
        <v>41</v>
      </c>
      <c r="D3462" t="s">
        <v>5016</v>
      </c>
      <c r="E3462" t="s">
        <v>5018</v>
      </c>
      <c r="F3462" t="s">
        <v>5020</v>
      </c>
      <c r="G3462">
        <v>6.72</v>
      </c>
      <c r="H3462">
        <v>3</v>
      </c>
      <c r="I3462">
        <v>6.1</v>
      </c>
      <c r="J3462">
        <v>13.33</v>
      </c>
      <c r="K3462">
        <v>69.2</v>
      </c>
      <c r="L3462" t="s">
        <v>5026</v>
      </c>
      <c r="M3462">
        <v>5</v>
      </c>
      <c r="N3462">
        <v>3</v>
      </c>
      <c r="O3462">
        <v>0</v>
      </c>
    </row>
    <row r="3463" spans="1:15" x14ac:dyDescent="0.3">
      <c r="A3463" t="s">
        <v>3476</v>
      </c>
      <c r="B3463">
        <v>1</v>
      </c>
      <c r="C3463">
        <v>55</v>
      </c>
      <c r="D3463" t="s">
        <v>5016</v>
      </c>
      <c r="E3463" t="s">
        <v>5017</v>
      </c>
      <c r="F3463" t="s">
        <v>5023</v>
      </c>
      <c r="G3463">
        <v>13.58</v>
      </c>
      <c r="H3463">
        <v>3</v>
      </c>
      <c r="I3463">
        <v>4.4000000000000004</v>
      </c>
      <c r="J3463">
        <v>15.92</v>
      </c>
      <c r="K3463">
        <v>68.400000000000006</v>
      </c>
      <c r="L3463" t="s">
        <v>5029</v>
      </c>
      <c r="M3463">
        <v>9</v>
      </c>
      <c r="N3463">
        <v>2</v>
      </c>
      <c r="O3463">
        <v>0</v>
      </c>
    </row>
    <row r="3464" spans="1:15" x14ac:dyDescent="0.3">
      <c r="A3464" t="s">
        <v>3477</v>
      </c>
      <c r="B3464">
        <v>3</v>
      </c>
      <c r="C3464">
        <v>21</v>
      </c>
      <c r="D3464" t="s">
        <v>5015</v>
      </c>
      <c r="E3464" t="s">
        <v>5019</v>
      </c>
      <c r="F3464" t="s">
        <v>5022</v>
      </c>
      <c r="G3464">
        <v>7.19</v>
      </c>
      <c r="H3464">
        <v>4</v>
      </c>
      <c r="I3464">
        <v>2.6</v>
      </c>
      <c r="J3464">
        <v>24.93</v>
      </c>
      <c r="K3464">
        <v>11.7</v>
      </c>
      <c r="L3464" t="s">
        <v>5029</v>
      </c>
      <c r="M3464">
        <v>4</v>
      </c>
      <c r="N3464">
        <v>1</v>
      </c>
      <c r="O3464">
        <v>1</v>
      </c>
    </row>
    <row r="3465" spans="1:15" x14ac:dyDescent="0.3">
      <c r="A3465" t="s">
        <v>3478</v>
      </c>
      <c r="B3465">
        <v>8</v>
      </c>
      <c r="C3465">
        <v>41</v>
      </c>
      <c r="D3465" t="s">
        <v>5015</v>
      </c>
      <c r="E3465" t="s">
        <v>5019</v>
      </c>
      <c r="F3465" t="s">
        <v>5022</v>
      </c>
      <c r="G3465">
        <v>24.11</v>
      </c>
      <c r="H3465">
        <v>5</v>
      </c>
      <c r="I3465">
        <v>5.5</v>
      </c>
      <c r="J3465">
        <v>16.7</v>
      </c>
      <c r="K3465">
        <v>23.7</v>
      </c>
      <c r="L3465" t="s">
        <v>5029</v>
      </c>
      <c r="M3465">
        <v>8</v>
      </c>
      <c r="N3465">
        <v>4</v>
      </c>
      <c r="O3465">
        <v>0</v>
      </c>
    </row>
    <row r="3466" spans="1:15" x14ac:dyDescent="0.3">
      <c r="A3466" t="s">
        <v>3479</v>
      </c>
      <c r="B3466">
        <v>3</v>
      </c>
      <c r="C3466">
        <v>52</v>
      </c>
      <c r="D3466" t="s">
        <v>5016</v>
      </c>
      <c r="E3466" t="s">
        <v>5017</v>
      </c>
      <c r="F3466" t="s">
        <v>5021</v>
      </c>
      <c r="G3466">
        <v>15.46</v>
      </c>
      <c r="H3466">
        <v>3</v>
      </c>
      <c r="I3466">
        <v>3.3</v>
      </c>
      <c r="J3466">
        <v>19.559999999999999</v>
      </c>
      <c r="K3466">
        <v>87.1</v>
      </c>
      <c r="L3466" t="s">
        <v>5029</v>
      </c>
      <c r="M3466">
        <v>7</v>
      </c>
      <c r="N3466">
        <v>0</v>
      </c>
      <c r="O3466">
        <v>0</v>
      </c>
    </row>
    <row r="3467" spans="1:15" x14ac:dyDescent="0.3">
      <c r="A3467" t="s">
        <v>3480</v>
      </c>
      <c r="B3467">
        <v>4</v>
      </c>
      <c r="C3467">
        <v>20</v>
      </c>
      <c r="D3467" t="s">
        <v>5016</v>
      </c>
      <c r="E3467" t="s">
        <v>5018</v>
      </c>
      <c r="F3467" t="s">
        <v>5020</v>
      </c>
      <c r="G3467">
        <v>23.26</v>
      </c>
      <c r="H3467">
        <v>2</v>
      </c>
      <c r="I3467">
        <v>9.6</v>
      </c>
      <c r="J3467">
        <v>7.23</v>
      </c>
      <c r="K3467">
        <v>94.6</v>
      </c>
      <c r="L3467" t="s">
        <v>5028</v>
      </c>
      <c r="M3467">
        <v>6</v>
      </c>
      <c r="N3467">
        <v>4</v>
      </c>
      <c r="O3467">
        <v>0</v>
      </c>
    </row>
    <row r="3468" spans="1:15" x14ac:dyDescent="0.3">
      <c r="A3468" t="s">
        <v>3481</v>
      </c>
      <c r="B3468">
        <v>8</v>
      </c>
      <c r="C3468">
        <v>21</v>
      </c>
      <c r="D3468" t="s">
        <v>5015</v>
      </c>
      <c r="E3468" t="s">
        <v>5019</v>
      </c>
      <c r="F3468" t="s">
        <v>5021</v>
      </c>
      <c r="G3468">
        <v>5.45</v>
      </c>
      <c r="H3468">
        <v>2</v>
      </c>
      <c r="I3468">
        <v>5.4</v>
      </c>
      <c r="J3468">
        <v>14.66</v>
      </c>
      <c r="K3468">
        <v>60.7</v>
      </c>
      <c r="L3468" t="s">
        <v>5025</v>
      </c>
      <c r="M3468">
        <v>9</v>
      </c>
      <c r="N3468">
        <v>1</v>
      </c>
      <c r="O3468">
        <v>0</v>
      </c>
    </row>
    <row r="3469" spans="1:15" x14ac:dyDescent="0.3">
      <c r="A3469" t="s">
        <v>3482</v>
      </c>
      <c r="B3469">
        <v>1</v>
      </c>
      <c r="C3469">
        <v>54</v>
      </c>
      <c r="D3469" t="s">
        <v>5016</v>
      </c>
      <c r="E3469" t="s">
        <v>5018</v>
      </c>
      <c r="F3469" t="s">
        <v>5024</v>
      </c>
      <c r="G3469">
        <v>17.75</v>
      </c>
      <c r="H3469">
        <v>2</v>
      </c>
      <c r="I3469">
        <v>1.1000000000000001</v>
      </c>
      <c r="J3469">
        <v>3.17</v>
      </c>
      <c r="K3469">
        <v>63.7</v>
      </c>
      <c r="L3469" t="s">
        <v>5029</v>
      </c>
      <c r="M3469">
        <v>10</v>
      </c>
      <c r="N3469">
        <v>3</v>
      </c>
      <c r="O3469">
        <v>0</v>
      </c>
    </row>
    <row r="3470" spans="1:15" x14ac:dyDescent="0.3">
      <c r="A3470" t="s">
        <v>3483</v>
      </c>
      <c r="B3470">
        <v>6</v>
      </c>
      <c r="C3470">
        <v>57</v>
      </c>
      <c r="D3470" t="s">
        <v>5016</v>
      </c>
      <c r="E3470" t="s">
        <v>5018</v>
      </c>
      <c r="F3470" t="s">
        <v>5021</v>
      </c>
      <c r="G3470">
        <v>11.14</v>
      </c>
      <c r="H3470">
        <v>5</v>
      </c>
      <c r="I3470">
        <v>1.8</v>
      </c>
      <c r="J3470">
        <v>3.69</v>
      </c>
      <c r="K3470">
        <v>78</v>
      </c>
      <c r="L3470" t="s">
        <v>5029</v>
      </c>
      <c r="M3470">
        <v>1</v>
      </c>
      <c r="N3470">
        <v>4</v>
      </c>
      <c r="O3470">
        <v>1</v>
      </c>
    </row>
    <row r="3471" spans="1:15" x14ac:dyDescent="0.3">
      <c r="A3471" t="s">
        <v>3484</v>
      </c>
      <c r="B3471">
        <v>1</v>
      </c>
      <c r="C3471">
        <v>65</v>
      </c>
      <c r="D3471" t="s">
        <v>5015</v>
      </c>
      <c r="E3471" t="s">
        <v>5017</v>
      </c>
      <c r="F3471" t="s">
        <v>5023</v>
      </c>
      <c r="G3471">
        <v>13.64</v>
      </c>
      <c r="H3471">
        <v>1</v>
      </c>
      <c r="I3471">
        <v>3.6</v>
      </c>
      <c r="J3471">
        <v>10.09</v>
      </c>
      <c r="K3471">
        <v>46.5</v>
      </c>
      <c r="L3471" t="s">
        <v>5027</v>
      </c>
      <c r="M3471">
        <v>7</v>
      </c>
      <c r="N3471">
        <v>3</v>
      </c>
      <c r="O3471">
        <v>0</v>
      </c>
    </row>
    <row r="3472" spans="1:15" x14ac:dyDescent="0.3">
      <c r="A3472" t="s">
        <v>3485</v>
      </c>
      <c r="B3472">
        <v>1</v>
      </c>
      <c r="C3472">
        <v>52</v>
      </c>
      <c r="D3472" t="s">
        <v>5016</v>
      </c>
      <c r="E3472" t="s">
        <v>5018</v>
      </c>
      <c r="F3472" t="s">
        <v>5023</v>
      </c>
      <c r="G3472">
        <v>22.46</v>
      </c>
      <c r="H3472">
        <v>3</v>
      </c>
      <c r="I3472">
        <v>1.8</v>
      </c>
      <c r="J3472">
        <v>13.27</v>
      </c>
      <c r="K3472">
        <v>39.5</v>
      </c>
      <c r="L3472" t="s">
        <v>5027</v>
      </c>
      <c r="M3472">
        <v>9</v>
      </c>
      <c r="N3472">
        <v>2</v>
      </c>
      <c r="O3472">
        <v>0</v>
      </c>
    </row>
    <row r="3473" spans="1:15" x14ac:dyDescent="0.3">
      <c r="A3473" t="s">
        <v>3486</v>
      </c>
      <c r="B3473">
        <v>8</v>
      </c>
      <c r="C3473">
        <v>48</v>
      </c>
      <c r="D3473" t="s">
        <v>5015</v>
      </c>
      <c r="E3473" t="s">
        <v>5017</v>
      </c>
      <c r="F3473" t="s">
        <v>5021</v>
      </c>
      <c r="G3473">
        <v>24.6</v>
      </c>
      <c r="H3473">
        <v>1</v>
      </c>
      <c r="I3473">
        <v>9</v>
      </c>
      <c r="J3473">
        <v>15.66</v>
      </c>
      <c r="K3473">
        <v>79.099999999999994</v>
      </c>
      <c r="L3473" t="s">
        <v>5025</v>
      </c>
      <c r="M3473">
        <v>10</v>
      </c>
      <c r="N3473">
        <v>2</v>
      </c>
      <c r="O3473">
        <v>1</v>
      </c>
    </row>
    <row r="3474" spans="1:15" x14ac:dyDescent="0.3">
      <c r="A3474" t="s">
        <v>3487</v>
      </c>
      <c r="B3474">
        <v>11</v>
      </c>
      <c r="C3474">
        <v>61</v>
      </c>
      <c r="D3474" t="s">
        <v>5016</v>
      </c>
      <c r="E3474" t="s">
        <v>5019</v>
      </c>
      <c r="F3474" t="s">
        <v>5022</v>
      </c>
      <c r="G3474">
        <v>9.93</v>
      </c>
      <c r="H3474">
        <v>5</v>
      </c>
      <c r="I3474">
        <v>8.6999999999999993</v>
      </c>
      <c r="J3474">
        <v>22.54</v>
      </c>
      <c r="K3474">
        <v>12.5</v>
      </c>
      <c r="L3474" t="s">
        <v>5026</v>
      </c>
      <c r="M3474">
        <v>2</v>
      </c>
      <c r="N3474">
        <v>1</v>
      </c>
      <c r="O3474">
        <v>0</v>
      </c>
    </row>
    <row r="3475" spans="1:15" x14ac:dyDescent="0.3">
      <c r="A3475" t="s">
        <v>3488</v>
      </c>
      <c r="B3475">
        <v>4</v>
      </c>
      <c r="C3475">
        <v>42</v>
      </c>
      <c r="D3475" t="s">
        <v>5015</v>
      </c>
      <c r="E3475" t="s">
        <v>5018</v>
      </c>
      <c r="F3475" t="s">
        <v>5024</v>
      </c>
      <c r="G3475">
        <v>23.97</v>
      </c>
      <c r="H3475">
        <v>3</v>
      </c>
      <c r="I3475">
        <v>9.6999999999999993</v>
      </c>
      <c r="J3475">
        <v>19.98</v>
      </c>
      <c r="K3475">
        <v>89.7</v>
      </c>
      <c r="L3475" t="s">
        <v>5029</v>
      </c>
      <c r="M3475">
        <v>4</v>
      </c>
      <c r="N3475">
        <v>4</v>
      </c>
      <c r="O3475">
        <v>0</v>
      </c>
    </row>
    <row r="3476" spans="1:15" x14ac:dyDescent="0.3">
      <c r="A3476" t="s">
        <v>3489</v>
      </c>
      <c r="B3476">
        <v>12</v>
      </c>
      <c r="C3476">
        <v>57</v>
      </c>
      <c r="D3476" t="s">
        <v>5015</v>
      </c>
      <c r="E3476" t="s">
        <v>5017</v>
      </c>
      <c r="F3476" t="s">
        <v>5021</v>
      </c>
      <c r="G3476">
        <v>18.77</v>
      </c>
      <c r="H3476">
        <v>4</v>
      </c>
      <c r="I3476">
        <v>7.4</v>
      </c>
      <c r="J3476">
        <v>9.6</v>
      </c>
      <c r="K3476">
        <v>49.7</v>
      </c>
      <c r="L3476" t="s">
        <v>5028</v>
      </c>
      <c r="M3476">
        <v>5</v>
      </c>
      <c r="N3476">
        <v>2</v>
      </c>
      <c r="O3476">
        <v>0</v>
      </c>
    </row>
    <row r="3477" spans="1:15" x14ac:dyDescent="0.3">
      <c r="A3477" t="s">
        <v>3490</v>
      </c>
      <c r="B3477">
        <v>1</v>
      </c>
      <c r="C3477">
        <v>30</v>
      </c>
      <c r="D3477" t="s">
        <v>5015</v>
      </c>
      <c r="E3477" t="s">
        <v>5019</v>
      </c>
      <c r="F3477" t="s">
        <v>5022</v>
      </c>
      <c r="G3477">
        <v>24.03</v>
      </c>
      <c r="H3477">
        <v>3</v>
      </c>
      <c r="I3477">
        <v>6.8</v>
      </c>
      <c r="J3477">
        <v>19.36</v>
      </c>
      <c r="K3477">
        <v>55.4</v>
      </c>
      <c r="L3477" t="s">
        <v>5027</v>
      </c>
      <c r="M3477">
        <v>11</v>
      </c>
      <c r="N3477">
        <v>1</v>
      </c>
      <c r="O3477">
        <v>0</v>
      </c>
    </row>
    <row r="3478" spans="1:15" x14ac:dyDescent="0.3">
      <c r="A3478" t="s">
        <v>3491</v>
      </c>
      <c r="B3478">
        <v>10</v>
      </c>
      <c r="C3478">
        <v>21</v>
      </c>
      <c r="D3478" t="s">
        <v>5016</v>
      </c>
      <c r="E3478" t="s">
        <v>5017</v>
      </c>
      <c r="F3478" t="s">
        <v>5021</v>
      </c>
      <c r="G3478">
        <v>16.25</v>
      </c>
      <c r="H3478">
        <v>3</v>
      </c>
      <c r="I3478">
        <v>9.3000000000000007</v>
      </c>
      <c r="J3478">
        <v>15.09</v>
      </c>
      <c r="K3478">
        <v>67.099999999999994</v>
      </c>
      <c r="L3478" t="s">
        <v>5029</v>
      </c>
      <c r="M3478">
        <v>5</v>
      </c>
      <c r="N3478">
        <v>1</v>
      </c>
      <c r="O3478">
        <v>1</v>
      </c>
    </row>
    <row r="3479" spans="1:15" x14ac:dyDescent="0.3">
      <c r="A3479" t="s">
        <v>3492</v>
      </c>
      <c r="B3479">
        <v>7</v>
      </c>
      <c r="C3479">
        <v>63</v>
      </c>
      <c r="D3479" t="s">
        <v>5015</v>
      </c>
      <c r="E3479" t="s">
        <v>5018</v>
      </c>
      <c r="F3479" t="s">
        <v>5020</v>
      </c>
      <c r="G3479">
        <v>24.22</v>
      </c>
      <c r="H3479">
        <v>3</v>
      </c>
      <c r="I3479">
        <v>9.5</v>
      </c>
      <c r="J3479">
        <v>20.14</v>
      </c>
      <c r="K3479">
        <v>34.700000000000003</v>
      </c>
      <c r="L3479" t="s">
        <v>5026</v>
      </c>
      <c r="M3479">
        <v>11</v>
      </c>
      <c r="N3479">
        <v>1</v>
      </c>
      <c r="O3479">
        <v>1</v>
      </c>
    </row>
    <row r="3480" spans="1:15" x14ac:dyDescent="0.3">
      <c r="A3480" t="s">
        <v>3493</v>
      </c>
      <c r="B3480">
        <v>5</v>
      </c>
      <c r="C3480">
        <v>31</v>
      </c>
      <c r="D3480" t="s">
        <v>5016</v>
      </c>
      <c r="E3480" t="s">
        <v>5018</v>
      </c>
      <c r="F3480" t="s">
        <v>5023</v>
      </c>
      <c r="G3480">
        <v>22.85</v>
      </c>
      <c r="H3480">
        <v>3</v>
      </c>
      <c r="I3480">
        <v>8.9</v>
      </c>
      <c r="J3480">
        <v>12.04</v>
      </c>
      <c r="K3480">
        <v>63.8</v>
      </c>
      <c r="L3480" t="s">
        <v>5028</v>
      </c>
      <c r="M3480">
        <v>7</v>
      </c>
      <c r="N3480">
        <v>4</v>
      </c>
      <c r="O3480">
        <v>0</v>
      </c>
    </row>
    <row r="3481" spans="1:15" x14ac:dyDescent="0.3">
      <c r="A3481" t="s">
        <v>3494</v>
      </c>
      <c r="B3481">
        <v>5</v>
      </c>
      <c r="C3481">
        <v>30</v>
      </c>
      <c r="D3481" t="s">
        <v>5015</v>
      </c>
      <c r="E3481" t="s">
        <v>5017</v>
      </c>
      <c r="F3481" t="s">
        <v>5020</v>
      </c>
      <c r="G3481">
        <v>7.57</v>
      </c>
      <c r="H3481">
        <v>3</v>
      </c>
      <c r="I3481">
        <v>8.8000000000000007</v>
      </c>
      <c r="J3481">
        <v>5.0199999999999996</v>
      </c>
      <c r="K3481">
        <v>72.400000000000006</v>
      </c>
      <c r="L3481" t="s">
        <v>5027</v>
      </c>
      <c r="M3481">
        <v>10</v>
      </c>
      <c r="N3481">
        <v>4</v>
      </c>
      <c r="O3481">
        <v>0</v>
      </c>
    </row>
    <row r="3482" spans="1:15" x14ac:dyDescent="0.3">
      <c r="A3482" t="s">
        <v>3495</v>
      </c>
      <c r="B3482">
        <v>1</v>
      </c>
      <c r="C3482">
        <v>44</v>
      </c>
      <c r="D3482" t="s">
        <v>5015</v>
      </c>
      <c r="E3482" t="s">
        <v>5019</v>
      </c>
      <c r="F3482" t="s">
        <v>5020</v>
      </c>
      <c r="G3482">
        <v>11.22</v>
      </c>
      <c r="H3482">
        <v>5</v>
      </c>
      <c r="I3482">
        <v>7</v>
      </c>
      <c r="J3482">
        <v>16.61</v>
      </c>
      <c r="K3482">
        <v>20.6</v>
      </c>
      <c r="L3482" t="s">
        <v>5026</v>
      </c>
      <c r="M3482">
        <v>8</v>
      </c>
      <c r="N3482">
        <v>1</v>
      </c>
      <c r="O3482">
        <v>1</v>
      </c>
    </row>
    <row r="3483" spans="1:15" x14ac:dyDescent="0.3">
      <c r="A3483" t="s">
        <v>3496</v>
      </c>
      <c r="B3483">
        <v>10</v>
      </c>
      <c r="C3483">
        <v>23</v>
      </c>
      <c r="D3483" t="s">
        <v>5015</v>
      </c>
      <c r="E3483" t="s">
        <v>5019</v>
      </c>
      <c r="F3483" t="s">
        <v>5024</v>
      </c>
      <c r="G3483">
        <v>9.86</v>
      </c>
      <c r="H3483">
        <v>3</v>
      </c>
      <c r="I3483">
        <v>1</v>
      </c>
      <c r="J3483">
        <v>15.25</v>
      </c>
      <c r="K3483">
        <v>56.8</v>
      </c>
      <c r="L3483" t="s">
        <v>5026</v>
      </c>
      <c r="M3483">
        <v>9</v>
      </c>
      <c r="N3483">
        <v>0</v>
      </c>
      <c r="O3483">
        <v>0</v>
      </c>
    </row>
    <row r="3484" spans="1:15" x14ac:dyDescent="0.3">
      <c r="A3484" t="s">
        <v>3497</v>
      </c>
      <c r="B3484">
        <v>11</v>
      </c>
      <c r="C3484">
        <v>34</v>
      </c>
      <c r="D3484" t="s">
        <v>5016</v>
      </c>
      <c r="E3484" t="s">
        <v>5017</v>
      </c>
      <c r="F3484" t="s">
        <v>5022</v>
      </c>
      <c r="G3484">
        <v>16.440000000000001</v>
      </c>
      <c r="H3484">
        <v>5</v>
      </c>
      <c r="I3484">
        <v>4.9000000000000004</v>
      </c>
      <c r="J3484">
        <v>23.98</v>
      </c>
      <c r="K3484">
        <v>39.6</v>
      </c>
      <c r="L3484" t="s">
        <v>5028</v>
      </c>
      <c r="M3484">
        <v>5</v>
      </c>
      <c r="N3484">
        <v>4</v>
      </c>
      <c r="O3484">
        <v>0</v>
      </c>
    </row>
    <row r="3485" spans="1:15" x14ac:dyDescent="0.3">
      <c r="A3485" t="s">
        <v>3498</v>
      </c>
      <c r="B3485">
        <v>6</v>
      </c>
      <c r="C3485">
        <v>53</v>
      </c>
      <c r="D3485" t="s">
        <v>5016</v>
      </c>
      <c r="E3485" t="s">
        <v>5019</v>
      </c>
      <c r="F3485" t="s">
        <v>5023</v>
      </c>
      <c r="G3485">
        <v>21.06</v>
      </c>
      <c r="H3485">
        <v>3</v>
      </c>
      <c r="I3485">
        <v>6.7</v>
      </c>
      <c r="J3485">
        <v>6.57</v>
      </c>
      <c r="K3485">
        <v>60.2</v>
      </c>
      <c r="L3485" t="s">
        <v>5028</v>
      </c>
      <c r="M3485">
        <v>2</v>
      </c>
      <c r="N3485">
        <v>4</v>
      </c>
      <c r="O3485">
        <v>0</v>
      </c>
    </row>
    <row r="3486" spans="1:15" x14ac:dyDescent="0.3">
      <c r="A3486" t="s">
        <v>3499</v>
      </c>
      <c r="B3486">
        <v>9</v>
      </c>
      <c r="C3486">
        <v>57</v>
      </c>
      <c r="D3486" t="s">
        <v>5015</v>
      </c>
      <c r="E3486" t="s">
        <v>5018</v>
      </c>
      <c r="F3486" t="s">
        <v>5020</v>
      </c>
      <c r="G3486">
        <v>20.190000000000001</v>
      </c>
      <c r="H3486">
        <v>3</v>
      </c>
      <c r="I3486">
        <v>5.9</v>
      </c>
      <c r="J3486">
        <v>17.43</v>
      </c>
      <c r="K3486">
        <v>11.9</v>
      </c>
      <c r="L3486" t="s">
        <v>5027</v>
      </c>
      <c r="M3486">
        <v>2</v>
      </c>
      <c r="N3486">
        <v>0</v>
      </c>
      <c r="O3486">
        <v>1</v>
      </c>
    </row>
    <row r="3487" spans="1:15" x14ac:dyDescent="0.3">
      <c r="A3487" t="s">
        <v>3500</v>
      </c>
      <c r="B3487">
        <v>9</v>
      </c>
      <c r="C3487">
        <v>66</v>
      </c>
      <c r="D3487" t="s">
        <v>5016</v>
      </c>
      <c r="E3487" t="s">
        <v>5019</v>
      </c>
      <c r="F3487" t="s">
        <v>5023</v>
      </c>
      <c r="G3487">
        <v>19.53</v>
      </c>
      <c r="H3487">
        <v>5</v>
      </c>
      <c r="I3487">
        <v>8.4</v>
      </c>
      <c r="J3487">
        <v>13.43</v>
      </c>
      <c r="K3487">
        <v>76.8</v>
      </c>
      <c r="L3487" t="s">
        <v>5028</v>
      </c>
      <c r="M3487">
        <v>5</v>
      </c>
      <c r="N3487">
        <v>4</v>
      </c>
      <c r="O3487">
        <v>0</v>
      </c>
    </row>
    <row r="3488" spans="1:15" x14ac:dyDescent="0.3">
      <c r="A3488" t="s">
        <v>3501</v>
      </c>
      <c r="B3488">
        <v>8</v>
      </c>
      <c r="C3488">
        <v>52</v>
      </c>
      <c r="D3488" t="s">
        <v>5016</v>
      </c>
      <c r="E3488" t="s">
        <v>5018</v>
      </c>
      <c r="F3488" t="s">
        <v>5022</v>
      </c>
      <c r="G3488">
        <v>12.51</v>
      </c>
      <c r="H3488">
        <v>3</v>
      </c>
      <c r="I3488">
        <v>8.4</v>
      </c>
      <c r="J3488">
        <v>11.34</v>
      </c>
      <c r="K3488">
        <v>25.2</v>
      </c>
      <c r="L3488" t="s">
        <v>5029</v>
      </c>
      <c r="M3488">
        <v>5</v>
      </c>
      <c r="N3488">
        <v>4</v>
      </c>
      <c r="O3488">
        <v>0</v>
      </c>
    </row>
    <row r="3489" spans="1:15" x14ac:dyDescent="0.3">
      <c r="A3489" t="s">
        <v>3502</v>
      </c>
      <c r="B3489">
        <v>5</v>
      </c>
      <c r="C3489">
        <v>34</v>
      </c>
      <c r="D3489" t="s">
        <v>5016</v>
      </c>
      <c r="E3489" t="s">
        <v>5018</v>
      </c>
      <c r="F3489" t="s">
        <v>5021</v>
      </c>
      <c r="G3489">
        <v>7.79</v>
      </c>
      <c r="H3489">
        <v>2</v>
      </c>
      <c r="I3489">
        <v>6.4</v>
      </c>
      <c r="J3489">
        <v>20.48</v>
      </c>
      <c r="K3489">
        <v>72</v>
      </c>
      <c r="L3489" t="s">
        <v>5028</v>
      </c>
      <c r="M3489">
        <v>5</v>
      </c>
      <c r="N3489">
        <v>2</v>
      </c>
      <c r="O3489">
        <v>0</v>
      </c>
    </row>
    <row r="3490" spans="1:15" x14ac:dyDescent="0.3">
      <c r="A3490" t="s">
        <v>3503</v>
      </c>
      <c r="B3490">
        <v>1</v>
      </c>
      <c r="C3490">
        <v>58</v>
      </c>
      <c r="D3490" t="s">
        <v>5015</v>
      </c>
      <c r="E3490" t="s">
        <v>5018</v>
      </c>
      <c r="F3490" t="s">
        <v>5020</v>
      </c>
      <c r="G3490">
        <v>9.2100000000000009</v>
      </c>
      <c r="H3490">
        <v>3</v>
      </c>
      <c r="I3490">
        <v>1.2</v>
      </c>
      <c r="J3490">
        <v>20.83</v>
      </c>
      <c r="K3490">
        <v>79.2</v>
      </c>
      <c r="L3490" t="s">
        <v>5026</v>
      </c>
      <c r="M3490">
        <v>6</v>
      </c>
      <c r="N3490">
        <v>0</v>
      </c>
      <c r="O3490">
        <v>0</v>
      </c>
    </row>
    <row r="3491" spans="1:15" x14ac:dyDescent="0.3">
      <c r="A3491" t="s">
        <v>3504</v>
      </c>
      <c r="B3491">
        <v>9</v>
      </c>
      <c r="C3491">
        <v>19</v>
      </c>
      <c r="D3491" t="s">
        <v>5016</v>
      </c>
      <c r="E3491" t="s">
        <v>5018</v>
      </c>
      <c r="F3491" t="s">
        <v>5022</v>
      </c>
      <c r="G3491">
        <v>19.829999999999998</v>
      </c>
      <c r="H3491">
        <v>4</v>
      </c>
      <c r="I3491">
        <v>4.3</v>
      </c>
      <c r="J3491">
        <v>18.72</v>
      </c>
      <c r="K3491">
        <v>77.7</v>
      </c>
      <c r="L3491" t="s">
        <v>5028</v>
      </c>
      <c r="M3491">
        <v>8</v>
      </c>
      <c r="N3491">
        <v>2</v>
      </c>
      <c r="O3491">
        <v>0</v>
      </c>
    </row>
    <row r="3492" spans="1:15" x14ac:dyDescent="0.3">
      <c r="A3492" t="s">
        <v>3505</v>
      </c>
      <c r="B3492">
        <v>1</v>
      </c>
      <c r="C3492">
        <v>30</v>
      </c>
      <c r="D3492" t="s">
        <v>5015</v>
      </c>
      <c r="E3492" t="s">
        <v>5018</v>
      </c>
      <c r="F3492" t="s">
        <v>5023</v>
      </c>
      <c r="G3492">
        <v>7.95</v>
      </c>
      <c r="H3492">
        <v>5</v>
      </c>
      <c r="I3492">
        <v>3.1</v>
      </c>
      <c r="J3492">
        <v>4.84</v>
      </c>
      <c r="K3492">
        <v>83.6</v>
      </c>
      <c r="L3492" t="s">
        <v>5027</v>
      </c>
      <c r="M3492">
        <v>11</v>
      </c>
      <c r="N3492">
        <v>0</v>
      </c>
      <c r="O3492">
        <v>0</v>
      </c>
    </row>
    <row r="3493" spans="1:15" x14ac:dyDescent="0.3">
      <c r="A3493" t="s">
        <v>3506</v>
      </c>
      <c r="B3493">
        <v>8</v>
      </c>
      <c r="C3493">
        <v>69</v>
      </c>
      <c r="D3493" t="s">
        <v>5015</v>
      </c>
      <c r="E3493" t="s">
        <v>5017</v>
      </c>
      <c r="F3493" t="s">
        <v>5022</v>
      </c>
      <c r="G3493">
        <v>9.4600000000000009</v>
      </c>
      <c r="H3493">
        <v>3</v>
      </c>
      <c r="I3493">
        <v>4</v>
      </c>
      <c r="J3493">
        <v>10.59</v>
      </c>
      <c r="K3493">
        <v>37.700000000000003</v>
      </c>
      <c r="L3493" t="s">
        <v>5029</v>
      </c>
      <c r="M3493">
        <v>5</v>
      </c>
      <c r="N3493">
        <v>0</v>
      </c>
      <c r="O3493">
        <v>0</v>
      </c>
    </row>
    <row r="3494" spans="1:15" x14ac:dyDescent="0.3">
      <c r="A3494" t="s">
        <v>3507</v>
      </c>
      <c r="B3494">
        <v>5</v>
      </c>
      <c r="C3494">
        <v>19</v>
      </c>
      <c r="D3494" t="s">
        <v>5015</v>
      </c>
      <c r="E3494" t="s">
        <v>5019</v>
      </c>
      <c r="F3494" t="s">
        <v>5021</v>
      </c>
      <c r="G3494">
        <v>13.49</v>
      </c>
      <c r="H3494">
        <v>3</v>
      </c>
      <c r="I3494">
        <v>6.6</v>
      </c>
      <c r="J3494">
        <v>4.03</v>
      </c>
      <c r="K3494">
        <v>97</v>
      </c>
      <c r="L3494" t="s">
        <v>5028</v>
      </c>
      <c r="M3494">
        <v>3</v>
      </c>
      <c r="N3494">
        <v>0</v>
      </c>
      <c r="O3494">
        <v>0</v>
      </c>
    </row>
    <row r="3495" spans="1:15" x14ac:dyDescent="0.3">
      <c r="A3495" t="s">
        <v>3508</v>
      </c>
      <c r="B3495">
        <v>3</v>
      </c>
      <c r="C3495">
        <v>69</v>
      </c>
      <c r="D3495" t="s">
        <v>5016</v>
      </c>
      <c r="E3495" t="s">
        <v>5018</v>
      </c>
      <c r="F3495" t="s">
        <v>5022</v>
      </c>
      <c r="G3495">
        <v>6.44</v>
      </c>
      <c r="H3495">
        <v>5</v>
      </c>
      <c r="I3495">
        <v>1.6</v>
      </c>
      <c r="J3495">
        <v>10.56</v>
      </c>
      <c r="K3495">
        <v>12.1</v>
      </c>
      <c r="L3495" t="s">
        <v>5029</v>
      </c>
      <c r="M3495">
        <v>9</v>
      </c>
      <c r="N3495">
        <v>4</v>
      </c>
      <c r="O3495">
        <v>0</v>
      </c>
    </row>
    <row r="3496" spans="1:15" x14ac:dyDescent="0.3">
      <c r="A3496" t="s">
        <v>3509</v>
      </c>
      <c r="B3496">
        <v>11</v>
      </c>
      <c r="C3496">
        <v>45</v>
      </c>
      <c r="D3496" t="s">
        <v>5015</v>
      </c>
      <c r="E3496" t="s">
        <v>5019</v>
      </c>
      <c r="F3496" t="s">
        <v>5023</v>
      </c>
      <c r="G3496">
        <v>9.25</v>
      </c>
      <c r="H3496">
        <v>1</v>
      </c>
      <c r="I3496">
        <v>1.2</v>
      </c>
      <c r="J3496">
        <v>17.25</v>
      </c>
      <c r="K3496">
        <v>53.3</v>
      </c>
      <c r="L3496" t="s">
        <v>5028</v>
      </c>
      <c r="M3496">
        <v>4</v>
      </c>
      <c r="N3496">
        <v>1</v>
      </c>
      <c r="O3496">
        <v>1</v>
      </c>
    </row>
    <row r="3497" spans="1:15" x14ac:dyDescent="0.3">
      <c r="A3497" t="s">
        <v>3510</v>
      </c>
      <c r="B3497">
        <v>7</v>
      </c>
      <c r="C3497">
        <v>60</v>
      </c>
      <c r="D3497" t="s">
        <v>5016</v>
      </c>
      <c r="E3497" t="s">
        <v>5017</v>
      </c>
      <c r="F3497" t="s">
        <v>5020</v>
      </c>
      <c r="G3497">
        <v>8</v>
      </c>
      <c r="H3497">
        <v>2</v>
      </c>
      <c r="I3497">
        <v>4.9000000000000004</v>
      </c>
      <c r="J3497">
        <v>14.41</v>
      </c>
      <c r="K3497">
        <v>34.299999999999997</v>
      </c>
      <c r="L3497" t="s">
        <v>5029</v>
      </c>
      <c r="M3497">
        <v>8</v>
      </c>
      <c r="N3497">
        <v>3</v>
      </c>
      <c r="O3497">
        <v>0</v>
      </c>
    </row>
    <row r="3498" spans="1:15" x14ac:dyDescent="0.3">
      <c r="A3498" t="s">
        <v>3511</v>
      </c>
      <c r="B3498">
        <v>7</v>
      </c>
      <c r="C3498">
        <v>43</v>
      </c>
      <c r="D3498" t="s">
        <v>5016</v>
      </c>
      <c r="E3498" t="s">
        <v>5018</v>
      </c>
      <c r="F3498" t="s">
        <v>5020</v>
      </c>
      <c r="G3498">
        <v>24.03</v>
      </c>
      <c r="H3498">
        <v>2</v>
      </c>
      <c r="I3498">
        <v>8.1</v>
      </c>
      <c r="J3498">
        <v>18.46</v>
      </c>
      <c r="K3498">
        <v>76.599999999999994</v>
      </c>
      <c r="L3498" t="s">
        <v>5028</v>
      </c>
      <c r="M3498">
        <v>9</v>
      </c>
      <c r="N3498">
        <v>1</v>
      </c>
      <c r="O3498">
        <v>0</v>
      </c>
    </row>
    <row r="3499" spans="1:15" x14ac:dyDescent="0.3">
      <c r="A3499" t="s">
        <v>3512</v>
      </c>
      <c r="B3499">
        <v>9</v>
      </c>
      <c r="C3499">
        <v>39</v>
      </c>
      <c r="D3499" t="s">
        <v>5015</v>
      </c>
      <c r="E3499" t="s">
        <v>5019</v>
      </c>
      <c r="F3499" t="s">
        <v>5024</v>
      </c>
      <c r="G3499">
        <v>8.83</v>
      </c>
      <c r="H3499">
        <v>3</v>
      </c>
      <c r="I3499">
        <v>1.3</v>
      </c>
      <c r="J3499">
        <v>15.13</v>
      </c>
      <c r="K3499">
        <v>82.5</v>
      </c>
      <c r="L3499" t="s">
        <v>5028</v>
      </c>
      <c r="M3499">
        <v>11</v>
      </c>
      <c r="N3499">
        <v>4</v>
      </c>
      <c r="O3499">
        <v>0</v>
      </c>
    </row>
    <row r="3500" spans="1:15" x14ac:dyDescent="0.3">
      <c r="A3500" t="s">
        <v>3513</v>
      </c>
      <c r="B3500">
        <v>7</v>
      </c>
      <c r="C3500">
        <v>64</v>
      </c>
      <c r="D3500" t="s">
        <v>5015</v>
      </c>
      <c r="E3500" t="s">
        <v>5018</v>
      </c>
      <c r="F3500" t="s">
        <v>5023</v>
      </c>
      <c r="G3500">
        <v>22.24</v>
      </c>
      <c r="H3500">
        <v>5</v>
      </c>
      <c r="I3500">
        <v>8.6</v>
      </c>
      <c r="J3500">
        <v>15.23</v>
      </c>
      <c r="K3500">
        <v>84</v>
      </c>
      <c r="L3500" t="s">
        <v>5025</v>
      </c>
      <c r="M3500">
        <v>7</v>
      </c>
      <c r="N3500">
        <v>4</v>
      </c>
      <c r="O3500">
        <v>0</v>
      </c>
    </row>
    <row r="3501" spans="1:15" x14ac:dyDescent="0.3">
      <c r="A3501" t="s">
        <v>3514</v>
      </c>
      <c r="B3501">
        <v>11</v>
      </c>
      <c r="C3501">
        <v>60</v>
      </c>
      <c r="D3501" t="s">
        <v>5015</v>
      </c>
      <c r="E3501" t="s">
        <v>5019</v>
      </c>
      <c r="F3501" t="s">
        <v>5024</v>
      </c>
      <c r="G3501">
        <v>7.3</v>
      </c>
      <c r="H3501">
        <v>4</v>
      </c>
      <c r="I3501">
        <v>4.5</v>
      </c>
      <c r="J3501">
        <v>14.24</v>
      </c>
      <c r="K3501">
        <v>36.700000000000003</v>
      </c>
      <c r="L3501" t="s">
        <v>5026</v>
      </c>
      <c r="M3501">
        <v>3</v>
      </c>
      <c r="N3501">
        <v>3</v>
      </c>
      <c r="O3501">
        <v>0</v>
      </c>
    </row>
    <row r="3502" spans="1:15" x14ac:dyDescent="0.3">
      <c r="A3502" t="s">
        <v>3515</v>
      </c>
      <c r="B3502">
        <v>3</v>
      </c>
      <c r="C3502">
        <v>20</v>
      </c>
      <c r="D3502" t="s">
        <v>5016</v>
      </c>
      <c r="E3502" t="s">
        <v>5019</v>
      </c>
      <c r="F3502" t="s">
        <v>5024</v>
      </c>
      <c r="G3502">
        <v>22.39</v>
      </c>
      <c r="H3502">
        <v>3</v>
      </c>
      <c r="I3502">
        <v>2.1</v>
      </c>
      <c r="J3502">
        <v>11.02</v>
      </c>
      <c r="K3502">
        <v>34.700000000000003</v>
      </c>
      <c r="L3502" t="s">
        <v>5027</v>
      </c>
      <c r="M3502">
        <v>10</v>
      </c>
      <c r="N3502">
        <v>4</v>
      </c>
      <c r="O3502">
        <v>0</v>
      </c>
    </row>
    <row r="3503" spans="1:15" x14ac:dyDescent="0.3">
      <c r="A3503" t="s">
        <v>3516</v>
      </c>
      <c r="B3503">
        <v>11</v>
      </c>
      <c r="C3503">
        <v>52</v>
      </c>
      <c r="D3503" t="s">
        <v>5016</v>
      </c>
      <c r="E3503" t="s">
        <v>5018</v>
      </c>
      <c r="F3503" t="s">
        <v>5021</v>
      </c>
      <c r="G3503">
        <v>16.989999999999998</v>
      </c>
      <c r="H3503">
        <v>2</v>
      </c>
      <c r="I3503">
        <v>6.1</v>
      </c>
      <c r="J3503">
        <v>12.82</v>
      </c>
      <c r="K3503">
        <v>70.900000000000006</v>
      </c>
      <c r="L3503" t="s">
        <v>5027</v>
      </c>
      <c r="M3503">
        <v>11</v>
      </c>
      <c r="N3503">
        <v>0</v>
      </c>
      <c r="O3503">
        <v>0</v>
      </c>
    </row>
    <row r="3504" spans="1:15" x14ac:dyDescent="0.3">
      <c r="A3504" t="s">
        <v>3517</v>
      </c>
      <c r="B3504">
        <v>1</v>
      </c>
      <c r="C3504">
        <v>29</v>
      </c>
      <c r="D3504" t="s">
        <v>5015</v>
      </c>
      <c r="E3504" t="s">
        <v>5018</v>
      </c>
      <c r="F3504" t="s">
        <v>5023</v>
      </c>
      <c r="G3504">
        <v>21.99</v>
      </c>
      <c r="H3504">
        <v>3</v>
      </c>
      <c r="I3504">
        <v>9.6</v>
      </c>
      <c r="J3504">
        <v>5.47</v>
      </c>
      <c r="K3504">
        <v>93.5</v>
      </c>
      <c r="L3504" t="s">
        <v>5025</v>
      </c>
      <c r="M3504">
        <v>6</v>
      </c>
      <c r="N3504">
        <v>2</v>
      </c>
      <c r="O3504">
        <v>0</v>
      </c>
    </row>
    <row r="3505" spans="1:15" x14ac:dyDescent="0.3">
      <c r="A3505" t="s">
        <v>3518</v>
      </c>
      <c r="B3505">
        <v>8</v>
      </c>
      <c r="C3505">
        <v>41</v>
      </c>
      <c r="D3505" t="s">
        <v>5015</v>
      </c>
      <c r="E3505" t="s">
        <v>5017</v>
      </c>
      <c r="F3505" t="s">
        <v>5020</v>
      </c>
      <c r="G3505">
        <v>22.35</v>
      </c>
      <c r="H3505">
        <v>5</v>
      </c>
      <c r="I3505">
        <v>5.9</v>
      </c>
      <c r="J3505">
        <v>21.36</v>
      </c>
      <c r="K3505">
        <v>32.9</v>
      </c>
      <c r="L3505" t="s">
        <v>5028</v>
      </c>
      <c r="M3505">
        <v>7</v>
      </c>
      <c r="N3505">
        <v>2</v>
      </c>
      <c r="O3505">
        <v>0</v>
      </c>
    </row>
    <row r="3506" spans="1:15" x14ac:dyDescent="0.3">
      <c r="A3506" t="s">
        <v>3519</v>
      </c>
      <c r="B3506">
        <v>12</v>
      </c>
      <c r="C3506">
        <v>22</v>
      </c>
      <c r="D3506" t="s">
        <v>5016</v>
      </c>
      <c r="E3506" t="s">
        <v>5018</v>
      </c>
      <c r="F3506" t="s">
        <v>5023</v>
      </c>
      <c r="G3506">
        <v>16.93</v>
      </c>
      <c r="H3506">
        <v>4</v>
      </c>
      <c r="I3506">
        <v>7.2</v>
      </c>
      <c r="J3506">
        <v>22.56</v>
      </c>
      <c r="K3506">
        <v>92</v>
      </c>
      <c r="L3506" t="s">
        <v>5026</v>
      </c>
      <c r="M3506">
        <v>7</v>
      </c>
      <c r="N3506">
        <v>0</v>
      </c>
      <c r="O3506">
        <v>0</v>
      </c>
    </row>
    <row r="3507" spans="1:15" x14ac:dyDescent="0.3">
      <c r="A3507" t="s">
        <v>3520</v>
      </c>
      <c r="B3507">
        <v>3</v>
      </c>
      <c r="C3507">
        <v>37</v>
      </c>
      <c r="D3507" t="s">
        <v>5016</v>
      </c>
      <c r="E3507" t="s">
        <v>5017</v>
      </c>
      <c r="F3507" t="s">
        <v>5021</v>
      </c>
      <c r="G3507">
        <v>23.35</v>
      </c>
      <c r="H3507">
        <v>1</v>
      </c>
      <c r="I3507">
        <v>8.3000000000000007</v>
      </c>
      <c r="J3507">
        <v>19.86</v>
      </c>
      <c r="K3507">
        <v>63.2</v>
      </c>
      <c r="L3507" t="s">
        <v>5029</v>
      </c>
      <c r="M3507">
        <v>8</v>
      </c>
      <c r="N3507">
        <v>1</v>
      </c>
      <c r="O3507">
        <v>1</v>
      </c>
    </row>
    <row r="3508" spans="1:15" x14ac:dyDescent="0.3">
      <c r="A3508" t="s">
        <v>3521</v>
      </c>
      <c r="B3508">
        <v>12</v>
      </c>
      <c r="C3508">
        <v>56</v>
      </c>
      <c r="D3508" t="s">
        <v>5015</v>
      </c>
      <c r="E3508" t="s">
        <v>5019</v>
      </c>
      <c r="F3508" t="s">
        <v>5023</v>
      </c>
      <c r="G3508">
        <v>16.71</v>
      </c>
      <c r="H3508">
        <v>4</v>
      </c>
      <c r="I3508">
        <v>8.1999999999999993</v>
      </c>
      <c r="J3508">
        <v>15.84</v>
      </c>
      <c r="K3508">
        <v>76.400000000000006</v>
      </c>
      <c r="L3508" t="s">
        <v>5025</v>
      </c>
      <c r="M3508">
        <v>10</v>
      </c>
      <c r="N3508">
        <v>2</v>
      </c>
      <c r="O3508">
        <v>0</v>
      </c>
    </row>
    <row r="3509" spans="1:15" x14ac:dyDescent="0.3">
      <c r="A3509" t="s">
        <v>3522</v>
      </c>
      <c r="B3509">
        <v>8</v>
      </c>
      <c r="C3509">
        <v>56</v>
      </c>
      <c r="D3509" t="s">
        <v>5016</v>
      </c>
      <c r="E3509" t="s">
        <v>5018</v>
      </c>
      <c r="F3509" t="s">
        <v>5023</v>
      </c>
      <c r="G3509">
        <v>19.25</v>
      </c>
      <c r="H3509">
        <v>3</v>
      </c>
      <c r="I3509">
        <v>1.7</v>
      </c>
      <c r="J3509">
        <v>15.52</v>
      </c>
      <c r="K3509">
        <v>49.6</v>
      </c>
      <c r="L3509" t="s">
        <v>5027</v>
      </c>
      <c r="M3509">
        <v>5</v>
      </c>
      <c r="N3509">
        <v>0</v>
      </c>
      <c r="O3509">
        <v>1</v>
      </c>
    </row>
    <row r="3510" spans="1:15" x14ac:dyDescent="0.3">
      <c r="A3510" t="s">
        <v>3523</v>
      </c>
      <c r="B3510">
        <v>8</v>
      </c>
      <c r="C3510">
        <v>30</v>
      </c>
      <c r="D3510" t="s">
        <v>5016</v>
      </c>
      <c r="E3510" t="s">
        <v>5018</v>
      </c>
      <c r="F3510" t="s">
        <v>5024</v>
      </c>
      <c r="G3510">
        <v>13.32</v>
      </c>
      <c r="H3510">
        <v>2</v>
      </c>
      <c r="I3510">
        <v>7.7</v>
      </c>
      <c r="J3510">
        <v>13.35</v>
      </c>
      <c r="K3510">
        <v>82.6</v>
      </c>
      <c r="L3510" t="s">
        <v>5027</v>
      </c>
      <c r="M3510">
        <v>5</v>
      </c>
      <c r="N3510">
        <v>1</v>
      </c>
      <c r="O3510">
        <v>1</v>
      </c>
    </row>
    <row r="3511" spans="1:15" x14ac:dyDescent="0.3">
      <c r="A3511" t="s">
        <v>3524</v>
      </c>
      <c r="B3511">
        <v>5</v>
      </c>
      <c r="C3511">
        <v>58</v>
      </c>
      <c r="D3511" t="s">
        <v>5016</v>
      </c>
      <c r="E3511" t="s">
        <v>5017</v>
      </c>
      <c r="F3511" t="s">
        <v>5023</v>
      </c>
      <c r="G3511">
        <v>23.28</v>
      </c>
      <c r="H3511">
        <v>5</v>
      </c>
      <c r="I3511">
        <v>9.5</v>
      </c>
      <c r="J3511">
        <v>8.09</v>
      </c>
      <c r="K3511">
        <v>97.3</v>
      </c>
      <c r="L3511" t="s">
        <v>5027</v>
      </c>
      <c r="M3511">
        <v>2</v>
      </c>
      <c r="N3511">
        <v>2</v>
      </c>
      <c r="O3511">
        <v>0</v>
      </c>
    </row>
    <row r="3512" spans="1:15" x14ac:dyDescent="0.3">
      <c r="A3512" t="s">
        <v>3525</v>
      </c>
      <c r="B3512">
        <v>12</v>
      </c>
      <c r="C3512">
        <v>62</v>
      </c>
      <c r="D3512" t="s">
        <v>5016</v>
      </c>
      <c r="E3512" t="s">
        <v>5019</v>
      </c>
      <c r="F3512" t="s">
        <v>5024</v>
      </c>
      <c r="G3512">
        <v>21.48</v>
      </c>
      <c r="H3512">
        <v>3</v>
      </c>
      <c r="I3512">
        <v>7.3</v>
      </c>
      <c r="J3512">
        <v>11.44</v>
      </c>
      <c r="K3512">
        <v>25.4</v>
      </c>
      <c r="L3512" t="s">
        <v>5028</v>
      </c>
      <c r="M3512">
        <v>11</v>
      </c>
      <c r="N3512">
        <v>0</v>
      </c>
      <c r="O3512">
        <v>1</v>
      </c>
    </row>
    <row r="3513" spans="1:15" x14ac:dyDescent="0.3">
      <c r="A3513" t="s">
        <v>3526</v>
      </c>
      <c r="B3513">
        <v>1</v>
      </c>
      <c r="C3513">
        <v>29</v>
      </c>
      <c r="D3513" t="s">
        <v>5016</v>
      </c>
      <c r="E3513" t="s">
        <v>5017</v>
      </c>
      <c r="F3513" t="s">
        <v>5024</v>
      </c>
      <c r="G3513">
        <v>8.33</v>
      </c>
      <c r="H3513">
        <v>1</v>
      </c>
      <c r="I3513">
        <v>8.5</v>
      </c>
      <c r="J3513">
        <v>24.78</v>
      </c>
      <c r="K3513">
        <v>44.7</v>
      </c>
      <c r="L3513" t="s">
        <v>5029</v>
      </c>
      <c r="M3513">
        <v>2</v>
      </c>
      <c r="N3513">
        <v>2</v>
      </c>
      <c r="O3513">
        <v>0</v>
      </c>
    </row>
    <row r="3514" spans="1:15" x14ac:dyDescent="0.3">
      <c r="A3514" t="s">
        <v>3527</v>
      </c>
      <c r="B3514">
        <v>10</v>
      </c>
      <c r="C3514">
        <v>30</v>
      </c>
      <c r="D3514" t="s">
        <v>5016</v>
      </c>
      <c r="E3514" t="s">
        <v>5017</v>
      </c>
      <c r="F3514" t="s">
        <v>5022</v>
      </c>
      <c r="G3514">
        <v>16.53</v>
      </c>
      <c r="H3514">
        <v>5</v>
      </c>
      <c r="I3514">
        <v>5.4</v>
      </c>
      <c r="J3514">
        <v>6.21</v>
      </c>
      <c r="K3514">
        <v>87.6</v>
      </c>
      <c r="L3514" t="s">
        <v>5029</v>
      </c>
      <c r="M3514">
        <v>4</v>
      </c>
      <c r="N3514">
        <v>2</v>
      </c>
      <c r="O3514">
        <v>0</v>
      </c>
    </row>
    <row r="3515" spans="1:15" x14ac:dyDescent="0.3">
      <c r="A3515" t="s">
        <v>3528</v>
      </c>
      <c r="B3515">
        <v>7</v>
      </c>
      <c r="C3515">
        <v>27</v>
      </c>
      <c r="D3515" t="s">
        <v>5015</v>
      </c>
      <c r="E3515" t="s">
        <v>5017</v>
      </c>
      <c r="F3515" t="s">
        <v>5021</v>
      </c>
      <c r="G3515">
        <v>22.94</v>
      </c>
      <c r="H3515">
        <v>5</v>
      </c>
      <c r="I3515">
        <v>3.9</v>
      </c>
      <c r="J3515">
        <v>14.94</v>
      </c>
      <c r="K3515">
        <v>25.9</v>
      </c>
      <c r="L3515" t="s">
        <v>5029</v>
      </c>
      <c r="M3515">
        <v>7</v>
      </c>
      <c r="N3515">
        <v>2</v>
      </c>
      <c r="O3515">
        <v>1</v>
      </c>
    </row>
    <row r="3516" spans="1:15" x14ac:dyDescent="0.3">
      <c r="A3516" t="s">
        <v>3529</v>
      </c>
      <c r="B3516">
        <v>12</v>
      </c>
      <c r="C3516">
        <v>50</v>
      </c>
      <c r="D3516" t="s">
        <v>5016</v>
      </c>
      <c r="E3516" t="s">
        <v>5019</v>
      </c>
      <c r="F3516" t="s">
        <v>5024</v>
      </c>
      <c r="G3516">
        <v>20.86</v>
      </c>
      <c r="H3516">
        <v>5</v>
      </c>
      <c r="I3516">
        <v>7.1</v>
      </c>
      <c r="J3516">
        <v>22.06</v>
      </c>
      <c r="K3516">
        <v>47.2</v>
      </c>
      <c r="L3516" t="s">
        <v>5028</v>
      </c>
      <c r="M3516">
        <v>8</v>
      </c>
      <c r="N3516">
        <v>3</v>
      </c>
      <c r="O3516">
        <v>0</v>
      </c>
    </row>
    <row r="3517" spans="1:15" x14ac:dyDescent="0.3">
      <c r="A3517" t="s">
        <v>3530</v>
      </c>
      <c r="B3517">
        <v>10</v>
      </c>
      <c r="C3517">
        <v>57</v>
      </c>
      <c r="D3517" t="s">
        <v>5015</v>
      </c>
      <c r="E3517" t="s">
        <v>5019</v>
      </c>
      <c r="F3517" t="s">
        <v>5023</v>
      </c>
      <c r="G3517">
        <v>24.25</v>
      </c>
      <c r="H3517">
        <v>3</v>
      </c>
      <c r="I3517">
        <v>5.4</v>
      </c>
      <c r="J3517">
        <v>12.97</v>
      </c>
      <c r="K3517">
        <v>25</v>
      </c>
      <c r="L3517" t="s">
        <v>5027</v>
      </c>
      <c r="M3517">
        <v>3</v>
      </c>
      <c r="N3517">
        <v>1</v>
      </c>
      <c r="O3517">
        <v>0</v>
      </c>
    </row>
    <row r="3518" spans="1:15" x14ac:dyDescent="0.3">
      <c r="A3518" t="s">
        <v>3531</v>
      </c>
      <c r="B3518">
        <v>5</v>
      </c>
      <c r="C3518">
        <v>33</v>
      </c>
      <c r="D3518" t="s">
        <v>5015</v>
      </c>
      <c r="E3518" t="s">
        <v>5018</v>
      </c>
      <c r="F3518" t="s">
        <v>5024</v>
      </c>
      <c r="G3518">
        <v>9.6300000000000008</v>
      </c>
      <c r="H3518">
        <v>1</v>
      </c>
      <c r="I3518">
        <v>9.1</v>
      </c>
      <c r="J3518">
        <v>16.32</v>
      </c>
      <c r="K3518">
        <v>68.400000000000006</v>
      </c>
      <c r="L3518" t="s">
        <v>5027</v>
      </c>
      <c r="M3518">
        <v>1</v>
      </c>
      <c r="N3518">
        <v>2</v>
      </c>
      <c r="O3518">
        <v>0</v>
      </c>
    </row>
    <row r="3519" spans="1:15" x14ac:dyDescent="0.3">
      <c r="A3519" t="s">
        <v>3532</v>
      </c>
      <c r="B3519">
        <v>8</v>
      </c>
      <c r="C3519">
        <v>62</v>
      </c>
      <c r="D3519" t="s">
        <v>5016</v>
      </c>
      <c r="E3519" t="s">
        <v>5019</v>
      </c>
      <c r="F3519" t="s">
        <v>5024</v>
      </c>
      <c r="G3519">
        <v>12.35</v>
      </c>
      <c r="H3519">
        <v>3</v>
      </c>
      <c r="I3519">
        <v>9.8000000000000007</v>
      </c>
      <c r="J3519">
        <v>21.21</v>
      </c>
      <c r="K3519">
        <v>31.4</v>
      </c>
      <c r="L3519" t="s">
        <v>5028</v>
      </c>
      <c r="M3519">
        <v>4</v>
      </c>
      <c r="N3519">
        <v>0</v>
      </c>
      <c r="O3519">
        <v>0</v>
      </c>
    </row>
    <row r="3520" spans="1:15" x14ac:dyDescent="0.3">
      <c r="A3520" t="s">
        <v>3533</v>
      </c>
      <c r="B3520">
        <v>9</v>
      </c>
      <c r="C3520">
        <v>52</v>
      </c>
      <c r="D3520" t="s">
        <v>5015</v>
      </c>
      <c r="E3520" t="s">
        <v>5017</v>
      </c>
      <c r="F3520" t="s">
        <v>5024</v>
      </c>
      <c r="G3520">
        <v>15.14</v>
      </c>
      <c r="H3520">
        <v>5</v>
      </c>
      <c r="I3520">
        <v>8.4</v>
      </c>
      <c r="J3520">
        <v>15.05</v>
      </c>
      <c r="K3520">
        <v>44.3</v>
      </c>
      <c r="L3520" t="s">
        <v>5026</v>
      </c>
      <c r="M3520">
        <v>6</v>
      </c>
      <c r="N3520">
        <v>3</v>
      </c>
      <c r="O3520">
        <v>0</v>
      </c>
    </row>
    <row r="3521" spans="1:15" x14ac:dyDescent="0.3">
      <c r="A3521" t="s">
        <v>3534</v>
      </c>
      <c r="B3521">
        <v>11</v>
      </c>
      <c r="C3521">
        <v>20</v>
      </c>
      <c r="D3521" t="s">
        <v>5015</v>
      </c>
      <c r="E3521" t="s">
        <v>5019</v>
      </c>
      <c r="F3521" t="s">
        <v>5020</v>
      </c>
      <c r="G3521">
        <v>9.65</v>
      </c>
      <c r="H3521">
        <v>5</v>
      </c>
      <c r="I3521">
        <v>9.9</v>
      </c>
      <c r="J3521">
        <v>19.09</v>
      </c>
      <c r="K3521">
        <v>54.2</v>
      </c>
      <c r="L3521" t="s">
        <v>5028</v>
      </c>
      <c r="M3521">
        <v>6</v>
      </c>
      <c r="N3521">
        <v>4</v>
      </c>
      <c r="O3521">
        <v>0</v>
      </c>
    </row>
    <row r="3522" spans="1:15" x14ac:dyDescent="0.3">
      <c r="A3522" t="s">
        <v>3535</v>
      </c>
      <c r="B3522">
        <v>7</v>
      </c>
      <c r="C3522">
        <v>22</v>
      </c>
      <c r="D3522" t="s">
        <v>5015</v>
      </c>
      <c r="E3522" t="s">
        <v>5017</v>
      </c>
      <c r="F3522" t="s">
        <v>5020</v>
      </c>
      <c r="G3522">
        <v>12.88</v>
      </c>
      <c r="H3522">
        <v>2</v>
      </c>
      <c r="I3522">
        <v>4.0999999999999996</v>
      </c>
      <c r="J3522">
        <v>10.64</v>
      </c>
      <c r="K3522">
        <v>36.700000000000003</v>
      </c>
      <c r="L3522" t="s">
        <v>5028</v>
      </c>
      <c r="M3522">
        <v>9</v>
      </c>
      <c r="N3522">
        <v>4</v>
      </c>
      <c r="O3522">
        <v>0</v>
      </c>
    </row>
    <row r="3523" spans="1:15" x14ac:dyDescent="0.3">
      <c r="A3523" t="s">
        <v>3536</v>
      </c>
      <c r="B3523">
        <v>7</v>
      </c>
      <c r="C3523">
        <v>43</v>
      </c>
      <c r="D3523" t="s">
        <v>5016</v>
      </c>
      <c r="E3523" t="s">
        <v>5017</v>
      </c>
      <c r="F3523" t="s">
        <v>5020</v>
      </c>
      <c r="G3523">
        <v>15.75</v>
      </c>
      <c r="H3523">
        <v>4</v>
      </c>
      <c r="I3523">
        <v>9.1</v>
      </c>
      <c r="J3523">
        <v>19.13</v>
      </c>
      <c r="K3523">
        <v>71.2</v>
      </c>
      <c r="L3523" t="s">
        <v>5027</v>
      </c>
      <c r="M3523">
        <v>7</v>
      </c>
      <c r="N3523">
        <v>1</v>
      </c>
      <c r="O3523">
        <v>0</v>
      </c>
    </row>
    <row r="3524" spans="1:15" x14ac:dyDescent="0.3">
      <c r="A3524" t="s">
        <v>3537</v>
      </c>
      <c r="B3524">
        <v>1</v>
      </c>
      <c r="C3524">
        <v>28</v>
      </c>
      <c r="D3524" t="s">
        <v>5015</v>
      </c>
      <c r="E3524" t="s">
        <v>5017</v>
      </c>
      <c r="F3524" t="s">
        <v>5020</v>
      </c>
      <c r="G3524">
        <v>8.83</v>
      </c>
      <c r="H3524">
        <v>3</v>
      </c>
      <c r="I3524">
        <v>4</v>
      </c>
      <c r="J3524">
        <v>3.9</v>
      </c>
      <c r="K3524">
        <v>20</v>
      </c>
      <c r="L3524" t="s">
        <v>5029</v>
      </c>
      <c r="M3524">
        <v>9</v>
      </c>
      <c r="N3524">
        <v>0</v>
      </c>
      <c r="O3524">
        <v>0</v>
      </c>
    </row>
    <row r="3525" spans="1:15" x14ac:dyDescent="0.3">
      <c r="A3525" t="s">
        <v>3538</v>
      </c>
      <c r="B3525">
        <v>4</v>
      </c>
      <c r="C3525">
        <v>24</v>
      </c>
      <c r="D3525" t="s">
        <v>5016</v>
      </c>
      <c r="E3525" t="s">
        <v>5018</v>
      </c>
      <c r="F3525" t="s">
        <v>5022</v>
      </c>
      <c r="G3525">
        <v>10.130000000000001</v>
      </c>
      <c r="H3525">
        <v>1</v>
      </c>
      <c r="I3525">
        <v>2.1</v>
      </c>
      <c r="J3525">
        <v>6.36</v>
      </c>
      <c r="K3525">
        <v>89.2</v>
      </c>
      <c r="L3525" t="s">
        <v>5027</v>
      </c>
      <c r="M3525">
        <v>10</v>
      </c>
      <c r="N3525">
        <v>3</v>
      </c>
      <c r="O3525">
        <v>1</v>
      </c>
    </row>
    <row r="3526" spans="1:15" x14ac:dyDescent="0.3">
      <c r="A3526" t="s">
        <v>3539</v>
      </c>
      <c r="B3526">
        <v>2</v>
      </c>
      <c r="C3526">
        <v>27</v>
      </c>
      <c r="D3526" t="s">
        <v>5015</v>
      </c>
      <c r="E3526" t="s">
        <v>5019</v>
      </c>
      <c r="F3526" t="s">
        <v>5024</v>
      </c>
      <c r="G3526">
        <v>7.5</v>
      </c>
      <c r="H3526">
        <v>5</v>
      </c>
      <c r="I3526">
        <v>6.6</v>
      </c>
      <c r="J3526">
        <v>17.02</v>
      </c>
      <c r="K3526">
        <v>53.3</v>
      </c>
      <c r="L3526" t="s">
        <v>5026</v>
      </c>
      <c r="M3526">
        <v>11</v>
      </c>
      <c r="N3526">
        <v>0</v>
      </c>
      <c r="O3526">
        <v>1</v>
      </c>
    </row>
    <row r="3527" spans="1:15" x14ac:dyDescent="0.3">
      <c r="A3527" t="s">
        <v>3540</v>
      </c>
      <c r="B3527">
        <v>2</v>
      </c>
      <c r="C3527">
        <v>59</v>
      </c>
      <c r="D3527" t="s">
        <v>5015</v>
      </c>
      <c r="E3527" t="s">
        <v>5018</v>
      </c>
      <c r="F3527" t="s">
        <v>5022</v>
      </c>
      <c r="G3527">
        <v>19.27</v>
      </c>
      <c r="H3527">
        <v>3</v>
      </c>
      <c r="I3527">
        <v>5.0999999999999996</v>
      </c>
      <c r="J3527">
        <v>12.88</v>
      </c>
      <c r="K3527">
        <v>61.6</v>
      </c>
      <c r="L3527" t="s">
        <v>5025</v>
      </c>
      <c r="M3527">
        <v>5</v>
      </c>
      <c r="N3527">
        <v>3</v>
      </c>
      <c r="O3527">
        <v>0</v>
      </c>
    </row>
    <row r="3528" spans="1:15" x14ac:dyDescent="0.3">
      <c r="A3528" t="s">
        <v>3541</v>
      </c>
      <c r="B3528">
        <v>2</v>
      </c>
      <c r="C3528">
        <v>69</v>
      </c>
      <c r="D3528" t="s">
        <v>5015</v>
      </c>
      <c r="E3528" t="s">
        <v>5019</v>
      </c>
      <c r="F3528" t="s">
        <v>5023</v>
      </c>
      <c r="G3528">
        <v>12.23</v>
      </c>
      <c r="H3528">
        <v>4</v>
      </c>
      <c r="I3528">
        <v>9.3000000000000007</v>
      </c>
      <c r="J3528">
        <v>21.22</v>
      </c>
      <c r="K3528">
        <v>66</v>
      </c>
      <c r="L3528" t="s">
        <v>5025</v>
      </c>
      <c r="M3528">
        <v>5</v>
      </c>
      <c r="N3528">
        <v>3</v>
      </c>
      <c r="O3528">
        <v>0</v>
      </c>
    </row>
    <row r="3529" spans="1:15" x14ac:dyDescent="0.3">
      <c r="A3529" t="s">
        <v>3542</v>
      </c>
      <c r="B3529">
        <v>4</v>
      </c>
      <c r="C3529">
        <v>51</v>
      </c>
      <c r="D3529" t="s">
        <v>5015</v>
      </c>
      <c r="E3529" t="s">
        <v>5018</v>
      </c>
      <c r="F3529" t="s">
        <v>5021</v>
      </c>
      <c r="G3529">
        <v>9.41</v>
      </c>
      <c r="H3529">
        <v>3</v>
      </c>
      <c r="I3529">
        <v>5.4</v>
      </c>
      <c r="J3529">
        <v>10.52</v>
      </c>
      <c r="K3529">
        <v>15.4</v>
      </c>
      <c r="L3529" t="s">
        <v>5028</v>
      </c>
      <c r="M3529">
        <v>5</v>
      </c>
      <c r="N3529">
        <v>4</v>
      </c>
      <c r="O3529">
        <v>0</v>
      </c>
    </row>
    <row r="3530" spans="1:15" x14ac:dyDescent="0.3">
      <c r="A3530" t="s">
        <v>3543</v>
      </c>
      <c r="B3530">
        <v>1</v>
      </c>
      <c r="C3530">
        <v>20</v>
      </c>
      <c r="D3530" t="s">
        <v>5016</v>
      </c>
      <c r="E3530" t="s">
        <v>5017</v>
      </c>
      <c r="F3530" t="s">
        <v>5022</v>
      </c>
      <c r="G3530">
        <v>15.15</v>
      </c>
      <c r="H3530">
        <v>4</v>
      </c>
      <c r="I3530">
        <v>9.3000000000000007</v>
      </c>
      <c r="J3530">
        <v>19.88</v>
      </c>
      <c r="K3530">
        <v>78.099999999999994</v>
      </c>
      <c r="L3530" t="s">
        <v>5025</v>
      </c>
      <c r="M3530">
        <v>5</v>
      </c>
      <c r="N3530">
        <v>1</v>
      </c>
      <c r="O3530">
        <v>0</v>
      </c>
    </row>
    <row r="3531" spans="1:15" x14ac:dyDescent="0.3">
      <c r="A3531" t="s">
        <v>3544</v>
      </c>
      <c r="B3531">
        <v>4</v>
      </c>
      <c r="C3531">
        <v>25</v>
      </c>
      <c r="D3531" t="s">
        <v>5015</v>
      </c>
      <c r="E3531" t="s">
        <v>5018</v>
      </c>
      <c r="F3531" t="s">
        <v>5020</v>
      </c>
      <c r="G3531">
        <v>6.36</v>
      </c>
      <c r="H3531">
        <v>3</v>
      </c>
      <c r="I3531">
        <v>1.7</v>
      </c>
      <c r="J3531">
        <v>6.06</v>
      </c>
      <c r="K3531">
        <v>95.1</v>
      </c>
      <c r="L3531" t="s">
        <v>5029</v>
      </c>
      <c r="M3531">
        <v>4</v>
      </c>
      <c r="N3531">
        <v>1</v>
      </c>
      <c r="O3531">
        <v>1</v>
      </c>
    </row>
    <row r="3532" spans="1:15" x14ac:dyDescent="0.3">
      <c r="A3532" t="s">
        <v>3545</v>
      </c>
      <c r="B3532">
        <v>2</v>
      </c>
      <c r="C3532">
        <v>48</v>
      </c>
      <c r="D3532" t="s">
        <v>5015</v>
      </c>
      <c r="E3532" t="s">
        <v>5018</v>
      </c>
      <c r="F3532" t="s">
        <v>5020</v>
      </c>
      <c r="G3532">
        <v>23.47</v>
      </c>
      <c r="H3532">
        <v>2</v>
      </c>
      <c r="I3532">
        <v>8.5</v>
      </c>
      <c r="J3532">
        <v>23.46</v>
      </c>
      <c r="K3532">
        <v>56.8</v>
      </c>
      <c r="L3532" t="s">
        <v>5027</v>
      </c>
      <c r="M3532">
        <v>6</v>
      </c>
      <c r="N3532">
        <v>0</v>
      </c>
      <c r="O3532">
        <v>0</v>
      </c>
    </row>
    <row r="3533" spans="1:15" x14ac:dyDescent="0.3">
      <c r="A3533" t="s">
        <v>3546</v>
      </c>
      <c r="B3533">
        <v>5</v>
      </c>
      <c r="C3533">
        <v>28</v>
      </c>
      <c r="D3533" t="s">
        <v>5016</v>
      </c>
      <c r="E3533" t="s">
        <v>5019</v>
      </c>
      <c r="F3533" t="s">
        <v>5023</v>
      </c>
      <c r="G3533">
        <v>10.89</v>
      </c>
      <c r="H3533">
        <v>3</v>
      </c>
      <c r="I3533">
        <v>7.8</v>
      </c>
      <c r="J3533">
        <v>12.21</v>
      </c>
      <c r="K3533">
        <v>45.2</v>
      </c>
      <c r="L3533" t="s">
        <v>5026</v>
      </c>
      <c r="M3533">
        <v>1</v>
      </c>
      <c r="N3533">
        <v>3</v>
      </c>
      <c r="O3533">
        <v>0</v>
      </c>
    </row>
    <row r="3534" spans="1:15" x14ac:dyDescent="0.3">
      <c r="A3534" t="s">
        <v>3547</v>
      </c>
      <c r="B3534">
        <v>3</v>
      </c>
      <c r="C3534">
        <v>62</v>
      </c>
      <c r="D3534" t="s">
        <v>5016</v>
      </c>
      <c r="E3534" t="s">
        <v>5018</v>
      </c>
      <c r="F3534" t="s">
        <v>5024</v>
      </c>
      <c r="G3534">
        <v>22.73</v>
      </c>
      <c r="H3534">
        <v>2</v>
      </c>
      <c r="I3534">
        <v>7.5</v>
      </c>
      <c r="J3534">
        <v>8.08</v>
      </c>
      <c r="K3534">
        <v>80.599999999999994</v>
      </c>
      <c r="L3534" t="s">
        <v>5026</v>
      </c>
      <c r="M3534">
        <v>2</v>
      </c>
      <c r="N3534">
        <v>3</v>
      </c>
      <c r="O3534">
        <v>0</v>
      </c>
    </row>
    <row r="3535" spans="1:15" x14ac:dyDescent="0.3">
      <c r="A3535" t="s">
        <v>3548</v>
      </c>
      <c r="B3535">
        <v>12</v>
      </c>
      <c r="C3535">
        <v>24</v>
      </c>
      <c r="D3535" t="s">
        <v>5016</v>
      </c>
      <c r="E3535" t="s">
        <v>5018</v>
      </c>
      <c r="F3535" t="s">
        <v>5021</v>
      </c>
      <c r="G3535">
        <v>14.95</v>
      </c>
      <c r="H3535">
        <v>4</v>
      </c>
      <c r="I3535">
        <v>4.2</v>
      </c>
      <c r="J3535">
        <v>20.36</v>
      </c>
      <c r="K3535">
        <v>74.8</v>
      </c>
      <c r="L3535" t="s">
        <v>5026</v>
      </c>
      <c r="M3535">
        <v>9</v>
      </c>
      <c r="N3535">
        <v>2</v>
      </c>
      <c r="O3535">
        <v>1</v>
      </c>
    </row>
    <row r="3536" spans="1:15" x14ac:dyDescent="0.3">
      <c r="A3536" t="s">
        <v>3549</v>
      </c>
      <c r="B3536">
        <v>8</v>
      </c>
      <c r="C3536">
        <v>62</v>
      </c>
      <c r="D3536" t="s">
        <v>5015</v>
      </c>
      <c r="E3536" t="s">
        <v>5017</v>
      </c>
      <c r="F3536" t="s">
        <v>5022</v>
      </c>
      <c r="G3536">
        <v>22</v>
      </c>
      <c r="H3536">
        <v>5</v>
      </c>
      <c r="I3536">
        <v>8.1</v>
      </c>
      <c r="J3536">
        <v>23.85</v>
      </c>
      <c r="K3536">
        <v>68.599999999999994</v>
      </c>
      <c r="L3536" t="s">
        <v>5027</v>
      </c>
      <c r="M3536">
        <v>6</v>
      </c>
      <c r="N3536">
        <v>1</v>
      </c>
      <c r="O3536">
        <v>0</v>
      </c>
    </row>
    <row r="3537" spans="1:15" x14ac:dyDescent="0.3">
      <c r="A3537" t="s">
        <v>3550</v>
      </c>
      <c r="B3537">
        <v>4</v>
      </c>
      <c r="C3537">
        <v>19</v>
      </c>
      <c r="D3537" t="s">
        <v>5016</v>
      </c>
      <c r="E3537" t="s">
        <v>5018</v>
      </c>
      <c r="F3537" t="s">
        <v>5024</v>
      </c>
      <c r="G3537">
        <v>9.94</v>
      </c>
      <c r="H3537">
        <v>5</v>
      </c>
      <c r="I3537">
        <v>5.3</v>
      </c>
      <c r="J3537">
        <v>23.2</v>
      </c>
      <c r="K3537">
        <v>96.9</v>
      </c>
      <c r="L3537" t="s">
        <v>5029</v>
      </c>
      <c r="M3537">
        <v>6</v>
      </c>
      <c r="N3537">
        <v>3</v>
      </c>
      <c r="O3537">
        <v>0</v>
      </c>
    </row>
    <row r="3538" spans="1:15" x14ac:dyDescent="0.3">
      <c r="A3538" t="s">
        <v>3551</v>
      </c>
      <c r="B3538">
        <v>1</v>
      </c>
      <c r="C3538">
        <v>23</v>
      </c>
      <c r="D3538" t="s">
        <v>5016</v>
      </c>
      <c r="E3538" t="s">
        <v>5019</v>
      </c>
      <c r="F3538" t="s">
        <v>5024</v>
      </c>
      <c r="G3538">
        <v>8.51</v>
      </c>
      <c r="H3538">
        <v>3</v>
      </c>
      <c r="I3538">
        <v>7.4</v>
      </c>
      <c r="J3538">
        <v>8.23</v>
      </c>
      <c r="K3538">
        <v>62.4</v>
      </c>
      <c r="L3538" t="s">
        <v>5026</v>
      </c>
      <c r="M3538">
        <v>10</v>
      </c>
      <c r="N3538">
        <v>0</v>
      </c>
      <c r="O3538">
        <v>1</v>
      </c>
    </row>
    <row r="3539" spans="1:15" x14ac:dyDescent="0.3">
      <c r="A3539" t="s">
        <v>3552</v>
      </c>
      <c r="B3539">
        <v>1</v>
      </c>
      <c r="C3539">
        <v>58</v>
      </c>
      <c r="D3539" t="s">
        <v>5016</v>
      </c>
      <c r="E3539" t="s">
        <v>5017</v>
      </c>
      <c r="F3539" t="s">
        <v>5022</v>
      </c>
      <c r="G3539">
        <v>21.99</v>
      </c>
      <c r="H3539">
        <v>1</v>
      </c>
      <c r="I3539">
        <v>6</v>
      </c>
      <c r="J3539">
        <v>17.78</v>
      </c>
      <c r="K3539">
        <v>32.4</v>
      </c>
      <c r="L3539" t="s">
        <v>5025</v>
      </c>
      <c r="M3539">
        <v>4</v>
      </c>
      <c r="N3539">
        <v>4</v>
      </c>
      <c r="O3539">
        <v>0</v>
      </c>
    </row>
    <row r="3540" spans="1:15" x14ac:dyDescent="0.3">
      <c r="A3540" t="s">
        <v>3553</v>
      </c>
      <c r="B3540">
        <v>12</v>
      </c>
      <c r="C3540">
        <v>49</v>
      </c>
      <c r="D3540" t="s">
        <v>5016</v>
      </c>
      <c r="E3540" t="s">
        <v>5019</v>
      </c>
      <c r="F3540" t="s">
        <v>5022</v>
      </c>
      <c r="G3540">
        <v>9.26</v>
      </c>
      <c r="H3540">
        <v>3</v>
      </c>
      <c r="I3540">
        <v>2.4</v>
      </c>
      <c r="J3540">
        <v>15.03</v>
      </c>
      <c r="K3540">
        <v>12.2</v>
      </c>
      <c r="L3540" t="s">
        <v>5029</v>
      </c>
      <c r="M3540">
        <v>5</v>
      </c>
      <c r="N3540">
        <v>4</v>
      </c>
      <c r="O3540">
        <v>0</v>
      </c>
    </row>
    <row r="3541" spans="1:15" x14ac:dyDescent="0.3">
      <c r="A3541" t="s">
        <v>3554</v>
      </c>
      <c r="B3541">
        <v>10</v>
      </c>
      <c r="C3541">
        <v>37</v>
      </c>
      <c r="D3541" t="s">
        <v>5016</v>
      </c>
      <c r="E3541" t="s">
        <v>5018</v>
      </c>
      <c r="F3541" t="s">
        <v>5022</v>
      </c>
      <c r="G3541">
        <v>19.920000000000002</v>
      </c>
      <c r="H3541">
        <v>2</v>
      </c>
      <c r="I3541">
        <v>1.6</v>
      </c>
      <c r="J3541">
        <v>18.95</v>
      </c>
      <c r="K3541">
        <v>50.8</v>
      </c>
      <c r="L3541" t="s">
        <v>5029</v>
      </c>
      <c r="M3541">
        <v>9</v>
      </c>
      <c r="N3541">
        <v>1</v>
      </c>
      <c r="O3541">
        <v>1</v>
      </c>
    </row>
    <row r="3542" spans="1:15" x14ac:dyDescent="0.3">
      <c r="A3542" t="s">
        <v>3555</v>
      </c>
      <c r="B3542">
        <v>3</v>
      </c>
      <c r="C3542">
        <v>51</v>
      </c>
      <c r="D3542" t="s">
        <v>5016</v>
      </c>
      <c r="E3542" t="s">
        <v>5017</v>
      </c>
      <c r="F3542" t="s">
        <v>5022</v>
      </c>
      <c r="G3542">
        <v>11.89</v>
      </c>
      <c r="H3542">
        <v>2</v>
      </c>
      <c r="I3542">
        <v>4.3</v>
      </c>
      <c r="J3542">
        <v>13.71</v>
      </c>
      <c r="K3542">
        <v>68.7</v>
      </c>
      <c r="L3542" t="s">
        <v>5029</v>
      </c>
      <c r="M3542">
        <v>2</v>
      </c>
      <c r="N3542">
        <v>1</v>
      </c>
      <c r="O3542">
        <v>0</v>
      </c>
    </row>
    <row r="3543" spans="1:15" x14ac:dyDescent="0.3">
      <c r="A3543" t="s">
        <v>3556</v>
      </c>
      <c r="B3543">
        <v>9</v>
      </c>
      <c r="C3543">
        <v>67</v>
      </c>
      <c r="D3543" t="s">
        <v>5015</v>
      </c>
      <c r="E3543" t="s">
        <v>5019</v>
      </c>
      <c r="F3543" t="s">
        <v>5020</v>
      </c>
      <c r="G3543">
        <v>19.96</v>
      </c>
      <c r="H3543">
        <v>4</v>
      </c>
      <c r="I3543">
        <v>9.4</v>
      </c>
      <c r="J3543">
        <v>13.33</v>
      </c>
      <c r="K3543">
        <v>25.5</v>
      </c>
      <c r="L3543" t="s">
        <v>5026</v>
      </c>
      <c r="M3543">
        <v>3</v>
      </c>
      <c r="N3543">
        <v>2</v>
      </c>
      <c r="O3543">
        <v>0</v>
      </c>
    </row>
    <row r="3544" spans="1:15" x14ac:dyDescent="0.3">
      <c r="A3544" t="s">
        <v>3557</v>
      </c>
      <c r="B3544">
        <v>7</v>
      </c>
      <c r="C3544">
        <v>33</v>
      </c>
      <c r="D3544" t="s">
        <v>5016</v>
      </c>
      <c r="E3544" t="s">
        <v>5018</v>
      </c>
      <c r="F3544" t="s">
        <v>5024</v>
      </c>
      <c r="G3544">
        <v>23.15</v>
      </c>
      <c r="H3544">
        <v>3</v>
      </c>
      <c r="I3544">
        <v>5.8</v>
      </c>
      <c r="J3544">
        <v>22.42</v>
      </c>
      <c r="K3544">
        <v>12.3</v>
      </c>
      <c r="L3544" t="s">
        <v>5029</v>
      </c>
      <c r="M3544">
        <v>10</v>
      </c>
      <c r="N3544">
        <v>1</v>
      </c>
      <c r="O3544">
        <v>0</v>
      </c>
    </row>
    <row r="3545" spans="1:15" x14ac:dyDescent="0.3">
      <c r="A3545" t="s">
        <v>3558</v>
      </c>
      <c r="B3545">
        <v>2</v>
      </c>
      <c r="C3545">
        <v>42</v>
      </c>
      <c r="D3545" t="s">
        <v>5015</v>
      </c>
      <c r="E3545" t="s">
        <v>5018</v>
      </c>
      <c r="F3545" t="s">
        <v>5024</v>
      </c>
      <c r="G3545">
        <v>24.63</v>
      </c>
      <c r="H3545">
        <v>4</v>
      </c>
      <c r="I3545">
        <v>8.1999999999999993</v>
      </c>
      <c r="J3545">
        <v>22.17</v>
      </c>
      <c r="K3545">
        <v>91.8</v>
      </c>
      <c r="L3545" t="s">
        <v>5026</v>
      </c>
      <c r="M3545">
        <v>8</v>
      </c>
      <c r="N3545">
        <v>3</v>
      </c>
      <c r="O3545">
        <v>1</v>
      </c>
    </row>
    <row r="3546" spans="1:15" x14ac:dyDescent="0.3">
      <c r="A3546" t="s">
        <v>3559</v>
      </c>
      <c r="B3546">
        <v>9</v>
      </c>
      <c r="C3546">
        <v>29</v>
      </c>
      <c r="D3546" t="s">
        <v>5016</v>
      </c>
      <c r="E3546" t="s">
        <v>5017</v>
      </c>
      <c r="F3546" t="s">
        <v>5020</v>
      </c>
      <c r="G3546">
        <v>12.2</v>
      </c>
      <c r="H3546">
        <v>1</v>
      </c>
      <c r="I3546">
        <v>6.2</v>
      </c>
      <c r="J3546">
        <v>20.329999999999998</v>
      </c>
      <c r="K3546">
        <v>37.200000000000003</v>
      </c>
      <c r="L3546" t="s">
        <v>5025</v>
      </c>
      <c r="M3546">
        <v>9</v>
      </c>
      <c r="N3546">
        <v>3</v>
      </c>
      <c r="O3546">
        <v>1</v>
      </c>
    </row>
    <row r="3547" spans="1:15" x14ac:dyDescent="0.3">
      <c r="A3547" t="s">
        <v>3560</v>
      </c>
      <c r="B3547">
        <v>10</v>
      </c>
      <c r="C3547">
        <v>24</v>
      </c>
      <c r="D3547" t="s">
        <v>5016</v>
      </c>
      <c r="E3547" t="s">
        <v>5017</v>
      </c>
      <c r="F3547" t="s">
        <v>5024</v>
      </c>
      <c r="G3547">
        <v>12.35</v>
      </c>
      <c r="H3547">
        <v>5</v>
      </c>
      <c r="I3547">
        <v>9.6</v>
      </c>
      <c r="J3547">
        <v>18.510000000000002</v>
      </c>
      <c r="K3547">
        <v>51.9</v>
      </c>
      <c r="L3547" t="s">
        <v>5025</v>
      </c>
      <c r="M3547">
        <v>5</v>
      </c>
      <c r="N3547">
        <v>3</v>
      </c>
      <c r="O3547">
        <v>0</v>
      </c>
    </row>
    <row r="3548" spans="1:15" x14ac:dyDescent="0.3">
      <c r="A3548" t="s">
        <v>3561</v>
      </c>
      <c r="B3548">
        <v>2</v>
      </c>
      <c r="C3548">
        <v>56</v>
      </c>
      <c r="D3548" t="s">
        <v>5016</v>
      </c>
      <c r="E3548" t="s">
        <v>5019</v>
      </c>
      <c r="F3548" t="s">
        <v>5022</v>
      </c>
      <c r="G3548">
        <v>24.63</v>
      </c>
      <c r="H3548">
        <v>5</v>
      </c>
      <c r="I3548">
        <v>4.3</v>
      </c>
      <c r="J3548">
        <v>17.920000000000002</v>
      </c>
      <c r="K3548">
        <v>18.2</v>
      </c>
      <c r="L3548" t="s">
        <v>5025</v>
      </c>
      <c r="M3548">
        <v>3</v>
      </c>
      <c r="N3548">
        <v>3</v>
      </c>
      <c r="O3548">
        <v>0</v>
      </c>
    </row>
    <row r="3549" spans="1:15" x14ac:dyDescent="0.3">
      <c r="A3549" t="s">
        <v>3562</v>
      </c>
      <c r="B3549">
        <v>3</v>
      </c>
      <c r="C3549">
        <v>34</v>
      </c>
      <c r="D3549" t="s">
        <v>5015</v>
      </c>
      <c r="E3549" t="s">
        <v>5018</v>
      </c>
      <c r="F3549" t="s">
        <v>5021</v>
      </c>
      <c r="G3549">
        <v>22.23</v>
      </c>
      <c r="H3549">
        <v>3</v>
      </c>
      <c r="I3549">
        <v>1.5</v>
      </c>
      <c r="J3549">
        <v>4.24</v>
      </c>
      <c r="K3549">
        <v>44.3</v>
      </c>
      <c r="L3549" t="s">
        <v>5025</v>
      </c>
      <c r="M3549">
        <v>1</v>
      </c>
      <c r="N3549">
        <v>2</v>
      </c>
      <c r="O3549">
        <v>0</v>
      </c>
    </row>
    <row r="3550" spans="1:15" x14ac:dyDescent="0.3">
      <c r="A3550" t="s">
        <v>3563</v>
      </c>
      <c r="B3550">
        <v>11</v>
      </c>
      <c r="C3550">
        <v>62</v>
      </c>
      <c r="D3550" t="s">
        <v>5016</v>
      </c>
      <c r="E3550" t="s">
        <v>5019</v>
      </c>
      <c r="F3550" t="s">
        <v>5024</v>
      </c>
      <c r="G3550">
        <v>5.9</v>
      </c>
      <c r="H3550">
        <v>4</v>
      </c>
      <c r="I3550">
        <v>8</v>
      </c>
      <c r="J3550">
        <v>19.489999999999998</v>
      </c>
      <c r="K3550">
        <v>48.1</v>
      </c>
      <c r="L3550" t="s">
        <v>5029</v>
      </c>
      <c r="M3550">
        <v>2</v>
      </c>
      <c r="N3550">
        <v>1</v>
      </c>
      <c r="O3550">
        <v>0</v>
      </c>
    </row>
    <row r="3551" spans="1:15" x14ac:dyDescent="0.3">
      <c r="A3551" t="s">
        <v>3564</v>
      </c>
      <c r="B3551">
        <v>10</v>
      </c>
      <c r="C3551">
        <v>28</v>
      </c>
      <c r="D3551" t="s">
        <v>5016</v>
      </c>
      <c r="E3551" t="s">
        <v>5017</v>
      </c>
      <c r="F3551" t="s">
        <v>5021</v>
      </c>
      <c r="G3551">
        <v>16.47</v>
      </c>
      <c r="H3551">
        <v>4</v>
      </c>
      <c r="I3551">
        <v>7.3</v>
      </c>
      <c r="J3551">
        <v>17.04</v>
      </c>
      <c r="K3551">
        <v>91.2</v>
      </c>
      <c r="L3551" t="s">
        <v>5029</v>
      </c>
      <c r="M3551">
        <v>4</v>
      </c>
      <c r="N3551">
        <v>1</v>
      </c>
      <c r="O3551">
        <v>1</v>
      </c>
    </row>
    <row r="3552" spans="1:15" x14ac:dyDescent="0.3">
      <c r="A3552" t="s">
        <v>3565</v>
      </c>
      <c r="B3552">
        <v>2</v>
      </c>
      <c r="C3552">
        <v>23</v>
      </c>
      <c r="D3552" t="s">
        <v>5016</v>
      </c>
      <c r="E3552" t="s">
        <v>5017</v>
      </c>
      <c r="F3552" t="s">
        <v>5021</v>
      </c>
      <c r="G3552">
        <v>8.6199999999999992</v>
      </c>
      <c r="H3552">
        <v>1</v>
      </c>
      <c r="I3552">
        <v>5.7</v>
      </c>
      <c r="J3552">
        <v>9.65</v>
      </c>
      <c r="K3552">
        <v>87.9</v>
      </c>
      <c r="L3552" t="s">
        <v>5026</v>
      </c>
      <c r="M3552">
        <v>4</v>
      </c>
      <c r="N3552">
        <v>1</v>
      </c>
      <c r="O3552">
        <v>1</v>
      </c>
    </row>
    <row r="3553" spans="1:15" x14ac:dyDescent="0.3">
      <c r="A3553" t="s">
        <v>3566</v>
      </c>
      <c r="B3553">
        <v>3</v>
      </c>
      <c r="C3553">
        <v>40</v>
      </c>
      <c r="D3553" t="s">
        <v>5016</v>
      </c>
      <c r="E3553" t="s">
        <v>5017</v>
      </c>
      <c r="F3553" t="s">
        <v>5020</v>
      </c>
      <c r="G3553">
        <v>24.88</v>
      </c>
      <c r="H3553">
        <v>4</v>
      </c>
      <c r="I3553">
        <v>3.9</v>
      </c>
      <c r="J3553">
        <v>21.04</v>
      </c>
      <c r="K3553">
        <v>27</v>
      </c>
      <c r="L3553" t="s">
        <v>5025</v>
      </c>
      <c r="M3553">
        <v>5</v>
      </c>
      <c r="N3553">
        <v>2</v>
      </c>
      <c r="O3553">
        <v>0</v>
      </c>
    </row>
    <row r="3554" spans="1:15" x14ac:dyDescent="0.3">
      <c r="A3554" t="s">
        <v>3567</v>
      </c>
      <c r="B3554">
        <v>6</v>
      </c>
      <c r="C3554">
        <v>44</v>
      </c>
      <c r="D3554" t="s">
        <v>5015</v>
      </c>
      <c r="E3554" t="s">
        <v>5018</v>
      </c>
      <c r="F3554" t="s">
        <v>5023</v>
      </c>
      <c r="G3554">
        <v>7.78</v>
      </c>
      <c r="H3554">
        <v>2</v>
      </c>
      <c r="I3554">
        <v>2.7</v>
      </c>
      <c r="J3554">
        <v>21.31</v>
      </c>
      <c r="K3554">
        <v>60</v>
      </c>
      <c r="L3554" t="s">
        <v>5028</v>
      </c>
      <c r="M3554">
        <v>9</v>
      </c>
      <c r="N3554">
        <v>2</v>
      </c>
      <c r="O3554">
        <v>0</v>
      </c>
    </row>
    <row r="3555" spans="1:15" x14ac:dyDescent="0.3">
      <c r="A3555" t="s">
        <v>3568</v>
      </c>
      <c r="B3555">
        <v>9</v>
      </c>
      <c r="C3555">
        <v>63</v>
      </c>
      <c r="D3555" t="s">
        <v>5015</v>
      </c>
      <c r="E3555" t="s">
        <v>5019</v>
      </c>
      <c r="F3555" t="s">
        <v>5024</v>
      </c>
      <c r="G3555">
        <v>16.190000000000001</v>
      </c>
      <c r="H3555">
        <v>2</v>
      </c>
      <c r="I3555">
        <v>5.3</v>
      </c>
      <c r="J3555">
        <v>23.51</v>
      </c>
      <c r="K3555">
        <v>75.8</v>
      </c>
      <c r="L3555" t="s">
        <v>5025</v>
      </c>
      <c r="M3555">
        <v>2</v>
      </c>
      <c r="N3555">
        <v>3</v>
      </c>
      <c r="O3555">
        <v>1</v>
      </c>
    </row>
    <row r="3556" spans="1:15" x14ac:dyDescent="0.3">
      <c r="A3556" t="s">
        <v>3569</v>
      </c>
      <c r="B3556">
        <v>9</v>
      </c>
      <c r="C3556">
        <v>23</v>
      </c>
      <c r="D3556" t="s">
        <v>5015</v>
      </c>
      <c r="E3556" t="s">
        <v>5018</v>
      </c>
      <c r="F3556" t="s">
        <v>5020</v>
      </c>
      <c r="G3556">
        <v>18.3</v>
      </c>
      <c r="H3556">
        <v>2</v>
      </c>
      <c r="I3556">
        <v>7</v>
      </c>
      <c r="J3556">
        <v>12.2</v>
      </c>
      <c r="K3556">
        <v>36.299999999999997</v>
      </c>
      <c r="L3556" t="s">
        <v>5027</v>
      </c>
      <c r="M3556">
        <v>2</v>
      </c>
      <c r="N3556">
        <v>2</v>
      </c>
      <c r="O3556">
        <v>0</v>
      </c>
    </row>
    <row r="3557" spans="1:15" x14ac:dyDescent="0.3">
      <c r="A3557" t="s">
        <v>3570</v>
      </c>
      <c r="B3557">
        <v>7</v>
      </c>
      <c r="C3557">
        <v>55</v>
      </c>
      <c r="D3557" t="s">
        <v>5015</v>
      </c>
      <c r="E3557" t="s">
        <v>5018</v>
      </c>
      <c r="F3557" t="s">
        <v>5020</v>
      </c>
      <c r="G3557">
        <v>23.74</v>
      </c>
      <c r="H3557">
        <v>3</v>
      </c>
      <c r="I3557">
        <v>6.2</v>
      </c>
      <c r="J3557">
        <v>15.13</v>
      </c>
      <c r="K3557">
        <v>45.5</v>
      </c>
      <c r="L3557" t="s">
        <v>5028</v>
      </c>
      <c r="M3557">
        <v>5</v>
      </c>
      <c r="N3557">
        <v>2</v>
      </c>
      <c r="O3557">
        <v>0</v>
      </c>
    </row>
    <row r="3558" spans="1:15" x14ac:dyDescent="0.3">
      <c r="A3558" t="s">
        <v>3571</v>
      </c>
      <c r="B3558">
        <v>12</v>
      </c>
      <c r="C3558">
        <v>19</v>
      </c>
      <c r="D3558" t="s">
        <v>5015</v>
      </c>
      <c r="E3558" t="s">
        <v>5019</v>
      </c>
      <c r="F3558" t="s">
        <v>5021</v>
      </c>
      <c r="G3558">
        <v>21.95</v>
      </c>
      <c r="H3558">
        <v>2</v>
      </c>
      <c r="I3558">
        <v>4.9000000000000004</v>
      </c>
      <c r="J3558">
        <v>22.93</v>
      </c>
      <c r="K3558">
        <v>98.6</v>
      </c>
      <c r="L3558" t="s">
        <v>5027</v>
      </c>
      <c r="M3558">
        <v>2</v>
      </c>
      <c r="N3558">
        <v>0</v>
      </c>
      <c r="O3558">
        <v>0</v>
      </c>
    </row>
    <row r="3559" spans="1:15" x14ac:dyDescent="0.3">
      <c r="A3559" t="s">
        <v>3572</v>
      </c>
      <c r="B3559">
        <v>3</v>
      </c>
      <c r="C3559">
        <v>39</v>
      </c>
      <c r="D3559" t="s">
        <v>5016</v>
      </c>
      <c r="E3559" t="s">
        <v>5019</v>
      </c>
      <c r="F3559" t="s">
        <v>5024</v>
      </c>
      <c r="G3559">
        <v>9.92</v>
      </c>
      <c r="H3559">
        <v>2</v>
      </c>
      <c r="I3559">
        <v>5.9</v>
      </c>
      <c r="J3559">
        <v>9.9700000000000006</v>
      </c>
      <c r="K3559">
        <v>78.400000000000006</v>
      </c>
      <c r="L3559" t="s">
        <v>5028</v>
      </c>
      <c r="M3559">
        <v>10</v>
      </c>
      <c r="N3559">
        <v>3</v>
      </c>
      <c r="O3559">
        <v>0</v>
      </c>
    </row>
    <row r="3560" spans="1:15" x14ac:dyDescent="0.3">
      <c r="A3560" t="s">
        <v>3573</v>
      </c>
      <c r="B3560">
        <v>4</v>
      </c>
      <c r="C3560">
        <v>37</v>
      </c>
      <c r="D3560" t="s">
        <v>5016</v>
      </c>
      <c r="E3560" t="s">
        <v>5017</v>
      </c>
      <c r="F3560" t="s">
        <v>5020</v>
      </c>
      <c r="G3560">
        <v>16.45</v>
      </c>
      <c r="H3560">
        <v>5</v>
      </c>
      <c r="I3560">
        <v>2</v>
      </c>
      <c r="J3560">
        <v>20.53</v>
      </c>
      <c r="K3560">
        <v>49.3</v>
      </c>
      <c r="L3560" t="s">
        <v>5026</v>
      </c>
      <c r="M3560">
        <v>5</v>
      </c>
      <c r="N3560">
        <v>3</v>
      </c>
      <c r="O3560">
        <v>0</v>
      </c>
    </row>
    <row r="3561" spans="1:15" x14ac:dyDescent="0.3">
      <c r="A3561" t="s">
        <v>3574</v>
      </c>
      <c r="B3561">
        <v>6</v>
      </c>
      <c r="C3561">
        <v>42</v>
      </c>
      <c r="D3561" t="s">
        <v>5016</v>
      </c>
      <c r="E3561" t="s">
        <v>5019</v>
      </c>
      <c r="F3561" t="s">
        <v>5022</v>
      </c>
      <c r="G3561">
        <v>24.07</v>
      </c>
      <c r="H3561">
        <v>3</v>
      </c>
      <c r="I3561">
        <v>7.3</v>
      </c>
      <c r="J3561">
        <v>24.82</v>
      </c>
      <c r="K3561">
        <v>58.1</v>
      </c>
      <c r="L3561" t="s">
        <v>5029</v>
      </c>
      <c r="M3561">
        <v>5</v>
      </c>
      <c r="N3561">
        <v>0</v>
      </c>
      <c r="O3561">
        <v>0</v>
      </c>
    </row>
    <row r="3562" spans="1:15" x14ac:dyDescent="0.3">
      <c r="A3562" t="s">
        <v>3575</v>
      </c>
      <c r="B3562">
        <v>11</v>
      </c>
      <c r="C3562">
        <v>32</v>
      </c>
      <c r="D3562" t="s">
        <v>5015</v>
      </c>
      <c r="E3562" t="s">
        <v>5018</v>
      </c>
      <c r="F3562" t="s">
        <v>5020</v>
      </c>
      <c r="G3562">
        <v>19.71</v>
      </c>
      <c r="H3562">
        <v>2</v>
      </c>
      <c r="I3562">
        <v>7.6</v>
      </c>
      <c r="J3562">
        <v>17.34</v>
      </c>
      <c r="K3562">
        <v>66.3</v>
      </c>
      <c r="L3562" t="s">
        <v>5026</v>
      </c>
      <c r="M3562">
        <v>7</v>
      </c>
      <c r="N3562">
        <v>1</v>
      </c>
      <c r="O3562">
        <v>0</v>
      </c>
    </row>
    <row r="3563" spans="1:15" x14ac:dyDescent="0.3">
      <c r="A3563" t="s">
        <v>3576</v>
      </c>
      <c r="B3563">
        <v>5</v>
      </c>
      <c r="C3563">
        <v>66</v>
      </c>
      <c r="D3563" t="s">
        <v>5016</v>
      </c>
      <c r="E3563" t="s">
        <v>5017</v>
      </c>
      <c r="F3563" t="s">
        <v>5022</v>
      </c>
      <c r="G3563">
        <v>18.77</v>
      </c>
      <c r="H3563">
        <v>1</v>
      </c>
      <c r="I3563">
        <v>1.1000000000000001</v>
      </c>
      <c r="J3563">
        <v>24.64</v>
      </c>
      <c r="K3563">
        <v>54.9</v>
      </c>
      <c r="L3563" t="s">
        <v>5028</v>
      </c>
      <c r="M3563">
        <v>4</v>
      </c>
      <c r="N3563">
        <v>0</v>
      </c>
      <c r="O3563">
        <v>0</v>
      </c>
    </row>
    <row r="3564" spans="1:15" x14ac:dyDescent="0.3">
      <c r="A3564" t="s">
        <v>3577</v>
      </c>
      <c r="B3564">
        <v>2</v>
      </c>
      <c r="C3564">
        <v>46</v>
      </c>
      <c r="D3564" t="s">
        <v>5015</v>
      </c>
      <c r="E3564" t="s">
        <v>5017</v>
      </c>
      <c r="F3564" t="s">
        <v>5023</v>
      </c>
      <c r="G3564">
        <v>20.100000000000001</v>
      </c>
      <c r="H3564">
        <v>2</v>
      </c>
      <c r="I3564">
        <v>3.4</v>
      </c>
      <c r="J3564">
        <v>14.35</v>
      </c>
      <c r="K3564">
        <v>47</v>
      </c>
      <c r="L3564" t="s">
        <v>5025</v>
      </c>
      <c r="M3564">
        <v>2</v>
      </c>
      <c r="N3564">
        <v>0</v>
      </c>
      <c r="O3564">
        <v>0</v>
      </c>
    </row>
    <row r="3565" spans="1:15" x14ac:dyDescent="0.3">
      <c r="A3565" t="s">
        <v>3578</v>
      </c>
      <c r="B3565">
        <v>6</v>
      </c>
      <c r="C3565">
        <v>25</v>
      </c>
      <c r="D3565" t="s">
        <v>5016</v>
      </c>
      <c r="E3565" t="s">
        <v>5018</v>
      </c>
      <c r="F3565" t="s">
        <v>5022</v>
      </c>
      <c r="G3565">
        <v>11.45</v>
      </c>
      <c r="H3565">
        <v>3</v>
      </c>
      <c r="I3565">
        <v>1.8</v>
      </c>
      <c r="J3565">
        <v>6.37</v>
      </c>
      <c r="K3565">
        <v>42.3</v>
      </c>
      <c r="L3565" t="s">
        <v>5026</v>
      </c>
      <c r="M3565">
        <v>8</v>
      </c>
      <c r="N3565">
        <v>0</v>
      </c>
      <c r="O3565">
        <v>0</v>
      </c>
    </row>
    <row r="3566" spans="1:15" x14ac:dyDescent="0.3">
      <c r="A3566" t="s">
        <v>3579</v>
      </c>
      <c r="B3566">
        <v>3</v>
      </c>
      <c r="C3566">
        <v>54</v>
      </c>
      <c r="D3566" t="s">
        <v>5015</v>
      </c>
      <c r="E3566" t="s">
        <v>5018</v>
      </c>
      <c r="F3566" t="s">
        <v>5022</v>
      </c>
      <c r="G3566">
        <v>19.59</v>
      </c>
      <c r="H3566">
        <v>4</v>
      </c>
      <c r="I3566">
        <v>10</v>
      </c>
      <c r="J3566">
        <v>6.86</v>
      </c>
      <c r="K3566">
        <v>25.2</v>
      </c>
      <c r="L3566" t="s">
        <v>5028</v>
      </c>
      <c r="M3566">
        <v>1</v>
      </c>
      <c r="N3566">
        <v>2</v>
      </c>
      <c r="O3566">
        <v>0</v>
      </c>
    </row>
    <row r="3567" spans="1:15" x14ac:dyDescent="0.3">
      <c r="A3567" t="s">
        <v>3580</v>
      </c>
      <c r="B3567">
        <v>8</v>
      </c>
      <c r="C3567">
        <v>66</v>
      </c>
      <c r="D3567" t="s">
        <v>5016</v>
      </c>
      <c r="E3567" t="s">
        <v>5017</v>
      </c>
      <c r="F3567" t="s">
        <v>5021</v>
      </c>
      <c r="G3567">
        <v>9.66</v>
      </c>
      <c r="H3567">
        <v>5</v>
      </c>
      <c r="I3567">
        <v>6.3</v>
      </c>
      <c r="J3567">
        <v>19.09</v>
      </c>
      <c r="K3567">
        <v>97.6</v>
      </c>
      <c r="L3567" t="s">
        <v>5025</v>
      </c>
      <c r="M3567">
        <v>10</v>
      </c>
      <c r="N3567">
        <v>0</v>
      </c>
      <c r="O3567">
        <v>0</v>
      </c>
    </row>
    <row r="3568" spans="1:15" x14ac:dyDescent="0.3">
      <c r="A3568" t="s">
        <v>3581</v>
      </c>
      <c r="B3568">
        <v>2</v>
      </c>
      <c r="C3568">
        <v>69</v>
      </c>
      <c r="D3568" t="s">
        <v>5016</v>
      </c>
      <c r="E3568" t="s">
        <v>5017</v>
      </c>
      <c r="F3568" t="s">
        <v>5020</v>
      </c>
      <c r="G3568">
        <v>13.56</v>
      </c>
      <c r="H3568">
        <v>5</v>
      </c>
      <c r="I3568">
        <v>5.2</v>
      </c>
      <c r="J3568">
        <v>3.02</v>
      </c>
      <c r="K3568">
        <v>18.2</v>
      </c>
      <c r="L3568" t="s">
        <v>5029</v>
      </c>
      <c r="M3568">
        <v>1</v>
      </c>
      <c r="N3568">
        <v>4</v>
      </c>
      <c r="O3568">
        <v>0</v>
      </c>
    </row>
    <row r="3569" spans="1:15" x14ac:dyDescent="0.3">
      <c r="A3569" t="s">
        <v>3582</v>
      </c>
      <c r="B3569">
        <v>1</v>
      </c>
      <c r="C3569">
        <v>50</v>
      </c>
      <c r="D3569" t="s">
        <v>5016</v>
      </c>
      <c r="E3569" t="s">
        <v>5019</v>
      </c>
      <c r="F3569" t="s">
        <v>5023</v>
      </c>
      <c r="G3569">
        <v>22.8</v>
      </c>
      <c r="H3569">
        <v>3</v>
      </c>
      <c r="I3569">
        <v>5.2</v>
      </c>
      <c r="J3569">
        <v>17.559999999999999</v>
      </c>
      <c r="K3569">
        <v>64.099999999999994</v>
      </c>
      <c r="L3569" t="s">
        <v>5028</v>
      </c>
      <c r="M3569">
        <v>11</v>
      </c>
      <c r="N3569">
        <v>0</v>
      </c>
      <c r="O3569">
        <v>1</v>
      </c>
    </row>
    <row r="3570" spans="1:15" x14ac:dyDescent="0.3">
      <c r="A3570" t="s">
        <v>3583</v>
      </c>
      <c r="B3570">
        <v>9</v>
      </c>
      <c r="C3570">
        <v>39</v>
      </c>
      <c r="D3570" t="s">
        <v>5016</v>
      </c>
      <c r="E3570" t="s">
        <v>5019</v>
      </c>
      <c r="F3570" t="s">
        <v>5020</v>
      </c>
      <c r="G3570">
        <v>5.38</v>
      </c>
      <c r="H3570">
        <v>2</v>
      </c>
      <c r="I3570">
        <v>9.6999999999999993</v>
      </c>
      <c r="J3570">
        <v>6.33</v>
      </c>
      <c r="K3570">
        <v>96.4</v>
      </c>
      <c r="L3570" t="s">
        <v>5027</v>
      </c>
      <c r="M3570">
        <v>7</v>
      </c>
      <c r="N3570">
        <v>1</v>
      </c>
      <c r="O3570">
        <v>0</v>
      </c>
    </row>
    <row r="3571" spans="1:15" x14ac:dyDescent="0.3">
      <c r="A3571" t="s">
        <v>3584</v>
      </c>
      <c r="B3571">
        <v>12</v>
      </c>
      <c r="C3571">
        <v>67</v>
      </c>
      <c r="D3571" t="s">
        <v>5015</v>
      </c>
      <c r="E3571" t="s">
        <v>5019</v>
      </c>
      <c r="F3571" t="s">
        <v>5022</v>
      </c>
      <c r="G3571">
        <v>13.29</v>
      </c>
      <c r="H3571">
        <v>1</v>
      </c>
      <c r="I3571">
        <v>6.9</v>
      </c>
      <c r="J3571">
        <v>24.66</v>
      </c>
      <c r="K3571">
        <v>43.7</v>
      </c>
      <c r="L3571" t="s">
        <v>5027</v>
      </c>
      <c r="M3571">
        <v>4</v>
      </c>
      <c r="N3571">
        <v>1</v>
      </c>
      <c r="O3571">
        <v>0</v>
      </c>
    </row>
    <row r="3572" spans="1:15" x14ac:dyDescent="0.3">
      <c r="A3572" t="s">
        <v>3585</v>
      </c>
      <c r="B3572">
        <v>3</v>
      </c>
      <c r="C3572">
        <v>64</v>
      </c>
      <c r="D3572" t="s">
        <v>5016</v>
      </c>
      <c r="E3572" t="s">
        <v>5017</v>
      </c>
      <c r="F3572" t="s">
        <v>5022</v>
      </c>
      <c r="G3572">
        <v>10.34</v>
      </c>
      <c r="H3572">
        <v>2</v>
      </c>
      <c r="I3572">
        <v>2.5</v>
      </c>
      <c r="J3572">
        <v>6.59</v>
      </c>
      <c r="K3572">
        <v>32.700000000000003</v>
      </c>
      <c r="L3572" t="s">
        <v>5027</v>
      </c>
      <c r="M3572">
        <v>3</v>
      </c>
      <c r="N3572">
        <v>1</v>
      </c>
      <c r="O3572">
        <v>0</v>
      </c>
    </row>
    <row r="3573" spans="1:15" x14ac:dyDescent="0.3">
      <c r="A3573" t="s">
        <v>3586</v>
      </c>
      <c r="B3573">
        <v>11</v>
      </c>
      <c r="C3573">
        <v>22</v>
      </c>
      <c r="D3573" t="s">
        <v>5016</v>
      </c>
      <c r="E3573" t="s">
        <v>5017</v>
      </c>
      <c r="F3573" t="s">
        <v>5020</v>
      </c>
      <c r="G3573">
        <v>8.9700000000000006</v>
      </c>
      <c r="H3573">
        <v>2</v>
      </c>
      <c r="I3573">
        <v>5</v>
      </c>
      <c r="J3573">
        <v>15.15</v>
      </c>
      <c r="K3573">
        <v>96</v>
      </c>
      <c r="L3573" t="s">
        <v>5025</v>
      </c>
      <c r="M3573">
        <v>1</v>
      </c>
      <c r="N3573">
        <v>0</v>
      </c>
      <c r="O3573">
        <v>1</v>
      </c>
    </row>
    <row r="3574" spans="1:15" x14ac:dyDescent="0.3">
      <c r="A3574" t="s">
        <v>3587</v>
      </c>
      <c r="B3574">
        <v>1</v>
      </c>
      <c r="C3574">
        <v>56</v>
      </c>
      <c r="D3574" t="s">
        <v>5016</v>
      </c>
      <c r="E3574" t="s">
        <v>5017</v>
      </c>
      <c r="F3574" t="s">
        <v>5023</v>
      </c>
      <c r="G3574">
        <v>21.77</v>
      </c>
      <c r="H3574">
        <v>1</v>
      </c>
      <c r="I3574">
        <v>8</v>
      </c>
      <c r="J3574">
        <v>17.73</v>
      </c>
      <c r="K3574">
        <v>82.2</v>
      </c>
      <c r="L3574" t="s">
        <v>5025</v>
      </c>
      <c r="M3574">
        <v>8</v>
      </c>
      <c r="N3574">
        <v>3</v>
      </c>
      <c r="O3574">
        <v>0</v>
      </c>
    </row>
    <row r="3575" spans="1:15" x14ac:dyDescent="0.3">
      <c r="A3575" t="s">
        <v>3588</v>
      </c>
      <c r="B3575">
        <v>7</v>
      </c>
      <c r="C3575">
        <v>35</v>
      </c>
      <c r="D3575" t="s">
        <v>5015</v>
      </c>
      <c r="E3575" t="s">
        <v>5017</v>
      </c>
      <c r="F3575" t="s">
        <v>5023</v>
      </c>
      <c r="G3575">
        <v>18.93</v>
      </c>
      <c r="H3575">
        <v>5</v>
      </c>
      <c r="I3575">
        <v>4.8</v>
      </c>
      <c r="J3575">
        <v>21.03</v>
      </c>
      <c r="K3575">
        <v>69</v>
      </c>
      <c r="L3575" t="s">
        <v>5026</v>
      </c>
      <c r="M3575">
        <v>8</v>
      </c>
      <c r="N3575">
        <v>1</v>
      </c>
      <c r="O3575">
        <v>0</v>
      </c>
    </row>
    <row r="3576" spans="1:15" x14ac:dyDescent="0.3">
      <c r="A3576" t="s">
        <v>3589</v>
      </c>
      <c r="B3576">
        <v>10</v>
      </c>
      <c r="C3576">
        <v>55</v>
      </c>
      <c r="D3576" t="s">
        <v>5016</v>
      </c>
      <c r="E3576" t="s">
        <v>5018</v>
      </c>
      <c r="F3576" t="s">
        <v>5021</v>
      </c>
      <c r="G3576">
        <v>7.25</v>
      </c>
      <c r="H3576">
        <v>2</v>
      </c>
      <c r="I3576">
        <v>3.8</v>
      </c>
      <c r="J3576">
        <v>13.1</v>
      </c>
      <c r="K3576">
        <v>65.099999999999994</v>
      </c>
      <c r="L3576" t="s">
        <v>5025</v>
      </c>
      <c r="M3576">
        <v>4</v>
      </c>
      <c r="N3576">
        <v>0</v>
      </c>
      <c r="O3576">
        <v>1</v>
      </c>
    </row>
    <row r="3577" spans="1:15" x14ac:dyDescent="0.3">
      <c r="A3577" t="s">
        <v>3590</v>
      </c>
      <c r="B3577">
        <v>5</v>
      </c>
      <c r="C3577">
        <v>54</v>
      </c>
      <c r="D3577" t="s">
        <v>5016</v>
      </c>
      <c r="E3577" t="s">
        <v>5018</v>
      </c>
      <c r="F3577" t="s">
        <v>5022</v>
      </c>
      <c r="G3577">
        <v>14.89</v>
      </c>
      <c r="H3577">
        <v>4</v>
      </c>
      <c r="I3577">
        <v>9.9</v>
      </c>
      <c r="J3577">
        <v>23.54</v>
      </c>
      <c r="K3577">
        <v>42.4</v>
      </c>
      <c r="L3577" t="s">
        <v>5028</v>
      </c>
      <c r="M3577">
        <v>2</v>
      </c>
      <c r="N3577">
        <v>1</v>
      </c>
      <c r="O3577">
        <v>0</v>
      </c>
    </row>
    <row r="3578" spans="1:15" x14ac:dyDescent="0.3">
      <c r="A3578" t="s">
        <v>3591</v>
      </c>
      <c r="B3578">
        <v>5</v>
      </c>
      <c r="C3578">
        <v>47</v>
      </c>
      <c r="D3578" t="s">
        <v>5016</v>
      </c>
      <c r="E3578" t="s">
        <v>5019</v>
      </c>
      <c r="F3578" t="s">
        <v>5022</v>
      </c>
      <c r="G3578">
        <v>14.34</v>
      </c>
      <c r="H3578">
        <v>4</v>
      </c>
      <c r="I3578">
        <v>9.4</v>
      </c>
      <c r="J3578">
        <v>13.57</v>
      </c>
      <c r="K3578">
        <v>67.7</v>
      </c>
      <c r="L3578" t="s">
        <v>5027</v>
      </c>
      <c r="M3578">
        <v>4</v>
      </c>
      <c r="N3578">
        <v>2</v>
      </c>
      <c r="O3578">
        <v>1</v>
      </c>
    </row>
    <row r="3579" spans="1:15" x14ac:dyDescent="0.3">
      <c r="A3579" t="s">
        <v>3592</v>
      </c>
      <c r="B3579">
        <v>1</v>
      </c>
      <c r="C3579">
        <v>68</v>
      </c>
      <c r="D3579" t="s">
        <v>5016</v>
      </c>
      <c r="E3579" t="s">
        <v>5018</v>
      </c>
      <c r="F3579" t="s">
        <v>5021</v>
      </c>
      <c r="G3579">
        <v>7.85</v>
      </c>
      <c r="H3579">
        <v>3</v>
      </c>
      <c r="I3579">
        <v>9.5</v>
      </c>
      <c r="J3579">
        <v>8.5500000000000007</v>
      </c>
      <c r="K3579">
        <v>75.3</v>
      </c>
      <c r="L3579" t="s">
        <v>5029</v>
      </c>
      <c r="M3579">
        <v>7</v>
      </c>
      <c r="N3579">
        <v>2</v>
      </c>
      <c r="O3579">
        <v>1</v>
      </c>
    </row>
    <row r="3580" spans="1:15" x14ac:dyDescent="0.3">
      <c r="A3580" t="s">
        <v>3593</v>
      </c>
      <c r="B3580">
        <v>9</v>
      </c>
      <c r="C3580">
        <v>48</v>
      </c>
      <c r="D3580" t="s">
        <v>5016</v>
      </c>
      <c r="E3580" t="s">
        <v>5017</v>
      </c>
      <c r="F3580" t="s">
        <v>5020</v>
      </c>
      <c r="G3580">
        <v>21</v>
      </c>
      <c r="H3580">
        <v>3</v>
      </c>
      <c r="I3580">
        <v>2.2000000000000002</v>
      </c>
      <c r="J3580">
        <v>16.05</v>
      </c>
      <c r="K3580">
        <v>12.9</v>
      </c>
      <c r="L3580" t="s">
        <v>5027</v>
      </c>
      <c r="M3580">
        <v>4</v>
      </c>
      <c r="N3580">
        <v>0</v>
      </c>
      <c r="O3580">
        <v>0</v>
      </c>
    </row>
    <row r="3581" spans="1:15" x14ac:dyDescent="0.3">
      <c r="A3581" t="s">
        <v>3594</v>
      </c>
      <c r="B3581">
        <v>7</v>
      </c>
      <c r="C3581">
        <v>27</v>
      </c>
      <c r="D3581" t="s">
        <v>5015</v>
      </c>
      <c r="E3581" t="s">
        <v>5018</v>
      </c>
      <c r="F3581" t="s">
        <v>5022</v>
      </c>
      <c r="G3581">
        <v>12.33</v>
      </c>
      <c r="H3581">
        <v>1</v>
      </c>
      <c r="I3581">
        <v>3.1</v>
      </c>
      <c r="J3581">
        <v>17.48</v>
      </c>
      <c r="K3581">
        <v>20.6</v>
      </c>
      <c r="L3581" t="s">
        <v>5028</v>
      </c>
      <c r="M3581">
        <v>11</v>
      </c>
      <c r="N3581">
        <v>1</v>
      </c>
      <c r="O3581">
        <v>0</v>
      </c>
    </row>
    <row r="3582" spans="1:15" x14ac:dyDescent="0.3">
      <c r="A3582" t="s">
        <v>3595</v>
      </c>
      <c r="B3582">
        <v>8</v>
      </c>
      <c r="C3582">
        <v>32</v>
      </c>
      <c r="D3582" t="s">
        <v>5015</v>
      </c>
      <c r="E3582" t="s">
        <v>5018</v>
      </c>
      <c r="F3582" t="s">
        <v>5020</v>
      </c>
      <c r="G3582">
        <v>20.239999999999998</v>
      </c>
      <c r="H3582">
        <v>1</v>
      </c>
      <c r="I3582">
        <v>5</v>
      </c>
      <c r="J3582">
        <v>14.16</v>
      </c>
      <c r="K3582">
        <v>38.4</v>
      </c>
      <c r="L3582" t="s">
        <v>5029</v>
      </c>
      <c r="M3582">
        <v>11</v>
      </c>
      <c r="N3582">
        <v>1</v>
      </c>
      <c r="O3582">
        <v>0</v>
      </c>
    </row>
    <row r="3583" spans="1:15" x14ac:dyDescent="0.3">
      <c r="A3583" t="s">
        <v>3596</v>
      </c>
      <c r="B3583">
        <v>9</v>
      </c>
      <c r="C3583">
        <v>59</v>
      </c>
      <c r="D3583" t="s">
        <v>5015</v>
      </c>
      <c r="E3583" t="s">
        <v>5018</v>
      </c>
      <c r="F3583" t="s">
        <v>5023</v>
      </c>
      <c r="G3583">
        <v>8.84</v>
      </c>
      <c r="H3583">
        <v>3</v>
      </c>
      <c r="I3583">
        <v>8.5</v>
      </c>
      <c r="J3583">
        <v>19.13</v>
      </c>
      <c r="K3583">
        <v>39.1</v>
      </c>
      <c r="L3583" t="s">
        <v>5026</v>
      </c>
      <c r="M3583">
        <v>3</v>
      </c>
      <c r="N3583">
        <v>4</v>
      </c>
      <c r="O3583">
        <v>0</v>
      </c>
    </row>
    <row r="3584" spans="1:15" x14ac:dyDescent="0.3">
      <c r="A3584" t="s">
        <v>3597</v>
      </c>
      <c r="B3584">
        <v>6</v>
      </c>
      <c r="C3584">
        <v>65</v>
      </c>
      <c r="D3584" t="s">
        <v>5016</v>
      </c>
      <c r="E3584" t="s">
        <v>5017</v>
      </c>
      <c r="F3584" t="s">
        <v>5024</v>
      </c>
      <c r="G3584">
        <v>11.3</v>
      </c>
      <c r="H3584">
        <v>2</v>
      </c>
      <c r="I3584">
        <v>7.6</v>
      </c>
      <c r="J3584">
        <v>12.25</v>
      </c>
      <c r="K3584">
        <v>91</v>
      </c>
      <c r="L3584" t="s">
        <v>5025</v>
      </c>
      <c r="M3584">
        <v>10</v>
      </c>
      <c r="N3584">
        <v>1</v>
      </c>
      <c r="O3584">
        <v>0</v>
      </c>
    </row>
    <row r="3585" spans="1:15" x14ac:dyDescent="0.3">
      <c r="A3585" t="s">
        <v>3598</v>
      </c>
      <c r="B3585">
        <v>12</v>
      </c>
      <c r="C3585">
        <v>61</v>
      </c>
      <c r="D3585" t="s">
        <v>5015</v>
      </c>
      <c r="E3585" t="s">
        <v>5018</v>
      </c>
      <c r="F3585" t="s">
        <v>5021</v>
      </c>
      <c r="G3585">
        <v>6.9</v>
      </c>
      <c r="H3585">
        <v>5</v>
      </c>
      <c r="I3585">
        <v>8.6</v>
      </c>
      <c r="J3585">
        <v>3.1</v>
      </c>
      <c r="K3585">
        <v>71.599999999999994</v>
      </c>
      <c r="L3585" t="s">
        <v>5028</v>
      </c>
      <c r="M3585">
        <v>1</v>
      </c>
      <c r="N3585">
        <v>3</v>
      </c>
      <c r="O3585">
        <v>0</v>
      </c>
    </row>
    <row r="3586" spans="1:15" x14ac:dyDescent="0.3">
      <c r="A3586" t="s">
        <v>3599</v>
      </c>
      <c r="B3586">
        <v>5</v>
      </c>
      <c r="C3586">
        <v>35</v>
      </c>
      <c r="D3586" t="s">
        <v>5016</v>
      </c>
      <c r="E3586" t="s">
        <v>5017</v>
      </c>
      <c r="F3586" t="s">
        <v>5022</v>
      </c>
      <c r="G3586">
        <v>7.87</v>
      </c>
      <c r="H3586">
        <v>4</v>
      </c>
      <c r="I3586">
        <v>9.3000000000000007</v>
      </c>
      <c r="J3586">
        <v>8.82</v>
      </c>
      <c r="K3586">
        <v>43.6</v>
      </c>
      <c r="L3586" t="s">
        <v>5025</v>
      </c>
      <c r="M3586">
        <v>9</v>
      </c>
      <c r="N3586">
        <v>2</v>
      </c>
      <c r="O3586">
        <v>0</v>
      </c>
    </row>
    <row r="3587" spans="1:15" x14ac:dyDescent="0.3">
      <c r="A3587" t="s">
        <v>3600</v>
      </c>
      <c r="B3587">
        <v>6</v>
      </c>
      <c r="C3587">
        <v>40</v>
      </c>
      <c r="D3587" t="s">
        <v>5016</v>
      </c>
      <c r="E3587" t="s">
        <v>5017</v>
      </c>
      <c r="F3587" t="s">
        <v>5021</v>
      </c>
      <c r="G3587">
        <v>22.66</v>
      </c>
      <c r="H3587">
        <v>1</v>
      </c>
      <c r="I3587">
        <v>8</v>
      </c>
      <c r="J3587">
        <v>23.81</v>
      </c>
      <c r="K3587">
        <v>82.8</v>
      </c>
      <c r="L3587" t="s">
        <v>5026</v>
      </c>
      <c r="M3587">
        <v>5</v>
      </c>
      <c r="N3587">
        <v>1</v>
      </c>
      <c r="O3587">
        <v>0</v>
      </c>
    </row>
    <row r="3588" spans="1:15" x14ac:dyDescent="0.3">
      <c r="A3588" t="s">
        <v>3601</v>
      </c>
      <c r="B3588">
        <v>11</v>
      </c>
      <c r="C3588">
        <v>50</v>
      </c>
      <c r="D3588" t="s">
        <v>5016</v>
      </c>
      <c r="E3588" t="s">
        <v>5019</v>
      </c>
      <c r="F3588" t="s">
        <v>5023</v>
      </c>
      <c r="G3588">
        <v>7.18</v>
      </c>
      <c r="H3588">
        <v>3</v>
      </c>
      <c r="I3588">
        <v>3.4</v>
      </c>
      <c r="J3588">
        <v>19.79</v>
      </c>
      <c r="K3588">
        <v>39.1</v>
      </c>
      <c r="L3588" t="s">
        <v>5029</v>
      </c>
      <c r="M3588">
        <v>2</v>
      </c>
      <c r="N3588">
        <v>3</v>
      </c>
      <c r="O3588">
        <v>0</v>
      </c>
    </row>
    <row r="3589" spans="1:15" x14ac:dyDescent="0.3">
      <c r="A3589" t="s">
        <v>3602</v>
      </c>
      <c r="B3589">
        <v>2</v>
      </c>
      <c r="C3589">
        <v>33</v>
      </c>
      <c r="D3589" t="s">
        <v>5016</v>
      </c>
      <c r="E3589" t="s">
        <v>5019</v>
      </c>
      <c r="F3589" t="s">
        <v>5023</v>
      </c>
      <c r="G3589">
        <v>6.91</v>
      </c>
      <c r="H3589">
        <v>4</v>
      </c>
      <c r="I3589">
        <v>3.6</v>
      </c>
      <c r="J3589">
        <v>7.17</v>
      </c>
      <c r="K3589">
        <v>99.2</v>
      </c>
      <c r="L3589" t="s">
        <v>5028</v>
      </c>
      <c r="M3589">
        <v>6</v>
      </c>
      <c r="N3589">
        <v>0</v>
      </c>
      <c r="O3589">
        <v>0</v>
      </c>
    </row>
    <row r="3590" spans="1:15" x14ac:dyDescent="0.3">
      <c r="A3590" t="s">
        <v>3603</v>
      </c>
      <c r="B3590">
        <v>4</v>
      </c>
      <c r="C3590">
        <v>55</v>
      </c>
      <c r="D3590" t="s">
        <v>5015</v>
      </c>
      <c r="E3590" t="s">
        <v>5017</v>
      </c>
      <c r="F3590" t="s">
        <v>5023</v>
      </c>
      <c r="G3590">
        <v>23.81</v>
      </c>
      <c r="H3590">
        <v>1</v>
      </c>
      <c r="I3590">
        <v>4.2</v>
      </c>
      <c r="J3590">
        <v>4.47</v>
      </c>
      <c r="K3590">
        <v>80.3</v>
      </c>
      <c r="L3590" t="s">
        <v>5029</v>
      </c>
      <c r="M3590">
        <v>2</v>
      </c>
      <c r="N3590">
        <v>2</v>
      </c>
      <c r="O3590">
        <v>0</v>
      </c>
    </row>
    <row r="3591" spans="1:15" x14ac:dyDescent="0.3">
      <c r="A3591" t="s">
        <v>3604</v>
      </c>
      <c r="B3591">
        <v>3</v>
      </c>
      <c r="C3591">
        <v>52</v>
      </c>
      <c r="D3591" t="s">
        <v>5015</v>
      </c>
      <c r="E3591" t="s">
        <v>5017</v>
      </c>
      <c r="F3591" t="s">
        <v>5023</v>
      </c>
      <c r="G3591">
        <v>17.920000000000002</v>
      </c>
      <c r="H3591">
        <v>1</v>
      </c>
      <c r="I3591">
        <v>3.7</v>
      </c>
      <c r="J3591">
        <v>10.72</v>
      </c>
      <c r="K3591">
        <v>82.8</v>
      </c>
      <c r="L3591" t="s">
        <v>5028</v>
      </c>
      <c r="M3591">
        <v>6</v>
      </c>
      <c r="N3591">
        <v>0</v>
      </c>
      <c r="O3591">
        <v>0</v>
      </c>
    </row>
    <row r="3592" spans="1:15" x14ac:dyDescent="0.3">
      <c r="A3592" t="s">
        <v>3605</v>
      </c>
      <c r="B3592">
        <v>7</v>
      </c>
      <c r="C3592">
        <v>51</v>
      </c>
      <c r="D3592" t="s">
        <v>5015</v>
      </c>
      <c r="E3592" t="s">
        <v>5019</v>
      </c>
      <c r="F3592" t="s">
        <v>5024</v>
      </c>
      <c r="G3592">
        <v>7.02</v>
      </c>
      <c r="H3592">
        <v>2</v>
      </c>
      <c r="I3592">
        <v>3.2</v>
      </c>
      <c r="J3592">
        <v>21.4</v>
      </c>
      <c r="K3592">
        <v>33.5</v>
      </c>
      <c r="L3592" t="s">
        <v>5026</v>
      </c>
      <c r="M3592">
        <v>9</v>
      </c>
      <c r="N3592">
        <v>1</v>
      </c>
      <c r="O3592">
        <v>0</v>
      </c>
    </row>
    <row r="3593" spans="1:15" x14ac:dyDescent="0.3">
      <c r="A3593" t="s">
        <v>3606</v>
      </c>
      <c r="B3593">
        <v>9</v>
      </c>
      <c r="C3593">
        <v>45</v>
      </c>
      <c r="D3593" t="s">
        <v>5016</v>
      </c>
      <c r="E3593" t="s">
        <v>5017</v>
      </c>
      <c r="F3593" t="s">
        <v>5020</v>
      </c>
      <c r="G3593">
        <v>24.43</v>
      </c>
      <c r="H3593">
        <v>1</v>
      </c>
      <c r="I3593">
        <v>7.8</v>
      </c>
      <c r="J3593">
        <v>5.33</v>
      </c>
      <c r="K3593">
        <v>23.1</v>
      </c>
      <c r="L3593" t="s">
        <v>5026</v>
      </c>
      <c r="M3593">
        <v>2</v>
      </c>
      <c r="N3593">
        <v>0</v>
      </c>
      <c r="O3593">
        <v>0</v>
      </c>
    </row>
    <row r="3594" spans="1:15" x14ac:dyDescent="0.3">
      <c r="A3594" t="s">
        <v>3607</v>
      </c>
      <c r="B3594">
        <v>5</v>
      </c>
      <c r="C3594">
        <v>19</v>
      </c>
      <c r="D3594" t="s">
        <v>5015</v>
      </c>
      <c r="E3594" t="s">
        <v>5018</v>
      </c>
      <c r="F3594" t="s">
        <v>5020</v>
      </c>
      <c r="G3594">
        <v>7.94</v>
      </c>
      <c r="H3594">
        <v>5</v>
      </c>
      <c r="I3594">
        <v>1.3</v>
      </c>
      <c r="J3594">
        <v>14.95</v>
      </c>
      <c r="K3594">
        <v>45.1</v>
      </c>
      <c r="L3594" t="s">
        <v>5026</v>
      </c>
      <c r="M3594">
        <v>1</v>
      </c>
      <c r="N3594">
        <v>2</v>
      </c>
      <c r="O3594">
        <v>0</v>
      </c>
    </row>
    <row r="3595" spans="1:15" x14ac:dyDescent="0.3">
      <c r="A3595" t="s">
        <v>3608</v>
      </c>
      <c r="B3595">
        <v>6</v>
      </c>
      <c r="C3595">
        <v>47</v>
      </c>
      <c r="D3595" t="s">
        <v>5015</v>
      </c>
      <c r="E3595" t="s">
        <v>5017</v>
      </c>
      <c r="F3595" t="s">
        <v>5024</v>
      </c>
      <c r="G3595">
        <v>20.329999999999998</v>
      </c>
      <c r="H3595">
        <v>1</v>
      </c>
      <c r="I3595">
        <v>7.6</v>
      </c>
      <c r="J3595">
        <v>9.0500000000000007</v>
      </c>
      <c r="K3595">
        <v>40.1</v>
      </c>
      <c r="L3595" t="s">
        <v>5025</v>
      </c>
      <c r="M3595">
        <v>7</v>
      </c>
      <c r="N3595">
        <v>0</v>
      </c>
      <c r="O3595">
        <v>0</v>
      </c>
    </row>
    <row r="3596" spans="1:15" x14ac:dyDescent="0.3">
      <c r="A3596" t="s">
        <v>3609</v>
      </c>
      <c r="B3596">
        <v>10</v>
      </c>
      <c r="C3596">
        <v>30</v>
      </c>
      <c r="D3596" t="s">
        <v>5016</v>
      </c>
      <c r="E3596" t="s">
        <v>5017</v>
      </c>
      <c r="F3596" t="s">
        <v>5020</v>
      </c>
      <c r="G3596">
        <v>5.7</v>
      </c>
      <c r="H3596">
        <v>5</v>
      </c>
      <c r="I3596">
        <v>8.4</v>
      </c>
      <c r="J3596">
        <v>18.98</v>
      </c>
      <c r="K3596">
        <v>79.3</v>
      </c>
      <c r="L3596" t="s">
        <v>5027</v>
      </c>
      <c r="M3596">
        <v>8</v>
      </c>
      <c r="N3596">
        <v>0</v>
      </c>
      <c r="O3596">
        <v>1</v>
      </c>
    </row>
    <row r="3597" spans="1:15" x14ac:dyDescent="0.3">
      <c r="A3597" t="s">
        <v>3610</v>
      </c>
      <c r="B3597">
        <v>12</v>
      </c>
      <c r="C3597">
        <v>58</v>
      </c>
      <c r="D3597" t="s">
        <v>5015</v>
      </c>
      <c r="E3597" t="s">
        <v>5019</v>
      </c>
      <c r="F3597" t="s">
        <v>5023</v>
      </c>
      <c r="G3597">
        <v>17.489999999999998</v>
      </c>
      <c r="H3597">
        <v>2</v>
      </c>
      <c r="I3597">
        <v>1.6</v>
      </c>
      <c r="J3597">
        <v>3.01</v>
      </c>
      <c r="K3597">
        <v>25.7</v>
      </c>
      <c r="L3597" t="s">
        <v>5029</v>
      </c>
      <c r="M3597">
        <v>2</v>
      </c>
      <c r="N3597">
        <v>0</v>
      </c>
      <c r="O3597">
        <v>0</v>
      </c>
    </row>
    <row r="3598" spans="1:15" x14ac:dyDescent="0.3">
      <c r="A3598" t="s">
        <v>3611</v>
      </c>
      <c r="B3598">
        <v>12</v>
      </c>
      <c r="C3598">
        <v>33</v>
      </c>
      <c r="D3598" t="s">
        <v>5016</v>
      </c>
      <c r="E3598" t="s">
        <v>5019</v>
      </c>
      <c r="F3598" t="s">
        <v>5020</v>
      </c>
      <c r="G3598">
        <v>15.93</v>
      </c>
      <c r="H3598">
        <v>5</v>
      </c>
      <c r="I3598">
        <v>1.6</v>
      </c>
      <c r="J3598">
        <v>9.1</v>
      </c>
      <c r="K3598">
        <v>57.5</v>
      </c>
      <c r="L3598" t="s">
        <v>5028</v>
      </c>
      <c r="M3598">
        <v>4</v>
      </c>
      <c r="N3598">
        <v>3</v>
      </c>
      <c r="O3598">
        <v>1</v>
      </c>
    </row>
    <row r="3599" spans="1:15" x14ac:dyDescent="0.3">
      <c r="A3599" t="s">
        <v>3612</v>
      </c>
      <c r="B3599">
        <v>2</v>
      </c>
      <c r="C3599">
        <v>22</v>
      </c>
      <c r="D3599" t="s">
        <v>5015</v>
      </c>
      <c r="E3599" t="s">
        <v>5017</v>
      </c>
      <c r="F3599" t="s">
        <v>5021</v>
      </c>
      <c r="G3599">
        <v>9.16</v>
      </c>
      <c r="H3599">
        <v>4</v>
      </c>
      <c r="I3599">
        <v>3.6</v>
      </c>
      <c r="J3599">
        <v>17.940000000000001</v>
      </c>
      <c r="K3599">
        <v>66.5</v>
      </c>
      <c r="L3599" t="s">
        <v>5029</v>
      </c>
      <c r="M3599">
        <v>8</v>
      </c>
      <c r="N3599">
        <v>3</v>
      </c>
      <c r="O3599">
        <v>0</v>
      </c>
    </row>
    <row r="3600" spans="1:15" x14ac:dyDescent="0.3">
      <c r="A3600" t="s">
        <v>3613</v>
      </c>
      <c r="B3600">
        <v>3</v>
      </c>
      <c r="C3600">
        <v>45</v>
      </c>
      <c r="D3600" t="s">
        <v>5015</v>
      </c>
      <c r="E3600" t="s">
        <v>5018</v>
      </c>
      <c r="F3600" t="s">
        <v>5020</v>
      </c>
      <c r="G3600">
        <v>17.86</v>
      </c>
      <c r="H3600">
        <v>1</v>
      </c>
      <c r="I3600">
        <v>2.9</v>
      </c>
      <c r="J3600">
        <v>15.03</v>
      </c>
      <c r="K3600">
        <v>44.7</v>
      </c>
      <c r="L3600" t="s">
        <v>5027</v>
      </c>
      <c r="M3600">
        <v>4</v>
      </c>
      <c r="N3600">
        <v>1</v>
      </c>
      <c r="O3600">
        <v>0</v>
      </c>
    </row>
    <row r="3601" spans="1:15" x14ac:dyDescent="0.3">
      <c r="A3601" t="s">
        <v>3614</v>
      </c>
      <c r="B3601">
        <v>3</v>
      </c>
      <c r="C3601">
        <v>56</v>
      </c>
      <c r="D3601" t="s">
        <v>5015</v>
      </c>
      <c r="E3601" t="s">
        <v>5017</v>
      </c>
      <c r="F3601" t="s">
        <v>5021</v>
      </c>
      <c r="G3601">
        <v>17.34</v>
      </c>
      <c r="H3601">
        <v>3</v>
      </c>
      <c r="I3601">
        <v>6.2</v>
      </c>
      <c r="J3601">
        <v>20.14</v>
      </c>
      <c r="K3601">
        <v>28.1</v>
      </c>
      <c r="L3601" t="s">
        <v>5025</v>
      </c>
      <c r="M3601">
        <v>9</v>
      </c>
      <c r="N3601">
        <v>0</v>
      </c>
      <c r="O3601">
        <v>0</v>
      </c>
    </row>
    <row r="3602" spans="1:15" x14ac:dyDescent="0.3">
      <c r="A3602" t="s">
        <v>3615</v>
      </c>
      <c r="B3602">
        <v>12</v>
      </c>
      <c r="C3602">
        <v>62</v>
      </c>
      <c r="D3602" t="s">
        <v>5016</v>
      </c>
      <c r="E3602" t="s">
        <v>5017</v>
      </c>
      <c r="F3602" t="s">
        <v>5022</v>
      </c>
      <c r="G3602">
        <v>20.97</v>
      </c>
      <c r="H3602">
        <v>3</v>
      </c>
      <c r="I3602">
        <v>7.1</v>
      </c>
      <c r="J3602">
        <v>6.47</v>
      </c>
      <c r="K3602">
        <v>90.6</v>
      </c>
      <c r="L3602" t="s">
        <v>5025</v>
      </c>
      <c r="M3602">
        <v>1</v>
      </c>
      <c r="N3602">
        <v>3</v>
      </c>
      <c r="O3602">
        <v>0</v>
      </c>
    </row>
    <row r="3603" spans="1:15" x14ac:dyDescent="0.3">
      <c r="A3603" t="s">
        <v>3616</v>
      </c>
      <c r="B3603">
        <v>12</v>
      </c>
      <c r="C3603">
        <v>37</v>
      </c>
      <c r="D3603" t="s">
        <v>5015</v>
      </c>
      <c r="E3603" t="s">
        <v>5019</v>
      </c>
      <c r="F3603" t="s">
        <v>5021</v>
      </c>
      <c r="G3603">
        <v>22.52</v>
      </c>
      <c r="H3603">
        <v>5</v>
      </c>
      <c r="I3603">
        <v>6.7</v>
      </c>
      <c r="J3603">
        <v>14.68</v>
      </c>
      <c r="K3603">
        <v>22.5</v>
      </c>
      <c r="L3603" t="s">
        <v>5027</v>
      </c>
      <c r="M3603">
        <v>10</v>
      </c>
      <c r="N3603">
        <v>2</v>
      </c>
      <c r="O3603">
        <v>1</v>
      </c>
    </row>
    <row r="3604" spans="1:15" x14ac:dyDescent="0.3">
      <c r="A3604" t="s">
        <v>3617</v>
      </c>
      <c r="B3604">
        <v>9</v>
      </c>
      <c r="C3604">
        <v>41</v>
      </c>
      <c r="D3604" t="s">
        <v>5015</v>
      </c>
      <c r="E3604" t="s">
        <v>5018</v>
      </c>
      <c r="F3604" t="s">
        <v>5021</v>
      </c>
      <c r="G3604">
        <v>15.2</v>
      </c>
      <c r="H3604">
        <v>2</v>
      </c>
      <c r="I3604">
        <v>4.2</v>
      </c>
      <c r="J3604">
        <v>7.31</v>
      </c>
      <c r="K3604">
        <v>37.299999999999997</v>
      </c>
      <c r="L3604" t="s">
        <v>5028</v>
      </c>
      <c r="M3604">
        <v>7</v>
      </c>
      <c r="N3604">
        <v>2</v>
      </c>
      <c r="O3604">
        <v>0</v>
      </c>
    </row>
    <row r="3605" spans="1:15" x14ac:dyDescent="0.3">
      <c r="A3605" t="s">
        <v>3618</v>
      </c>
      <c r="B3605">
        <v>7</v>
      </c>
      <c r="C3605">
        <v>44</v>
      </c>
      <c r="D3605" t="s">
        <v>5015</v>
      </c>
      <c r="E3605" t="s">
        <v>5018</v>
      </c>
      <c r="F3605" t="s">
        <v>5023</v>
      </c>
      <c r="G3605">
        <v>14.81</v>
      </c>
      <c r="H3605">
        <v>5</v>
      </c>
      <c r="I3605">
        <v>5.5</v>
      </c>
      <c r="J3605">
        <v>17.059999999999999</v>
      </c>
      <c r="K3605">
        <v>78.099999999999994</v>
      </c>
      <c r="L3605" t="s">
        <v>5027</v>
      </c>
      <c r="M3605">
        <v>3</v>
      </c>
      <c r="N3605">
        <v>0</v>
      </c>
      <c r="O3605">
        <v>0</v>
      </c>
    </row>
    <row r="3606" spans="1:15" x14ac:dyDescent="0.3">
      <c r="A3606" t="s">
        <v>3619</v>
      </c>
      <c r="B3606">
        <v>8</v>
      </c>
      <c r="C3606">
        <v>47</v>
      </c>
      <c r="D3606" t="s">
        <v>5015</v>
      </c>
      <c r="E3606" t="s">
        <v>5019</v>
      </c>
      <c r="F3606" t="s">
        <v>5023</v>
      </c>
      <c r="G3606">
        <v>17.43</v>
      </c>
      <c r="H3606">
        <v>5</v>
      </c>
      <c r="I3606">
        <v>6.8</v>
      </c>
      <c r="J3606">
        <v>5.89</v>
      </c>
      <c r="K3606">
        <v>64.5</v>
      </c>
      <c r="L3606" t="s">
        <v>5025</v>
      </c>
      <c r="M3606">
        <v>11</v>
      </c>
      <c r="N3606">
        <v>1</v>
      </c>
      <c r="O3606">
        <v>0</v>
      </c>
    </row>
    <row r="3607" spans="1:15" x14ac:dyDescent="0.3">
      <c r="A3607" t="s">
        <v>3620</v>
      </c>
      <c r="B3607">
        <v>11</v>
      </c>
      <c r="C3607">
        <v>62</v>
      </c>
      <c r="D3607" t="s">
        <v>5016</v>
      </c>
      <c r="E3607" t="s">
        <v>5019</v>
      </c>
      <c r="F3607" t="s">
        <v>5023</v>
      </c>
      <c r="G3607">
        <v>19.579999999999998</v>
      </c>
      <c r="H3607">
        <v>5</v>
      </c>
      <c r="I3607">
        <v>2.1</v>
      </c>
      <c r="J3607">
        <v>6.27</v>
      </c>
      <c r="K3607">
        <v>75.8</v>
      </c>
      <c r="L3607" t="s">
        <v>5025</v>
      </c>
      <c r="M3607">
        <v>10</v>
      </c>
      <c r="N3607">
        <v>3</v>
      </c>
      <c r="O3607">
        <v>0</v>
      </c>
    </row>
    <row r="3608" spans="1:15" x14ac:dyDescent="0.3">
      <c r="A3608" t="s">
        <v>3621</v>
      </c>
      <c r="B3608">
        <v>10</v>
      </c>
      <c r="C3608">
        <v>44</v>
      </c>
      <c r="D3608" t="s">
        <v>5016</v>
      </c>
      <c r="E3608" t="s">
        <v>5019</v>
      </c>
      <c r="F3608" t="s">
        <v>5021</v>
      </c>
      <c r="G3608">
        <v>12.12</v>
      </c>
      <c r="H3608">
        <v>4</v>
      </c>
      <c r="I3608">
        <v>3.1</v>
      </c>
      <c r="J3608">
        <v>10.220000000000001</v>
      </c>
      <c r="K3608">
        <v>82.8</v>
      </c>
      <c r="L3608" t="s">
        <v>5029</v>
      </c>
      <c r="M3608">
        <v>11</v>
      </c>
      <c r="N3608">
        <v>3</v>
      </c>
      <c r="O3608">
        <v>0</v>
      </c>
    </row>
    <row r="3609" spans="1:15" x14ac:dyDescent="0.3">
      <c r="A3609" t="s">
        <v>3622</v>
      </c>
      <c r="B3609">
        <v>11</v>
      </c>
      <c r="C3609">
        <v>43</v>
      </c>
      <c r="D3609" t="s">
        <v>5015</v>
      </c>
      <c r="E3609" t="s">
        <v>5017</v>
      </c>
      <c r="F3609" t="s">
        <v>5024</v>
      </c>
      <c r="G3609">
        <v>15.09</v>
      </c>
      <c r="H3609">
        <v>4</v>
      </c>
      <c r="I3609">
        <v>9</v>
      </c>
      <c r="J3609">
        <v>11.84</v>
      </c>
      <c r="K3609">
        <v>90.6</v>
      </c>
      <c r="L3609" t="s">
        <v>5028</v>
      </c>
      <c r="M3609">
        <v>11</v>
      </c>
      <c r="N3609">
        <v>3</v>
      </c>
      <c r="O3609">
        <v>1</v>
      </c>
    </row>
    <row r="3610" spans="1:15" x14ac:dyDescent="0.3">
      <c r="A3610" t="s">
        <v>3623</v>
      </c>
      <c r="B3610">
        <v>9</v>
      </c>
      <c r="C3610">
        <v>24</v>
      </c>
      <c r="D3610" t="s">
        <v>5015</v>
      </c>
      <c r="E3610" t="s">
        <v>5017</v>
      </c>
      <c r="F3610" t="s">
        <v>5023</v>
      </c>
      <c r="G3610">
        <v>16.7</v>
      </c>
      <c r="H3610">
        <v>5</v>
      </c>
      <c r="I3610">
        <v>4.0999999999999996</v>
      </c>
      <c r="J3610">
        <v>13.97</v>
      </c>
      <c r="K3610">
        <v>37.4</v>
      </c>
      <c r="L3610" t="s">
        <v>5028</v>
      </c>
      <c r="M3610">
        <v>3</v>
      </c>
      <c r="N3610">
        <v>1</v>
      </c>
      <c r="O3610">
        <v>1</v>
      </c>
    </row>
    <row r="3611" spans="1:15" x14ac:dyDescent="0.3">
      <c r="A3611" t="s">
        <v>3624</v>
      </c>
      <c r="B3611">
        <v>6</v>
      </c>
      <c r="C3611">
        <v>59</v>
      </c>
      <c r="D3611" t="s">
        <v>5015</v>
      </c>
      <c r="E3611" t="s">
        <v>5018</v>
      </c>
      <c r="F3611" t="s">
        <v>5023</v>
      </c>
      <c r="G3611">
        <v>24.77</v>
      </c>
      <c r="H3611">
        <v>2</v>
      </c>
      <c r="I3611">
        <v>8.1999999999999993</v>
      </c>
      <c r="J3611">
        <v>15.78</v>
      </c>
      <c r="K3611">
        <v>52.7</v>
      </c>
      <c r="L3611" t="s">
        <v>5025</v>
      </c>
      <c r="M3611">
        <v>11</v>
      </c>
      <c r="N3611">
        <v>4</v>
      </c>
      <c r="O3611">
        <v>0</v>
      </c>
    </row>
    <row r="3612" spans="1:15" x14ac:dyDescent="0.3">
      <c r="A3612" t="s">
        <v>3625</v>
      </c>
      <c r="B3612">
        <v>4</v>
      </c>
      <c r="C3612">
        <v>64</v>
      </c>
      <c r="D3612" t="s">
        <v>5016</v>
      </c>
      <c r="E3612" t="s">
        <v>5018</v>
      </c>
      <c r="F3612" t="s">
        <v>5021</v>
      </c>
      <c r="G3612">
        <v>16.75</v>
      </c>
      <c r="H3612">
        <v>1</v>
      </c>
      <c r="I3612">
        <v>3.3</v>
      </c>
      <c r="J3612">
        <v>13.31</v>
      </c>
      <c r="K3612">
        <v>71.900000000000006</v>
      </c>
      <c r="L3612" t="s">
        <v>5027</v>
      </c>
      <c r="M3612">
        <v>7</v>
      </c>
      <c r="N3612">
        <v>3</v>
      </c>
      <c r="O3612">
        <v>0</v>
      </c>
    </row>
    <row r="3613" spans="1:15" x14ac:dyDescent="0.3">
      <c r="A3613" t="s">
        <v>3626</v>
      </c>
      <c r="B3613">
        <v>12</v>
      </c>
      <c r="C3613">
        <v>55</v>
      </c>
      <c r="D3613" t="s">
        <v>5015</v>
      </c>
      <c r="E3613" t="s">
        <v>5019</v>
      </c>
      <c r="F3613" t="s">
        <v>5022</v>
      </c>
      <c r="G3613">
        <v>9.48</v>
      </c>
      <c r="H3613">
        <v>3</v>
      </c>
      <c r="I3613">
        <v>1.4</v>
      </c>
      <c r="J3613">
        <v>4</v>
      </c>
      <c r="K3613">
        <v>81.5</v>
      </c>
      <c r="L3613" t="s">
        <v>5025</v>
      </c>
      <c r="M3613">
        <v>6</v>
      </c>
      <c r="N3613">
        <v>0</v>
      </c>
      <c r="O3613">
        <v>1</v>
      </c>
    </row>
    <row r="3614" spans="1:15" x14ac:dyDescent="0.3">
      <c r="A3614" t="s">
        <v>3627</v>
      </c>
      <c r="B3614">
        <v>1</v>
      </c>
      <c r="C3614">
        <v>22</v>
      </c>
      <c r="D3614" t="s">
        <v>5015</v>
      </c>
      <c r="E3614" t="s">
        <v>5018</v>
      </c>
      <c r="F3614" t="s">
        <v>5022</v>
      </c>
      <c r="G3614">
        <v>16.760000000000002</v>
      </c>
      <c r="H3614">
        <v>4</v>
      </c>
      <c r="I3614">
        <v>5.5</v>
      </c>
      <c r="J3614">
        <v>10.56</v>
      </c>
      <c r="K3614">
        <v>62</v>
      </c>
      <c r="L3614" t="s">
        <v>5029</v>
      </c>
      <c r="M3614">
        <v>3</v>
      </c>
      <c r="N3614">
        <v>3</v>
      </c>
      <c r="O3614">
        <v>0</v>
      </c>
    </row>
    <row r="3615" spans="1:15" x14ac:dyDescent="0.3">
      <c r="A3615" t="s">
        <v>3628</v>
      </c>
      <c r="B3615">
        <v>8</v>
      </c>
      <c r="C3615">
        <v>40</v>
      </c>
      <c r="D3615" t="s">
        <v>5016</v>
      </c>
      <c r="E3615" t="s">
        <v>5019</v>
      </c>
      <c r="F3615" t="s">
        <v>5020</v>
      </c>
      <c r="G3615">
        <v>21.39</v>
      </c>
      <c r="H3615">
        <v>1</v>
      </c>
      <c r="I3615">
        <v>9</v>
      </c>
      <c r="J3615">
        <v>4.3499999999999996</v>
      </c>
      <c r="K3615">
        <v>56.2</v>
      </c>
      <c r="L3615" t="s">
        <v>5027</v>
      </c>
      <c r="M3615">
        <v>2</v>
      </c>
      <c r="N3615">
        <v>3</v>
      </c>
      <c r="O3615">
        <v>0</v>
      </c>
    </row>
    <row r="3616" spans="1:15" x14ac:dyDescent="0.3">
      <c r="A3616" t="s">
        <v>3629</v>
      </c>
      <c r="B3616">
        <v>7</v>
      </c>
      <c r="C3616">
        <v>45</v>
      </c>
      <c r="D3616" t="s">
        <v>5016</v>
      </c>
      <c r="E3616" t="s">
        <v>5017</v>
      </c>
      <c r="F3616" t="s">
        <v>5022</v>
      </c>
      <c r="G3616">
        <v>22.15</v>
      </c>
      <c r="H3616">
        <v>4</v>
      </c>
      <c r="I3616">
        <v>8.4</v>
      </c>
      <c r="J3616">
        <v>5.6</v>
      </c>
      <c r="K3616">
        <v>72.3</v>
      </c>
      <c r="L3616" t="s">
        <v>5025</v>
      </c>
      <c r="M3616">
        <v>11</v>
      </c>
      <c r="N3616">
        <v>4</v>
      </c>
      <c r="O3616">
        <v>0</v>
      </c>
    </row>
    <row r="3617" spans="1:15" x14ac:dyDescent="0.3">
      <c r="A3617" t="s">
        <v>3630</v>
      </c>
      <c r="B3617">
        <v>2</v>
      </c>
      <c r="C3617">
        <v>51</v>
      </c>
      <c r="D3617" t="s">
        <v>5016</v>
      </c>
      <c r="E3617" t="s">
        <v>5019</v>
      </c>
      <c r="F3617" t="s">
        <v>5023</v>
      </c>
      <c r="G3617">
        <v>21.01</v>
      </c>
      <c r="H3617">
        <v>4</v>
      </c>
      <c r="I3617">
        <v>3.3</v>
      </c>
      <c r="J3617">
        <v>5.04</v>
      </c>
      <c r="K3617">
        <v>44.4</v>
      </c>
      <c r="L3617" t="s">
        <v>5028</v>
      </c>
      <c r="M3617">
        <v>11</v>
      </c>
      <c r="N3617">
        <v>0</v>
      </c>
      <c r="O3617">
        <v>1</v>
      </c>
    </row>
    <row r="3618" spans="1:15" x14ac:dyDescent="0.3">
      <c r="A3618" t="s">
        <v>3631</v>
      </c>
      <c r="B3618">
        <v>8</v>
      </c>
      <c r="C3618">
        <v>32</v>
      </c>
      <c r="D3618" t="s">
        <v>5015</v>
      </c>
      <c r="E3618" t="s">
        <v>5018</v>
      </c>
      <c r="F3618" t="s">
        <v>5024</v>
      </c>
      <c r="G3618">
        <v>22.76</v>
      </c>
      <c r="H3618">
        <v>4</v>
      </c>
      <c r="I3618">
        <v>9.1999999999999993</v>
      </c>
      <c r="J3618">
        <v>6.48</v>
      </c>
      <c r="K3618">
        <v>90.4</v>
      </c>
      <c r="L3618" t="s">
        <v>5029</v>
      </c>
      <c r="M3618">
        <v>6</v>
      </c>
      <c r="N3618">
        <v>0</v>
      </c>
      <c r="O3618">
        <v>0</v>
      </c>
    </row>
    <row r="3619" spans="1:15" x14ac:dyDescent="0.3">
      <c r="A3619" t="s">
        <v>3632</v>
      </c>
      <c r="B3619">
        <v>12</v>
      </c>
      <c r="C3619">
        <v>49</v>
      </c>
      <c r="D3619" t="s">
        <v>5016</v>
      </c>
      <c r="E3619" t="s">
        <v>5019</v>
      </c>
      <c r="F3619" t="s">
        <v>5020</v>
      </c>
      <c r="G3619">
        <v>11.7</v>
      </c>
      <c r="H3619">
        <v>5</v>
      </c>
      <c r="I3619">
        <v>5.3</v>
      </c>
      <c r="J3619">
        <v>20.88</v>
      </c>
      <c r="K3619">
        <v>29.1</v>
      </c>
      <c r="L3619" t="s">
        <v>5025</v>
      </c>
      <c r="M3619">
        <v>10</v>
      </c>
      <c r="N3619">
        <v>0</v>
      </c>
      <c r="O3619">
        <v>1</v>
      </c>
    </row>
    <row r="3620" spans="1:15" x14ac:dyDescent="0.3">
      <c r="A3620" t="s">
        <v>3633</v>
      </c>
      <c r="B3620">
        <v>5</v>
      </c>
      <c r="C3620">
        <v>43</v>
      </c>
      <c r="D3620" t="s">
        <v>5016</v>
      </c>
      <c r="E3620" t="s">
        <v>5017</v>
      </c>
      <c r="F3620" t="s">
        <v>5024</v>
      </c>
      <c r="G3620">
        <v>15.15</v>
      </c>
      <c r="H3620">
        <v>5</v>
      </c>
      <c r="I3620">
        <v>1.4</v>
      </c>
      <c r="J3620">
        <v>16.809999999999999</v>
      </c>
      <c r="K3620">
        <v>89.6</v>
      </c>
      <c r="L3620" t="s">
        <v>5025</v>
      </c>
      <c r="M3620">
        <v>7</v>
      </c>
      <c r="N3620">
        <v>3</v>
      </c>
      <c r="O3620">
        <v>0</v>
      </c>
    </row>
    <row r="3621" spans="1:15" x14ac:dyDescent="0.3">
      <c r="A3621" t="s">
        <v>3634</v>
      </c>
      <c r="B3621">
        <v>7</v>
      </c>
      <c r="C3621">
        <v>65</v>
      </c>
      <c r="D3621" t="s">
        <v>5015</v>
      </c>
      <c r="E3621" t="s">
        <v>5018</v>
      </c>
      <c r="F3621" t="s">
        <v>5024</v>
      </c>
      <c r="G3621">
        <v>20.59</v>
      </c>
      <c r="H3621">
        <v>4</v>
      </c>
      <c r="I3621">
        <v>1.3</v>
      </c>
      <c r="J3621">
        <v>14.15</v>
      </c>
      <c r="K3621">
        <v>67.900000000000006</v>
      </c>
      <c r="L3621" t="s">
        <v>5026</v>
      </c>
      <c r="M3621">
        <v>9</v>
      </c>
      <c r="N3621">
        <v>3</v>
      </c>
      <c r="O3621">
        <v>0</v>
      </c>
    </row>
    <row r="3622" spans="1:15" x14ac:dyDescent="0.3">
      <c r="A3622" t="s">
        <v>3635</v>
      </c>
      <c r="B3622">
        <v>4</v>
      </c>
      <c r="C3622">
        <v>48</v>
      </c>
      <c r="D3622" t="s">
        <v>5016</v>
      </c>
      <c r="E3622" t="s">
        <v>5019</v>
      </c>
      <c r="F3622" t="s">
        <v>5023</v>
      </c>
      <c r="G3622">
        <v>10.29</v>
      </c>
      <c r="H3622">
        <v>4</v>
      </c>
      <c r="I3622">
        <v>5.4</v>
      </c>
      <c r="J3622">
        <v>19.11</v>
      </c>
      <c r="K3622">
        <v>64.099999999999994</v>
      </c>
      <c r="L3622" t="s">
        <v>5027</v>
      </c>
      <c r="M3622">
        <v>9</v>
      </c>
      <c r="N3622">
        <v>2</v>
      </c>
      <c r="O3622">
        <v>1</v>
      </c>
    </row>
    <row r="3623" spans="1:15" x14ac:dyDescent="0.3">
      <c r="A3623" t="s">
        <v>3636</v>
      </c>
      <c r="B3623">
        <v>5</v>
      </c>
      <c r="C3623">
        <v>36</v>
      </c>
      <c r="D3623" t="s">
        <v>5015</v>
      </c>
      <c r="E3623" t="s">
        <v>5018</v>
      </c>
      <c r="F3623" t="s">
        <v>5021</v>
      </c>
      <c r="G3623">
        <v>12.43</v>
      </c>
      <c r="H3623">
        <v>3</v>
      </c>
      <c r="I3623">
        <v>5.9</v>
      </c>
      <c r="J3623">
        <v>24.15</v>
      </c>
      <c r="K3623">
        <v>52.3</v>
      </c>
      <c r="L3623" t="s">
        <v>5026</v>
      </c>
      <c r="M3623">
        <v>9</v>
      </c>
      <c r="N3623">
        <v>4</v>
      </c>
      <c r="O3623">
        <v>0</v>
      </c>
    </row>
    <row r="3624" spans="1:15" x14ac:dyDescent="0.3">
      <c r="A3624" t="s">
        <v>3637</v>
      </c>
      <c r="B3624">
        <v>8</v>
      </c>
      <c r="C3624">
        <v>26</v>
      </c>
      <c r="D3624" t="s">
        <v>5015</v>
      </c>
      <c r="E3624" t="s">
        <v>5018</v>
      </c>
      <c r="F3624" t="s">
        <v>5021</v>
      </c>
      <c r="G3624">
        <v>21.62</v>
      </c>
      <c r="H3624">
        <v>1</v>
      </c>
      <c r="I3624">
        <v>1.7</v>
      </c>
      <c r="J3624">
        <v>12.19</v>
      </c>
      <c r="K3624">
        <v>23.9</v>
      </c>
      <c r="L3624" t="s">
        <v>5028</v>
      </c>
      <c r="M3624">
        <v>11</v>
      </c>
      <c r="N3624">
        <v>0</v>
      </c>
      <c r="O3624">
        <v>0</v>
      </c>
    </row>
    <row r="3625" spans="1:15" x14ac:dyDescent="0.3">
      <c r="A3625" t="s">
        <v>3638</v>
      </c>
      <c r="B3625">
        <v>1</v>
      </c>
      <c r="C3625">
        <v>46</v>
      </c>
      <c r="D3625" t="s">
        <v>5016</v>
      </c>
      <c r="E3625" t="s">
        <v>5019</v>
      </c>
      <c r="F3625" t="s">
        <v>5021</v>
      </c>
      <c r="G3625">
        <v>20.399999999999999</v>
      </c>
      <c r="H3625">
        <v>1</v>
      </c>
      <c r="I3625">
        <v>9.3000000000000007</v>
      </c>
      <c r="J3625">
        <v>11.08</v>
      </c>
      <c r="K3625">
        <v>87.8</v>
      </c>
      <c r="L3625" t="s">
        <v>5027</v>
      </c>
      <c r="M3625">
        <v>10</v>
      </c>
      <c r="N3625">
        <v>0</v>
      </c>
      <c r="O3625">
        <v>0</v>
      </c>
    </row>
    <row r="3626" spans="1:15" x14ac:dyDescent="0.3">
      <c r="A3626" t="s">
        <v>3639</v>
      </c>
      <c r="B3626">
        <v>1</v>
      </c>
      <c r="C3626">
        <v>68</v>
      </c>
      <c r="D3626" t="s">
        <v>5015</v>
      </c>
      <c r="E3626" t="s">
        <v>5018</v>
      </c>
      <c r="F3626" t="s">
        <v>5022</v>
      </c>
      <c r="G3626">
        <v>24.42</v>
      </c>
      <c r="H3626">
        <v>2</v>
      </c>
      <c r="I3626">
        <v>7.5</v>
      </c>
      <c r="J3626">
        <v>24.51</v>
      </c>
      <c r="K3626">
        <v>14.7</v>
      </c>
      <c r="L3626" t="s">
        <v>5029</v>
      </c>
      <c r="M3626">
        <v>1</v>
      </c>
      <c r="N3626">
        <v>2</v>
      </c>
      <c r="O3626">
        <v>0</v>
      </c>
    </row>
    <row r="3627" spans="1:15" x14ac:dyDescent="0.3">
      <c r="A3627" t="s">
        <v>3640</v>
      </c>
      <c r="B3627">
        <v>4</v>
      </c>
      <c r="C3627">
        <v>56</v>
      </c>
      <c r="D3627" t="s">
        <v>5016</v>
      </c>
      <c r="E3627" t="s">
        <v>5018</v>
      </c>
      <c r="F3627" t="s">
        <v>5021</v>
      </c>
      <c r="G3627">
        <v>24.92</v>
      </c>
      <c r="H3627">
        <v>2</v>
      </c>
      <c r="I3627">
        <v>8.1999999999999993</v>
      </c>
      <c r="J3627">
        <v>19.97</v>
      </c>
      <c r="K3627">
        <v>34.299999999999997</v>
      </c>
      <c r="L3627" t="s">
        <v>5027</v>
      </c>
      <c r="M3627">
        <v>4</v>
      </c>
      <c r="N3627">
        <v>3</v>
      </c>
      <c r="O3627">
        <v>0</v>
      </c>
    </row>
    <row r="3628" spans="1:15" x14ac:dyDescent="0.3">
      <c r="A3628" t="s">
        <v>3641</v>
      </c>
      <c r="B3628">
        <v>3</v>
      </c>
      <c r="C3628">
        <v>21</v>
      </c>
      <c r="D3628" t="s">
        <v>5016</v>
      </c>
      <c r="E3628" t="s">
        <v>5017</v>
      </c>
      <c r="F3628" t="s">
        <v>5023</v>
      </c>
      <c r="G3628">
        <v>9.81</v>
      </c>
      <c r="H3628">
        <v>2</v>
      </c>
      <c r="I3628">
        <v>6.3</v>
      </c>
      <c r="J3628">
        <v>20.100000000000001</v>
      </c>
      <c r="K3628">
        <v>19.899999999999999</v>
      </c>
      <c r="L3628" t="s">
        <v>5025</v>
      </c>
      <c r="M3628">
        <v>4</v>
      </c>
      <c r="N3628">
        <v>2</v>
      </c>
      <c r="O3628">
        <v>0</v>
      </c>
    </row>
    <row r="3629" spans="1:15" x14ac:dyDescent="0.3">
      <c r="A3629" t="s">
        <v>3642</v>
      </c>
      <c r="B3629">
        <v>10</v>
      </c>
      <c r="C3629">
        <v>20</v>
      </c>
      <c r="D3629" t="s">
        <v>5016</v>
      </c>
      <c r="E3629" t="s">
        <v>5019</v>
      </c>
      <c r="F3629" t="s">
        <v>5022</v>
      </c>
      <c r="G3629">
        <v>23.01</v>
      </c>
      <c r="H3629">
        <v>5</v>
      </c>
      <c r="I3629">
        <v>7</v>
      </c>
      <c r="J3629">
        <v>16.2</v>
      </c>
      <c r="K3629">
        <v>19.600000000000001</v>
      </c>
      <c r="L3629" t="s">
        <v>5025</v>
      </c>
      <c r="M3629">
        <v>10</v>
      </c>
      <c r="N3629">
        <v>2</v>
      </c>
      <c r="O3629">
        <v>0</v>
      </c>
    </row>
    <row r="3630" spans="1:15" x14ac:dyDescent="0.3">
      <c r="A3630" t="s">
        <v>3643</v>
      </c>
      <c r="B3630">
        <v>12</v>
      </c>
      <c r="C3630">
        <v>46</v>
      </c>
      <c r="D3630" t="s">
        <v>5015</v>
      </c>
      <c r="E3630" t="s">
        <v>5018</v>
      </c>
      <c r="F3630" t="s">
        <v>5021</v>
      </c>
      <c r="G3630">
        <v>6.89</v>
      </c>
      <c r="H3630">
        <v>5</v>
      </c>
      <c r="I3630">
        <v>4.5</v>
      </c>
      <c r="J3630">
        <v>14.15</v>
      </c>
      <c r="K3630">
        <v>45.1</v>
      </c>
      <c r="L3630" t="s">
        <v>5025</v>
      </c>
      <c r="M3630">
        <v>8</v>
      </c>
      <c r="N3630">
        <v>3</v>
      </c>
      <c r="O3630">
        <v>0</v>
      </c>
    </row>
    <row r="3631" spans="1:15" x14ac:dyDescent="0.3">
      <c r="A3631" t="s">
        <v>3644</v>
      </c>
      <c r="B3631">
        <v>2</v>
      </c>
      <c r="C3631">
        <v>69</v>
      </c>
      <c r="D3631" t="s">
        <v>5016</v>
      </c>
      <c r="E3631" t="s">
        <v>5018</v>
      </c>
      <c r="F3631" t="s">
        <v>5024</v>
      </c>
      <c r="G3631">
        <v>19.2</v>
      </c>
      <c r="H3631">
        <v>3</v>
      </c>
      <c r="I3631">
        <v>7.1</v>
      </c>
      <c r="J3631">
        <v>15.11</v>
      </c>
      <c r="K3631">
        <v>24.4</v>
      </c>
      <c r="L3631" t="s">
        <v>5027</v>
      </c>
      <c r="M3631">
        <v>3</v>
      </c>
      <c r="N3631">
        <v>1</v>
      </c>
      <c r="O3631">
        <v>1</v>
      </c>
    </row>
    <row r="3632" spans="1:15" x14ac:dyDescent="0.3">
      <c r="A3632" t="s">
        <v>3645</v>
      </c>
      <c r="B3632">
        <v>12</v>
      </c>
      <c r="C3632">
        <v>28</v>
      </c>
      <c r="D3632" t="s">
        <v>5015</v>
      </c>
      <c r="E3632" t="s">
        <v>5017</v>
      </c>
      <c r="F3632" t="s">
        <v>5023</v>
      </c>
      <c r="G3632">
        <v>9.4</v>
      </c>
      <c r="H3632">
        <v>5</v>
      </c>
      <c r="I3632">
        <v>9.8000000000000007</v>
      </c>
      <c r="J3632">
        <v>17.350000000000001</v>
      </c>
      <c r="K3632">
        <v>62.3</v>
      </c>
      <c r="L3632" t="s">
        <v>5025</v>
      </c>
      <c r="M3632">
        <v>1</v>
      </c>
      <c r="N3632">
        <v>4</v>
      </c>
      <c r="O3632">
        <v>0</v>
      </c>
    </row>
    <row r="3633" spans="1:15" x14ac:dyDescent="0.3">
      <c r="A3633" t="s">
        <v>3646</v>
      </c>
      <c r="B3633">
        <v>3</v>
      </c>
      <c r="C3633">
        <v>50</v>
      </c>
      <c r="D3633" t="s">
        <v>5015</v>
      </c>
      <c r="E3633" t="s">
        <v>5018</v>
      </c>
      <c r="F3633" t="s">
        <v>5023</v>
      </c>
      <c r="G3633">
        <v>11.01</v>
      </c>
      <c r="H3633">
        <v>2</v>
      </c>
      <c r="I3633">
        <v>6.8</v>
      </c>
      <c r="J3633">
        <v>11.29</v>
      </c>
      <c r="K3633">
        <v>66.400000000000006</v>
      </c>
      <c r="L3633" t="s">
        <v>5025</v>
      </c>
      <c r="M3633">
        <v>3</v>
      </c>
      <c r="N3633">
        <v>1</v>
      </c>
      <c r="O3633">
        <v>1</v>
      </c>
    </row>
    <row r="3634" spans="1:15" x14ac:dyDescent="0.3">
      <c r="A3634" t="s">
        <v>3647</v>
      </c>
      <c r="B3634">
        <v>11</v>
      </c>
      <c r="C3634">
        <v>55</v>
      </c>
      <c r="D3634" t="s">
        <v>5015</v>
      </c>
      <c r="E3634" t="s">
        <v>5017</v>
      </c>
      <c r="F3634" t="s">
        <v>5020</v>
      </c>
      <c r="G3634">
        <v>23.93</v>
      </c>
      <c r="H3634">
        <v>4</v>
      </c>
      <c r="I3634">
        <v>4.0999999999999996</v>
      </c>
      <c r="J3634">
        <v>20.21</v>
      </c>
      <c r="K3634">
        <v>89.4</v>
      </c>
      <c r="L3634" t="s">
        <v>5026</v>
      </c>
      <c r="M3634">
        <v>6</v>
      </c>
      <c r="N3634">
        <v>1</v>
      </c>
      <c r="O3634">
        <v>0</v>
      </c>
    </row>
    <row r="3635" spans="1:15" x14ac:dyDescent="0.3">
      <c r="A3635" t="s">
        <v>3648</v>
      </c>
      <c r="B3635">
        <v>11</v>
      </c>
      <c r="C3635">
        <v>28</v>
      </c>
      <c r="D3635" t="s">
        <v>5016</v>
      </c>
      <c r="E3635" t="s">
        <v>5017</v>
      </c>
      <c r="F3635" t="s">
        <v>5023</v>
      </c>
      <c r="G3635">
        <v>10.26</v>
      </c>
      <c r="H3635">
        <v>2</v>
      </c>
      <c r="I3635">
        <v>3.6</v>
      </c>
      <c r="J3635">
        <v>23</v>
      </c>
      <c r="K3635">
        <v>37</v>
      </c>
      <c r="L3635" t="s">
        <v>5025</v>
      </c>
      <c r="M3635">
        <v>7</v>
      </c>
      <c r="N3635">
        <v>4</v>
      </c>
      <c r="O3635">
        <v>0</v>
      </c>
    </row>
    <row r="3636" spans="1:15" x14ac:dyDescent="0.3">
      <c r="A3636" t="s">
        <v>3649</v>
      </c>
      <c r="B3636">
        <v>11</v>
      </c>
      <c r="C3636">
        <v>44</v>
      </c>
      <c r="D3636" t="s">
        <v>5015</v>
      </c>
      <c r="E3636" t="s">
        <v>5018</v>
      </c>
      <c r="F3636" t="s">
        <v>5024</v>
      </c>
      <c r="G3636">
        <v>18.46</v>
      </c>
      <c r="H3636">
        <v>3</v>
      </c>
      <c r="I3636">
        <v>9.6999999999999993</v>
      </c>
      <c r="J3636">
        <v>15.57</v>
      </c>
      <c r="K3636">
        <v>37.799999999999997</v>
      </c>
      <c r="L3636" t="s">
        <v>5026</v>
      </c>
      <c r="M3636">
        <v>9</v>
      </c>
      <c r="N3636">
        <v>1</v>
      </c>
      <c r="O3636">
        <v>0</v>
      </c>
    </row>
    <row r="3637" spans="1:15" x14ac:dyDescent="0.3">
      <c r="A3637" t="s">
        <v>3650</v>
      </c>
      <c r="B3637">
        <v>1</v>
      </c>
      <c r="C3637">
        <v>50</v>
      </c>
      <c r="D3637" t="s">
        <v>5015</v>
      </c>
      <c r="E3637" t="s">
        <v>5017</v>
      </c>
      <c r="F3637" t="s">
        <v>5023</v>
      </c>
      <c r="G3637">
        <v>8.56</v>
      </c>
      <c r="H3637">
        <v>4</v>
      </c>
      <c r="I3637">
        <v>2.7</v>
      </c>
      <c r="J3637">
        <v>11.39</v>
      </c>
      <c r="K3637">
        <v>32.200000000000003</v>
      </c>
      <c r="L3637" t="s">
        <v>5028</v>
      </c>
      <c r="M3637">
        <v>5</v>
      </c>
      <c r="N3637">
        <v>3</v>
      </c>
      <c r="O3637">
        <v>0</v>
      </c>
    </row>
    <row r="3638" spans="1:15" x14ac:dyDescent="0.3">
      <c r="A3638" t="s">
        <v>3651</v>
      </c>
      <c r="B3638">
        <v>1</v>
      </c>
      <c r="C3638">
        <v>38</v>
      </c>
      <c r="D3638" t="s">
        <v>5016</v>
      </c>
      <c r="E3638" t="s">
        <v>5017</v>
      </c>
      <c r="F3638" t="s">
        <v>5020</v>
      </c>
      <c r="G3638">
        <v>6.87</v>
      </c>
      <c r="H3638">
        <v>5</v>
      </c>
      <c r="I3638">
        <v>8.3000000000000007</v>
      </c>
      <c r="J3638">
        <v>18.3</v>
      </c>
      <c r="K3638">
        <v>80.400000000000006</v>
      </c>
      <c r="L3638" t="s">
        <v>5027</v>
      </c>
      <c r="M3638">
        <v>5</v>
      </c>
      <c r="N3638">
        <v>1</v>
      </c>
      <c r="O3638">
        <v>0</v>
      </c>
    </row>
    <row r="3639" spans="1:15" x14ac:dyDescent="0.3">
      <c r="A3639" t="s">
        <v>3652</v>
      </c>
      <c r="B3639">
        <v>6</v>
      </c>
      <c r="C3639">
        <v>56</v>
      </c>
      <c r="D3639" t="s">
        <v>5016</v>
      </c>
      <c r="E3639" t="s">
        <v>5018</v>
      </c>
      <c r="F3639" t="s">
        <v>5023</v>
      </c>
      <c r="G3639">
        <v>11.79</v>
      </c>
      <c r="H3639">
        <v>4</v>
      </c>
      <c r="I3639">
        <v>5.2</v>
      </c>
      <c r="J3639">
        <v>7.01</v>
      </c>
      <c r="K3639">
        <v>48.5</v>
      </c>
      <c r="L3639" t="s">
        <v>5026</v>
      </c>
      <c r="M3639">
        <v>3</v>
      </c>
      <c r="N3639">
        <v>1</v>
      </c>
      <c r="O3639">
        <v>1</v>
      </c>
    </row>
    <row r="3640" spans="1:15" x14ac:dyDescent="0.3">
      <c r="A3640" t="s">
        <v>3653</v>
      </c>
      <c r="B3640">
        <v>5</v>
      </c>
      <c r="C3640">
        <v>48</v>
      </c>
      <c r="D3640" t="s">
        <v>5015</v>
      </c>
      <c r="E3640" t="s">
        <v>5017</v>
      </c>
      <c r="F3640" t="s">
        <v>5023</v>
      </c>
      <c r="G3640">
        <v>17.48</v>
      </c>
      <c r="H3640">
        <v>3</v>
      </c>
      <c r="I3640">
        <v>5</v>
      </c>
      <c r="J3640">
        <v>24.31</v>
      </c>
      <c r="K3640">
        <v>59.7</v>
      </c>
      <c r="L3640" t="s">
        <v>5027</v>
      </c>
      <c r="M3640">
        <v>3</v>
      </c>
      <c r="N3640">
        <v>1</v>
      </c>
      <c r="O3640">
        <v>1</v>
      </c>
    </row>
    <row r="3641" spans="1:15" x14ac:dyDescent="0.3">
      <c r="A3641" t="s">
        <v>3654</v>
      </c>
      <c r="B3641">
        <v>8</v>
      </c>
      <c r="C3641">
        <v>55</v>
      </c>
      <c r="D3641" t="s">
        <v>5015</v>
      </c>
      <c r="E3641" t="s">
        <v>5018</v>
      </c>
      <c r="F3641" t="s">
        <v>5020</v>
      </c>
      <c r="G3641">
        <v>9.9600000000000009</v>
      </c>
      <c r="H3641">
        <v>5</v>
      </c>
      <c r="I3641">
        <v>7.7</v>
      </c>
      <c r="J3641">
        <v>17.48</v>
      </c>
      <c r="K3641">
        <v>43.7</v>
      </c>
      <c r="L3641" t="s">
        <v>5027</v>
      </c>
      <c r="M3641">
        <v>9</v>
      </c>
      <c r="N3641">
        <v>3</v>
      </c>
      <c r="O3641">
        <v>0</v>
      </c>
    </row>
    <row r="3642" spans="1:15" x14ac:dyDescent="0.3">
      <c r="A3642" t="s">
        <v>3655</v>
      </c>
      <c r="B3642">
        <v>2</v>
      </c>
      <c r="C3642">
        <v>63</v>
      </c>
      <c r="D3642" t="s">
        <v>5016</v>
      </c>
      <c r="E3642" t="s">
        <v>5017</v>
      </c>
      <c r="F3642" t="s">
        <v>5023</v>
      </c>
      <c r="G3642">
        <v>11</v>
      </c>
      <c r="H3642">
        <v>1</v>
      </c>
      <c r="I3642">
        <v>2.2999999999999998</v>
      </c>
      <c r="J3642">
        <v>4.49</v>
      </c>
      <c r="K3642">
        <v>24.1</v>
      </c>
      <c r="L3642" t="s">
        <v>5029</v>
      </c>
      <c r="M3642">
        <v>3</v>
      </c>
      <c r="N3642">
        <v>2</v>
      </c>
      <c r="O3642">
        <v>0</v>
      </c>
    </row>
    <row r="3643" spans="1:15" x14ac:dyDescent="0.3">
      <c r="A3643" t="s">
        <v>3656</v>
      </c>
      <c r="B3643">
        <v>4</v>
      </c>
      <c r="C3643">
        <v>19</v>
      </c>
      <c r="D3643" t="s">
        <v>5015</v>
      </c>
      <c r="E3643" t="s">
        <v>5018</v>
      </c>
      <c r="F3643" t="s">
        <v>5022</v>
      </c>
      <c r="G3643">
        <v>19.170000000000002</v>
      </c>
      <c r="H3643">
        <v>2</v>
      </c>
      <c r="I3643">
        <v>5.2</v>
      </c>
      <c r="J3643">
        <v>14.65</v>
      </c>
      <c r="K3643">
        <v>19.2</v>
      </c>
      <c r="L3643" t="s">
        <v>5026</v>
      </c>
      <c r="M3643">
        <v>3</v>
      </c>
      <c r="N3643">
        <v>0</v>
      </c>
      <c r="O3643">
        <v>0</v>
      </c>
    </row>
    <row r="3644" spans="1:15" x14ac:dyDescent="0.3">
      <c r="A3644" t="s">
        <v>3657</v>
      </c>
      <c r="B3644">
        <v>8</v>
      </c>
      <c r="C3644">
        <v>44</v>
      </c>
      <c r="D3644" t="s">
        <v>5015</v>
      </c>
      <c r="E3644" t="s">
        <v>5018</v>
      </c>
      <c r="F3644" t="s">
        <v>5023</v>
      </c>
      <c r="G3644">
        <v>7.06</v>
      </c>
      <c r="H3644">
        <v>2</v>
      </c>
      <c r="I3644">
        <v>1.3</v>
      </c>
      <c r="J3644">
        <v>19.510000000000002</v>
      </c>
      <c r="K3644">
        <v>88.1</v>
      </c>
      <c r="L3644" t="s">
        <v>5025</v>
      </c>
      <c r="M3644">
        <v>9</v>
      </c>
      <c r="N3644">
        <v>4</v>
      </c>
      <c r="O3644">
        <v>0</v>
      </c>
    </row>
    <row r="3645" spans="1:15" x14ac:dyDescent="0.3">
      <c r="A3645" t="s">
        <v>3658</v>
      </c>
      <c r="B3645">
        <v>12</v>
      </c>
      <c r="C3645">
        <v>53</v>
      </c>
      <c r="D3645" t="s">
        <v>5015</v>
      </c>
      <c r="E3645" t="s">
        <v>5019</v>
      </c>
      <c r="F3645" t="s">
        <v>5021</v>
      </c>
      <c r="G3645">
        <v>13.94</v>
      </c>
      <c r="H3645">
        <v>3</v>
      </c>
      <c r="I3645">
        <v>7</v>
      </c>
      <c r="J3645">
        <v>9.11</v>
      </c>
      <c r="K3645">
        <v>33.9</v>
      </c>
      <c r="L3645" t="s">
        <v>5029</v>
      </c>
      <c r="M3645">
        <v>4</v>
      </c>
      <c r="N3645">
        <v>4</v>
      </c>
      <c r="O3645">
        <v>1</v>
      </c>
    </row>
    <row r="3646" spans="1:15" x14ac:dyDescent="0.3">
      <c r="A3646" t="s">
        <v>3659</v>
      </c>
      <c r="B3646">
        <v>6</v>
      </c>
      <c r="C3646">
        <v>28</v>
      </c>
      <c r="D3646" t="s">
        <v>5015</v>
      </c>
      <c r="E3646" t="s">
        <v>5017</v>
      </c>
      <c r="F3646" t="s">
        <v>5021</v>
      </c>
      <c r="G3646">
        <v>23.83</v>
      </c>
      <c r="H3646">
        <v>3</v>
      </c>
      <c r="I3646">
        <v>1.5</v>
      </c>
      <c r="J3646">
        <v>4.12</v>
      </c>
      <c r="K3646">
        <v>94.7</v>
      </c>
      <c r="L3646" t="s">
        <v>5026</v>
      </c>
      <c r="M3646">
        <v>6</v>
      </c>
      <c r="N3646">
        <v>3</v>
      </c>
      <c r="O3646">
        <v>0</v>
      </c>
    </row>
    <row r="3647" spans="1:15" x14ac:dyDescent="0.3">
      <c r="A3647" t="s">
        <v>3660</v>
      </c>
      <c r="B3647">
        <v>1</v>
      </c>
      <c r="C3647">
        <v>64</v>
      </c>
      <c r="D3647" t="s">
        <v>5016</v>
      </c>
      <c r="E3647" t="s">
        <v>5017</v>
      </c>
      <c r="F3647" t="s">
        <v>5022</v>
      </c>
      <c r="G3647">
        <v>12.94</v>
      </c>
      <c r="H3647">
        <v>2</v>
      </c>
      <c r="I3647">
        <v>1.8</v>
      </c>
      <c r="J3647">
        <v>13.76</v>
      </c>
      <c r="K3647">
        <v>95.3</v>
      </c>
      <c r="L3647" t="s">
        <v>5026</v>
      </c>
      <c r="M3647">
        <v>1</v>
      </c>
      <c r="N3647">
        <v>0</v>
      </c>
      <c r="O3647">
        <v>0</v>
      </c>
    </row>
    <row r="3648" spans="1:15" x14ac:dyDescent="0.3">
      <c r="A3648" t="s">
        <v>3661</v>
      </c>
      <c r="B3648">
        <v>4</v>
      </c>
      <c r="C3648">
        <v>35</v>
      </c>
      <c r="D3648" t="s">
        <v>5015</v>
      </c>
      <c r="E3648" t="s">
        <v>5017</v>
      </c>
      <c r="F3648" t="s">
        <v>5023</v>
      </c>
      <c r="G3648">
        <v>13.68</v>
      </c>
      <c r="H3648">
        <v>4</v>
      </c>
      <c r="I3648">
        <v>8.6</v>
      </c>
      <c r="J3648">
        <v>21.34</v>
      </c>
      <c r="K3648">
        <v>53.1</v>
      </c>
      <c r="L3648" t="s">
        <v>5028</v>
      </c>
      <c r="M3648">
        <v>11</v>
      </c>
      <c r="N3648">
        <v>1</v>
      </c>
      <c r="O3648">
        <v>1</v>
      </c>
    </row>
    <row r="3649" spans="1:15" x14ac:dyDescent="0.3">
      <c r="A3649" t="s">
        <v>3662</v>
      </c>
      <c r="B3649">
        <v>1</v>
      </c>
      <c r="C3649">
        <v>18</v>
      </c>
      <c r="D3649" t="s">
        <v>5016</v>
      </c>
      <c r="E3649" t="s">
        <v>5018</v>
      </c>
      <c r="F3649" t="s">
        <v>5024</v>
      </c>
      <c r="G3649">
        <v>19.760000000000002</v>
      </c>
      <c r="H3649">
        <v>1</v>
      </c>
      <c r="I3649">
        <v>5</v>
      </c>
      <c r="J3649">
        <v>8.5299999999999994</v>
      </c>
      <c r="K3649">
        <v>96.3</v>
      </c>
      <c r="L3649" t="s">
        <v>5025</v>
      </c>
      <c r="M3649">
        <v>2</v>
      </c>
      <c r="N3649">
        <v>4</v>
      </c>
      <c r="O3649">
        <v>1</v>
      </c>
    </row>
    <row r="3650" spans="1:15" x14ac:dyDescent="0.3">
      <c r="A3650" t="s">
        <v>3663</v>
      </c>
      <c r="B3650">
        <v>2</v>
      </c>
      <c r="C3650">
        <v>52</v>
      </c>
      <c r="D3650" t="s">
        <v>5015</v>
      </c>
      <c r="E3650" t="s">
        <v>5019</v>
      </c>
      <c r="F3650" t="s">
        <v>5023</v>
      </c>
      <c r="G3650">
        <v>20.58</v>
      </c>
      <c r="H3650">
        <v>1</v>
      </c>
      <c r="I3650">
        <v>2.8</v>
      </c>
      <c r="J3650">
        <v>18.77</v>
      </c>
      <c r="K3650">
        <v>12.6</v>
      </c>
      <c r="L3650" t="s">
        <v>5028</v>
      </c>
      <c r="M3650">
        <v>11</v>
      </c>
      <c r="N3650">
        <v>1</v>
      </c>
      <c r="O3650">
        <v>0</v>
      </c>
    </row>
    <row r="3651" spans="1:15" x14ac:dyDescent="0.3">
      <c r="A3651" t="s">
        <v>3664</v>
      </c>
      <c r="B3651">
        <v>5</v>
      </c>
      <c r="C3651">
        <v>52</v>
      </c>
      <c r="D3651" t="s">
        <v>5016</v>
      </c>
      <c r="E3651" t="s">
        <v>5017</v>
      </c>
      <c r="F3651" t="s">
        <v>5021</v>
      </c>
      <c r="G3651">
        <v>20.39</v>
      </c>
      <c r="H3651">
        <v>3</v>
      </c>
      <c r="I3651">
        <v>6.3</v>
      </c>
      <c r="J3651">
        <v>11.97</v>
      </c>
      <c r="K3651">
        <v>18.2</v>
      </c>
      <c r="L3651" t="s">
        <v>5027</v>
      </c>
      <c r="M3651">
        <v>3</v>
      </c>
      <c r="N3651">
        <v>3</v>
      </c>
      <c r="O3651">
        <v>0</v>
      </c>
    </row>
    <row r="3652" spans="1:15" x14ac:dyDescent="0.3">
      <c r="A3652" t="s">
        <v>3665</v>
      </c>
      <c r="B3652">
        <v>8</v>
      </c>
      <c r="C3652">
        <v>48</v>
      </c>
      <c r="D3652" t="s">
        <v>5015</v>
      </c>
      <c r="E3652" t="s">
        <v>5017</v>
      </c>
      <c r="F3652" t="s">
        <v>5020</v>
      </c>
      <c r="G3652">
        <v>24.96</v>
      </c>
      <c r="H3652">
        <v>3</v>
      </c>
      <c r="I3652">
        <v>5.7</v>
      </c>
      <c r="J3652">
        <v>4.3099999999999996</v>
      </c>
      <c r="K3652">
        <v>31.9</v>
      </c>
      <c r="L3652" t="s">
        <v>5025</v>
      </c>
      <c r="M3652">
        <v>2</v>
      </c>
      <c r="N3652">
        <v>3</v>
      </c>
      <c r="O3652">
        <v>1</v>
      </c>
    </row>
    <row r="3653" spans="1:15" x14ac:dyDescent="0.3">
      <c r="A3653" t="s">
        <v>3666</v>
      </c>
      <c r="B3653">
        <v>8</v>
      </c>
      <c r="C3653">
        <v>45</v>
      </c>
      <c r="D3653" t="s">
        <v>5016</v>
      </c>
      <c r="E3653" t="s">
        <v>5017</v>
      </c>
      <c r="F3653" t="s">
        <v>5022</v>
      </c>
      <c r="G3653">
        <v>6.43</v>
      </c>
      <c r="H3653">
        <v>4</v>
      </c>
      <c r="I3653">
        <v>4.7</v>
      </c>
      <c r="J3653">
        <v>9.69</v>
      </c>
      <c r="K3653">
        <v>28.8</v>
      </c>
      <c r="L3653" t="s">
        <v>5028</v>
      </c>
      <c r="M3653">
        <v>11</v>
      </c>
      <c r="N3653">
        <v>3</v>
      </c>
      <c r="O3653">
        <v>0</v>
      </c>
    </row>
    <row r="3654" spans="1:15" x14ac:dyDescent="0.3">
      <c r="A3654" t="s">
        <v>3667</v>
      </c>
      <c r="B3654">
        <v>11</v>
      </c>
      <c r="C3654">
        <v>56</v>
      </c>
      <c r="D3654" t="s">
        <v>5015</v>
      </c>
      <c r="E3654" t="s">
        <v>5018</v>
      </c>
      <c r="F3654" t="s">
        <v>5020</v>
      </c>
      <c r="G3654">
        <v>24.65</v>
      </c>
      <c r="H3654">
        <v>3</v>
      </c>
      <c r="I3654">
        <v>9.1</v>
      </c>
      <c r="J3654">
        <v>9.91</v>
      </c>
      <c r="K3654">
        <v>32.700000000000003</v>
      </c>
      <c r="L3654" t="s">
        <v>5028</v>
      </c>
      <c r="M3654">
        <v>10</v>
      </c>
      <c r="N3654">
        <v>2</v>
      </c>
      <c r="O3654">
        <v>1</v>
      </c>
    </row>
    <row r="3655" spans="1:15" x14ac:dyDescent="0.3">
      <c r="A3655" t="s">
        <v>3668</v>
      </c>
      <c r="B3655">
        <v>3</v>
      </c>
      <c r="C3655">
        <v>18</v>
      </c>
      <c r="D3655" t="s">
        <v>5016</v>
      </c>
      <c r="E3655" t="s">
        <v>5018</v>
      </c>
      <c r="F3655" t="s">
        <v>5024</v>
      </c>
      <c r="G3655">
        <v>24</v>
      </c>
      <c r="H3655">
        <v>1</v>
      </c>
      <c r="I3655">
        <v>7.7</v>
      </c>
      <c r="J3655">
        <v>22.9</v>
      </c>
      <c r="K3655">
        <v>50.7</v>
      </c>
      <c r="L3655" t="s">
        <v>5025</v>
      </c>
      <c r="M3655">
        <v>3</v>
      </c>
      <c r="N3655">
        <v>3</v>
      </c>
      <c r="O3655">
        <v>0</v>
      </c>
    </row>
    <row r="3656" spans="1:15" x14ac:dyDescent="0.3">
      <c r="A3656" t="s">
        <v>3669</v>
      </c>
      <c r="B3656">
        <v>11</v>
      </c>
      <c r="C3656">
        <v>42</v>
      </c>
      <c r="D3656" t="s">
        <v>5015</v>
      </c>
      <c r="E3656" t="s">
        <v>5018</v>
      </c>
      <c r="F3656" t="s">
        <v>5023</v>
      </c>
      <c r="G3656">
        <v>22.04</v>
      </c>
      <c r="H3656">
        <v>2</v>
      </c>
      <c r="I3656">
        <v>2.4</v>
      </c>
      <c r="J3656">
        <v>24.6</v>
      </c>
      <c r="K3656">
        <v>15.7</v>
      </c>
      <c r="L3656" t="s">
        <v>5026</v>
      </c>
      <c r="M3656">
        <v>5</v>
      </c>
      <c r="N3656">
        <v>1</v>
      </c>
      <c r="O3656">
        <v>0</v>
      </c>
    </row>
    <row r="3657" spans="1:15" x14ac:dyDescent="0.3">
      <c r="A3657" t="s">
        <v>3670</v>
      </c>
      <c r="B3657">
        <v>4</v>
      </c>
      <c r="C3657">
        <v>60</v>
      </c>
      <c r="D3657" t="s">
        <v>5015</v>
      </c>
      <c r="E3657" t="s">
        <v>5019</v>
      </c>
      <c r="F3657" t="s">
        <v>5024</v>
      </c>
      <c r="G3657">
        <v>14.08</v>
      </c>
      <c r="H3657">
        <v>1</v>
      </c>
      <c r="I3657">
        <v>6.1</v>
      </c>
      <c r="J3657">
        <v>7.61</v>
      </c>
      <c r="K3657">
        <v>60</v>
      </c>
      <c r="L3657" t="s">
        <v>5027</v>
      </c>
      <c r="M3657">
        <v>1</v>
      </c>
      <c r="N3657">
        <v>2</v>
      </c>
      <c r="O3657">
        <v>0</v>
      </c>
    </row>
    <row r="3658" spans="1:15" x14ac:dyDescent="0.3">
      <c r="A3658" t="s">
        <v>3671</v>
      </c>
      <c r="B3658">
        <v>10</v>
      </c>
      <c r="C3658">
        <v>55</v>
      </c>
      <c r="D3658" t="s">
        <v>5016</v>
      </c>
      <c r="E3658" t="s">
        <v>5018</v>
      </c>
      <c r="F3658" t="s">
        <v>5020</v>
      </c>
      <c r="G3658">
        <v>22.42</v>
      </c>
      <c r="H3658">
        <v>4</v>
      </c>
      <c r="I3658">
        <v>1.8</v>
      </c>
      <c r="J3658">
        <v>12.47</v>
      </c>
      <c r="K3658">
        <v>37.9</v>
      </c>
      <c r="L3658" t="s">
        <v>5029</v>
      </c>
      <c r="M3658">
        <v>1</v>
      </c>
      <c r="N3658">
        <v>1</v>
      </c>
      <c r="O3658">
        <v>0</v>
      </c>
    </row>
    <row r="3659" spans="1:15" x14ac:dyDescent="0.3">
      <c r="A3659" t="s">
        <v>3672</v>
      </c>
      <c r="B3659">
        <v>11</v>
      </c>
      <c r="C3659">
        <v>37</v>
      </c>
      <c r="D3659" t="s">
        <v>5016</v>
      </c>
      <c r="E3659" t="s">
        <v>5017</v>
      </c>
      <c r="F3659" t="s">
        <v>5023</v>
      </c>
      <c r="G3659">
        <v>9.42</v>
      </c>
      <c r="H3659">
        <v>2</v>
      </c>
      <c r="I3659">
        <v>3.2</v>
      </c>
      <c r="J3659">
        <v>24.49</v>
      </c>
      <c r="K3659">
        <v>16.399999999999999</v>
      </c>
      <c r="L3659" t="s">
        <v>5029</v>
      </c>
      <c r="M3659">
        <v>11</v>
      </c>
      <c r="N3659">
        <v>3</v>
      </c>
      <c r="O3659">
        <v>1</v>
      </c>
    </row>
    <row r="3660" spans="1:15" x14ac:dyDescent="0.3">
      <c r="A3660" t="s">
        <v>3673</v>
      </c>
      <c r="B3660">
        <v>6</v>
      </c>
      <c r="C3660">
        <v>20</v>
      </c>
      <c r="D3660" t="s">
        <v>5016</v>
      </c>
      <c r="E3660" t="s">
        <v>5017</v>
      </c>
      <c r="F3660" t="s">
        <v>5024</v>
      </c>
      <c r="G3660">
        <v>20.83</v>
      </c>
      <c r="H3660">
        <v>2</v>
      </c>
      <c r="I3660">
        <v>9.1999999999999993</v>
      </c>
      <c r="J3660">
        <v>11.96</v>
      </c>
      <c r="K3660">
        <v>77.8</v>
      </c>
      <c r="L3660" t="s">
        <v>5029</v>
      </c>
      <c r="M3660">
        <v>7</v>
      </c>
      <c r="N3660">
        <v>2</v>
      </c>
      <c r="O3660">
        <v>0</v>
      </c>
    </row>
    <row r="3661" spans="1:15" x14ac:dyDescent="0.3">
      <c r="A3661" t="s">
        <v>3674</v>
      </c>
      <c r="B3661">
        <v>11</v>
      </c>
      <c r="C3661">
        <v>68</v>
      </c>
      <c r="D3661" t="s">
        <v>5016</v>
      </c>
      <c r="E3661" t="s">
        <v>5018</v>
      </c>
      <c r="F3661" t="s">
        <v>5021</v>
      </c>
      <c r="G3661">
        <v>8.6999999999999993</v>
      </c>
      <c r="H3661">
        <v>1</v>
      </c>
      <c r="I3661">
        <v>5.2</v>
      </c>
      <c r="J3661">
        <v>10.68</v>
      </c>
      <c r="K3661">
        <v>68.8</v>
      </c>
      <c r="L3661" t="s">
        <v>5027</v>
      </c>
      <c r="M3661">
        <v>9</v>
      </c>
      <c r="N3661">
        <v>0</v>
      </c>
      <c r="O3661">
        <v>1</v>
      </c>
    </row>
    <row r="3662" spans="1:15" x14ac:dyDescent="0.3">
      <c r="A3662" t="s">
        <v>3675</v>
      </c>
      <c r="B3662">
        <v>11</v>
      </c>
      <c r="C3662">
        <v>19</v>
      </c>
      <c r="D3662" t="s">
        <v>5016</v>
      </c>
      <c r="E3662" t="s">
        <v>5018</v>
      </c>
      <c r="F3662" t="s">
        <v>5021</v>
      </c>
      <c r="G3662">
        <v>21.31</v>
      </c>
      <c r="H3662">
        <v>2</v>
      </c>
      <c r="I3662">
        <v>9</v>
      </c>
      <c r="J3662">
        <v>5.42</v>
      </c>
      <c r="K3662">
        <v>81.400000000000006</v>
      </c>
      <c r="L3662" t="s">
        <v>5025</v>
      </c>
      <c r="M3662">
        <v>9</v>
      </c>
      <c r="N3662">
        <v>3</v>
      </c>
      <c r="O3662">
        <v>0</v>
      </c>
    </row>
    <row r="3663" spans="1:15" x14ac:dyDescent="0.3">
      <c r="A3663" t="s">
        <v>3676</v>
      </c>
      <c r="B3663">
        <v>10</v>
      </c>
      <c r="C3663">
        <v>35</v>
      </c>
      <c r="D3663" t="s">
        <v>5015</v>
      </c>
      <c r="E3663" t="s">
        <v>5018</v>
      </c>
      <c r="F3663" t="s">
        <v>5022</v>
      </c>
      <c r="G3663">
        <v>17.29</v>
      </c>
      <c r="H3663">
        <v>2</v>
      </c>
      <c r="I3663">
        <v>2.5</v>
      </c>
      <c r="J3663">
        <v>19.57</v>
      </c>
      <c r="K3663">
        <v>94.5</v>
      </c>
      <c r="L3663" t="s">
        <v>5025</v>
      </c>
      <c r="M3663">
        <v>7</v>
      </c>
      <c r="N3663">
        <v>2</v>
      </c>
      <c r="O3663">
        <v>0</v>
      </c>
    </row>
    <row r="3664" spans="1:15" x14ac:dyDescent="0.3">
      <c r="A3664" t="s">
        <v>3677</v>
      </c>
      <c r="B3664">
        <v>3</v>
      </c>
      <c r="C3664">
        <v>61</v>
      </c>
      <c r="D3664" t="s">
        <v>5016</v>
      </c>
      <c r="E3664" t="s">
        <v>5018</v>
      </c>
      <c r="F3664" t="s">
        <v>5021</v>
      </c>
      <c r="G3664">
        <v>6.96</v>
      </c>
      <c r="H3664">
        <v>3</v>
      </c>
      <c r="I3664">
        <v>2.8</v>
      </c>
      <c r="J3664">
        <v>12.83</v>
      </c>
      <c r="K3664">
        <v>62.7</v>
      </c>
      <c r="L3664" t="s">
        <v>5025</v>
      </c>
      <c r="M3664">
        <v>11</v>
      </c>
      <c r="N3664">
        <v>2</v>
      </c>
      <c r="O3664">
        <v>0</v>
      </c>
    </row>
    <row r="3665" spans="1:15" x14ac:dyDescent="0.3">
      <c r="A3665" t="s">
        <v>3678</v>
      </c>
      <c r="B3665">
        <v>2</v>
      </c>
      <c r="C3665">
        <v>27</v>
      </c>
      <c r="D3665" t="s">
        <v>5016</v>
      </c>
      <c r="E3665" t="s">
        <v>5018</v>
      </c>
      <c r="F3665" t="s">
        <v>5021</v>
      </c>
      <c r="G3665">
        <v>22.91</v>
      </c>
      <c r="H3665">
        <v>2</v>
      </c>
      <c r="I3665">
        <v>4.2</v>
      </c>
      <c r="J3665">
        <v>17.05</v>
      </c>
      <c r="K3665">
        <v>80.8</v>
      </c>
      <c r="L3665" t="s">
        <v>5029</v>
      </c>
      <c r="M3665">
        <v>11</v>
      </c>
      <c r="N3665">
        <v>2</v>
      </c>
      <c r="O3665">
        <v>0</v>
      </c>
    </row>
    <row r="3666" spans="1:15" x14ac:dyDescent="0.3">
      <c r="A3666" t="s">
        <v>3679</v>
      </c>
      <c r="B3666">
        <v>6</v>
      </c>
      <c r="C3666">
        <v>22</v>
      </c>
      <c r="D3666" t="s">
        <v>5015</v>
      </c>
      <c r="E3666" t="s">
        <v>5019</v>
      </c>
      <c r="F3666" t="s">
        <v>5020</v>
      </c>
      <c r="G3666">
        <v>16.559999999999999</v>
      </c>
      <c r="H3666">
        <v>4</v>
      </c>
      <c r="I3666">
        <v>4.3</v>
      </c>
      <c r="J3666">
        <v>14.22</v>
      </c>
      <c r="K3666">
        <v>27.9</v>
      </c>
      <c r="L3666" t="s">
        <v>5026</v>
      </c>
      <c r="M3666">
        <v>2</v>
      </c>
      <c r="N3666">
        <v>4</v>
      </c>
      <c r="O3666">
        <v>0</v>
      </c>
    </row>
    <row r="3667" spans="1:15" x14ac:dyDescent="0.3">
      <c r="A3667" t="s">
        <v>3680</v>
      </c>
      <c r="B3667">
        <v>11</v>
      </c>
      <c r="C3667">
        <v>26</v>
      </c>
      <c r="D3667" t="s">
        <v>5016</v>
      </c>
      <c r="E3667" t="s">
        <v>5018</v>
      </c>
      <c r="F3667" t="s">
        <v>5021</v>
      </c>
      <c r="G3667">
        <v>18.12</v>
      </c>
      <c r="H3667">
        <v>2</v>
      </c>
      <c r="I3667">
        <v>7.7</v>
      </c>
      <c r="J3667">
        <v>6.84</v>
      </c>
      <c r="K3667">
        <v>46.9</v>
      </c>
      <c r="L3667" t="s">
        <v>5028</v>
      </c>
      <c r="M3667">
        <v>11</v>
      </c>
      <c r="N3667">
        <v>2</v>
      </c>
      <c r="O3667">
        <v>0</v>
      </c>
    </row>
    <row r="3668" spans="1:15" x14ac:dyDescent="0.3">
      <c r="A3668" t="s">
        <v>3681</v>
      </c>
      <c r="B3668">
        <v>5</v>
      </c>
      <c r="C3668">
        <v>19</v>
      </c>
      <c r="D3668" t="s">
        <v>5016</v>
      </c>
      <c r="E3668" t="s">
        <v>5019</v>
      </c>
      <c r="F3668" t="s">
        <v>5021</v>
      </c>
      <c r="G3668">
        <v>10.67</v>
      </c>
      <c r="H3668">
        <v>3</v>
      </c>
      <c r="I3668">
        <v>6.4</v>
      </c>
      <c r="J3668">
        <v>6.88</v>
      </c>
      <c r="K3668">
        <v>57.7</v>
      </c>
      <c r="L3668" t="s">
        <v>5029</v>
      </c>
      <c r="M3668">
        <v>7</v>
      </c>
      <c r="N3668">
        <v>0</v>
      </c>
      <c r="O3668">
        <v>0</v>
      </c>
    </row>
    <row r="3669" spans="1:15" x14ac:dyDescent="0.3">
      <c r="A3669" t="s">
        <v>3682</v>
      </c>
      <c r="B3669">
        <v>10</v>
      </c>
      <c r="C3669">
        <v>51</v>
      </c>
      <c r="D3669" t="s">
        <v>5016</v>
      </c>
      <c r="E3669" t="s">
        <v>5017</v>
      </c>
      <c r="F3669" t="s">
        <v>5020</v>
      </c>
      <c r="G3669">
        <v>22.43</v>
      </c>
      <c r="H3669">
        <v>5</v>
      </c>
      <c r="I3669">
        <v>6</v>
      </c>
      <c r="J3669">
        <v>23.67</v>
      </c>
      <c r="K3669">
        <v>58.7</v>
      </c>
      <c r="L3669" t="s">
        <v>5027</v>
      </c>
      <c r="M3669">
        <v>9</v>
      </c>
      <c r="N3669">
        <v>3</v>
      </c>
      <c r="O3669">
        <v>1</v>
      </c>
    </row>
    <row r="3670" spans="1:15" x14ac:dyDescent="0.3">
      <c r="A3670" t="s">
        <v>3683</v>
      </c>
      <c r="B3670">
        <v>5</v>
      </c>
      <c r="C3670">
        <v>55</v>
      </c>
      <c r="D3670" t="s">
        <v>5015</v>
      </c>
      <c r="E3670" t="s">
        <v>5018</v>
      </c>
      <c r="F3670" t="s">
        <v>5021</v>
      </c>
      <c r="G3670">
        <v>15.9</v>
      </c>
      <c r="H3670">
        <v>5</v>
      </c>
      <c r="I3670">
        <v>6.4</v>
      </c>
      <c r="J3670">
        <v>22.57</v>
      </c>
      <c r="K3670">
        <v>74.7</v>
      </c>
      <c r="L3670" t="s">
        <v>5025</v>
      </c>
      <c r="M3670">
        <v>7</v>
      </c>
      <c r="N3670">
        <v>3</v>
      </c>
      <c r="O3670">
        <v>0</v>
      </c>
    </row>
    <row r="3671" spans="1:15" x14ac:dyDescent="0.3">
      <c r="A3671" t="s">
        <v>3684</v>
      </c>
      <c r="B3671">
        <v>10</v>
      </c>
      <c r="C3671">
        <v>48</v>
      </c>
      <c r="D3671" t="s">
        <v>5016</v>
      </c>
      <c r="E3671" t="s">
        <v>5019</v>
      </c>
      <c r="F3671" t="s">
        <v>5021</v>
      </c>
      <c r="G3671">
        <v>13.42</v>
      </c>
      <c r="H3671">
        <v>4</v>
      </c>
      <c r="I3671">
        <v>7.6</v>
      </c>
      <c r="J3671">
        <v>16.43</v>
      </c>
      <c r="K3671">
        <v>81.599999999999994</v>
      </c>
      <c r="L3671" t="s">
        <v>5028</v>
      </c>
      <c r="M3671">
        <v>2</v>
      </c>
      <c r="N3671">
        <v>3</v>
      </c>
      <c r="O3671">
        <v>0</v>
      </c>
    </row>
    <row r="3672" spans="1:15" x14ac:dyDescent="0.3">
      <c r="A3672" t="s">
        <v>3685</v>
      </c>
      <c r="B3672">
        <v>5</v>
      </c>
      <c r="C3672">
        <v>27</v>
      </c>
      <c r="D3672" t="s">
        <v>5015</v>
      </c>
      <c r="E3672" t="s">
        <v>5018</v>
      </c>
      <c r="F3672" t="s">
        <v>5022</v>
      </c>
      <c r="G3672">
        <v>15.69</v>
      </c>
      <c r="H3672">
        <v>4</v>
      </c>
      <c r="I3672">
        <v>9</v>
      </c>
      <c r="J3672">
        <v>3.03</v>
      </c>
      <c r="K3672">
        <v>70</v>
      </c>
      <c r="L3672" t="s">
        <v>5025</v>
      </c>
      <c r="M3672">
        <v>7</v>
      </c>
      <c r="N3672">
        <v>2</v>
      </c>
      <c r="O3672">
        <v>0</v>
      </c>
    </row>
    <row r="3673" spans="1:15" x14ac:dyDescent="0.3">
      <c r="A3673" t="s">
        <v>3686</v>
      </c>
      <c r="B3673">
        <v>10</v>
      </c>
      <c r="C3673">
        <v>67</v>
      </c>
      <c r="D3673" t="s">
        <v>5015</v>
      </c>
      <c r="E3673" t="s">
        <v>5019</v>
      </c>
      <c r="F3673" t="s">
        <v>5021</v>
      </c>
      <c r="G3673">
        <v>19.07</v>
      </c>
      <c r="H3673">
        <v>2</v>
      </c>
      <c r="I3673">
        <v>4.7</v>
      </c>
      <c r="J3673">
        <v>12.53</v>
      </c>
      <c r="K3673">
        <v>14.3</v>
      </c>
      <c r="L3673" t="s">
        <v>5025</v>
      </c>
      <c r="M3673">
        <v>4</v>
      </c>
      <c r="N3673">
        <v>3</v>
      </c>
      <c r="O3673">
        <v>0</v>
      </c>
    </row>
    <row r="3674" spans="1:15" x14ac:dyDescent="0.3">
      <c r="A3674" t="s">
        <v>3687</v>
      </c>
      <c r="B3674">
        <v>12</v>
      </c>
      <c r="C3674">
        <v>29</v>
      </c>
      <c r="D3674" t="s">
        <v>5016</v>
      </c>
      <c r="E3674" t="s">
        <v>5019</v>
      </c>
      <c r="F3674" t="s">
        <v>5021</v>
      </c>
      <c r="G3674">
        <v>18.899999999999999</v>
      </c>
      <c r="H3674">
        <v>2</v>
      </c>
      <c r="I3674">
        <v>8.1999999999999993</v>
      </c>
      <c r="J3674">
        <v>14.67</v>
      </c>
      <c r="K3674">
        <v>41.6</v>
      </c>
      <c r="L3674" t="s">
        <v>5025</v>
      </c>
      <c r="M3674">
        <v>8</v>
      </c>
      <c r="N3674">
        <v>0</v>
      </c>
      <c r="O3674">
        <v>1</v>
      </c>
    </row>
    <row r="3675" spans="1:15" x14ac:dyDescent="0.3">
      <c r="A3675" t="s">
        <v>3688</v>
      </c>
      <c r="B3675">
        <v>5</v>
      </c>
      <c r="C3675">
        <v>53</v>
      </c>
      <c r="D3675" t="s">
        <v>5015</v>
      </c>
      <c r="E3675" t="s">
        <v>5017</v>
      </c>
      <c r="F3675" t="s">
        <v>5022</v>
      </c>
      <c r="G3675">
        <v>12.15</v>
      </c>
      <c r="H3675">
        <v>5</v>
      </c>
      <c r="I3675">
        <v>5.5</v>
      </c>
      <c r="J3675">
        <v>12.89</v>
      </c>
      <c r="K3675">
        <v>61.5</v>
      </c>
      <c r="L3675" t="s">
        <v>5026</v>
      </c>
      <c r="M3675">
        <v>3</v>
      </c>
      <c r="N3675">
        <v>4</v>
      </c>
      <c r="O3675">
        <v>0</v>
      </c>
    </row>
    <row r="3676" spans="1:15" x14ac:dyDescent="0.3">
      <c r="A3676" t="s">
        <v>3689</v>
      </c>
      <c r="B3676">
        <v>3</v>
      </c>
      <c r="C3676">
        <v>38</v>
      </c>
      <c r="D3676" t="s">
        <v>5016</v>
      </c>
      <c r="E3676" t="s">
        <v>5018</v>
      </c>
      <c r="F3676" t="s">
        <v>5020</v>
      </c>
      <c r="G3676">
        <v>12.71</v>
      </c>
      <c r="H3676">
        <v>5</v>
      </c>
      <c r="I3676">
        <v>7.5</v>
      </c>
      <c r="J3676">
        <v>23.36</v>
      </c>
      <c r="K3676">
        <v>55.7</v>
      </c>
      <c r="L3676" t="s">
        <v>5028</v>
      </c>
      <c r="M3676">
        <v>5</v>
      </c>
      <c r="N3676">
        <v>0</v>
      </c>
      <c r="O3676">
        <v>1</v>
      </c>
    </row>
    <row r="3677" spans="1:15" x14ac:dyDescent="0.3">
      <c r="A3677" t="s">
        <v>3690</v>
      </c>
      <c r="B3677">
        <v>7</v>
      </c>
      <c r="C3677">
        <v>66</v>
      </c>
      <c r="D3677" t="s">
        <v>5016</v>
      </c>
      <c r="E3677" t="s">
        <v>5017</v>
      </c>
      <c r="F3677" t="s">
        <v>5021</v>
      </c>
      <c r="G3677">
        <v>16.239999999999998</v>
      </c>
      <c r="H3677">
        <v>1</v>
      </c>
      <c r="I3677">
        <v>8.9</v>
      </c>
      <c r="J3677">
        <v>3.9</v>
      </c>
      <c r="K3677">
        <v>14</v>
      </c>
      <c r="L3677" t="s">
        <v>5029</v>
      </c>
      <c r="M3677">
        <v>3</v>
      </c>
      <c r="N3677">
        <v>4</v>
      </c>
      <c r="O3677">
        <v>0</v>
      </c>
    </row>
    <row r="3678" spans="1:15" x14ac:dyDescent="0.3">
      <c r="A3678" t="s">
        <v>3691</v>
      </c>
      <c r="B3678">
        <v>6</v>
      </c>
      <c r="C3678">
        <v>64</v>
      </c>
      <c r="D3678" t="s">
        <v>5016</v>
      </c>
      <c r="E3678" t="s">
        <v>5019</v>
      </c>
      <c r="F3678" t="s">
        <v>5024</v>
      </c>
      <c r="G3678">
        <v>23.49</v>
      </c>
      <c r="H3678">
        <v>5</v>
      </c>
      <c r="I3678">
        <v>1.3</v>
      </c>
      <c r="J3678">
        <v>17.41</v>
      </c>
      <c r="K3678">
        <v>98.3</v>
      </c>
      <c r="L3678" t="s">
        <v>5026</v>
      </c>
      <c r="M3678">
        <v>7</v>
      </c>
      <c r="N3678">
        <v>3</v>
      </c>
      <c r="O3678">
        <v>0</v>
      </c>
    </row>
    <row r="3679" spans="1:15" x14ac:dyDescent="0.3">
      <c r="A3679" t="s">
        <v>3692</v>
      </c>
      <c r="B3679">
        <v>4</v>
      </c>
      <c r="C3679">
        <v>23</v>
      </c>
      <c r="D3679" t="s">
        <v>5016</v>
      </c>
      <c r="E3679" t="s">
        <v>5019</v>
      </c>
      <c r="F3679" t="s">
        <v>5020</v>
      </c>
      <c r="G3679">
        <v>19.91</v>
      </c>
      <c r="H3679">
        <v>5</v>
      </c>
      <c r="I3679">
        <v>5.9</v>
      </c>
      <c r="J3679">
        <v>9.9</v>
      </c>
      <c r="K3679">
        <v>96</v>
      </c>
      <c r="L3679" t="s">
        <v>5027</v>
      </c>
      <c r="M3679">
        <v>3</v>
      </c>
      <c r="N3679">
        <v>1</v>
      </c>
      <c r="O3679">
        <v>1</v>
      </c>
    </row>
    <row r="3680" spans="1:15" x14ac:dyDescent="0.3">
      <c r="A3680" t="s">
        <v>3693</v>
      </c>
      <c r="B3680">
        <v>2</v>
      </c>
      <c r="C3680">
        <v>65</v>
      </c>
      <c r="D3680" t="s">
        <v>5016</v>
      </c>
      <c r="E3680" t="s">
        <v>5017</v>
      </c>
      <c r="F3680" t="s">
        <v>5020</v>
      </c>
      <c r="G3680">
        <v>12.81</v>
      </c>
      <c r="H3680">
        <v>4</v>
      </c>
      <c r="I3680">
        <v>9.9</v>
      </c>
      <c r="J3680">
        <v>15.31</v>
      </c>
      <c r="K3680">
        <v>79.599999999999994</v>
      </c>
      <c r="L3680" t="s">
        <v>5027</v>
      </c>
      <c r="M3680">
        <v>10</v>
      </c>
      <c r="N3680">
        <v>4</v>
      </c>
      <c r="O3680">
        <v>1</v>
      </c>
    </row>
    <row r="3681" spans="1:15" x14ac:dyDescent="0.3">
      <c r="A3681" t="s">
        <v>3694</v>
      </c>
      <c r="B3681">
        <v>12</v>
      </c>
      <c r="C3681">
        <v>66</v>
      </c>
      <c r="D3681" t="s">
        <v>5015</v>
      </c>
      <c r="E3681" t="s">
        <v>5017</v>
      </c>
      <c r="F3681" t="s">
        <v>5021</v>
      </c>
      <c r="G3681">
        <v>11.74</v>
      </c>
      <c r="H3681">
        <v>1</v>
      </c>
      <c r="I3681">
        <v>5.5</v>
      </c>
      <c r="J3681">
        <v>17.43</v>
      </c>
      <c r="K3681">
        <v>15</v>
      </c>
      <c r="L3681" t="s">
        <v>5029</v>
      </c>
      <c r="M3681">
        <v>5</v>
      </c>
      <c r="N3681">
        <v>0</v>
      </c>
      <c r="O3681">
        <v>0</v>
      </c>
    </row>
    <row r="3682" spans="1:15" x14ac:dyDescent="0.3">
      <c r="A3682" t="s">
        <v>3695</v>
      </c>
      <c r="B3682">
        <v>9</v>
      </c>
      <c r="C3682">
        <v>20</v>
      </c>
      <c r="D3682" t="s">
        <v>5015</v>
      </c>
      <c r="E3682" t="s">
        <v>5018</v>
      </c>
      <c r="F3682" t="s">
        <v>5022</v>
      </c>
      <c r="G3682">
        <v>15.47</v>
      </c>
      <c r="H3682">
        <v>1</v>
      </c>
      <c r="I3682">
        <v>8.8000000000000007</v>
      </c>
      <c r="J3682">
        <v>12.7</v>
      </c>
      <c r="K3682">
        <v>48.7</v>
      </c>
      <c r="L3682" t="s">
        <v>5028</v>
      </c>
      <c r="M3682">
        <v>1</v>
      </c>
      <c r="N3682">
        <v>0</v>
      </c>
      <c r="O3682">
        <v>0</v>
      </c>
    </row>
    <row r="3683" spans="1:15" x14ac:dyDescent="0.3">
      <c r="A3683" t="s">
        <v>3696</v>
      </c>
      <c r="B3683">
        <v>1</v>
      </c>
      <c r="C3683">
        <v>27</v>
      </c>
      <c r="D3683" t="s">
        <v>5015</v>
      </c>
      <c r="E3683" t="s">
        <v>5018</v>
      </c>
      <c r="F3683" t="s">
        <v>5020</v>
      </c>
      <c r="G3683">
        <v>22.4</v>
      </c>
      <c r="H3683">
        <v>2</v>
      </c>
      <c r="I3683">
        <v>2.7</v>
      </c>
      <c r="J3683">
        <v>6.26</v>
      </c>
      <c r="K3683">
        <v>46.9</v>
      </c>
      <c r="L3683" t="s">
        <v>5029</v>
      </c>
      <c r="M3683">
        <v>4</v>
      </c>
      <c r="N3683">
        <v>1</v>
      </c>
      <c r="O3683">
        <v>0</v>
      </c>
    </row>
    <row r="3684" spans="1:15" x14ac:dyDescent="0.3">
      <c r="A3684" t="s">
        <v>3697</v>
      </c>
      <c r="B3684">
        <v>11</v>
      </c>
      <c r="C3684">
        <v>22</v>
      </c>
      <c r="D3684" t="s">
        <v>5015</v>
      </c>
      <c r="E3684" t="s">
        <v>5017</v>
      </c>
      <c r="F3684" t="s">
        <v>5022</v>
      </c>
      <c r="G3684">
        <v>5.17</v>
      </c>
      <c r="H3684">
        <v>2</v>
      </c>
      <c r="I3684">
        <v>6.4</v>
      </c>
      <c r="J3684">
        <v>14.42</v>
      </c>
      <c r="K3684">
        <v>60.2</v>
      </c>
      <c r="L3684" t="s">
        <v>5026</v>
      </c>
      <c r="M3684">
        <v>6</v>
      </c>
      <c r="N3684">
        <v>4</v>
      </c>
      <c r="O3684">
        <v>0</v>
      </c>
    </row>
    <row r="3685" spans="1:15" x14ac:dyDescent="0.3">
      <c r="A3685" t="s">
        <v>3698</v>
      </c>
      <c r="B3685">
        <v>4</v>
      </c>
      <c r="C3685">
        <v>63</v>
      </c>
      <c r="D3685" t="s">
        <v>5016</v>
      </c>
      <c r="E3685" t="s">
        <v>5018</v>
      </c>
      <c r="F3685" t="s">
        <v>5024</v>
      </c>
      <c r="G3685">
        <v>19.21</v>
      </c>
      <c r="H3685">
        <v>1</v>
      </c>
      <c r="I3685">
        <v>8.8000000000000007</v>
      </c>
      <c r="J3685">
        <v>23.53</v>
      </c>
      <c r="K3685">
        <v>15</v>
      </c>
      <c r="L3685" t="s">
        <v>5028</v>
      </c>
      <c r="M3685">
        <v>2</v>
      </c>
      <c r="N3685">
        <v>4</v>
      </c>
      <c r="O3685">
        <v>0</v>
      </c>
    </row>
    <row r="3686" spans="1:15" x14ac:dyDescent="0.3">
      <c r="A3686" t="s">
        <v>3699</v>
      </c>
      <c r="B3686">
        <v>1</v>
      </c>
      <c r="C3686">
        <v>43</v>
      </c>
      <c r="D3686" t="s">
        <v>5016</v>
      </c>
      <c r="E3686" t="s">
        <v>5018</v>
      </c>
      <c r="F3686" t="s">
        <v>5022</v>
      </c>
      <c r="G3686">
        <v>10.89</v>
      </c>
      <c r="H3686">
        <v>1</v>
      </c>
      <c r="I3686">
        <v>4.9000000000000004</v>
      </c>
      <c r="J3686">
        <v>14.79</v>
      </c>
      <c r="K3686">
        <v>48.1</v>
      </c>
      <c r="L3686" t="s">
        <v>5027</v>
      </c>
      <c r="M3686">
        <v>6</v>
      </c>
      <c r="N3686">
        <v>0</v>
      </c>
      <c r="O3686">
        <v>0</v>
      </c>
    </row>
    <row r="3687" spans="1:15" x14ac:dyDescent="0.3">
      <c r="A3687" t="s">
        <v>3700</v>
      </c>
      <c r="B3687">
        <v>6</v>
      </c>
      <c r="C3687">
        <v>38</v>
      </c>
      <c r="D3687" t="s">
        <v>5015</v>
      </c>
      <c r="E3687" t="s">
        <v>5017</v>
      </c>
      <c r="F3687" t="s">
        <v>5023</v>
      </c>
      <c r="G3687">
        <v>9.17</v>
      </c>
      <c r="H3687">
        <v>2</v>
      </c>
      <c r="I3687">
        <v>5.4</v>
      </c>
      <c r="J3687">
        <v>5.7</v>
      </c>
      <c r="K3687">
        <v>78.2</v>
      </c>
      <c r="L3687" t="s">
        <v>5028</v>
      </c>
      <c r="M3687">
        <v>10</v>
      </c>
      <c r="N3687">
        <v>4</v>
      </c>
      <c r="O3687">
        <v>1</v>
      </c>
    </row>
    <row r="3688" spans="1:15" x14ac:dyDescent="0.3">
      <c r="A3688" t="s">
        <v>3701</v>
      </c>
      <c r="B3688">
        <v>4</v>
      </c>
      <c r="C3688">
        <v>62</v>
      </c>
      <c r="D3688" t="s">
        <v>5016</v>
      </c>
      <c r="E3688" t="s">
        <v>5019</v>
      </c>
      <c r="F3688" t="s">
        <v>5022</v>
      </c>
      <c r="G3688">
        <v>5.24</v>
      </c>
      <c r="H3688">
        <v>4</v>
      </c>
      <c r="I3688">
        <v>1.7</v>
      </c>
      <c r="J3688">
        <v>21.13</v>
      </c>
      <c r="K3688">
        <v>99.8</v>
      </c>
      <c r="L3688" t="s">
        <v>5028</v>
      </c>
      <c r="M3688">
        <v>7</v>
      </c>
      <c r="N3688">
        <v>1</v>
      </c>
      <c r="O3688">
        <v>0</v>
      </c>
    </row>
    <row r="3689" spans="1:15" x14ac:dyDescent="0.3">
      <c r="A3689" t="s">
        <v>3702</v>
      </c>
      <c r="B3689">
        <v>5</v>
      </c>
      <c r="C3689">
        <v>43</v>
      </c>
      <c r="D3689" t="s">
        <v>5015</v>
      </c>
      <c r="E3689" t="s">
        <v>5019</v>
      </c>
      <c r="F3689" t="s">
        <v>5020</v>
      </c>
      <c r="G3689">
        <v>22.93</v>
      </c>
      <c r="H3689">
        <v>4</v>
      </c>
      <c r="I3689">
        <v>1.4</v>
      </c>
      <c r="J3689">
        <v>7.88</v>
      </c>
      <c r="K3689">
        <v>63.6</v>
      </c>
      <c r="L3689" t="s">
        <v>5028</v>
      </c>
      <c r="M3689">
        <v>8</v>
      </c>
      <c r="N3689">
        <v>4</v>
      </c>
      <c r="O3689">
        <v>0</v>
      </c>
    </row>
    <row r="3690" spans="1:15" x14ac:dyDescent="0.3">
      <c r="A3690" t="s">
        <v>3703</v>
      </c>
      <c r="B3690">
        <v>5</v>
      </c>
      <c r="C3690">
        <v>55</v>
      </c>
      <c r="D3690" t="s">
        <v>5015</v>
      </c>
      <c r="E3690" t="s">
        <v>5019</v>
      </c>
      <c r="F3690" t="s">
        <v>5022</v>
      </c>
      <c r="G3690">
        <v>23.24</v>
      </c>
      <c r="H3690">
        <v>4</v>
      </c>
      <c r="I3690">
        <v>5.2</v>
      </c>
      <c r="J3690">
        <v>11.14</v>
      </c>
      <c r="K3690">
        <v>94.7</v>
      </c>
      <c r="L3690" t="s">
        <v>5029</v>
      </c>
      <c r="M3690">
        <v>3</v>
      </c>
      <c r="N3690">
        <v>4</v>
      </c>
      <c r="O3690">
        <v>1</v>
      </c>
    </row>
    <row r="3691" spans="1:15" x14ac:dyDescent="0.3">
      <c r="A3691" t="s">
        <v>3704</v>
      </c>
      <c r="B3691">
        <v>9</v>
      </c>
      <c r="C3691">
        <v>61</v>
      </c>
      <c r="D3691" t="s">
        <v>5015</v>
      </c>
      <c r="E3691" t="s">
        <v>5019</v>
      </c>
      <c r="F3691" t="s">
        <v>5022</v>
      </c>
      <c r="G3691">
        <v>6.23</v>
      </c>
      <c r="H3691">
        <v>4</v>
      </c>
      <c r="I3691">
        <v>8.6</v>
      </c>
      <c r="J3691">
        <v>12.43</v>
      </c>
      <c r="K3691">
        <v>99.9</v>
      </c>
      <c r="L3691" t="s">
        <v>5025</v>
      </c>
      <c r="M3691">
        <v>10</v>
      </c>
      <c r="N3691">
        <v>1</v>
      </c>
      <c r="O3691">
        <v>0</v>
      </c>
    </row>
    <row r="3692" spans="1:15" x14ac:dyDescent="0.3">
      <c r="A3692" t="s">
        <v>3705</v>
      </c>
      <c r="B3692">
        <v>1</v>
      </c>
      <c r="C3692">
        <v>43</v>
      </c>
      <c r="D3692" t="s">
        <v>5015</v>
      </c>
      <c r="E3692" t="s">
        <v>5017</v>
      </c>
      <c r="F3692" t="s">
        <v>5023</v>
      </c>
      <c r="G3692">
        <v>15.44</v>
      </c>
      <c r="H3692">
        <v>2</v>
      </c>
      <c r="I3692">
        <v>9.4</v>
      </c>
      <c r="J3692">
        <v>10.47</v>
      </c>
      <c r="K3692">
        <v>49.1</v>
      </c>
      <c r="L3692" t="s">
        <v>5026</v>
      </c>
      <c r="M3692">
        <v>11</v>
      </c>
      <c r="N3692">
        <v>3</v>
      </c>
      <c r="O3692">
        <v>0</v>
      </c>
    </row>
    <row r="3693" spans="1:15" x14ac:dyDescent="0.3">
      <c r="A3693" t="s">
        <v>3706</v>
      </c>
      <c r="B3693">
        <v>2</v>
      </c>
      <c r="C3693">
        <v>25</v>
      </c>
      <c r="D3693" t="s">
        <v>5016</v>
      </c>
      <c r="E3693" t="s">
        <v>5017</v>
      </c>
      <c r="F3693" t="s">
        <v>5023</v>
      </c>
      <c r="G3693">
        <v>8.0500000000000007</v>
      </c>
      <c r="H3693">
        <v>3</v>
      </c>
      <c r="I3693">
        <v>6.9</v>
      </c>
      <c r="J3693">
        <v>11.9</v>
      </c>
      <c r="K3693">
        <v>70.2</v>
      </c>
      <c r="L3693" t="s">
        <v>5028</v>
      </c>
      <c r="M3693">
        <v>3</v>
      </c>
      <c r="N3693">
        <v>4</v>
      </c>
      <c r="O3693">
        <v>0</v>
      </c>
    </row>
    <row r="3694" spans="1:15" x14ac:dyDescent="0.3">
      <c r="A3694" t="s">
        <v>3707</v>
      </c>
      <c r="B3694">
        <v>6</v>
      </c>
      <c r="C3694">
        <v>22</v>
      </c>
      <c r="D3694" t="s">
        <v>5016</v>
      </c>
      <c r="E3694" t="s">
        <v>5017</v>
      </c>
      <c r="F3694" t="s">
        <v>5021</v>
      </c>
      <c r="G3694">
        <v>20.170000000000002</v>
      </c>
      <c r="H3694">
        <v>5</v>
      </c>
      <c r="I3694">
        <v>8.4</v>
      </c>
      <c r="J3694">
        <v>20.5</v>
      </c>
      <c r="K3694">
        <v>29.2</v>
      </c>
      <c r="L3694" t="s">
        <v>5028</v>
      </c>
      <c r="M3694">
        <v>5</v>
      </c>
      <c r="N3694">
        <v>0</v>
      </c>
      <c r="O3694">
        <v>1</v>
      </c>
    </row>
    <row r="3695" spans="1:15" x14ac:dyDescent="0.3">
      <c r="A3695" t="s">
        <v>3708</v>
      </c>
      <c r="B3695">
        <v>5</v>
      </c>
      <c r="C3695">
        <v>32</v>
      </c>
      <c r="D3695" t="s">
        <v>5015</v>
      </c>
      <c r="E3695" t="s">
        <v>5019</v>
      </c>
      <c r="F3695" t="s">
        <v>5020</v>
      </c>
      <c r="G3695">
        <v>18.309999999999999</v>
      </c>
      <c r="H3695">
        <v>5</v>
      </c>
      <c r="I3695">
        <v>7.6</v>
      </c>
      <c r="J3695">
        <v>7.91</v>
      </c>
      <c r="K3695">
        <v>52.8</v>
      </c>
      <c r="L3695" t="s">
        <v>5029</v>
      </c>
      <c r="M3695">
        <v>3</v>
      </c>
      <c r="N3695">
        <v>2</v>
      </c>
      <c r="O3695">
        <v>0</v>
      </c>
    </row>
    <row r="3696" spans="1:15" x14ac:dyDescent="0.3">
      <c r="A3696" t="s">
        <v>3709</v>
      </c>
      <c r="B3696">
        <v>11</v>
      </c>
      <c r="C3696">
        <v>33</v>
      </c>
      <c r="D3696" t="s">
        <v>5015</v>
      </c>
      <c r="E3696" t="s">
        <v>5019</v>
      </c>
      <c r="F3696" t="s">
        <v>5021</v>
      </c>
      <c r="G3696">
        <v>10.94</v>
      </c>
      <c r="H3696">
        <v>5</v>
      </c>
      <c r="I3696">
        <v>7.3</v>
      </c>
      <c r="J3696">
        <v>13.35</v>
      </c>
      <c r="K3696">
        <v>17.100000000000001</v>
      </c>
      <c r="L3696" t="s">
        <v>5026</v>
      </c>
      <c r="M3696">
        <v>9</v>
      </c>
      <c r="N3696">
        <v>0</v>
      </c>
      <c r="O3696">
        <v>1</v>
      </c>
    </row>
    <row r="3697" spans="1:15" x14ac:dyDescent="0.3">
      <c r="A3697" t="s">
        <v>3710</v>
      </c>
      <c r="B3697">
        <v>7</v>
      </c>
      <c r="C3697">
        <v>18</v>
      </c>
      <c r="D3697" t="s">
        <v>5015</v>
      </c>
      <c r="E3697" t="s">
        <v>5019</v>
      </c>
      <c r="F3697" t="s">
        <v>5023</v>
      </c>
      <c r="G3697">
        <v>7.34</v>
      </c>
      <c r="H3697">
        <v>5</v>
      </c>
      <c r="I3697">
        <v>7.9</v>
      </c>
      <c r="J3697">
        <v>3.44</v>
      </c>
      <c r="K3697">
        <v>12.6</v>
      </c>
      <c r="L3697" t="s">
        <v>5026</v>
      </c>
      <c r="M3697">
        <v>7</v>
      </c>
      <c r="N3697">
        <v>0</v>
      </c>
      <c r="O3697">
        <v>0</v>
      </c>
    </row>
    <row r="3698" spans="1:15" x14ac:dyDescent="0.3">
      <c r="A3698" t="s">
        <v>3711</v>
      </c>
      <c r="B3698">
        <v>3</v>
      </c>
      <c r="C3698">
        <v>33</v>
      </c>
      <c r="D3698" t="s">
        <v>5015</v>
      </c>
      <c r="E3698" t="s">
        <v>5019</v>
      </c>
      <c r="F3698" t="s">
        <v>5022</v>
      </c>
      <c r="G3698">
        <v>21.62</v>
      </c>
      <c r="H3698">
        <v>2</v>
      </c>
      <c r="I3698">
        <v>5.5</v>
      </c>
      <c r="J3698">
        <v>14.17</v>
      </c>
      <c r="K3698">
        <v>90.4</v>
      </c>
      <c r="L3698" t="s">
        <v>5027</v>
      </c>
      <c r="M3698">
        <v>5</v>
      </c>
      <c r="N3698">
        <v>3</v>
      </c>
      <c r="O3698">
        <v>0</v>
      </c>
    </row>
    <row r="3699" spans="1:15" x14ac:dyDescent="0.3">
      <c r="A3699" t="s">
        <v>3712</v>
      </c>
      <c r="B3699">
        <v>3</v>
      </c>
      <c r="C3699">
        <v>54</v>
      </c>
      <c r="D3699" t="s">
        <v>5015</v>
      </c>
      <c r="E3699" t="s">
        <v>5018</v>
      </c>
      <c r="F3699" t="s">
        <v>5023</v>
      </c>
      <c r="G3699">
        <v>18.489999999999998</v>
      </c>
      <c r="H3699">
        <v>3</v>
      </c>
      <c r="I3699">
        <v>5.0999999999999996</v>
      </c>
      <c r="J3699">
        <v>5.46</v>
      </c>
      <c r="K3699">
        <v>87.3</v>
      </c>
      <c r="L3699" t="s">
        <v>5026</v>
      </c>
      <c r="M3699">
        <v>5</v>
      </c>
      <c r="N3699">
        <v>3</v>
      </c>
      <c r="O3699">
        <v>0</v>
      </c>
    </row>
    <row r="3700" spans="1:15" x14ac:dyDescent="0.3">
      <c r="A3700" t="s">
        <v>3713</v>
      </c>
      <c r="B3700">
        <v>10</v>
      </c>
      <c r="C3700">
        <v>20</v>
      </c>
      <c r="D3700" t="s">
        <v>5016</v>
      </c>
      <c r="E3700" t="s">
        <v>5018</v>
      </c>
      <c r="F3700" t="s">
        <v>5024</v>
      </c>
      <c r="G3700">
        <v>5.14</v>
      </c>
      <c r="H3700">
        <v>2</v>
      </c>
      <c r="I3700">
        <v>2.4</v>
      </c>
      <c r="J3700">
        <v>9.2100000000000009</v>
      </c>
      <c r="K3700">
        <v>38.1</v>
      </c>
      <c r="L3700" t="s">
        <v>5026</v>
      </c>
      <c r="M3700">
        <v>1</v>
      </c>
      <c r="N3700">
        <v>0</v>
      </c>
      <c r="O3700">
        <v>0</v>
      </c>
    </row>
    <row r="3701" spans="1:15" x14ac:dyDescent="0.3">
      <c r="A3701" t="s">
        <v>3714</v>
      </c>
      <c r="B3701">
        <v>2</v>
      </c>
      <c r="C3701">
        <v>69</v>
      </c>
      <c r="D3701" t="s">
        <v>5015</v>
      </c>
      <c r="E3701" t="s">
        <v>5018</v>
      </c>
      <c r="F3701" t="s">
        <v>5022</v>
      </c>
      <c r="G3701">
        <v>17.559999999999999</v>
      </c>
      <c r="H3701">
        <v>3</v>
      </c>
      <c r="I3701">
        <v>8.6</v>
      </c>
      <c r="J3701">
        <v>10.15</v>
      </c>
      <c r="K3701">
        <v>51.1</v>
      </c>
      <c r="L3701" t="s">
        <v>5028</v>
      </c>
      <c r="M3701">
        <v>9</v>
      </c>
      <c r="N3701">
        <v>4</v>
      </c>
      <c r="O3701">
        <v>0</v>
      </c>
    </row>
    <row r="3702" spans="1:15" x14ac:dyDescent="0.3">
      <c r="A3702" t="s">
        <v>3715</v>
      </c>
      <c r="B3702">
        <v>3</v>
      </c>
      <c r="C3702">
        <v>64</v>
      </c>
      <c r="D3702" t="s">
        <v>5015</v>
      </c>
      <c r="E3702" t="s">
        <v>5017</v>
      </c>
      <c r="F3702" t="s">
        <v>5021</v>
      </c>
      <c r="G3702">
        <v>21.21</v>
      </c>
      <c r="H3702">
        <v>2</v>
      </c>
      <c r="I3702">
        <v>1.4</v>
      </c>
      <c r="J3702">
        <v>4.8099999999999996</v>
      </c>
      <c r="K3702">
        <v>54.4</v>
      </c>
      <c r="L3702" t="s">
        <v>5025</v>
      </c>
      <c r="M3702">
        <v>2</v>
      </c>
      <c r="N3702">
        <v>0</v>
      </c>
      <c r="O3702">
        <v>0</v>
      </c>
    </row>
    <row r="3703" spans="1:15" x14ac:dyDescent="0.3">
      <c r="A3703" t="s">
        <v>3716</v>
      </c>
      <c r="B3703">
        <v>10</v>
      </c>
      <c r="C3703">
        <v>48</v>
      </c>
      <c r="D3703" t="s">
        <v>5016</v>
      </c>
      <c r="E3703" t="s">
        <v>5017</v>
      </c>
      <c r="F3703" t="s">
        <v>5022</v>
      </c>
      <c r="G3703">
        <v>16.82</v>
      </c>
      <c r="H3703">
        <v>1</v>
      </c>
      <c r="I3703">
        <v>3.4</v>
      </c>
      <c r="J3703">
        <v>10.93</v>
      </c>
      <c r="K3703">
        <v>56.9</v>
      </c>
      <c r="L3703" t="s">
        <v>5028</v>
      </c>
      <c r="M3703">
        <v>7</v>
      </c>
      <c r="N3703">
        <v>4</v>
      </c>
      <c r="O3703">
        <v>0</v>
      </c>
    </row>
    <row r="3704" spans="1:15" x14ac:dyDescent="0.3">
      <c r="A3704" t="s">
        <v>3717</v>
      </c>
      <c r="B3704">
        <v>1</v>
      </c>
      <c r="C3704">
        <v>30</v>
      </c>
      <c r="D3704" t="s">
        <v>5016</v>
      </c>
      <c r="E3704" t="s">
        <v>5018</v>
      </c>
      <c r="F3704" t="s">
        <v>5024</v>
      </c>
      <c r="G3704">
        <v>13.49</v>
      </c>
      <c r="H3704">
        <v>3</v>
      </c>
      <c r="I3704">
        <v>5.7</v>
      </c>
      <c r="J3704">
        <v>13.96</v>
      </c>
      <c r="K3704">
        <v>22.1</v>
      </c>
      <c r="L3704" t="s">
        <v>5029</v>
      </c>
      <c r="M3704">
        <v>7</v>
      </c>
      <c r="N3704">
        <v>1</v>
      </c>
      <c r="O3704">
        <v>1</v>
      </c>
    </row>
    <row r="3705" spans="1:15" x14ac:dyDescent="0.3">
      <c r="A3705" t="s">
        <v>3718</v>
      </c>
      <c r="B3705">
        <v>5</v>
      </c>
      <c r="C3705">
        <v>33</v>
      </c>
      <c r="D3705" t="s">
        <v>5016</v>
      </c>
      <c r="E3705" t="s">
        <v>5018</v>
      </c>
      <c r="F3705" t="s">
        <v>5023</v>
      </c>
      <c r="G3705">
        <v>16.68</v>
      </c>
      <c r="H3705">
        <v>5</v>
      </c>
      <c r="I3705">
        <v>9.6999999999999993</v>
      </c>
      <c r="J3705">
        <v>12.48</v>
      </c>
      <c r="K3705">
        <v>79.8</v>
      </c>
      <c r="L3705" t="s">
        <v>5026</v>
      </c>
      <c r="M3705">
        <v>2</v>
      </c>
      <c r="N3705">
        <v>1</v>
      </c>
      <c r="O3705">
        <v>0</v>
      </c>
    </row>
    <row r="3706" spans="1:15" x14ac:dyDescent="0.3">
      <c r="A3706" t="s">
        <v>3719</v>
      </c>
      <c r="B3706">
        <v>12</v>
      </c>
      <c r="C3706">
        <v>60</v>
      </c>
      <c r="D3706" t="s">
        <v>5016</v>
      </c>
      <c r="E3706" t="s">
        <v>5018</v>
      </c>
      <c r="F3706" t="s">
        <v>5020</v>
      </c>
      <c r="G3706">
        <v>17.39</v>
      </c>
      <c r="H3706">
        <v>3</v>
      </c>
      <c r="I3706">
        <v>8.1</v>
      </c>
      <c r="J3706">
        <v>9.17</v>
      </c>
      <c r="K3706">
        <v>41.3</v>
      </c>
      <c r="L3706" t="s">
        <v>5025</v>
      </c>
      <c r="M3706">
        <v>8</v>
      </c>
      <c r="N3706">
        <v>3</v>
      </c>
      <c r="O3706">
        <v>0</v>
      </c>
    </row>
    <row r="3707" spans="1:15" x14ac:dyDescent="0.3">
      <c r="A3707" t="s">
        <v>3720</v>
      </c>
      <c r="B3707">
        <v>5</v>
      </c>
      <c r="C3707">
        <v>38</v>
      </c>
      <c r="D3707" t="s">
        <v>5016</v>
      </c>
      <c r="E3707" t="s">
        <v>5018</v>
      </c>
      <c r="F3707" t="s">
        <v>5020</v>
      </c>
      <c r="G3707">
        <v>17.8</v>
      </c>
      <c r="H3707">
        <v>4</v>
      </c>
      <c r="I3707">
        <v>4.3</v>
      </c>
      <c r="J3707">
        <v>9.49</v>
      </c>
      <c r="K3707">
        <v>12.9</v>
      </c>
      <c r="L3707" t="s">
        <v>5028</v>
      </c>
      <c r="M3707">
        <v>8</v>
      </c>
      <c r="N3707">
        <v>2</v>
      </c>
      <c r="O3707">
        <v>0</v>
      </c>
    </row>
    <row r="3708" spans="1:15" x14ac:dyDescent="0.3">
      <c r="A3708" t="s">
        <v>3721</v>
      </c>
      <c r="B3708">
        <v>12</v>
      </c>
      <c r="C3708">
        <v>19</v>
      </c>
      <c r="D3708" t="s">
        <v>5016</v>
      </c>
      <c r="E3708" t="s">
        <v>5017</v>
      </c>
      <c r="F3708" t="s">
        <v>5020</v>
      </c>
      <c r="G3708">
        <v>24.34</v>
      </c>
      <c r="H3708">
        <v>3</v>
      </c>
      <c r="I3708">
        <v>7.4</v>
      </c>
      <c r="J3708">
        <v>16.940000000000001</v>
      </c>
      <c r="K3708">
        <v>70.900000000000006</v>
      </c>
      <c r="L3708" t="s">
        <v>5027</v>
      </c>
      <c r="M3708">
        <v>9</v>
      </c>
      <c r="N3708">
        <v>2</v>
      </c>
      <c r="O3708">
        <v>0</v>
      </c>
    </row>
    <row r="3709" spans="1:15" x14ac:dyDescent="0.3">
      <c r="A3709" t="s">
        <v>3722</v>
      </c>
      <c r="B3709">
        <v>11</v>
      </c>
      <c r="C3709">
        <v>44</v>
      </c>
      <c r="D3709" t="s">
        <v>5016</v>
      </c>
      <c r="E3709" t="s">
        <v>5018</v>
      </c>
      <c r="F3709" t="s">
        <v>5023</v>
      </c>
      <c r="G3709">
        <v>8.57</v>
      </c>
      <c r="H3709">
        <v>4</v>
      </c>
      <c r="I3709">
        <v>9.4</v>
      </c>
      <c r="J3709">
        <v>18.8</v>
      </c>
      <c r="K3709">
        <v>84.7</v>
      </c>
      <c r="L3709" t="s">
        <v>5029</v>
      </c>
      <c r="M3709">
        <v>2</v>
      </c>
      <c r="N3709">
        <v>3</v>
      </c>
      <c r="O3709">
        <v>0</v>
      </c>
    </row>
    <row r="3710" spans="1:15" x14ac:dyDescent="0.3">
      <c r="A3710" t="s">
        <v>3723</v>
      </c>
      <c r="B3710">
        <v>7</v>
      </c>
      <c r="C3710">
        <v>55</v>
      </c>
      <c r="D3710" t="s">
        <v>5016</v>
      </c>
      <c r="E3710" t="s">
        <v>5018</v>
      </c>
      <c r="F3710" t="s">
        <v>5020</v>
      </c>
      <c r="G3710">
        <v>17.46</v>
      </c>
      <c r="H3710">
        <v>4</v>
      </c>
      <c r="I3710">
        <v>5.8</v>
      </c>
      <c r="J3710">
        <v>15.68</v>
      </c>
      <c r="K3710">
        <v>92.6</v>
      </c>
      <c r="L3710" t="s">
        <v>5029</v>
      </c>
      <c r="M3710">
        <v>1</v>
      </c>
      <c r="N3710">
        <v>1</v>
      </c>
      <c r="O3710">
        <v>0</v>
      </c>
    </row>
    <row r="3711" spans="1:15" x14ac:dyDescent="0.3">
      <c r="A3711" t="s">
        <v>3724</v>
      </c>
      <c r="B3711">
        <v>4</v>
      </c>
      <c r="C3711">
        <v>43</v>
      </c>
      <c r="D3711" t="s">
        <v>5016</v>
      </c>
      <c r="E3711" t="s">
        <v>5018</v>
      </c>
      <c r="F3711" t="s">
        <v>5024</v>
      </c>
      <c r="G3711">
        <v>8.76</v>
      </c>
      <c r="H3711">
        <v>1</v>
      </c>
      <c r="I3711">
        <v>5.2</v>
      </c>
      <c r="J3711">
        <v>24.48</v>
      </c>
      <c r="K3711">
        <v>70.7</v>
      </c>
      <c r="L3711" t="s">
        <v>5029</v>
      </c>
      <c r="M3711">
        <v>9</v>
      </c>
      <c r="N3711">
        <v>3</v>
      </c>
      <c r="O3711">
        <v>0</v>
      </c>
    </row>
    <row r="3712" spans="1:15" x14ac:dyDescent="0.3">
      <c r="A3712" t="s">
        <v>3725</v>
      </c>
      <c r="B3712">
        <v>3</v>
      </c>
      <c r="C3712">
        <v>55</v>
      </c>
      <c r="D3712" t="s">
        <v>5015</v>
      </c>
      <c r="E3712" t="s">
        <v>5019</v>
      </c>
      <c r="F3712" t="s">
        <v>5023</v>
      </c>
      <c r="G3712">
        <v>9.1999999999999993</v>
      </c>
      <c r="H3712">
        <v>3</v>
      </c>
      <c r="I3712">
        <v>6</v>
      </c>
      <c r="J3712">
        <v>23.79</v>
      </c>
      <c r="K3712">
        <v>27.2</v>
      </c>
      <c r="L3712" t="s">
        <v>5028</v>
      </c>
      <c r="M3712">
        <v>3</v>
      </c>
      <c r="N3712">
        <v>1</v>
      </c>
      <c r="O3712">
        <v>1</v>
      </c>
    </row>
    <row r="3713" spans="1:15" x14ac:dyDescent="0.3">
      <c r="A3713" t="s">
        <v>3726</v>
      </c>
      <c r="B3713">
        <v>1</v>
      </c>
      <c r="C3713">
        <v>63</v>
      </c>
      <c r="D3713" t="s">
        <v>5016</v>
      </c>
      <c r="E3713" t="s">
        <v>5018</v>
      </c>
      <c r="F3713" t="s">
        <v>5020</v>
      </c>
      <c r="G3713">
        <v>18.39</v>
      </c>
      <c r="H3713">
        <v>1</v>
      </c>
      <c r="I3713">
        <v>3.8</v>
      </c>
      <c r="J3713">
        <v>5.17</v>
      </c>
      <c r="K3713">
        <v>63.1</v>
      </c>
      <c r="L3713" t="s">
        <v>5025</v>
      </c>
      <c r="M3713">
        <v>10</v>
      </c>
      <c r="N3713">
        <v>4</v>
      </c>
      <c r="O3713">
        <v>0</v>
      </c>
    </row>
    <row r="3714" spans="1:15" x14ac:dyDescent="0.3">
      <c r="A3714" t="s">
        <v>3727</v>
      </c>
      <c r="B3714">
        <v>12</v>
      </c>
      <c r="C3714">
        <v>42</v>
      </c>
      <c r="D3714" t="s">
        <v>5015</v>
      </c>
      <c r="E3714" t="s">
        <v>5018</v>
      </c>
      <c r="F3714" t="s">
        <v>5021</v>
      </c>
      <c r="G3714">
        <v>23.32</v>
      </c>
      <c r="H3714">
        <v>5</v>
      </c>
      <c r="I3714">
        <v>9.1999999999999993</v>
      </c>
      <c r="J3714">
        <v>8.75</v>
      </c>
      <c r="K3714">
        <v>92.1</v>
      </c>
      <c r="L3714" t="s">
        <v>5025</v>
      </c>
      <c r="M3714">
        <v>2</v>
      </c>
      <c r="N3714">
        <v>1</v>
      </c>
      <c r="O3714">
        <v>0</v>
      </c>
    </row>
    <row r="3715" spans="1:15" x14ac:dyDescent="0.3">
      <c r="A3715" t="s">
        <v>3728</v>
      </c>
      <c r="B3715">
        <v>8</v>
      </c>
      <c r="C3715">
        <v>28</v>
      </c>
      <c r="D3715" t="s">
        <v>5015</v>
      </c>
      <c r="E3715" t="s">
        <v>5019</v>
      </c>
      <c r="F3715" t="s">
        <v>5023</v>
      </c>
      <c r="G3715">
        <v>8.18</v>
      </c>
      <c r="H3715">
        <v>3</v>
      </c>
      <c r="I3715">
        <v>8.1999999999999993</v>
      </c>
      <c r="J3715">
        <v>22.1</v>
      </c>
      <c r="K3715">
        <v>41.6</v>
      </c>
      <c r="L3715" t="s">
        <v>5026</v>
      </c>
      <c r="M3715">
        <v>10</v>
      </c>
      <c r="N3715">
        <v>1</v>
      </c>
      <c r="O3715">
        <v>0</v>
      </c>
    </row>
    <row r="3716" spans="1:15" x14ac:dyDescent="0.3">
      <c r="A3716" t="s">
        <v>3729</v>
      </c>
      <c r="B3716">
        <v>3</v>
      </c>
      <c r="C3716">
        <v>25</v>
      </c>
      <c r="D3716" t="s">
        <v>5015</v>
      </c>
      <c r="E3716" t="s">
        <v>5019</v>
      </c>
      <c r="F3716" t="s">
        <v>5023</v>
      </c>
      <c r="G3716">
        <v>24.25</v>
      </c>
      <c r="H3716">
        <v>2</v>
      </c>
      <c r="I3716">
        <v>7.3</v>
      </c>
      <c r="J3716">
        <v>3.65</v>
      </c>
      <c r="K3716">
        <v>95.8</v>
      </c>
      <c r="L3716" t="s">
        <v>5025</v>
      </c>
      <c r="M3716">
        <v>2</v>
      </c>
      <c r="N3716">
        <v>1</v>
      </c>
      <c r="O3716">
        <v>0</v>
      </c>
    </row>
    <row r="3717" spans="1:15" x14ac:dyDescent="0.3">
      <c r="A3717" t="s">
        <v>3730</v>
      </c>
      <c r="B3717">
        <v>2</v>
      </c>
      <c r="C3717">
        <v>25</v>
      </c>
      <c r="D3717" t="s">
        <v>5015</v>
      </c>
      <c r="E3717" t="s">
        <v>5019</v>
      </c>
      <c r="F3717" t="s">
        <v>5022</v>
      </c>
      <c r="G3717">
        <v>11.39</v>
      </c>
      <c r="H3717">
        <v>2</v>
      </c>
      <c r="I3717">
        <v>6.3</v>
      </c>
      <c r="J3717">
        <v>16.03</v>
      </c>
      <c r="K3717">
        <v>18.8</v>
      </c>
      <c r="L3717" t="s">
        <v>5027</v>
      </c>
      <c r="M3717">
        <v>2</v>
      </c>
      <c r="N3717">
        <v>2</v>
      </c>
      <c r="O3717">
        <v>0</v>
      </c>
    </row>
    <row r="3718" spans="1:15" x14ac:dyDescent="0.3">
      <c r="A3718" t="s">
        <v>3731</v>
      </c>
      <c r="B3718">
        <v>11</v>
      </c>
      <c r="C3718">
        <v>50</v>
      </c>
      <c r="D3718" t="s">
        <v>5015</v>
      </c>
      <c r="E3718" t="s">
        <v>5017</v>
      </c>
      <c r="F3718" t="s">
        <v>5020</v>
      </c>
      <c r="G3718">
        <v>12.83</v>
      </c>
      <c r="H3718">
        <v>2</v>
      </c>
      <c r="I3718">
        <v>9.6999999999999993</v>
      </c>
      <c r="J3718">
        <v>24</v>
      </c>
      <c r="K3718">
        <v>75.5</v>
      </c>
      <c r="L3718" t="s">
        <v>5029</v>
      </c>
      <c r="M3718">
        <v>8</v>
      </c>
      <c r="N3718">
        <v>1</v>
      </c>
      <c r="O3718">
        <v>0</v>
      </c>
    </row>
    <row r="3719" spans="1:15" x14ac:dyDescent="0.3">
      <c r="A3719" t="s">
        <v>3732</v>
      </c>
      <c r="B3719">
        <v>4</v>
      </c>
      <c r="C3719">
        <v>24</v>
      </c>
      <c r="D3719" t="s">
        <v>5015</v>
      </c>
      <c r="E3719" t="s">
        <v>5017</v>
      </c>
      <c r="F3719" t="s">
        <v>5021</v>
      </c>
      <c r="G3719">
        <v>8.07</v>
      </c>
      <c r="H3719">
        <v>4</v>
      </c>
      <c r="I3719">
        <v>3.7</v>
      </c>
      <c r="J3719">
        <v>17.93</v>
      </c>
      <c r="K3719">
        <v>20.8</v>
      </c>
      <c r="L3719" t="s">
        <v>5028</v>
      </c>
      <c r="M3719">
        <v>3</v>
      </c>
      <c r="N3719">
        <v>0</v>
      </c>
      <c r="O3719">
        <v>0</v>
      </c>
    </row>
    <row r="3720" spans="1:15" x14ac:dyDescent="0.3">
      <c r="A3720" t="s">
        <v>3733</v>
      </c>
      <c r="B3720">
        <v>3</v>
      </c>
      <c r="C3720">
        <v>55</v>
      </c>
      <c r="D3720" t="s">
        <v>5015</v>
      </c>
      <c r="E3720" t="s">
        <v>5017</v>
      </c>
      <c r="F3720" t="s">
        <v>5024</v>
      </c>
      <c r="G3720">
        <v>17.32</v>
      </c>
      <c r="H3720">
        <v>2</v>
      </c>
      <c r="I3720">
        <v>3.5</v>
      </c>
      <c r="J3720">
        <v>5.0199999999999996</v>
      </c>
      <c r="K3720">
        <v>81.900000000000006</v>
      </c>
      <c r="L3720" t="s">
        <v>5029</v>
      </c>
      <c r="M3720">
        <v>1</v>
      </c>
      <c r="N3720">
        <v>4</v>
      </c>
      <c r="O3720">
        <v>1</v>
      </c>
    </row>
    <row r="3721" spans="1:15" x14ac:dyDescent="0.3">
      <c r="A3721" t="s">
        <v>3734</v>
      </c>
      <c r="B3721">
        <v>1</v>
      </c>
      <c r="C3721">
        <v>38</v>
      </c>
      <c r="D3721" t="s">
        <v>5015</v>
      </c>
      <c r="E3721" t="s">
        <v>5017</v>
      </c>
      <c r="F3721" t="s">
        <v>5023</v>
      </c>
      <c r="G3721">
        <v>16.93</v>
      </c>
      <c r="H3721">
        <v>5</v>
      </c>
      <c r="I3721">
        <v>3.2</v>
      </c>
      <c r="J3721">
        <v>19.45</v>
      </c>
      <c r="K3721">
        <v>18.8</v>
      </c>
      <c r="L3721" t="s">
        <v>5029</v>
      </c>
      <c r="M3721">
        <v>8</v>
      </c>
      <c r="N3721">
        <v>2</v>
      </c>
      <c r="O3721">
        <v>1</v>
      </c>
    </row>
    <row r="3722" spans="1:15" x14ac:dyDescent="0.3">
      <c r="A3722" t="s">
        <v>3735</v>
      </c>
      <c r="B3722">
        <v>3</v>
      </c>
      <c r="C3722">
        <v>25</v>
      </c>
      <c r="D3722" t="s">
        <v>5016</v>
      </c>
      <c r="E3722" t="s">
        <v>5019</v>
      </c>
      <c r="F3722" t="s">
        <v>5024</v>
      </c>
      <c r="G3722">
        <v>13.85</v>
      </c>
      <c r="H3722">
        <v>3</v>
      </c>
      <c r="I3722">
        <v>7.7</v>
      </c>
      <c r="J3722">
        <v>11.28</v>
      </c>
      <c r="K3722">
        <v>39.299999999999997</v>
      </c>
      <c r="L3722" t="s">
        <v>5027</v>
      </c>
      <c r="M3722">
        <v>2</v>
      </c>
      <c r="N3722">
        <v>0</v>
      </c>
      <c r="O3722">
        <v>0</v>
      </c>
    </row>
    <row r="3723" spans="1:15" x14ac:dyDescent="0.3">
      <c r="A3723" t="s">
        <v>3736</v>
      </c>
      <c r="B3723">
        <v>12</v>
      </c>
      <c r="C3723">
        <v>68</v>
      </c>
      <c r="D3723" t="s">
        <v>5015</v>
      </c>
      <c r="E3723" t="s">
        <v>5018</v>
      </c>
      <c r="F3723" t="s">
        <v>5024</v>
      </c>
      <c r="G3723">
        <v>14.52</v>
      </c>
      <c r="H3723">
        <v>3</v>
      </c>
      <c r="I3723">
        <v>8.1999999999999993</v>
      </c>
      <c r="J3723">
        <v>23.27</v>
      </c>
      <c r="K3723">
        <v>79.900000000000006</v>
      </c>
      <c r="L3723" t="s">
        <v>5029</v>
      </c>
      <c r="M3723">
        <v>6</v>
      </c>
      <c r="N3723">
        <v>2</v>
      </c>
      <c r="O3723">
        <v>0</v>
      </c>
    </row>
    <row r="3724" spans="1:15" x14ac:dyDescent="0.3">
      <c r="A3724" t="s">
        <v>3737</v>
      </c>
      <c r="B3724">
        <v>2</v>
      </c>
      <c r="C3724">
        <v>38</v>
      </c>
      <c r="D3724" t="s">
        <v>5015</v>
      </c>
      <c r="E3724" t="s">
        <v>5017</v>
      </c>
      <c r="F3724" t="s">
        <v>5024</v>
      </c>
      <c r="G3724">
        <v>17.46</v>
      </c>
      <c r="H3724">
        <v>4</v>
      </c>
      <c r="I3724">
        <v>6.4</v>
      </c>
      <c r="J3724">
        <v>9.3000000000000007</v>
      </c>
      <c r="K3724">
        <v>51.4</v>
      </c>
      <c r="L3724" t="s">
        <v>5029</v>
      </c>
      <c r="M3724">
        <v>8</v>
      </c>
      <c r="N3724">
        <v>2</v>
      </c>
      <c r="O3724">
        <v>0</v>
      </c>
    </row>
    <row r="3725" spans="1:15" x14ac:dyDescent="0.3">
      <c r="A3725" t="s">
        <v>3738</v>
      </c>
      <c r="B3725">
        <v>8</v>
      </c>
      <c r="C3725">
        <v>37</v>
      </c>
      <c r="D3725" t="s">
        <v>5015</v>
      </c>
      <c r="E3725" t="s">
        <v>5017</v>
      </c>
      <c r="F3725" t="s">
        <v>5022</v>
      </c>
      <c r="G3725">
        <v>16.670000000000002</v>
      </c>
      <c r="H3725">
        <v>4</v>
      </c>
      <c r="I3725">
        <v>6.9</v>
      </c>
      <c r="J3725">
        <v>13.41</v>
      </c>
      <c r="K3725">
        <v>89.4</v>
      </c>
      <c r="L3725" t="s">
        <v>5027</v>
      </c>
      <c r="M3725">
        <v>10</v>
      </c>
      <c r="N3725">
        <v>0</v>
      </c>
      <c r="O3725">
        <v>0</v>
      </c>
    </row>
    <row r="3726" spans="1:15" x14ac:dyDescent="0.3">
      <c r="A3726" t="s">
        <v>3739</v>
      </c>
      <c r="B3726">
        <v>6</v>
      </c>
      <c r="C3726">
        <v>25</v>
      </c>
      <c r="D3726" t="s">
        <v>5015</v>
      </c>
      <c r="E3726" t="s">
        <v>5017</v>
      </c>
      <c r="F3726" t="s">
        <v>5024</v>
      </c>
      <c r="G3726">
        <v>12.49</v>
      </c>
      <c r="H3726">
        <v>4</v>
      </c>
      <c r="I3726">
        <v>4.0999999999999996</v>
      </c>
      <c r="J3726">
        <v>19.43</v>
      </c>
      <c r="K3726">
        <v>46.2</v>
      </c>
      <c r="L3726" t="s">
        <v>5027</v>
      </c>
      <c r="M3726">
        <v>9</v>
      </c>
      <c r="N3726">
        <v>3</v>
      </c>
      <c r="O3726">
        <v>0</v>
      </c>
    </row>
    <row r="3727" spans="1:15" x14ac:dyDescent="0.3">
      <c r="A3727" t="s">
        <v>3740</v>
      </c>
      <c r="B3727">
        <v>9</v>
      </c>
      <c r="C3727">
        <v>63</v>
      </c>
      <c r="D3727" t="s">
        <v>5016</v>
      </c>
      <c r="E3727" t="s">
        <v>5018</v>
      </c>
      <c r="F3727" t="s">
        <v>5020</v>
      </c>
      <c r="G3727">
        <v>22.68</v>
      </c>
      <c r="H3727">
        <v>5</v>
      </c>
      <c r="I3727">
        <v>1.4</v>
      </c>
      <c r="J3727">
        <v>8.67</v>
      </c>
      <c r="K3727">
        <v>99.5</v>
      </c>
      <c r="L3727" t="s">
        <v>5025</v>
      </c>
      <c r="M3727">
        <v>1</v>
      </c>
      <c r="N3727">
        <v>3</v>
      </c>
      <c r="O3727">
        <v>0</v>
      </c>
    </row>
    <row r="3728" spans="1:15" x14ac:dyDescent="0.3">
      <c r="A3728" t="s">
        <v>3741</v>
      </c>
      <c r="B3728">
        <v>8</v>
      </c>
      <c r="C3728">
        <v>48</v>
      </c>
      <c r="D3728" t="s">
        <v>5015</v>
      </c>
      <c r="E3728" t="s">
        <v>5019</v>
      </c>
      <c r="F3728" t="s">
        <v>5020</v>
      </c>
      <c r="G3728">
        <v>18.350000000000001</v>
      </c>
      <c r="H3728">
        <v>3</v>
      </c>
      <c r="I3728">
        <v>3.3</v>
      </c>
      <c r="J3728">
        <v>7</v>
      </c>
      <c r="K3728">
        <v>11.7</v>
      </c>
      <c r="L3728" t="s">
        <v>5029</v>
      </c>
      <c r="M3728">
        <v>9</v>
      </c>
      <c r="N3728">
        <v>1</v>
      </c>
      <c r="O3728">
        <v>0</v>
      </c>
    </row>
    <row r="3729" spans="1:15" x14ac:dyDescent="0.3">
      <c r="A3729" t="s">
        <v>3742</v>
      </c>
      <c r="B3729">
        <v>10</v>
      </c>
      <c r="C3729">
        <v>67</v>
      </c>
      <c r="D3729" t="s">
        <v>5016</v>
      </c>
      <c r="E3729" t="s">
        <v>5019</v>
      </c>
      <c r="F3729" t="s">
        <v>5021</v>
      </c>
      <c r="G3729">
        <v>9.11</v>
      </c>
      <c r="H3729">
        <v>1</v>
      </c>
      <c r="I3729">
        <v>6.3</v>
      </c>
      <c r="J3729">
        <v>3.06</v>
      </c>
      <c r="K3729">
        <v>72.599999999999994</v>
      </c>
      <c r="L3729" t="s">
        <v>5026</v>
      </c>
      <c r="M3729">
        <v>8</v>
      </c>
      <c r="N3729">
        <v>0</v>
      </c>
      <c r="O3729">
        <v>0</v>
      </c>
    </row>
    <row r="3730" spans="1:15" x14ac:dyDescent="0.3">
      <c r="A3730" t="s">
        <v>3743</v>
      </c>
      <c r="B3730">
        <v>3</v>
      </c>
      <c r="C3730">
        <v>46</v>
      </c>
      <c r="D3730" t="s">
        <v>5016</v>
      </c>
      <c r="E3730" t="s">
        <v>5019</v>
      </c>
      <c r="F3730" t="s">
        <v>5021</v>
      </c>
      <c r="G3730">
        <v>11.4</v>
      </c>
      <c r="H3730">
        <v>4</v>
      </c>
      <c r="I3730">
        <v>8.3000000000000007</v>
      </c>
      <c r="J3730">
        <v>13.74</v>
      </c>
      <c r="K3730">
        <v>92.4</v>
      </c>
      <c r="L3730" t="s">
        <v>5026</v>
      </c>
      <c r="M3730">
        <v>6</v>
      </c>
      <c r="N3730">
        <v>1</v>
      </c>
      <c r="O3730">
        <v>0</v>
      </c>
    </row>
    <row r="3731" spans="1:15" x14ac:dyDescent="0.3">
      <c r="A3731" t="s">
        <v>3744</v>
      </c>
      <c r="B3731">
        <v>5</v>
      </c>
      <c r="C3731">
        <v>65</v>
      </c>
      <c r="D3731" t="s">
        <v>5015</v>
      </c>
      <c r="E3731" t="s">
        <v>5017</v>
      </c>
      <c r="F3731" t="s">
        <v>5024</v>
      </c>
      <c r="G3731">
        <v>20.76</v>
      </c>
      <c r="H3731">
        <v>2</v>
      </c>
      <c r="I3731">
        <v>8</v>
      </c>
      <c r="J3731">
        <v>23.43</v>
      </c>
      <c r="K3731">
        <v>58.2</v>
      </c>
      <c r="L3731" t="s">
        <v>5026</v>
      </c>
      <c r="M3731">
        <v>5</v>
      </c>
      <c r="N3731">
        <v>3</v>
      </c>
      <c r="O3731">
        <v>0</v>
      </c>
    </row>
    <row r="3732" spans="1:15" x14ac:dyDescent="0.3">
      <c r="A3732" t="s">
        <v>3745</v>
      </c>
      <c r="B3732">
        <v>7</v>
      </c>
      <c r="C3732">
        <v>26</v>
      </c>
      <c r="D3732" t="s">
        <v>5015</v>
      </c>
      <c r="E3732" t="s">
        <v>5018</v>
      </c>
      <c r="F3732" t="s">
        <v>5024</v>
      </c>
      <c r="G3732">
        <v>7.09</v>
      </c>
      <c r="H3732">
        <v>1</v>
      </c>
      <c r="I3732">
        <v>2.6</v>
      </c>
      <c r="J3732">
        <v>9.19</v>
      </c>
      <c r="K3732">
        <v>99</v>
      </c>
      <c r="L3732" t="s">
        <v>5027</v>
      </c>
      <c r="M3732">
        <v>6</v>
      </c>
      <c r="N3732">
        <v>0</v>
      </c>
      <c r="O3732">
        <v>0</v>
      </c>
    </row>
    <row r="3733" spans="1:15" x14ac:dyDescent="0.3">
      <c r="A3733" t="s">
        <v>3746</v>
      </c>
      <c r="B3733">
        <v>5</v>
      </c>
      <c r="C3733">
        <v>32</v>
      </c>
      <c r="D3733" t="s">
        <v>5016</v>
      </c>
      <c r="E3733" t="s">
        <v>5017</v>
      </c>
      <c r="F3733" t="s">
        <v>5022</v>
      </c>
      <c r="G3733">
        <v>20</v>
      </c>
      <c r="H3733">
        <v>1</v>
      </c>
      <c r="I3733">
        <v>1.5</v>
      </c>
      <c r="J3733">
        <v>3.95</v>
      </c>
      <c r="K3733">
        <v>73.7</v>
      </c>
      <c r="L3733" t="s">
        <v>5029</v>
      </c>
      <c r="M3733">
        <v>2</v>
      </c>
      <c r="N3733">
        <v>0</v>
      </c>
      <c r="O3733">
        <v>0</v>
      </c>
    </row>
    <row r="3734" spans="1:15" x14ac:dyDescent="0.3">
      <c r="A3734" t="s">
        <v>3747</v>
      </c>
      <c r="B3734">
        <v>8</v>
      </c>
      <c r="C3734">
        <v>47</v>
      </c>
      <c r="D3734" t="s">
        <v>5015</v>
      </c>
      <c r="E3734" t="s">
        <v>5018</v>
      </c>
      <c r="F3734" t="s">
        <v>5024</v>
      </c>
      <c r="G3734">
        <v>12.18</v>
      </c>
      <c r="H3734">
        <v>4</v>
      </c>
      <c r="I3734">
        <v>8.6999999999999993</v>
      </c>
      <c r="J3734">
        <v>16.649999999999999</v>
      </c>
      <c r="K3734">
        <v>48.7</v>
      </c>
      <c r="L3734" t="s">
        <v>5025</v>
      </c>
      <c r="M3734">
        <v>11</v>
      </c>
      <c r="N3734">
        <v>0</v>
      </c>
      <c r="O3734">
        <v>1</v>
      </c>
    </row>
    <row r="3735" spans="1:15" x14ac:dyDescent="0.3">
      <c r="A3735" t="s">
        <v>3748</v>
      </c>
      <c r="B3735">
        <v>12</v>
      </c>
      <c r="C3735">
        <v>43</v>
      </c>
      <c r="D3735" t="s">
        <v>5015</v>
      </c>
      <c r="E3735" t="s">
        <v>5019</v>
      </c>
      <c r="F3735" t="s">
        <v>5024</v>
      </c>
      <c r="G3735">
        <v>16.03</v>
      </c>
      <c r="H3735">
        <v>2</v>
      </c>
      <c r="I3735">
        <v>1.7</v>
      </c>
      <c r="J3735">
        <v>4.24</v>
      </c>
      <c r="K3735">
        <v>56.4</v>
      </c>
      <c r="L3735" t="s">
        <v>5029</v>
      </c>
      <c r="M3735">
        <v>3</v>
      </c>
      <c r="N3735">
        <v>1</v>
      </c>
      <c r="O3735">
        <v>0</v>
      </c>
    </row>
    <row r="3736" spans="1:15" x14ac:dyDescent="0.3">
      <c r="A3736" t="s">
        <v>3749</v>
      </c>
      <c r="B3736">
        <v>5</v>
      </c>
      <c r="C3736">
        <v>27</v>
      </c>
      <c r="D3736" t="s">
        <v>5016</v>
      </c>
      <c r="E3736" t="s">
        <v>5018</v>
      </c>
      <c r="F3736" t="s">
        <v>5024</v>
      </c>
      <c r="G3736">
        <v>10.61</v>
      </c>
      <c r="H3736">
        <v>4</v>
      </c>
      <c r="I3736">
        <v>4.5</v>
      </c>
      <c r="J3736">
        <v>14.15</v>
      </c>
      <c r="K3736">
        <v>89</v>
      </c>
      <c r="L3736" t="s">
        <v>5026</v>
      </c>
      <c r="M3736">
        <v>9</v>
      </c>
      <c r="N3736">
        <v>2</v>
      </c>
      <c r="O3736">
        <v>0</v>
      </c>
    </row>
    <row r="3737" spans="1:15" x14ac:dyDescent="0.3">
      <c r="A3737" t="s">
        <v>3750</v>
      </c>
      <c r="B3737">
        <v>1</v>
      </c>
      <c r="C3737">
        <v>46</v>
      </c>
      <c r="D3737" t="s">
        <v>5016</v>
      </c>
      <c r="E3737" t="s">
        <v>5019</v>
      </c>
      <c r="F3737" t="s">
        <v>5023</v>
      </c>
      <c r="G3737">
        <v>24.73</v>
      </c>
      <c r="H3737">
        <v>4</v>
      </c>
      <c r="I3737">
        <v>1.8</v>
      </c>
      <c r="J3737">
        <v>11.39</v>
      </c>
      <c r="K3737">
        <v>96.2</v>
      </c>
      <c r="L3737" t="s">
        <v>5028</v>
      </c>
      <c r="M3737">
        <v>3</v>
      </c>
      <c r="N3737">
        <v>2</v>
      </c>
      <c r="O3737">
        <v>0</v>
      </c>
    </row>
    <row r="3738" spans="1:15" x14ac:dyDescent="0.3">
      <c r="A3738" t="s">
        <v>3751</v>
      </c>
      <c r="B3738">
        <v>5</v>
      </c>
      <c r="C3738">
        <v>33</v>
      </c>
      <c r="D3738" t="s">
        <v>5015</v>
      </c>
      <c r="E3738" t="s">
        <v>5018</v>
      </c>
      <c r="F3738" t="s">
        <v>5023</v>
      </c>
      <c r="G3738">
        <v>23.12</v>
      </c>
      <c r="H3738">
        <v>2</v>
      </c>
      <c r="I3738">
        <v>6.1</v>
      </c>
      <c r="J3738">
        <v>13.46</v>
      </c>
      <c r="K3738">
        <v>60</v>
      </c>
      <c r="L3738" t="s">
        <v>5026</v>
      </c>
      <c r="M3738">
        <v>10</v>
      </c>
      <c r="N3738">
        <v>2</v>
      </c>
      <c r="O3738">
        <v>0</v>
      </c>
    </row>
    <row r="3739" spans="1:15" x14ac:dyDescent="0.3">
      <c r="A3739" t="s">
        <v>3752</v>
      </c>
      <c r="B3739">
        <v>4</v>
      </c>
      <c r="C3739">
        <v>53</v>
      </c>
      <c r="D3739" t="s">
        <v>5015</v>
      </c>
      <c r="E3739" t="s">
        <v>5017</v>
      </c>
      <c r="F3739" t="s">
        <v>5022</v>
      </c>
      <c r="G3739">
        <v>23.57</v>
      </c>
      <c r="H3739">
        <v>1</v>
      </c>
      <c r="I3739">
        <v>4.3</v>
      </c>
      <c r="J3739">
        <v>6.58</v>
      </c>
      <c r="K3739">
        <v>37.6</v>
      </c>
      <c r="L3739" t="s">
        <v>5027</v>
      </c>
      <c r="M3739">
        <v>7</v>
      </c>
      <c r="N3739">
        <v>0</v>
      </c>
      <c r="O3739">
        <v>0</v>
      </c>
    </row>
    <row r="3740" spans="1:15" x14ac:dyDescent="0.3">
      <c r="A3740" t="s">
        <v>3753</v>
      </c>
      <c r="B3740">
        <v>6</v>
      </c>
      <c r="C3740">
        <v>37</v>
      </c>
      <c r="D3740" t="s">
        <v>5015</v>
      </c>
      <c r="E3740" t="s">
        <v>5017</v>
      </c>
      <c r="F3740" t="s">
        <v>5022</v>
      </c>
      <c r="G3740">
        <v>8.6999999999999993</v>
      </c>
      <c r="H3740">
        <v>1</v>
      </c>
      <c r="I3740">
        <v>2.8</v>
      </c>
      <c r="J3740">
        <v>4.9800000000000004</v>
      </c>
      <c r="K3740">
        <v>31.5</v>
      </c>
      <c r="L3740" t="s">
        <v>5029</v>
      </c>
      <c r="M3740">
        <v>11</v>
      </c>
      <c r="N3740">
        <v>3</v>
      </c>
      <c r="O3740">
        <v>0</v>
      </c>
    </row>
    <row r="3741" spans="1:15" x14ac:dyDescent="0.3">
      <c r="A3741" t="s">
        <v>3754</v>
      </c>
      <c r="B3741">
        <v>3</v>
      </c>
      <c r="C3741">
        <v>62</v>
      </c>
      <c r="D3741" t="s">
        <v>5016</v>
      </c>
      <c r="E3741" t="s">
        <v>5018</v>
      </c>
      <c r="F3741" t="s">
        <v>5020</v>
      </c>
      <c r="G3741">
        <v>21.83</v>
      </c>
      <c r="H3741">
        <v>2</v>
      </c>
      <c r="I3741">
        <v>6.4</v>
      </c>
      <c r="J3741">
        <v>19.48</v>
      </c>
      <c r="K3741">
        <v>52.9</v>
      </c>
      <c r="L3741" t="s">
        <v>5027</v>
      </c>
      <c r="M3741">
        <v>4</v>
      </c>
      <c r="N3741">
        <v>1</v>
      </c>
      <c r="O3741">
        <v>0</v>
      </c>
    </row>
    <row r="3742" spans="1:15" x14ac:dyDescent="0.3">
      <c r="A3742" t="s">
        <v>3755</v>
      </c>
      <c r="B3742">
        <v>11</v>
      </c>
      <c r="C3742">
        <v>54</v>
      </c>
      <c r="D3742" t="s">
        <v>5015</v>
      </c>
      <c r="E3742" t="s">
        <v>5019</v>
      </c>
      <c r="F3742" t="s">
        <v>5022</v>
      </c>
      <c r="G3742">
        <v>15.71</v>
      </c>
      <c r="H3742">
        <v>1</v>
      </c>
      <c r="I3742">
        <v>4.3</v>
      </c>
      <c r="J3742">
        <v>8.4</v>
      </c>
      <c r="K3742">
        <v>36.700000000000003</v>
      </c>
      <c r="L3742" t="s">
        <v>5025</v>
      </c>
      <c r="M3742">
        <v>11</v>
      </c>
      <c r="N3742">
        <v>1</v>
      </c>
      <c r="O3742">
        <v>0</v>
      </c>
    </row>
    <row r="3743" spans="1:15" x14ac:dyDescent="0.3">
      <c r="A3743" t="s">
        <v>3756</v>
      </c>
      <c r="B3743">
        <v>5</v>
      </c>
      <c r="C3743">
        <v>39</v>
      </c>
      <c r="D3743" t="s">
        <v>5016</v>
      </c>
      <c r="E3743" t="s">
        <v>5017</v>
      </c>
      <c r="F3743" t="s">
        <v>5020</v>
      </c>
      <c r="G3743">
        <v>19.16</v>
      </c>
      <c r="H3743">
        <v>5</v>
      </c>
      <c r="I3743">
        <v>2.5</v>
      </c>
      <c r="J3743">
        <v>20.61</v>
      </c>
      <c r="K3743">
        <v>47.9</v>
      </c>
      <c r="L3743" t="s">
        <v>5029</v>
      </c>
      <c r="M3743">
        <v>9</v>
      </c>
      <c r="N3743">
        <v>3</v>
      </c>
      <c r="O3743">
        <v>1</v>
      </c>
    </row>
    <row r="3744" spans="1:15" x14ac:dyDescent="0.3">
      <c r="A3744" t="s">
        <v>3757</v>
      </c>
      <c r="B3744">
        <v>2</v>
      </c>
      <c r="C3744">
        <v>24</v>
      </c>
      <c r="D3744" t="s">
        <v>5016</v>
      </c>
      <c r="E3744" t="s">
        <v>5019</v>
      </c>
      <c r="F3744" t="s">
        <v>5024</v>
      </c>
      <c r="G3744">
        <v>9.35</v>
      </c>
      <c r="H3744">
        <v>4</v>
      </c>
      <c r="I3744">
        <v>7.3</v>
      </c>
      <c r="J3744">
        <v>19.690000000000001</v>
      </c>
      <c r="K3744">
        <v>85.1</v>
      </c>
      <c r="L3744" t="s">
        <v>5029</v>
      </c>
      <c r="M3744">
        <v>4</v>
      </c>
      <c r="N3744">
        <v>2</v>
      </c>
      <c r="O3744">
        <v>0</v>
      </c>
    </row>
    <row r="3745" spans="1:15" x14ac:dyDescent="0.3">
      <c r="A3745" t="s">
        <v>3758</v>
      </c>
      <c r="B3745">
        <v>11</v>
      </c>
      <c r="C3745">
        <v>40</v>
      </c>
      <c r="D3745" t="s">
        <v>5015</v>
      </c>
      <c r="E3745" t="s">
        <v>5019</v>
      </c>
      <c r="F3745" t="s">
        <v>5022</v>
      </c>
      <c r="G3745">
        <v>19.239999999999998</v>
      </c>
      <c r="H3745">
        <v>5</v>
      </c>
      <c r="I3745">
        <v>8.5</v>
      </c>
      <c r="J3745">
        <v>7.36</v>
      </c>
      <c r="K3745">
        <v>52.5</v>
      </c>
      <c r="L3745" t="s">
        <v>5029</v>
      </c>
      <c r="M3745">
        <v>10</v>
      </c>
      <c r="N3745">
        <v>4</v>
      </c>
      <c r="O3745">
        <v>1</v>
      </c>
    </row>
    <row r="3746" spans="1:15" x14ac:dyDescent="0.3">
      <c r="A3746" t="s">
        <v>3759</v>
      </c>
      <c r="B3746">
        <v>6</v>
      </c>
      <c r="C3746">
        <v>58</v>
      </c>
      <c r="D3746" t="s">
        <v>5016</v>
      </c>
      <c r="E3746" t="s">
        <v>5018</v>
      </c>
      <c r="F3746" t="s">
        <v>5022</v>
      </c>
      <c r="G3746">
        <v>23.29</v>
      </c>
      <c r="H3746">
        <v>5</v>
      </c>
      <c r="I3746">
        <v>3.5</v>
      </c>
      <c r="J3746">
        <v>22.98</v>
      </c>
      <c r="K3746">
        <v>67.7</v>
      </c>
      <c r="L3746" t="s">
        <v>5028</v>
      </c>
      <c r="M3746">
        <v>10</v>
      </c>
      <c r="N3746">
        <v>3</v>
      </c>
      <c r="O3746">
        <v>1</v>
      </c>
    </row>
    <row r="3747" spans="1:15" x14ac:dyDescent="0.3">
      <c r="A3747" t="s">
        <v>3760</v>
      </c>
      <c r="B3747">
        <v>12</v>
      </c>
      <c r="C3747">
        <v>57</v>
      </c>
      <c r="D3747" t="s">
        <v>5015</v>
      </c>
      <c r="E3747" t="s">
        <v>5019</v>
      </c>
      <c r="F3747" t="s">
        <v>5022</v>
      </c>
      <c r="G3747">
        <v>10.35</v>
      </c>
      <c r="H3747">
        <v>5</v>
      </c>
      <c r="I3747">
        <v>2.7</v>
      </c>
      <c r="J3747">
        <v>6.55</v>
      </c>
      <c r="K3747">
        <v>18.100000000000001</v>
      </c>
      <c r="L3747" t="s">
        <v>5029</v>
      </c>
      <c r="M3747">
        <v>6</v>
      </c>
      <c r="N3747">
        <v>2</v>
      </c>
      <c r="O3747">
        <v>1</v>
      </c>
    </row>
    <row r="3748" spans="1:15" x14ac:dyDescent="0.3">
      <c r="A3748" t="s">
        <v>3761</v>
      </c>
      <c r="B3748">
        <v>6</v>
      </c>
      <c r="C3748">
        <v>46</v>
      </c>
      <c r="D3748" t="s">
        <v>5015</v>
      </c>
      <c r="E3748" t="s">
        <v>5018</v>
      </c>
      <c r="F3748" t="s">
        <v>5020</v>
      </c>
      <c r="G3748">
        <v>9.67</v>
      </c>
      <c r="H3748">
        <v>3</v>
      </c>
      <c r="I3748">
        <v>1.7</v>
      </c>
      <c r="J3748">
        <v>20.54</v>
      </c>
      <c r="K3748">
        <v>78.599999999999994</v>
      </c>
      <c r="L3748" t="s">
        <v>5028</v>
      </c>
      <c r="M3748">
        <v>2</v>
      </c>
      <c r="N3748">
        <v>0</v>
      </c>
      <c r="O3748">
        <v>0</v>
      </c>
    </row>
    <row r="3749" spans="1:15" x14ac:dyDescent="0.3">
      <c r="A3749" t="s">
        <v>3762</v>
      </c>
      <c r="B3749">
        <v>5</v>
      </c>
      <c r="C3749">
        <v>33</v>
      </c>
      <c r="D3749" t="s">
        <v>5016</v>
      </c>
      <c r="E3749" t="s">
        <v>5018</v>
      </c>
      <c r="F3749" t="s">
        <v>5020</v>
      </c>
      <c r="G3749">
        <v>7.09</v>
      </c>
      <c r="H3749">
        <v>3</v>
      </c>
      <c r="I3749">
        <v>5.8</v>
      </c>
      <c r="J3749">
        <v>12.25</v>
      </c>
      <c r="K3749">
        <v>53.5</v>
      </c>
      <c r="L3749" t="s">
        <v>5029</v>
      </c>
      <c r="M3749">
        <v>7</v>
      </c>
      <c r="N3749">
        <v>3</v>
      </c>
      <c r="O3749">
        <v>1</v>
      </c>
    </row>
    <row r="3750" spans="1:15" x14ac:dyDescent="0.3">
      <c r="A3750" t="s">
        <v>3763</v>
      </c>
      <c r="B3750">
        <v>6</v>
      </c>
      <c r="C3750">
        <v>55</v>
      </c>
      <c r="D3750" t="s">
        <v>5015</v>
      </c>
      <c r="E3750" t="s">
        <v>5019</v>
      </c>
      <c r="F3750" t="s">
        <v>5021</v>
      </c>
      <c r="G3750">
        <v>10.34</v>
      </c>
      <c r="H3750">
        <v>5</v>
      </c>
      <c r="I3750">
        <v>8.5</v>
      </c>
      <c r="J3750">
        <v>7.03</v>
      </c>
      <c r="K3750">
        <v>42.5</v>
      </c>
      <c r="L3750" t="s">
        <v>5026</v>
      </c>
      <c r="M3750">
        <v>3</v>
      </c>
      <c r="N3750">
        <v>2</v>
      </c>
      <c r="O3750">
        <v>0</v>
      </c>
    </row>
    <row r="3751" spans="1:15" x14ac:dyDescent="0.3">
      <c r="A3751" t="s">
        <v>3764</v>
      </c>
      <c r="B3751">
        <v>11</v>
      </c>
      <c r="C3751">
        <v>45</v>
      </c>
      <c r="D3751" t="s">
        <v>5016</v>
      </c>
      <c r="E3751" t="s">
        <v>5019</v>
      </c>
      <c r="F3751" t="s">
        <v>5020</v>
      </c>
      <c r="G3751">
        <v>15.72</v>
      </c>
      <c r="H3751">
        <v>4</v>
      </c>
      <c r="I3751">
        <v>3.3</v>
      </c>
      <c r="J3751">
        <v>23.64</v>
      </c>
      <c r="K3751">
        <v>65</v>
      </c>
      <c r="L3751" t="s">
        <v>5025</v>
      </c>
      <c r="M3751">
        <v>1</v>
      </c>
      <c r="N3751">
        <v>1</v>
      </c>
      <c r="O3751">
        <v>0</v>
      </c>
    </row>
    <row r="3752" spans="1:15" x14ac:dyDescent="0.3">
      <c r="A3752" t="s">
        <v>3765</v>
      </c>
      <c r="B3752">
        <v>7</v>
      </c>
      <c r="C3752">
        <v>65</v>
      </c>
      <c r="D3752" t="s">
        <v>5016</v>
      </c>
      <c r="E3752" t="s">
        <v>5018</v>
      </c>
      <c r="F3752" t="s">
        <v>5020</v>
      </c>
      <c r="G3752">
        <v>21.65</v>
      </c>
      <c r="H3752">
        <v>5</v>
      </c>
      <c r="I3752">
        <v>5.0999999999999996</v>
      </c>
      <c r="J3752">
        <v>24.19</v>
      </c>
      <c r="K3752">
        <v>19.2</v>
      </c>
      <c r="L3752" t="s">
        <v>5029</v>
      </c>
      <c r="M3752">
        <v>7</v>
      </c>
      <c r="N3752">
        <v>4</v>
      </c>
      <c r="O3752">
        <v>1</v>
      </c>
    </row>
    <row r="3753" spans="1:15" x14ac:dyDescent="0.3">
      <c r="A3753" t="s">
        <v>3766</v>
      </c>
      <c r="B3753">
        <v>12</v>
      </c>
      <c r="C3753">
        <v>55</v>
      </c>
      <c r="D3753" t="s">
        <v>5015</v>
      </c>
      <c r="E3753" t="s">
        <v>5018</v>
      </c>
      <c r="F3753" t="s">
        <v>5023</v>
      </c>
      <c r="G3753">
        <v>10.58</v>
      </c>
      <c r="H3753">
        <v>5</v>
      </c>
      <c r="I3753">
        <v>2.4</v>
      </c>
      <c r="J3753">
        <v>14.25</v>
      </c>
      <c r="K3753">
        <v>47.3</v>
      </c>
      <c r="L3753" t="s">
        <v>5027</v>
      </c>
      <c r="M3753">
        <v>5</v>
      </c>
      <c r="N3753">
        <v>4</v>
      </c>
      <c r="O3753">
        <v>0</v>
      </c>
    </row>
    <row r="3754" spans="1:15" x14ac:dyDescent="0.3">
      <c r="A3754" t="s">
        <v>3767</v>
      </c>
      <c r="B3754">
        <v>5</v>
      </c>
      <c r="C3754">
        <v>48</v>
      </c>
      <c r="D3754" t="s">
        <v>5015</v>
      </c>
      <c r="E3754" t="s">
        <v>5017</v>
      </c>
      <c r="F3754" t="s">
        <v>5022</v>
      </c>
      <c r="G3754">
        <v>17.420000000000002</v>
      </c>
      <c r="H3754">
        <v>3</v>
      </c>
      <c r="I3754">
        <v>4.5999999999999996</v>
      </c>
      <c r="J3754">
        <v>13.32</v>
      </c>
      <c r="K3754">
        <v>83</v>
      </c>
      <c r="L3754" t="s">
        <v>5026</v>
      </c>
      <c r="M3754">
        <v>11</v>
      </c>
      <c r="N3754">
        <v>4</v>
      </c>
      <c r="O3754">
        <v>0</v>
      </c>
    </row>
    <row r="3755" spans="1:15" x14ac:dyDescent="0.3">
      <c r="A3755" t="s">
        <v>3768</v>
      </c>
      <c r="B3755">
        <v>1</v>
      </c>
      <c r="C3755">
        <v>31</v>
      </c>
      <c r="D3755" t="s">
        <v>5015</v>
      </c>
      <c r="E3755" t="s">
        <v>5017</v>
      </c>
      <c r="F3755" t="s">
        <v>5020</v>
      </c>
      <c r="G3755">
        <v>14.59</v>
      </c>
      <c r="H3755">
        <v>5</v>
      </c>
      <c r="I3755">
        <v>1.1000000000000001</v>
      </c>
      <c r="J3755">
        <v>22.82</v>
      </c>
      <c r="K3755">
        <v>33.6</v>
      </c>
      <c r="L3755" t="s">
        <v>5027</v>
      </c>
      <c r="M3755">
        <v>7</v>
      </c>
      <c r="N3755">
        <v>2</v>
      </c>
      <c r="O3755">
        <v>0</v>
      </c>
    </row>
    <row r="3756" spans="1:15" x14ac:dyDescent="0.3">
      <c r="A3756" t="s">
        <v>3769</v>
      </c>
      <c r="B3756">
        <v>8</v>
      </c>
      <c r="C3756">
        <v>50</v>
      </c>
      <c r="D3756" t="s">
        <v>5015</v>
      </c>
      <c r="E3756" t="s">
        <v>5018</v>
      </c>
      <c r="F3756" t="s">
        <v>5022</v>
      </c>
      <c r="G3756">
        <v>10.77</v>
      </c>
      <c r="H3756">
        <v>4</v>
      </c>
      <c r="I3756">
        <v>9.1999999999999993</v>
      </c>
      <c r="J3756">
        <v>16.12</v>
      </c>
      <c r="K3756">
        <v>92.3</v>
      </c>
      <c r="L3756" t="s">
        <v>5027</v>
      </c>
      <c r="M3756">
        <v>1</v>
      </c>
      <c r="N3756">
        <v>2</v>
      </c>
      <c r="O3756">
        <v>0</v>
      </c>
    </row>
    <row r="3757" spans="1:15" x14ac:dyDescent="0.3">
      <c r="A3757" t="s">
        <v>3770</v>
      </c>
      <c r="B3757">
        <v>4</v>
      </c>
      <c r="C3757">
        <v>26</v>
      </c>
      <c r="D3757" t="s">
        <v>5016</v>
      </c>
      <c r="E3757" t="s">
        <v>5019</v>
      </c>
      <c r="F3757" t="s">
        <v>5022</v>
      </c>
      <c r="G3757">
        <v>15.21</v>
      </c>
      <c r="H3757">
        <v>4</v>
      </c>
      <c r="I3757">
        <v>7.1</v>
      </c>
      <c r="J3757">
        <v>8.85</v>
      </c>
      <c r="K3757">
        <v>64.3</v>
      </c>
      <c r="L3757" t="s">
        <v>5028</v>
      </c>
      <c r="M3757">
        <v>5</v>
      </c>
      <c r="N3757">
        <v>0</v>
      </c>
      <c r="O3757">
        <v>1</v>
      </c>
    </row>
    <row r="3758" spans="1:15" x14ac:dyDescent="0.3">
      <c r="A3758" t="s">
        <v>3771</v>
      </c>
      <c r="B3758">
        <v>9</v>
      </c>
      <c r="C3758">
        <v>44</v>
      </c>
      <c r="D3758" t="s">
        <v>5016</v>
      </c>
      <c r="E3758" t="s">
        <v>5018</v>
      </c>
      <c r="F3758" t="s">
        <v>5023</v>
      </c>
      <c r="G3758">
        <v>8.36</v>
      </c>
      <c r="H3758">
        <v>5</v>
      </c>
      <c r="I3758">
        <v>4</v>
      </c>
      <c r="J3758">
        <v>12.35</v>
      </c>
      <c r="K3758">
        <v>58.7</v>
      </c>
      <c r="L3758" t="s">
        <v>5025</v>
      </c>
      <c r="M3758">
        <v>2</v>
      </c>
      <c r="N3758">
        <v>4</v>
      </c>
      <c r="O3758">
        <v>0</v>
      </c>
    </row>
    <row r="3759" spans="1:15" x14ac:dyDescent="0.3">
      <c r="A3759" t="s">
        <v>3772</v>
      </c>
      <c r="B3759">
        <v>10</v>
      </c>
      <c r="C3759">
        <v>41</v>
      </c>
      <c r="D3759" t="s">
        <v>5016</v>
      </c>
      <c r="E3759" t="s">
        <v>5017</v>
      </c>
      <c r="F3759" t="s">
        <v>5022</v>
      </c>
      <c r="G3759">
        <v>17.79</v>
      </c>
      <c r="H3759">
        <v>4</v>
      </c>
      <c r="I3759">
        <v>8.9</v>
      </c>
      <c r="J3759">
        <v>21.39</v>
      </c>
      <c r="K3759">
        <v>46</v>
      </c>
      <c r="L3759" t="s">
        <v>5027</v>
      </c>
      <c r="M3759">
        <v>1</v>
      </c>
      <c r="N3759">
        <v>1</v>
      </c>
      <c r="O3759">
        <v>0</v>
      </c>
    </row>
    <row r="3760" spans="1:15" x14ac:dyDescent="0.3">
      <c r="A3760" t="s">
        <v>3773</v>
      </c>
      <c r="B3760">
        <v>12</v>
      </c>
      <c r="C3760">
        <v>30</v>
      </c>
      <c r="D3760" t="s">
        <v>5015</v>
      </c>
      <c r="E3760" t="s">
        <v>5017</v>
      </c>
      <c r="F3760" t="s">
        <v>5020</v>
      </c>
      <c r="G3760">
        <v>7.31</v>
      </c>
      <c r="H3760">
        <v>5</v>
      </c>
      <c r="I3760">
        <v>2.6</v>
      </c>
      <c r="J3760">
        <v>21.91</v>
      </c>
      <c r="K3760">
        <v>76.8</v>
      </c>
      <c r="L3760" t="s">
        <v>5026</v>
      </c>
      <c r="M3760">
        <v>6</v>
      </c>
      <c r="N3760">
        <v>4</v>
      </c>
      <c r="O3760">
        <v>1</v>
      </c>
    </row>
    <row r="3761" spans="1:15" x14ac:dyDescent="0.3">
      <c r="A3761" t="s">
        <v>3774</v>
      </c>
      <c r="B3761">
        <v>6</v>
      </c>
      <c r="C3761">
        <v>43</v>
      </c>
      <c r="D3761" t="s">
        <v>5016</v>
      </c>
      <c r="E3761" t="s">
        <v>5018</v>
      </c>
      <c r="F3761" t="s">
        <v>5022</v>
      </c>
      <c r="G3761">
        <v>19.62</v>
      </c>
      <c r="H3761">
        <v>3</v>
      </c>
      <c r="I3761">
        <v>1.7</v>
      </c>
      <c r="J3761">
        <v>23.66</v>
      </c>
      <c r="K3761">
        <v>60.8</v>
      </c>
      <c r="L3761" t="s">
        <v>5025</v>
      </c>
      <c r="M3761">
        <v>5</v>
      </c>
      <c r="N3761">
        <v>3</v>
      </c>
      <c r="O3761">
        <v>0</v>
      </c>
    </row>
    <row r="3762" spans="1:15" x14ac:dyDescent="0.3">
      <c r="A3762" t="s">
        <v>3775</v>
      </c>
      <c r="B3762">
        <v>1</v>
      </c>
      <c r="C3762">
        <v>46</v>
      </c>
      <c r="D3762" t="s">
        <v>5016</v>
      </c>
      <c r="E3762" t="s">
        <v>5017</v>
      </c>
      <c r="F3762" t="s">
        <v>5021</v>
      </c>
      <c r="G3762">
        <v>8.5500000000000007</v>
      </c>
      <c r="H3762">
        <v>5</v>
      </c>
      <c r="I3762">
        <v>9.5</v>
      </c>
      <c r="J3762">
        <v>9.34</v>
      </c>
      <c r="K3762">
        <v>81.7</v>
      </c>
      <c r="L3762" t="s">
        <v>5026</v>
      </c>
      <c r="M3762">
        <v>4</v>
      </c>
      <c r="N3762">
        <v>3</v>
      </c>
      <c r="O3762">
        <v>1</v>
      </c>
    </row>
    <row r="3763" spans="1:15" x14ac:dyDescent="0.3">
      <c r="A3763" t="s">
        <v>3776</v>
      </c>
      <c r="B3763">
        <v>3</v>
      </c>
      <c r="C3763">
        <v>68</v>
      </c>
      <c r="D3763" t="s">
        <v>5015</v>
      </c>
      <c r="E3763" t="s">
        <v>5017</v>
      </c>
      <c r="F3763" t="s">
        <v>5021</v>
      </c>
      <c r="G3763">
        <v>24.96</v>
      </c>
      <c r="H3763">
        <v>1</v>
      </c>
      <c r="I3763">
        <v>3.8</v>
      </c>
      <c r="J3763">
        <v>17.96</v>
      </c>
      <c r="K3763">
        <v>39.9</v>
      </c>
      <c r="L3763" t="s">
        <v>5027</v>
      </c>
      <c r="M3763">
        <v>1</v>
      </c>
      <c r="N3763">
        <v>1</v>
      </c>
      <c r="O3763">
        <v>0</v>
      </c>
    </row>
    <row r="3764" spans="1:15" x14ac:dyDescent="0.3">
      <c r="A3764" t="s">
        <v>3777</v>
      </c>
      <c r="B3764">
        <v>3</v>
      </c>
      <c r="C3764">
        <v>66</v>
      </c>
      <c r="D3764" t="s">
        <v>5015</v>
      </c>
      <c r="E3764" t="s">
        <v>5019</v>
      </c>
      <c r="F3764" t="s">
        <v>5023</v>
      </c>
      <c r="G3764">
        <v>21.47</v>
      </c>
      <c r="H3764">
        <v>3</v>
      </c>
      <c r="I3764">
        <v>9.4</v>
      </c>
      <c r="J3764">
        <v>4.5</v>
      </c>
      <c r="K3764">
        <v>73.2</v>
      </c>
      <c r="L3764" t="s">
        <v>5025</v>
      </c>
      <c r="M3764">
        <v>5</v>
      </c>
      <c r="N3764">
        <v>2</v>
      </c>
      <c r="O3764">
        <v>0</v>
      </c>
    </row>
    <row r="3765" spans="1:15" x14ac:dyDescent="0.3">
      <c r="A3765" t="s">
        <v>3778</v>
      </c>
      <c r="B3765">
        <v>10</v>
      </c>
      <c r="C3765">
        <v>60</v>
      </c>
      <c r="D3765" t="s">
        <v>5015</v>
      </c>
      <c r="E3765" t="s">
        <v>5017</v>
      </c>
      <c r="F3765" t="s">
        <v>5020</v>
      </c>
      <c r="G3765">
        <v>11.88</v>
      </c>
      <c r="H3765">
        <v>4</v>
      </c>
      <c r="I3765">
        <v>6.7</v>
      </c>
      <c r="J3765">
        <v>18.97</v>
      </c>
      <c r="K3765">
        <v>94.9</v>
      </c>
      <c r="L3765" t="s">
        <v>5029</v>
      </c>
      <c r="M3765">
        <v>7</v>
      </c>
      <c r="N3765">
        <v>4</v>
      </c>
      <c r="O3765">
        <v>0</v>
      </c>
    </row>
    <row r="3766" spans="1:15" x14ac:dyDescent="0.3">
      <c r="A3766" t="s">
        <v>3779</v>
      </c>
      <c r="B3766">
        <v>12</v>
      </c>
      <c r="C3766">
        <v>45</v>
      </c>
      <c r="D3766" t="s">
        <v>5016</v>
      </c>
      <c r="E3766" t="s">
        <v>5018</v>
      </c>
      <c r="F3766" t="s">
        <v>5023</v>
      </c>
      <c r="G3766">
        <v>13.52</v>
      </c>
      <c r="H3766">
        <v>4</v>
      </c>
      <c r="I3766">
        <v>9.8000000000000007</v>
      </c>
      <c r="J3766">
        <v>15.39</v>
      </c>
      <c r="K3766">
        <v>35.200000000000003</v>
      </c>
      <c r="L3766" t="s">
        <v>5027</v>
      </c>
      <c r="M3766">
        <v>1</v>
      </c>
      <c r="N3766">
        <v>3</v>
      </c>
      <c r="O3766">
        <v>0</v>
      </c>
    </row>
    <row r="3767" spans="1:15" x14ac:dyDescent="0.3">
      <c r="A3767" t="s">
        <v>3780</v>
      </c>
      <c r="B3767">
        <v>12</v>
      </c>
      <c r="C3767">
        <v>45</v>
      </c>
      <c r="D3767" t="s">
        <v>5015</v>
      </c>
      <c r="E3767" t="s">
        <v>5019</v>
      </c>
      <c r="F3767" t="s">
        <v>5021</v>
      </c>
      <c r="G3767">
        <v>10.18</v>
      </c>
      <c r="H3767">
        <v>3</v>
      </c>
      <c r="I3767">
        <v>7.8</v>
      </c>
      <c r="J3767">
        <v>8.49</v>
      </c>
      <c r="K3767">
        <v>98.3</v>
      </c>
      <c r="L3767" t="s">
        <v>5027</v>
      </c>
      <c r="M3767">
        <v>4</v>
      </c>
      <c r="N3767">
        <v>1</v>
      </c>
      <c r="O3767">
        <v>0</v>
      </c>
    </row>
    <row r="3768" spans="1:15" x14ac:dyDescent="0.3">
      <c r="A3768" t="s">
        <v>3781</v>
      </c>
      <c r="B3768">
        <v>4</v>
      </c>
      <c r="C3768">
        <v>25</v>
      </c>
      <c r="D3768" t="s">
        <v>5016</v>
      </c>
      <c r="E3768" t="s">
        <v>5017</v>
      </c>
      <c r="F3768" t="s">
        <v>5020</v>
      </c>
      <c r="G3768">
        <v>20.34</v>
      </c>
      <c r="H3768">
        <v>1</v>
      </c>
      <c r="I3768">
        <v>1.9</v>
      </c>
      <c r="J3768">
        <v>17.399999999999999</v>
      </c>
      <c r="K3768">
        <v>46.9</v>
      </c>
      <c r="L3768" t="s">
        <v>5028</v>
      </c>
      <c r="M3768">
        <v>6</v>
      </c>
      <c r="N3768">
        <v>0</v>
      </c>
      <c r="O3768">
        <v>0</v>
      </c>
    </row>
    <row r="3769" spans="1:15" x14ac:dyDescent="0.3">
      <c r="A3769" t="s">
        <v>3782</v>
      </c>
      <c r="B3769">
        <v>6</v>
      </c>
      <c r="C3769">
        <v>40</v>
      </c>
      <c r="D3769" t="s">
        <v>5016</v>
      </c>
      <c r="E3769" t="s">
        <v>5018</v>
      </c>
      <c r="F3769" t="s">
        <v>5022</v>
      </c>
      <c r="G3769">
        <v>12.61</v>
      </c>
      <c r="H3769">
        <v>3</v>
      </c>
      <c r="I3769">
        <v>8.6999999999999993</v>
      </c>
      <c r="J3769">
        <v>5.97</v>
      </c>
      <c r="K3769">
        <v>13.5</v>
      </c>
      <c r="L3769" t="s">
        <v>5026</v>
      </c>
      <c r="M3769">
        <v>8</v>
      </c>
      <c r="N3769">
        <v>3</v>
      </c>
      <c r="O3769">
        <v>0</v>
      </c>
    </row>
    <row r="3770" spans="1:15" x14ac:dyDescent="0.3">
      <c r="A3770" t="s">
        <v>3783</v>
      </c>
      <c r="B3770">
        <v>7</v>
      </c>
      <c r="C3770">
        <v>46</v>
      </c>
      <c r="D3770" t="s">
        <v>5016</v>
      </c>
      <c r="E3770" t="s">
        <v>5018</v>
      </c>
      <c r="F3770" t="s">
        <v>5020</v>
      </c>
      <c r="G3770">
        <v>20.100000000000001</v>
      </c>
      <c r="H3770">
        <v>2</v>
      </c>
      <c r="I3770">
        <v>2.2999999999999998</v>
      </c>
      <c r="J3770">
        <v>10.34</v>
      </c>
      <c r="K3770">
        <v>42.2</v>
      </c>
      <c r="L3770" t="s">
        <v>5029</v>
      </c>
      <c r="M3770">
        <v>7</v>
      </c>
      <c r="N3770">
        <v>3</v>
      </c>
      <c r="O3770">
        <v>0</v>
      </c>
    </row>
    <row r="3771" spans="1:15" x14ac:dyDescent="0.3">
      <c r="A3771" t="s">
        <v>3784</v>
      </c>
      <c r="B3771">
        <v>10</v>
      </c>
      <c r="C3771">
        <v>22</v>
      </c>
      <c r="D3771" t="s">
        <v>5016</v>
      </c>
      <c r="E3771" t="s">
        <v>5018</v>
      </c>
      <c r="F3771" t="s">
        <v>5024</v>
      </c>
      <c r="G3771">
        <v>5.37</v>
      </c>
      <c r="H3771">
        <v>1</v>
      </c>
      <c r="I3771">
        <v>7.2</v>
      </c>
      <c r="J3771">
        <v>11.82</v>
      </c>
      <c r="K3771">
        <v>23.5</v>
      </c>
      <c r="L3771" t="s">
        <v>5025</v>
      </c>
      <c r="M3771">
        <v>7</v>
      </c>
      <c r="N3771">
        <v>4</v>
      </c>
      <c r="O3771">
        <v>0</v>
      </c>
    </row>
    <row r="3772" spans="1:15" x14ac:dyDescent="0.3">
      <c r="A3772" t="s">
        <v>3785</v>
      </c>
      <c r="B3772">
        <v>4</v>
      </c>
      <c r="C3772">
        <v>59</v>
      </c>
      <c r="D3772" t="s">
        <v>5016</v>
      </c>
      <c r="E3772" t="s">
        <v>5018</v>
      </c>
      <c r="F3772" t="s">
        <v>5020</v>
      </c>
      <c r="G3772">
        <v>7.71</v>
      </c>
      <c r="H3772">
        <v>3</v>
      </c>
      <c r="I3772">
        <v>5.5</v>
      </c>
      <c r="J3772">
        <v>20.100000000000001</v>
      </c>
      <c r="K3772">
        <v>37.4</v>
      </c>
      <c r="L3772" t="s">
        <v>5027</v>
      </c>
      <c r="M3772">
        <v>8</v>
      </c>
      <c r="N3772">
        <v>2</v>
      </c>
      <c r="O3772">
        <v>0</v>
      </c>
    </row>
    <row r="3773" spans="1:15" x14ac:dyDescent="0.3">
      <c r="A3773" t="s">
        <v>3786</v>
      </c>
      <c r="B3773">
        <v>6</v>
      </c>
      <c r="C3773">
        <v>24</v>
      </c>
      <c r="D3773" t="s">
        <v>5015</v>
      </c>
      <c r="E3773" t="s">
        <v>5018</v>
      </c>
      <c r="F3773" t="s">
        <v>5022</v>
      </c>
      <c r="G3773">
        <v>12.3</v>
      </c>
      <c r="H3773">
        <v>2</v>
      </c>
      <c r="I3773">
        <v>7.4</v>
      </c>
      <c r="J3773">
        <v>9.7899999999999991</v>
      </c>
      <c r="K3773">
        <v>18.600000000000001</v>
      </c>
      <c r="L3773" t="s">
        <v>5027</v>
      </c>
      <c r="M3773">
        <v>7</v>
      </c>
      <c r="N3773">
        <v>3</v>
      </c>
      <c r="O3773">
        <v>1</v>
      </c>
    </row>
    <row r="3774" spans="1:15" x14ac:dyDescent="0.3">
      <c r="A3774" t="s">
        <v>3787</v>
      </c>
      <c r="B3774">
        <v>11</v>
      </c>
      <c r="C3774">
        <v>59</v>
      </c>
      <c r="D3774" t="s">
        <v>5016</v>
      </c>
      <c r="E3774" t="s">
        <v>5019</v>
      </c>
      <c r="F3774" t="s">
        <v>5024</v>
      </c>
      <c r="G3774">
        <v>7.18</v>
      </c>
      <c r="H3774">
        <v>5</v>
      </c>
      <c r="I3774">
        <v>7.9</v>
      </c>
      <c r="J3774">
        <v>4.08</v>
      </c>
      <c r="K3774">
        <v>26</v>
      </c>
      <c r="L3774" t="s">
        <v>5029</v>
      </c>
      <c r="M3774">
        <v>4</v>
      </c>
      <c r="N3774">
        <v>3</v>
      </c>
      <c r="O3774">
        <v>0</v>
      </c>
    </row>
    <row r="3775" spans="1:15" x14ac:dyDescent="0.3">
      <c r="A3775" t="s">
        <v>3788</v>
      </c>
      <c r="B3775">
        <v>1</v>
      </c>
      <c r="C3775">
        <v>53</v>
      </c>
      <c r="D3775" t="s">
        <v>5015</v>
      </c>
      <c r="E3775" t="s">
        <v>5019</v>
      </c>
      <c r="F3775" t="s">
        <v>5023</v>
      </c>
      <c r="G3775">
        <v>17.02</v>
      </c>
      <c r="H3775">
        <v>1</v>
      </c>
      <c r="I3775">
        <v>8.1999999999999993</v>
      </c>
      <c r="J3775">
        <v>6.98</v>
      </c>
      <c r="K3775">
        <v>21.4</v>
      </c>
      <c r="L3775" t="s">
        <v>5027</v>
      </c>
      <c r="M3775">
        <v>11</v>
      </c>
      <c r="N3775">
        <v>4</v>
      </c>
      <c r="O3775">
        <v>0</v>
      </c>
    </row>
    <row r="3776" spans="1:15" x14ac:dyDescent="0.3">
      <c r="A3776" t="s">
        <v>3789</v>
      </c>
      <c r="B3776">
        <v>8</v>
      </c>
      <c r="C3776">
        <v>58</v>
      </c>
      <c r="D3776" t="s">
        <v>5016</v>
      </c>
      <c r="E3776" t="s">
        <v>5018</v>
      </c>
      <c r="F3776" t="s">
        <v>5020</v>
      </c>
      <c r="G3776">
        <v>6.02</v>
      </c>
      <c r="H3776">
        <v>5</v>
      </c>
      <c r="I3776">
        <v>8.5</v>
      </c>
      <c r="J3776">
        <v>16.38</v>
      </c>
      <c r="K3776">
        <v>13.9</v>
      </c>
      <c r="L3776" t="s">
        <v>5026</v>
      </c>
      <c r="M3776">
        <v>6</v>
      </c>
      <c r="N3776">
        <v>2</v>
      </c>
      <c r="O3776">
        <v>0</v>
      </c>
    </row>
    <row r="3777" spans="1:15" x14ac:dyDescent="0.3">
      <c r="A3777" t="s">
        <v>3790</v>
      </c>
      <c r="B3777">
        <v>7</v>
      </c>
      <c r="C3777">
        <v>44</v>
      </c>
      <c r="D3777" t="s">
        <v>5016</v>
      </c>
      <c r="E3777" t="s">
        <v>5017</v>
      </c>
      <c r="F3777" t="s">
        <v>5023</v>
      </c>
      <c r="G3777">
        <v>22.2</v>
      </c>
      <c r="H3777">
        <v>2</v>
      </c>
      <c r="I3777">
        <v>8.6</v>
      </c>
      <c r="J3777">
        <v>3.34</v>
      </c>
      <c r="K3777">
        <v>36.700000000000003</v>
      </c>
      <c r="L3777" t="s">
        <v>5025</v>
      </c>
      <c r="M3777">
        <v>2</v>
      </c>
      <c r="N3777">
        <v>0</v>
      </c>
      <c r="O3777">
        <v>0</v>
      </c>
    </row>
    <row r="3778" spans="1:15" x14ac:dyDescent="0.3">
      <c r="A3778" t="s">
        <v>3791</v>
      </c>
      <c r="B3778">
        <v>11</v>
      </c>
      <c r="C3778">
        <v>63</v>
      </c>
      <c r="D3778" t="s">
        <v>5015</v>
      </c>
      <c r="E3778" t="s">
        <v>5017</v>
      </c>
      <c r="F3778" t="s">
        <v>5020</v>
      </c>
      <c r="G3778">
        <v>20.23</v>
      </c>
      <c r="H3778">
        <v>4</v>
      </c>
      <c r="I3778">
        <v>4.7</v>
      </c>
      <c r="J3778">
        <v>20.43</v>
      </c>
      <c r="K3778">
        <v>94.7</v>
      </c>
      <c r="L3778" t="s">
        <v>5029</v>
      </c>
      <c r="M3778">
        <v>8</v>
      </c>
      <c r="N3778">
        <v>0</v>
      </c>
      <c r="O3778">
        <v>0</v>
      </c>
    </row>
    <row r="3779" spans="1:15" x14ac:dyDescent="0.3">
      <c r="A3779" t="s">
        <v>3792</v>
      </c>
      <c r="B3779">
        <v>11</v>
      </c>
      <c r="C3779">
        <v>19</v>
      </c>
      <c r="D3779" t="s">
        <v>5016</v>
      </c>
      <c r="E3779" t="s">
        <v>5017</v>
      </c>
      <c r="F3779" t="s">
        <v>5021</v>
      </c>
      <c r="G3779">
        <v>9.33</v>
      </c>
      <c r="H3779">
        <v>4</v>
      </c>
      <c r="I3779">
        <v>9</v>
      </c>
      <c r="J3779">
        <v>22.82</v>
      </c>
      <c r="K3779">
        <v>95.4</v>
      </c>
      <c r="L3779" t="s">
        <v>5029</v>
      </c>
      <c r="M3779">
        <v>3</v>
      </c>
      <c r="N3779">
        <v>0</v>
      </c>
      <c r="O3779">
        <v>0</v>
      </c>
    </row>
    <row r="3780" spans="1:15" x14ac:dyDescent="0.3">
      <c r="A3780" t="s">
        <v>3793</v>
      </c>
      <c r="B3780">
        <v>9</v>
      </c>
      <c r="C3780">
        <v>42</v>
      </c>
      <c r="D3780" t="s">
        <v>5016</v>
      </c>
      <c r="E3780" t="s">
        <v>5018</v>
      </c>
      <c r="F3780" t="s">
        <v>5021</v>
      </c>
      <c r="G3780">
        <v>14.68</v>
      </c>
      <c r="H3780">
        <v>4</v>
      </c>
      <c r="I3780">
        <v>7.5</v>
      </c>
      <c r="J3780">
        <v>13.9</v>
      </c>
      <c r="K3780">
        <v>86.2</v>
      </c>
      <c r="L3780" t="s">
        <v>5028</v>
      </c>
      <c r="M3780">
        <v>4</v>
      </c>
      <c r="N3780">
        <v>0</v>
      </c>
      <c r="O3780">
        <v>0</v>
      </c>
    </row>
    <row r="3781" spans="1:15" x14ac:dyDescent="0.3">
      <c r="A3781" t="s">
        <v>3794</v>
      </c>
      <c r="B3781">
        <v>3</v>
      </c>
      <c r="C3781">
        <v>26</v>
      </c>
      <c r="D3781" t="s">
        <v>5015</v>
      </c>
      <c r="E3781" t="s">
        <v>5017</v>
      </c>
      <c r="F3781" t="s">
        <v>5022</v>
      </c>
      <c r="G3781">
        <v>14.04</v>
      </c>
      <c r="H3781">
        <v>5</v>
      </c>
      <c r="I3781">
        <v>8.6</v>
      </c>
      <c r="J3781">
        <v>18.57</v>
      </c>
      <c r="K3781">
        <v>11.1</v>
      </c>
      <c r="L3781" t="s">
        <v>5025</v>
      </c>
      <c r="M3781">
        <v>2</v>
      </c>
      <c r="N3781">
        <v>2</v>
      </c>
      <c r="O3781">
        <v>0</v>
      </c>
    </row>
    <row r="3782" spans="1:15" x14ac:dyDescent="0.3">
      <c r="A3782" t="s">
        <v>3795</v>
      </c>
      <c r="B3782">
        <v>2</v>
      </c>
      <c r="C3782">
        <v>44</v>
      </c>
      <c r="D3782" t="s">
        <v>5015</v>
      </c>
      <c r="E3782" t="s">
        <v>5018</v>
      </c>
      <c r="F3782" t="s">
        <v>5021</v>
      </c>
      <c r="G3782">
        <v>19.5</v>
      </c>
      <c r="H3782">
        <v>1</v>
      </c>
      <c r="I3782">
        <v>9.9</v>
      </c>
      <c r="J3782">
        <v>13.18</v>
      </c>
      <c r="K3782">
        <v>12.5</v>
      </c>
      <c r="L3782" t="s">
        <v>5029</v>
      </c>
      <c r="M3782">
        <v>9</v>
      </c>
      <c r="N3782">
        <v>0</v>
      </c>
      <c r="O3782">
        <v>0</v>
      </c>
    </row>
    <row r="3783" spans="1:15" x14ac:dyDescent="0.3">
      <c r="A3783" t="s">
        <v>3796</v>
      </c>
      <c r="B3783">
        <v>1</v>
      </c>
      <c r="C3783">
        <v>18</v>
      </c>
      <c r="D3783" t="s">
        <v>5016</v>
      </c>
      <c r="E3783" t="s">
        <v>5019</v>
      </c>
      <c r="F3783" t="s">
        <v>5024</v>
      </c>
      <c r="G3783">
        <v>13.03</v>
      </c>
      <c r="H3783">
        <v>5</v>
      </c>
      <c r="I3783">
        <v>2</v>
      </c>
      <c r="J3783">
        <v>9.7899999999999991</v>
      </c>
      <c r="K3783">
        <v>10.9</v>
      </c>
      <c r="L3783" t="s">
        <v>5027</v>
      </c>
      <c r="M3783">
        <v>2</v>
      </c>
      <c r="N3783">
        <v>4</v>
      </c>
      <c r="O3783">
        <v>1</v>
      </c>
    </row>
    <row r="3784" spans="1:15" x14ac:dyDescent="0.3">
      <c r="A3784" t="s">
        <v>3797</v>
      </c>
      <c r="B3784">
        <v>3</v>
      </c>
      <c r="C3784">
        <v>40</v>
      </c>
      <c r="D3784" t="s">
        <v>5016</v>
      </c>
      <c r="E3784" t="s">
        <v>5017</v>
      </c>
      <c r="F3784" t="s">
        <v>5024</v>
      </c>
      <c r="G3784">
        <v>5.66</v>
      </c>
      <c r="H3784">
        <v>5</v>
      </c>
      <c r="I3784">
        <v>4.3</v>
      </c>
      <c r="J3784">
        <v>6.63</v>
      </c>
      <c r="K3784">
        <v>43</v>
      </c>
      <c r="L3784" t="s">
        <v>5025</v>
      </c>
      <c r="M3784">
        <v>6</v>
      </c>
      <c r="N3784">
        <v>4</v>
      </c>
      <c r="O3784">
        <v>1</v>
      </c>
    </row>
    <row r="3785" spans="1:15" x14ac:dyDescent="0.3">
      <c r="A3785" t="s">
        <v>3798</v>
      </c>
      <c r="B3785">
        <v>5</v>
      </c>
      <c r="C3785">
        <v>27</v>
      </c>
      <c r="D3785" t="s">
        <v>5016</v>
      </c>
      <c r="E3785" t="s">
        <v>5019</v>
      </c>
      <c r="F3785" t="s">
        <v>5020</v>
      </c>
      <c r="G3785">
        <v>10.47</v>
      </c>
      <c r="H3785">
        <v>4</v>
      </c>
      <c r="I3785">
        <v>8.3000000000000007</v>
      </c>
      <c r="J3785">
        <v>14.4</v>
      </c>
      <c r="K3785">
        <v>98.2</v>
      </c>
      <c r="L3785" t="s">
        <v>5026</v>
      </c>
      <c r="M3785">
        <v>3</v>
      </c>
      <c r="N3785">
        <v>4</v>
      </c>
      <c r="O3785">
        <v>0</v>
      </c>
    </row>
    <row r="3786" spans="1:15" x14ac:dyDescent="0.3">
      <c r="A3786" t="s">
        <v>3799</v>
      </c>
      <c r="B3786">
        <v>11</v>
      </c>
      <c r="C3786">
        <v>59</v>
      </c>
      <c r="D3786" t="s">
        <v>5015</v>
      </c>
      <c r="E3786" t="s">
        <v>5019</v>
      </c>
      <c r="F3786" t="s">
        <v>5023</v>
      </c>
      <c r="G3786">
        <v>14.32</v>
      </c>
      <c r="H3786">
        <v>5</v>
      </c>
      <c r="I3786">
        <v>1.8</v>
      </c>
      <c r="J3786">
        <v>23.46</v>
      </c>
      <c r="K3786">
        <v>90.7</v>
      </c>
      <c r="L3786" t="s">
        <v>5029</v>
      </c>
      <c r="M3786">
        <v>6</v>
      </c>
      <c r="N3786">
        <v>0</v>
      </c>
      <c r="O3786">
        <v>0</v>
      </c>
    </row>
    <row r="3787" spans="1:15" x14ac:dyDescent="0.3">
      <c r="A3787" t="s">
        <v>3800</v>
      </c>
      <c r="B3787">
        <v>2</v>
      </c>
      <c r="C3787">
        <v>69</v>
      </c>
      <c r="D3787" t="s">
        <v>5016</v>
      </c>
      <c r="E3787" t="s">
        <v>5017</v>
      </c>
      <c r="F3787" t="s">
        <v>5024</v>
      </c>
      <c r="G3787">
        <v>24.49</v>
      </c>
      <c r="H3787">
        <v>2</v>
      </c>
      <c r="I3787">
        <v>5.9</v>
      </c>
      <c r="J3787">
        <v>22.58</v>
      </c>
      <c r="K3787">
        <v>32.5</v>
      </c>
      <c r="L3787" t="s">
        <v>5026</v>
      </c>
      <c r="M3787">
        <v>4</v>
      </c>
      <c r="N3787">
        <v>4</v>
      </c>
      <c r="O3787">
        <v>1</v>
      </c>
    </row>
    <row r="3788" spans="1:15" x14ac:dyDescent="0.3">
      <c r="A3788" t="s">
        <v>3801</v>
      </c>
      <c r="B3788">
        <v>12</v>
      </c>
      <c r="C3788">
        <v>42</v>
      </c>
      <c r="D3788" t="s">
        <v>5015</v>
      </c>
      <c r="E3788" t="s">
        <v>5019</v>
      </c>
      <c r="F3788" t="s">
        <v>5020</v>
      </c>
      <c r="G3788">
        <v>22.62</v>
      </c>
      <c r="H3788">
        <v>3</v>
      </c>
      <c r="I3788">
        <v>8.6999999999999993</v>
      </c>
      <c r="J3788">
        <v>23.23</v>
      </c>
      <c r="K3788">
        <v>46.9</v>
      </c>
      <c r="L3788" t="s">
        <v>5029</v>
      </c>
      <c r="M3788">
        <v>8</v>
      </c>
      <c r="N3788">
        <v>4</v>
      </c>
      <c r="O3788">
        <v>1</v>
      </c>
    </row>
    <row r="3789" spans="1:15" x14ac:dyDescent="0.3">
      <c r="A3789" t="s">
        <v>3802</v>
      </c>
      <c r="B3789">
        <v>3</v>
      </c>
      <c r="C3789">
        <v>20</v>
      </c>
      <c r="D3789" t="s">
        <v>5015</v>
      </c>
      <c r="E3789" t="s">
        <v>5019</v>
      </c>
      <c r="F3789" t="s">
        <v>5023</v>
      </c>
      <c r="G3789">
        <v>8.6300000000000008</v>
      </c>
      <c r="H3789">
        <v>3</v>
      </c>
      <c r="I3789">
        <v>1.2</v>
      </c>
      <c r="J3789">
        <v>24.26</v>
      </c>
      <c r="K3789">
        <v>84.2</v>
      </c>
      <c r="L3789" t="s">
        <v>5027</v>
      </c>
      <c r="M3789">
        <v>3</v>
      </c>
      <c r="N3789">
        <v>1</v>
      </c>
      <c r="O3789">
        <v>1</v>
      </c>
    </row>
    <row r="3790" spans="1:15" x14ac:dyDescent="0.3">
      <c r="A3790" t="s">
        <v>3803</v>
      </c>
      <c r="B3790">
        <v>4</v>
      </c>
      <c r="C3790">
        <v>23</v>
      </c>
      <c r="D3790" t="s">
        <v>5016</v>
      </c>
      <c r="E3790" t="s">
        <v>5018</v>
      </c>
      <c r="F3790" t="s">
        <v>5021</v>
      </c>
      <c r="G3790">
        <v>19.47</v>
      </c>
      <c r="H3790">
        <v>3</v>
      </c>
      <c r="I3790">
        <v>9.5</v>
      </c>
      <c r="J3790">
        <v>6.64</v>
      </c>
      <c r="K3790">
        <v>78.3</v>
      </c>
      <c r="L3790" t="s">
        <v>5028</v>
      </c>
      <c r="M3790">
        <v>8</v>
      </c>
      <c r="N3790">
        <v>0</v>
      </c>
      <c r="O3790">
        <v>0</v>
      </c>
    </row>
    <row r="3791" spans="1:15" x14ac:dyDescent="0.3">
      <c r="A3791" t="s">
        <v>3804</v>
      </c>
      <c r="B3791">
        <v>7</v>
      </c>
      <c r="C3791">
        <v>23</v>
      </c>
      <c r="D3791" t="s">
        <v>5015</v>
      </c>
      <c r="E3791" t="s">
        <v>5017</v>
      </c>
      <c r="F3791" t="s">
        <v>5020</v>
      </c>
      <c r="G3791">
        <v>23.74</v>
      </c>
      <c r="H3791">
        <v>4</v>
      </c>
      <c r="I3791">
        <v>9.8000000000000007</v>
      </c>
      <c r="J3791">
        <v>6.22</v>
      </c>
      <c r="K3791">
        <v>21.9</v>
      </c>
      <c r="L3791" t="s">
        <v>5027</v>
      </c>
      <c r="M3791">
        <v>3</v>
      </c>
      <c r="N3791">
        <v>4</v>
      </c>
      <c r="O3791">
        <v>0</v>
      </c>
    </row>
    <row r="3792" spans="1:15" x14ac:dyDescent="0.3">
      <c r="A3792" t="s">
        <v>3805</v>
      </c>
      <c r="B3792">
        <v>3</v>
      </c>
      <c r="C3792">
        <v>19</v>
      </c>
      <c r="D3792" t="s">
        <v>5016</v>
      </c>
      <c r="E3792" t="s">
        <v>5018</v>
      </c>
      <c r="F3792" t="s">
        <v>5023</v>
      </c>
      <c r="G3792">
        <v>5.18</v>
      </c>
      <c r="H3792">
        <v>4</v>
      </c>
      <c r="I3792">
        <v>3.9</v>
      </c>
      <c r="J3792">
        <v>12.41</v>
      </c>
      <c r="K3792">
        <v>19.7</v>
      </c>
      <c r="L3792" t="s">
        <v>5026</v>
      </c>
      <c r="M3792">
        <v>5</v>
      </c>
      <c r="N3792">
        <v>2</v>
      </c>
      <c r="O3792">
        <v>0</v>
      </c>
    </row>
    <row r="3793" spans="1:15" x14ac:dyDescent="0.3">
      <c r="A3793" t="s">
        <v>3806</v>
      </c>
      <c r="B3793">
        <v>9</v>
      </c>
      <c r="C3793">
        <v>35</v>
      </c>
      <c r="D3793" t="s">
        <v>5016</v>
      </c>
      <c r="E3793" t="s">
        <v>5019</v>
      </c>
      <c r="F3793" t="s">
        <v>5022</v>
      </c>
      <c r="G3793">
        <v>19.420000000000002</v>
      </c>
      <c r="H3793">
        <v>3</v>
      </c>
      <c r="I3793">
        <v>7.9</v>
      </c>
      <c r="J3793">
        <v>18.16</v>
      </c>
      <c r="K3793">
        <v>58.9</v>
      </c>
      <c r="L3793" t="s">
        <v>5025</v>
      </c>
      <c r="M3793">
        <v>11</v>
      </c>
      <c r="N3793">
        <v>4</v>
      </c>
      <c r="O3793">
        <v>0</v>
      </c>
    </row>
    <row r="3794" spans="1:15" x14ac:dyDescent="0.3">
      <c r="A3794" t="s">
        <v>3807</v>
      </c>
      <c r="B3794">
        <v>8</v>
      </c>
      <c r="C3794">
        <v>40</v>
      </c>
      <c r="D3794" t="s">
        <v>5015</v>
      </c>
      <c r="E3794" t="s">
        <v>5018</v>
      </c>
      <c r="F3794" t="s">
        <v>5022</v>
      </c>
      <c r="G3794">
        <v>14.19</v>
      </c>
      <c r="H3794">
        <v>1</v>
      </c>
      <c r="I3794">
        <v>2.1</v>
      </c>
      <c r="J3794">
        <v>12.67</v>
      </c>
      <c r="K3794">
        <v>19.2</v>
      </c>
      <c r="L3794" t="s">
        <v>5026</v>
      </c>
      <c r="M3794">
        <v>2</v>
      </c>
      <c r="N3794">
        <v>1</v>
      </c>
      <c r="O3794">
        <v>0</v>
      </c>
    </row>
    <row r="3795" spans="1:15" x14ac:dyDescent="0.3">
      <c r="A3795" t="s">
        <v>3808</v>
      </c>
      <c r="B3795">
        <v>4</v>
      </c>
      <c r="C3795">
        <v>19</v>
      </c>
      <c r="D3795" t="s">
        <v>5015</v>
      </c>
      <c r="E3795" t="s">
        <v>5017</v>
      </c>
      <c r="F3795" t="s">
        <v>5024</v>
      </c>
      <c r="G3795">
        <v>18.600000000000001</v>
      </c>
      <c r="H3795">
        <v>3</v>
      </c>
      <c r="I3795">
        <v>8</v>
      </c>
      <c r="J3795">
        <v>22.63</v>
      </c>
      <c r="K3795">
        <v>84.3</v>
      </c>
      <c r="L3795" t="s">
        <v>5028</v>
      </c>
      <c r="M3795">
        <v>6</v>
      </c>
      <c r="N3795">
        <v>2</v>
      </c>
      <c r="O3795">
        <v>0</v>
      </c>
    </row>
    <row r="3796" spans="1:15" x14ac:dyDescent="0.3">
      <c r="A3796" t="s">
        <v>3809</v>
      </c>
      <c r="B3796">
        <v>1</v>
      </c>
      <c r="C3796">
        <v>29</v>
      </c>
      <c r="D3796" t="s">
        <v>5015</v>
      </c>
      <c r="E3796" t="s">
        <v>5018</v>
      </c>
      <c r="F3796" t="s">
        <v>5023</v>
      </c>
      <c r="G3796">
        <v>17.11</v>
      </c>
      <c r="H3796">
        <v>5</v>
      </c>
      <c r="I3796">
        <v>5.3</v>
      </c>
      <c r="J3796">
        <v>18.78</v>
      </c>
      <c r="K3796">
        <v>32.799999999999997</v>
      </c>
      <c r="L3796" t="s">
        <v>5029</v>
      </c>
      <c r="M3796">
        <v>7</v>
      </c>
      <c r="N3796">
        <v>2</v>
      </c>
      <c r="O3796">
        <v>1</v>
      </c>
    </row>
    <row r="3797" spans="1:15" x14ac:dyDescent="0.3">
      <c r="A3797" t="s">
        <v>3810</v>
      </c>
      <c r="B3797">
        <v>1</v>
      </c>
      <c r="C3797">
        <v>39</v>
      </c>
      <c r="D3797" t="s">
        <v>5015</v>
      </c>
      <c r="E3797" t="s">
        <v>5018</v>
      </c>
      <c r="F3797" t="s">
        <v>5022</v>
      </c>
      <c r="G3797">
        <v>24.69</v>
      </c>
      <c r="H3797">
        <v>3</v>
      </c>
      <c r="I3797">
        <v>8.6999999999999993</v>
      </c>
      <c r="J3797">
        <v>16.95</v>
      </c>
      <c r="K3797">
        <v>26.9</v>
      </c>
      <c r="L3797" t="s">
        <v>5029</v>
      </c>
      <c r="M3797">
        <v>8</v>
      </c>
      <c r="N3797">
        <v>3</v>
      </c>
      <c r="O3797">
        <v>0</v>
      </c>
    </row>
    <row r="3798" spans="1:15" x14ac:dyDescent="0.3">
      <c r="A3798" t="s">
        <v>3811</v>
      </c>
      <c r="B3798">
        <v>1</v>
      </c>
      <c r="C3798">
        <v>54</v>
      </c>
      <c r="D3798" t="s">
        <v>5015</v>
      </c>
      <c r="E3798" t="s">
        <v>5018</v>
      </c>
      <c r="F3798" t="s">
        <v>5024</v>
      </c>
      <c r="G3798">
        <v>10.78</v>
      </c>
      <c r="H3798">
        <v>3</v>
      </c>
      <c r="I3798">
        <v>2.9</v>
      </c>
      <c r="J3798">
        <v>4.5599999999999996</v>
      </c>
      <c r="K3798">
        <v>26.7</v>
      </c>
      <c r="L3798" t="s">
        <v>5026</v>
      </c>
      <c r="M3798">
        <v>4</v>
      </c>
      <c r="N3798">
        <v>1</v>
      </c>
      <c r="O3798">
        <v>0</v>
      </c>
    </row>
    <row r="3799" spans="1:15" x14ac:dyDescent="0.3">
      <c r="A3799" t="s">
        <v>3812</v>
      </c>
      <c r="B3799">
        <v>1</v>
      </c>
      <c r="C3799">
        <v>37</v>
      </c>
      <c r="D3799" t="s">
        <v>5015</v>
      </c>
      <c r="E3799" t="s">
        <v>5019</v>
      </c>
      <c r="F3799" t="s">
        <v>5020</v>
      </c>
      <c r="G3799">
        <v>20.72</v>
      </c>
      <c r="H3799">
        <v>1</v>
      </c>
      <c r="I3799">
        <v>7.1</v>
      </c>
      <c r="J3799">
        <v>6.86</v>
      </c>
      <c r="K3799">
        <v>14.1</v>
      </c>
      <c r="L3799" t="s">
        <v>5025</v>
      </c>
      <c r="M3799">
        <v>9</v>
      </c>
      <c r="N3799">
        <v>1</v>
      </c>
      <c r="O3799">
        <v>1</v>
      </c>
    </row>
    <row r="3800" spans="1:15" x14ac:dyDescent="0.3">
      <c r="A3800" t="s">
        <v>3813</v>
      </c>
      <c r="B3800">
        <v>8</v>
      </c>
      <c r="C3800">
        <v>56</v>
      </c>
      <c r="D3800" t="s">
        <v>5016</v>
      </c>
      <c r="E3800" t="s">
        <v>5018</v>
      </c>
      <c r="F3800" t="s">
        <v>5020</v>
      </c>
      <c r="G3800">
        <v>9.69</v>
      </c>
      <c r="H3800">
        <v>4</v>
      </c>
      <c r="I3800">
        <v>8.1</v>
      </c>
      <c r="J3800">
        <v>12.42</v>
      </c>
      <c r="K3800">
        <v>67.8</v>
      </c>
      <c r="L3800" t="s">
        <v>5029</v>
      </c>
      <c r="M3800">
        <v>2</v>
      </c>
      <c r="N3800">
        <v>4</v>
      </c>
      <c r="O3800">
        <v>0</v>
      </c>
    </row>
    <row r="3801" spans="1:15" x14ac:dyDescent="0.3">
      <c r="A3801" t="s">
        <v>3814</v>
      </c>
      <c r="B3801">
        <v>3</v>
      </c>
      <c r="C3801">
        <v>41</v>
      </c>
      <c r="D3801" t="s">
        <v>5016</v>
      </c>
      <c r="E3801" t="s">
        <v>5019</v>
      </c>
      <c r="F3801" t="s">
        <v>5023</v>
      </c>
      <c r="G3801">
        <v>13.71</v>
      </c>
      <c r="H3801">
        <v>4</v>
      </c>
      <c r="I3801">
        <v>2.8</v>
      </c>
      <c r="J3801">
        <v>24.48</v>
      </c>
      <c r="K3801">
        <v>24.8</v>
      </c>
      <c r="L3801" t="s">
        <v>5029</v>
      </c>
      <c r="M3801">
        <v>8</v>
      </c>
      <c r="N3801">
        <v>1</v>
      </c>
      <c r="O3801">
        <v>0</v>
      </c>
    </row>
    <row r="3802" spans="1:15" x14ac:dyDescent="0.3">
      <c r="A3802" t="s">
        <v>3815</v>
      </c>
      <c r="B3802">
        <v>6</v>
      </c>
      <c r="C3802">
        <v>65</v>
      </c>
      <c r="D3802" t="s">
        <v>5016</v>
      </c>
      <c r="E3802" t="s">
        <v>5019</v>
      </c>
      <c r="F3802" t="s">
        <v>5023</v>
      </c>
      <c r="G3802">
        <v>24.51</v>
      </c>
      <c r="H3802">
        <v>5</v>
      </c>
      <c r="I3802">
        <v>8.4</v>
      </c>
      <c r="J3802">
        <v>10.36</v>
      </c>
      <c r="K3802">
        <v>31</v>
      </c>
      <c r="L3802" t="s">
        <v>5028</v>
      </c>
      <c r="M3802">
        <v>6</v>
      </c>
      <c r="N3802">
        <v>2</v>
      </c>
      <c r="O3802">
        <v>0</v>
      </c>
    </row>
    <row r="3803" spans="1:15" x14ac:dyDescent="0.3">
      <c r="A3803" t="s">
        <v>3816</v>
      </c>
      <c r="B3803">
        <v>3</v>
      </c>
      <c r="C3803">
        <v>37</v>
      </c>
      <c r="D3803" t="s">
        <v>5015</v>
      </c>
      <c r="E3803" t="s">
        <v>5018</v>
      </c>
      <c r="F3803" t="s">
        <v>5023</v>
      </c>
      <c r="G3803">
        <v>20.32</v>
      </c>
      <c r="H3803">
        <v>3</v>
      </c>
      <c r="I3803">
        <v>9.6</v>
      </c>
      <c r="J3803">
        <v>16.86</v>
      </c>
      <c r="K3803">
        <v>77.599999999999994</v>
      </c>
      <c r="L3803" t="s">
        <v>5028</v>
      </c>
      <c r="M3803">
        <v>4</v>
      </c>
      <c r="N3803">
        <v>2</v>
      </c>
      <c r="O3803">
        <v>1</v>
      </c>
    </row>
    <row r="3804" spans="1:15" x14ac:dyDescent="0.3">
      <c r="A3804" t="s">
        <v>3817</v>
      </c>
      <c r="B3804">
        <v>11</v>
      </c>
      <c r="C3804">
        <v>18</v>
      </c>
      <c r="D3804" t="s">
        <v>5015</v>
      </c>
      <c r="E3804" t="s">
        <v>5017</v>
      </c>
      <c r="F3804" t="s">
        <v>5023</v>
      </c>
      <c r="G3804">
        <v>11.32</v>
      </c>
      <c r="H3804">
        <v>2</v>
      </c>
      <c r="I3804">
        <v>6.5</v>
      </c>
      <c r="J3804">
        <v>24.76</v>
      </c>
      <c r="K3804">
        <v>15.2</v>
      </c>
      <c r="L3804" t="s">
        <v>5025</v>
      </c>
      <c r="M3804">
        <v>2</v>
      </c>
      <c r="N3804">
        <v>4</v>
      </c>
      <c r="O3804">
        <v>0</v>
      </c>
    </row>
    <row r="3805" spans="1:15" x14ac:dyDescent="0.3">
      <c r="A3805" t="s">
        <v>3818</v>
      </c>
      <c r="B3805">
        <v>5</v>
      </c>
      <c r="C3805">
        <v>18</v>
      </c>
      <c r="D3805" t="s">
        <v>5015</v>
      </c>
      <c r="E3805" t="s">
        <v>5019</v>
      </c>
      <c r="F3805" t="s">
        <v>5022</v>
      </c>
      <c r="G3805">
        <v>17.39</v>
      </c>
      <c r="H3805">
        <v>5</v>
      </c>
      <c r="I3805">
        <v>8.1</v>
      </c>
      <c r="J3805">
        <v>8.81</v>
      </c>
      <c r="K3805">
        <v>28.2</v>
      </c>
      <c r="L3805" t="s">
        <v>5029</v>
      </c>
      <c r="M3805">
        <v>4</v>
      </c>
      <c r="N3805">
        <v>2</v>
      </c>
      <c r="O3805">
        <v>0</v>
      </c>
    </row>
    <row r="3806" spans="1:15" x14ac:dyDescent="0.3">
      <c r="A3806" t="s">
        <v>3819</v>
      </c>
      <c r="B3806">
        <v>7</v>
      </c>
      <c r="C3806">
        <v>34</v>
      </c>
      <c r="D3806" t="s">
        <v>5016</v>
      </c>
      <c r="E3806" t="s">
        <v>5019</v>
      </c>
      <c r="F3806" t="s">
        <v>5022</v>
      </c>
      <c r="G3806">
        <v>5.99</v>
      </c>
      <c r="H3806">
        <v>4</v>
      </c>
      <c r="I3806">
        <v>5.8</v>
      </c>
      <c r="J3806">
        <v>6.67</v>
      </c>
      <c r="K3806">
        <v>23.4</v>
      </c>
      <c r="L3806" t="s">
        <v>5027</v>
      </c>
      <c r="M3806">
        <v>3</v>
      </c>
      <c r="N3806">
        <v>4</v>
      </c>
      <c r="O3806">
        <v>1</v>
      </c>
    </row>
    <row r="3807" spans="1:15" x14ac:dyDescent="0.3">
      <c r="A3807" t="s">
        <v>3820</v>
      </c>
      <c r="B3807">
        <v>2</v>
      </c>
      <c r="C3807">
        <v>18</v>
      </c>
      <c r="D3807" t="s">
        <v>5016</v>
      </c>
      <c r="E3807" t="s">
        <v>5017</v>
      </c>
      <c r="F3807" t="s">
        <v>5024</v>
      </c>
      <c r="G3807">
        <v>10.33</v>
      </c>
      <c r="H3807">
        <v>1</v>
      </c>
      <c r="I3807">
        <v>6.4</v>
      </c>
      <c r="J3807">
        <v>15.02</v>
      </c>
      <c r="K3807">
        <v>10.4</v>
      </c>
      <c r="L3807" t="s">
        <v>5026</v>
      </c>
      <c r="M3807">
        <v>4</v>
      </c>
      <c r="N3807">
        <v>3</v>
      </c>
      <c r="O3807">
        <v>0</v>
      </c>
    </row>
    <row r="3808" spans="1:15" x14ac:dyDescent="0.3">
      <c r="A3808" t="s">
        <v>3821</v>
      </c>
      <c r="B3808">
        <v>6</v>
      </c>
      <c r="C3808">
        <v>69</v>
      </c>
      <c r="D3808" t="s">
        <v>5015</v>
      </c>
      <c r="E3808" t="s">
        <v>5018</v>
      </c>
      <c r="F3808" t="s">
        <v>5022</v>
      </c>
      <c r="G3808">
        <v>19.37</v>
      </c>
      <c r="H3808">
        <v>4</v>
      </c>
      <c r="I3808">
        <v>1.1000000000000001</v>
      </c>
      <c r="J3808">
        <v>15.14</v>
      </c>
      <c r="K3808">
        <v>58.5</v>
      </c>
      <c r="L3808" t="s">
        <v>5029</v>
      </c>
      <c r="M3808">
        <v>4</v>
      </c>
      <c r="N3808">
        <v>1</v>
      </c>
      <c r="O3808">
        <v>0</v>
      </c>
    </row>
    <row r="3809" spans="1:15" x14ac:dyDescent="0.3">
      <c r="A3809" t="s">
        <v>3822</v>
      </c>
      <c r="B3809">
        <v>6</v>
      </c>
      <c r="C3809">
        <v>62</v>
      </c>
      <c r="D3809" t="s">
        <v>5015</v>
      </c>
      <c r="E3809" t="s">
        <v>5017</v>
      </c>
      <c r="F3809" t="s">
        <v>5020</v>
      </c>
      <c r="G3809">
        <v>16.399999999999999</v>
      </c>
      <c r="H3809">
        <v>4</v>
      </c>
      <c r="I3809">
        <v>5.7</v>
      </c>
      <c r="J3809">
        <v>23.28</v>
      </c>
      <c r="K3809">
        <v>27.1</v>
      </c>
      <c r="L3809" t="s">
        <v>5026</v>
      </c>
      <c r="M3809">
        <v>11</v>
      </c>
      <c r="N3809">
        <v>1</v>
      </c>
      <c r="O3809">
        <v>0</v>
      </c>
    </row>
    <row r="3810" spans="1:15" x14ac:dyDescent="0.3">
      <c r="A3810" t="s">
        <v>3823</v>
      </c>
      <c r="B3810">
        <v>11</v>
      </c>
      <c r="C3810">
        <v>47</v>
      </c>
      <c r="D3810" t="s">
        <v>5015</v>
      </c>
      <c r="E3810" t="s">
        <v>5019</v>
      </c>
      <c r="F3810" t="s">
        <v>5024</v>
      </c>
      <c r="G3810">
        <v>14.39</v>
      </c>
      <c r="H3810">
        <v>1</v>
      </c>
      <c r="I3810">
        <v>6.2</v>
      </c>
      <c r="J3810">
        <v>3.58</v>
      </c>
      <c r="K3810">
        <v>67</v>
      </c>
      <c r="L3810" t="s">
        <v>5029</v>
      </c>
      <c r="M3810">
        <v>7</v>
      </c>
      <c r="N3810">
        <v>1</v>
      </c>
      <c r="O3810">
        <v>1</v>
      </c>
    </row>
    <row r="3811" spans="1:15" x14ac:dyDescent="0.3">
      <c r="A3811" t="s">
        <v>3824</v>
      </c>
      <c r="B3811">
        <v>3</v>
      </c>
      <c r="C3811">
        <v>58</v>
      </c>
      <c r="D3811" t="s">
        <v>5015</v>
      </c>
      <c r="E3811" t="s">
        <v>5019</v>
      </c>
      <c r="F3811" t="s">
        <v>5022</v>
      </c>
      <c r="G3811">
        <v>18.82</v>
      </c>
      <c r="H3811">
        <v>3</v>
      </c>
      <c r="I3811">
        <v>7</v>
      </c>
      <c r="J3811">
        <v>11.96</v>
      </c>
      <c r="K3811">
        <v>55.2</v>
      </c>
      <c r="L3811" t="s">
        <v>5028</v>
      </c>
      <c r="M3811">
        <v>1</v>
      </c>
      <c r="N3811">
        <v>3</v>
      </c>
      <c r="O3811">
        <v>0</v>
      </c>
    </row>
    <row r="3812" spans="1:15" x14ac:dyDescent="0.3">
      <c r="A3812" t="s">
        <v>3825</v>
      </c>
      <c r="B3812">
        <v>6</v>
      </c>
      <c r="C3812">
        <v>64</v>
      </c>
      <c r="D3812" t="s">
        <v>5016</v>
      </c>
      <c r="E3812" t="s">
        <v>5017</v>
      </c>
      <c r="F3812" t="s">
        <v>5023</v>
      </c>
      <c r="G3812">
        <v>12.97</v>
      </c>
      <c r="H3812">
        <v>3</v>
      </c>
      <c r="I3812">
        <v>2.5</v>
      </c>
      <c r="J3812">
        <v>9.8699999999999992</v>
      </c>
      <c r="K3812">
        <v>70.099999999999994</v>
      </c>
      <c r="L3812" t="s">
        <v>5025</v>
      </c>
      <c r="M3812">
        <v>9</v>
      </c>
      <c r="N3812">
        <v>1</v>
      </c>
      <c r="O3812">
        <v>0</v>
      </c>
    </row>
    <row r="3813" spans="1:15" x14ac:dyDescent="0.3">
      <c r="A3813" t="s">
        <v>3826</v>
      </c>
      <c r="B3813">
        <v>10</v>
      </c>
      <c r="C3813">
        <v>20</v>
      </c>
      <c r="D3813" t="s">
        <v>5016</v>
      </c>
      <c r="E3813" t="s">
        <v>5019</v>
      </c>
      <c r="F3813" t="s">
        <v>5022</v>
      </c>
      <c r="G3813">
        <v>5.52</v>
      </c>
      <c r="H3813">
        <v>4</v>
      </c>
      <c r="I3813">
        <v>3.2</v>
      </c>
      <c r="J3813">
        <v>15.56</v>
      </c>
      <c r="K3813">
        <v>98.3</v>
      </c>
      <c r="L3813" t="s">
        <v>5027</v>
      </c>
      <c r="M3813">
        <v>5</v>
      </c>
      <c r="N3813">
        <v>3</v>
      </c>
      <c r="O3813">
        <v>0</v>
      </c>
    </row>
    <row r="3814" spans="1:15" x14ac:dyDescent="0.3">
      <c r="A3814" t="s">
        <v>3827</v>
      </c>
      <c r="B3814">
        <v>10</v>
      </c>
      <c r="C3814">
        <v>63</v>
      </c>
      <c r="D3814" t="s">
        <v>5016</v>
      </c>
      <c r="E3814" t="s">
        <v>5017</v>
      </c>
      <c r="F3814" t="s">
        <v>5021</v>
      </c>
      <c r="G3814">
        <v>13.82</v>
      </c>
      <c r="H3814">
        <v>5</v>
      </c>
      <c r="I3814">
        <v>7.8</v>
      </c>
      <c r="J3814">
        <v>3.21</v>
      </c>
      <c r="K3814">
        <v>29.8</v>
      </c>
      <c r="L3814" t="s">
        <v>5028</v>
      </c>
      <c r="M3814">
        <v>3</v>
      </c>
      <c r="N3814">
        <v>3</v>
      </c>
      <c r="O3814">
        <v>0</v>
      </c>
    </row>
    <row r="3815" spans="1:15" x14ac:dyDescent="0.3">
      <c r="A3815" t="s">
        <v>3828</v>
      </c>
      <c r="B3815">
        <v>5</v>
      </c>
      <c r="C3815">
        <v>28</v>
      </c>
      <c r="D3815" t="s">
        <v>5015</v>
      </c>
      <c r="E3815" t="s">
        <v>5019</v>
      </c>
      <c r="F3815" t="s">
        <v>5024</v>
      </c>
      <c r="G3815">
        <v>23.04</v>
      </c>
      <c r="H3815">
        <v>2</v>
      </c>
      <c r="I3815">
        <v>2.5</v>
      </c>
      <c r="J3815">
        <v>18.64</v>
      </c>
      <c r="K3815">
        <v>69.900000000000006</v>
      </c>
      <c r="L3815" t="s">
        <v>5025</v>
      </c>
      <c r="M3815">
        <v>7</v>
      </c>
      <c r="N3815">
        <v>4</v>
      </c>
      <c r="O3815">
        <v>0</v>
      </c>
    </row>
    <row r="3816" spans="1:15" x14ac:dyDescent="0.3">
      <c r="A3816" t="s">
        <v>3829</v>
      </c>
      <c r="B3816">
        <v>12</v>
      </c>
      <c r="C3816">
        <v>41</v>
      </c>
      <c r="D3816" t="s">
        <v>5016</v>
      </c>
      <c r="E3816" t="s">
        <v>5018</v>
      </c>
      <c r="F3816" t="s">
        <v>5022</v>
      </c>
      <c r="G3816">
        <v>22.13</v>
      </c>
      <c r="H3816">
        <v>5</v>
      </c>
      <c r="I3816">
        <v>4.7</v>
      </c>
      <c r="J3816">
        <v>13.67</v>
      </c>
      <c r="K3816">
        <v>85</v>
      </c>
      <c r="L3816" t="s">
        <v>5028</v>
      </c>
      <c r="M3816">
        <v>7</v>
      </c>
      <c r="N3816">
        <v>0</v>
      </c>
      <c r="O3816">
        <v>0</v>
      </c>
    </row>
    <row r="3817" spans="1:15" x14ac:dyDescent="0.3">
      <c r="A3817" t="s">
        <v>3830</v>
      </c>
      <c r="B3817">
        <v>2</v>
      </c>
      <c r="C3817">
        <v>39</v>
      </c>
      <c r="D3817" t="s">
        <v>5015</v>
      </c>
      <c r="E3817" t="s">
        <v>5018</v>
      </c>
      <c r="F3817" t="s">
        <v>5022</v>
      </c>
      <c r="G3817">
        <v>13.18</v>
      </c>
      <c r="H3817">
        <v>5</v>
      </c>
      <c r="I3817">
        <v>3.3</v>
      </c>
      <c r="J3817">
        <v>18.420000000000002</v>
      </c>
      <c r="K3817">
        <v>96.2</v>
      </c>
      <c r="L3817" t="s">
        <v>5026</v>
      </c>
      <c r="M3817">
        <v>8</v>
      </c>
      <c r="N3817">
        <v>0</v>
      </c>
      <c r="O3817">
        <v>0</v>
      </c>
    </row>
    <row r="3818" spans="1:15" x14ac:dyDescent="0.3">
      <c r="A3818" t="s">
        <v>3831</v>
      </c>
      <c r="B3818">
        <v>9</v>
      </c>
      <c r="C3818">
        <v>61</v>
      </c>
      <c r="D3818" t="s">
        <v>5015</v>
      </c>
      <c r="E3818" t="s">
        <v>5017</v>
      </c>
      <c r="F3818" t="s">
        <v>5020</v>
      </c>
      <c r="G3818">
        <v>5.44</v>
      </c>
      <c r="H3818">
        <v>4</v>
      </c>
      <c r="I3818">
        <v>5.9</v>
      </c>
      <c r="J3818">
        <v>12.85</v>
      </c>
      <c r="K3818">
        <v>66</v>
      </c>
      <c r="L3818" t="s">
        <v>5029</v>
      </c>
      <c r="M3818">
        <v>10</v>
      </c>
      <c r="N3818">
        <v>4</v>
      </c>
      <c r="O3818">
        <v>1</v>
      </c>
    </row>
    <row r="3819" spans="1:15" x14ac:dyDescent="0.3">
      <c r="A3819" t="s">
        <v>3832</v>
      </c>
      <c r="B3819">
        <v>8</v>
      </c>
      <c r="C3819">
        <v>62</v>
      </c>
      <c r="D3819" t="s">
        <v>5015</v>
      </c>
      <c r="E3819" t="s">
        <v>5017</v>
      </c>
      <c r="F3819" t="s">
        <v>5023</v>
      </c>
      <c r="G3819">
        <v>17.73</v>
      </c>
      <c r="H3819">
        <v>4</v>
      </c>
      <c r="I3819">
        <v>9.9</v>
      </c>
      <c r="J3819">
        <v>13.43</v>
      </c>
      <c r="K3819">
        <v>21.8</v>
      </c>
      <c r="L3819" t="s">
        <v>5028</v>
      </c>
      <c r="M3819">
        <v>4</v>
      </c>
      <c r="N3819">
        <v>4</v>
      </c>
      <c r="O3819">
        <v>0</v>
      </c>
    </row>
    <row r="3820" spans="1:15" x14ac:dyDescent="0.3">
      <c r="A3820" t="s">
        <v>3833</v>
      </c>
      <c r="B3820">
        <v>3</v>
      </c>
      <c r="C3820">
        <v>43</v>
      </c>
      <c r="D3820" t="s">
        <v>5016</v>
      </c>
      <c r="E3820" t="s">
        <v>5018</v>
      </c>
      <c r="F3820" t="s">
        <v>5023</v>
      </c>
      <c r="G3820">
        <v>19.82</v>
      </c>
      <c r="H3820">
        <v>2</v>
      </c>
      <c r="I3820">
        <v>8.6999999999999993</v>
      </c>
      <c r="J3820">
        <v>22.7</v>
      </c>
      <c r="K3820">
        <v>14.8</v>
      </c>
      <c r="L3820" t="s">
        <v>5025</v>
      </c>
      <c r="M3820">
        <v>9</v>
      </c>
      <c r="N3820">
        <v>4</v>
      </c>
      <c r="O3820">
        <v>0</v>
      </c>
    </row>
    <row r="3821" spans="1:15" x14ac:dyDescent="0.3">
      <c r="A3821" t="s">
        <v>3834</v>
      </c>
      <c r="B3821">
        <v>8</v>
      </c>
      <c r="C3821">
        <v>30</v>
      </c>
      <c r="D3821" t="s">
        <v>5016</v>
      </c>
      <c r="E3821" t="s">
        <v>5018</v>
      </c>
      <c r="F3821" t="s">
        <v>5020</v>
      </c>
      <c r="G3821">
        <v>10.88</v>
      </c>
      <c r="H3821">
        <v>2</v>
      </c>
      <c r="I3821">
        <v>3.4</v>
      </c>
      <c r="J3821">
        <v>7.64</v>
      </c>
      <c r="K3821">
        <v>35.1</v>
      </c>
      <c r="L3821" t="s">
        <v>5029</v>
      </c>
      <c r="M3821">
        <v>2</v>
      </c>
      <c r="N3821">
        <v>1</v>
      </c>
      <c r="O3821">
        <v>0</v>
      </c>
    </row>
    <row r="3822" spans="1:15" x14ac:dyDescent="0.3">
      <c r="A3822" t="s">
        <v>3835</v>
      </c>
      <c r="B3822">
        <v>9</v>
      </c>
      <c r="C3822">
        <v>18</v>
      </c>
      <c r="D3822" t="s">
        <v>5015</v>
      </c>
      <c r="E3822" t="s">
        <v>5017</v>
      </c>
      <c r="F3822" t="s">
        <v>5020</v>
      </c>
      <c r="G3822">
        <v>14.53</v>
      </c>
      <c r="H3822">
        <v>2</v>
      </c>
      <c r="I3822">
        <v>4.3</v>
      </c>
      <c r="J3822">
        <v>7.78</v>
      </c>
      <c r="K3822">
        <v>93.5</v>
      </c>
      <c r="L3822" t="s">
        <v>5026</v>
      </c>
      <c r="M3822">
        <v>6</v>
      </c>
      <c r="N3822">
        <v>2</v>
      </c>
      <c r="O3822">
        <v>0</v>
      </c>
    </row>
    <row r="3823" spans="1:15" x14ac:dyDescent="0.3">
      <c r="A3823" t="s">
        <v>3836</v>
      </c>
      <c r="B3823">
        <v>3</v>
      </c>
      <c r="C3823">
        <v>41</v>
      </c>
      <c r="D3823" t="s">
        <v>5016</v>
      </c>
      <c r="E3823" t="s">
        <v>5017</v>
      </c>
      <c r="F3823" t="s">
        <v>5021</v>
      </c>
      <c r="G3823">
        <v>24.84</v>
      </c>
      <c r="H3823">
        <v>4</v>
      </c>
      <c r="I3823">
        <v>9.3000000000000007</v>
      </c>
      <c r="J3823">
        <v>15.31</v>
      </c>
      <c r="K3823">
        <v>58.3</v>
      </c>
      <c r="L3823" t="s">
        <v>5026</v>
      </c>
      <c r="M3823">
        <v>3</v>
      </c>
      <c r="N3823">
        <v>4</v>
      </c>
      <c r="O3823">
        <v>1</v>
      </c>
    </row>
    <row r="3824" spans="1:15" x14ac:dyDescent="0.3">
      <c r="A3824" t="s">
        <v>3837</v>
      </c>
      <c r="B3824">
        <v>3</v>
      </c>
      <c r="C3824">
        <v>27</v>
      </c>
      <c r="D3824" t="s">
        <v>5015</v>
      </c>
      <c r="E3824" t="s">
        <v>5017</v>
      </c>
      <c r="F3824" t="s">
        <v>5024</v>
      </c>
      <c r="G3824">
        <v>16.53</v>
      </c>
      <c r="H3824">
        <v>4</v>
      </c>
      <c r="I3824">
        <v>9.1</v>
      </c>
      <c r="J3824">
        <v>17.52</v>
      </c>
      <c r="K3824">
        <v>62.1</v>
      </c>
      <c r="L3824" t="s">
        <v>5027</v>
      </c>
      <c r="M3824">
        <v>8</v>
      </c>
      <c r="N3824">
        <v>3</v>
      </c>
      <c r="O3824">
        <v>0</v>
      </c>
    </row>
    <row r="3825" spans="1:15" x14ac:dyDescent="0.3">
      <c r="A3825" t="s">
        <v>3838</v>
      </c>
      <c r="B3825">
        <v>2</v>
      </c>
      <c r="C3825">
        <v>52</v>
      </c>
      <c r="D3825" t="s">
        <v>5015</v>
      </c>
      <c r="E3825" t="s">
        <v>5019</v>
      </c>
      <c r="F3825" t="s">
        <v>5023</v>
      </c>
      <c r="G3825">
        <v>12.02</v>
      </c>
      <c r="H3825">
        <v>5</v>
      </c>
      <c r="I3825">
        <v>2.4</v>
      </c>
      <c r="J3825">
        <v>10.8</v>
      </c>
      <c r="K3825">
        <v>65</v>
      </c>
      <c r="L3825" t="s">
        <v>5029</v>
      </c>
      <c r="M3825">
        <v>8</v>
      </c>
      <c r="N3825">
        <v>0</v>
      </c>
      <c r="O3825">
        <v>0</v>
      </c>
    </row>
    <row r="3826" spans="1:15" x14ac:dyDescent="0.3">
      <c r="A3826" t="s">
        <v>3839</v>
      </c>
      <c r="B3826">
        <v>8</v>
      </c>
      <c r="C3826">
        <v>41</v>
      </c>
      <c r="D3826" t="s">
        <v>5015</v>
      </c>
      <c r="E3826" t="s">
        <v>5019</v>
      </c>
      <c r="F3826" t="s">
        <v>5020</v>
      </c>
      <c r="G3826">
        <v>17.55</v>
      </c>
      <c r="H3826">
        <v>4</v>
      </c>
      <c r="I3826">
        <v>8.5</v>
      </c>
      <c r="J3826">
        <v>14.43</v>
      </c>
      <c r="K3826">
        <v>39.9</v>
      </c>
      <c r="L3826" t="s">
        <v>5026</v>
      </c>
      <c r="M3826">
        <v>6</v>
      </c>
      <c r="N3826">
        <v>1</v>
      </c>
      <c r="O3826">
        <v>1</v>
      </c>
    </row>
    <row r="3827" spans="1:15" x14ac:dyDescent="0.3">
      <c r="A3827" t="s">
        <v>3840</v>
      </c>
      <c r="B3827">
        <v>10</v>
      </c>
      <c r="C3827">
        <v>45</v>
      </c>
      <c r="D3827" t="s">
        <v>5016</v>
      </c>
      <c r="E3827" t="s">
        <v>5017</v>
      </c>
      <c r="F3827" t="s">
        <v>5020</v>
      </c>
      <c r="G3827">
        <v>8.6</v>
      </c>
      <c r="H3827">
        <v>3</v>
      </c>
      <c r="I3827">
        <v>3.7</v>
      </c>
      <c r="J3827">
        <v>8.01</v>
      </c>
      <c r="K3827">
        <v>26.3</v>
      </c>
      <c r="L3827" t="s">
        <v>5028</v>
      </c>
      <c r="M3827">
        <v>4</v>
      </c>
      <c r="N3827">
        <v>2</v>
      </c>
      <c r="O3827">
        <v>0</v>
      </c>
    </row>
    <row r="3828" spans="1:15" x14ac:dyDescent="0.3">
      <c r="A3828" t="s">
        <v>3841</v>
      </c>
      <c r="B3828">
        <v>1</v>
      </c>
      <c r="C3828">
        <v>53</v>
      </c>
      <c r="D3828" t="s">
        <v>5016</v>
      </c>
      <c r="E3828" t="s">
        <v>5018</v>
      </c>
      <c r="F3828" t="s">
        <v>5024</v>
      </c>
      <c r="G3828">
        <v>8.99</v>
      </c>
      <c r="H3828">
        <v>3</v>
      </c>
      <c r="I3828">
        <v>5.9</v>
      </c>
      <c r="J3828">
        <v>5.99</v>
      </c>
      <c r="K3828">
        <v>95.9</v>
      </c>
      <c r="L3828" t="s">
        <v>5026</v>
      </c>
      <c r="M3828">
        <v>8</v>
      </c>
      <c r="N3828">
        <v>0</v>
      </c>
      <c r="O3828">
        <v>1</v>
      </c>
    </row>
    <row r="3829" spans="1:15" x14ac:dyDescent="0.3">
      <c r="A3829" t="s">
        <v>3842</v>
      </c>
      <c r="B3829">
        <v>8</v>
      </c>
      <c r="C3829">
        <v>33</v>
      </c>
      <c r="D3829" t="s">
        <v>5015</v>
      </c>
      <c r="E3829" t="s">
        <v>5017</v>
      </c>
      <c r="F3829" t="s">
        <v>5020</v>
      </c>
      <c r="G3829">
        <v>23.5</v>
      </c>
      <c r="H3829">
        <v>2</v>
      </c>
      <c r="I3829">
        <v>1</v>
      </c>
      <c r="J3829">
        <v>8.24</v>
      </c>
      <c r="K3829">
        <v>78</v>
      </c>
      <c r="L3829" t="s">
        <v>5026</v>
      </c>
      <c r="M3829">
        <v>6</v>
      </c>
      <c r="N3829">
        <v>0</v>
      </c>
      <c r="O3829">
        <v>0</v>
      </c>
    </row>
    <row r="3830" spans="1:15" x14ac:dyDescent="0.3">
      <c r="A3830" t="s">
        <v>3843</v>
      </c>
      <c r="B3830">
        <v>7</v>
      </c>
      <c r="C3830">
        <v>57</v>
      </c>
      <c r="D3830" t="s">
        <v>5016</v>
      </c>
      <c r="E3830" t="s">
        <v>5019</v>
      </c>
      <c r="F3830" t="s">
        <v>5021</v>
      </c>
      <c r="G3830">
        <v>9.7799999999999994</v>
      </c>
      <c r="H3830">
        <v>4</v>
      </c>
      <c r="I3830">
        <v>10</v>
      </c>
      <c r="J3830">
        <v>23.16</v>
      </c>
      <c r="K3830">
        <v>56</v>
      </c>
      <c r="L3830" t="s">
        <v>5026</v>
      </c>
      <c r="M3830">
        <v>9</v>
      </c>
      <c r="N3830">
        <v>0</v>
      </c>
      <c r="O3830">
        <v>0</v>
      </c>
    </row>
    <row r="3831" spans="1:15" x14ac:dyDescent="0.3">
      <c r="A3831" t="s">
        <v>3844</v>
      </c>
      <c r="B3831">
        <v>7</v>
      </c>
      <c r="C3831">
        <v>33</v>
      </c>
      <c r="D3831" t="s">
        <v>5016</v>
      </c>
      <c r="E3831" t="s">
        <v>5019</v>
      </c>
      <c r="F3831" t="s">
        <v>5024</v>
      </c>
      <c r="G3831">
        <v>11.22</v>
      </c>
      <c r="H3831">
        <v>3</v>
      </c>
      <c r="I3831">
        <v>7.8</v>
      </c>
      <c r="J3831">
        <v>20.64</v>
      </c>
      <c r="K3831">
        <v>43.9</v>
      </c>
      <c r="L3831" t="s">
        <v>5027</v>
      </c>
      <c r="M3831">
        <v>7</v>
      </c>
      <c r="N3831">
        <v>3</v>
      </c>
      <c r="O3831">
        <v>1</v>
      </c>
    </row>
    <row r="3832" spans="1:15" x14ac:dyDescent="0.3">
      <c r="A3832" t="s">
        <v>3845</v>
      </c>
      <c r="B3832">
        <v>3</v>
      </c>
      <c r="C3832">
        <v>34</v>
      </c>
      <c r="D3832" t="s">
        <v>5016</v>
      </c>
      <c r="E3832" t="s">
        <v>5018</v>
      </c>
      <c r="F3832" t="s">
        <v>5021</v>
      </c>
      <c r="G3832">
        <v>15.88</v>
      </c>
      <c r="H3832">
        <v>5</v>
      </c>
      <c r="I3832">
        <v>3.2</v>
      </c>
      <c r="J3832">
        <v>6.09</v>
      </c>
      <c r="K3832">
        <v>53.4</v>
      </c>
      <c r="L3832" t="s">
        <v>5025</v>
      </c>
      <c r="M3832">
        <v>9</v>
      </c>
      <c r="N3832">
        <v>3</v>
      </c>
      <c r="O3832">
        <v>0</v>
      </c>
    </row>
    <row r="3833" spans="1:15" x14ac:dyDescent="0.3">
      <c r="A3833" t="s">
        <v>3846</v>
      </c>
      <c r="B3833">
        <v>1</v>
      </c>
      <c r="C3833">
        <v>68</v>
      </c>
      <c r="D3833" t="s">
        <v>5016</v>
      </c>
      <c r="E3833" t="s">
        <v>5019</v>
      </c>
      <c r="F3833" t="s">
        <v>5022</v>
      </c>
      <c r="G3833">
        <v>22.99</v>
      </c>
      <c r="H3833">
        <v>1</v>
      </c>
      <c r="I3833">
        <v>7.2</v>
      </c>
      <c r="J3833">
        <v>4.0199999999999996</v>
      </c>
      <c r="K3833">
        <v>13</v>
      </c>
      <c r="L3833" t="s">
        <v>5026</v>
      </c>
      <c r="M3833">
        <v>8</v>
      </c>
      <c r="N3833">
        <v>3</v>
      </c>
      <c r="O3833">
        <v>0</v>
      </c>
    </row>
    <row r="3834" spans="1:15" x14ac:dyDescent="0.3">
      <c r="A3834" t="s">
        <v>3847</v>
      </c>
      <c r="B3834">
        <v>4</v>
      </c>
      <c r="C3834">
        <v>32</v>
      </c>
      <c r="D3834" t="s">
        <v>5015</v>
      </c>
      <c r="E3834" t="s">
        <v>5019</v>
      </c>
      <c r="F3834" t="s">
        <v>5023</v>
      </c>
      <c r="G3834">
        <v>20.63</v>
      </c>
      <c r="H3834">
        <v>5</v>
      </c>
      <c r="I3834">
        <v>3.6</v>
      </c>
      <c r="J3834">
        <v>5.05</v>
      </c>
      <c r="K3834">
        <v>32.299999999999997</v>
      </c>
      <c r="L3834" t="s">
        <v>5025</v>
      </c>
      <c r="M3834">
        <v>4</v>
      </c>
      <c r="N3834">
        <v>2</v>
      </c>
      <c r="O3834">
        <v>0</v>
      </c>
    </row>
    <row r="3835" spans="1:15" x14ac:dyDescent="0.3">
      <c r="A3835" t="s">
        <v>3848</v>
      </c>
      <c r="B3835">
        <v>9</v>
      </c>
      <c r="C3835">
        <v>33</v>
      </c>
      <c r="D3835" t="s">
        <v>5016</v>
      </c>
      <c r="E3835" t="s">
        <v>5019</v>
      </c>
      <c r="F3835" t="s">
        <v>5020</v>
      </c>
      <c r="G3835">
        <v>5.88</v>
      </c>
      <c r="H3835">
        <v>1</v>
      </c>
      <c r="I3835">
        <v>1.8</v>
      </c>
      <c r="J3835">
        <v>9.4600000000000009</v>
      </c>
      <c r="K3835">
        <v>32.6</v>
      </c>
      <c r="L3835" t="s">
        <v>5029</v>
      </c>
      <c r="M3835">
        <v>6</v>
      </c>
      <c r="N3835">
        <v>0</v>
      </c>
      <c r="O3835">
        <v>0</v>
      </c>
    </row>
    <row r="3836" spans="1:15" x14ac:dyDescent="0.3">
      <c r="A3836" t="s">
        <v>3849</v>
      </c>
      <c r="B3836">
        <v>5</v>
      </c>
      <c r="C3836">
        <v>32</v>
      </c>
      <c r="D3836" t="s">
        <v>5015</v>
      </c>
      <c r="E3836" t="s">
        <v>5018</v>
      </c>
      <c r="F3836" t="s">
        <v>5024</v>
      </c>
      <c r="G3836">
        <v>18.86</v>
      </c>
      <c r="H3836">
        <v>5</v>
      </c>
      <c r="I3836">
        <v>4.8</v>
      </c>
      <c r="J3836">
        <v>20.85</v>
      </c>
      <c r="K3836">
        <v>50.1</v>
      </c>
      <c r="L3836" t="s">
        <v>5025</v>
      </c>
      <c r="M3836">
        <v>7</v>
      </c>
      <c r="N3836">
        <v>4</v>
      </c>
      <c r="O3836">
        <v>1</v>
      </c>
    </row>
    <row r="3837" spans="1:15" x14ac:dyDescent="0.3">
      <c r="A3837" t="s">
        <v>3850</v>
      </c>
      <c r="B3837">
        <v>1</v>
      </c>
      <c r="C3837">
        <v>51</v>
      </c>
      <c r="D3837" t="s">
        <v>5015</v>
      </c>
      <c r="E3837" t="s">
        <v>5018</v>
      </c>
      <c r="F3837" t="s">
        <v>5021</v>
      </c>
      <c r="G3837">
        <v>15.08</v>
      </c>
      <c r="H3837">
        <v>3</v>
      </c>
      <c r="I3837">
        <v>6.5</v>
      </c>
      <c r="J3837">
        <v>10.07</v>
      </c>
      <c r="K3837">
        <v>31.3</v>
      </c>
      <c r="L3837" t="s">
        <v>5029</v>
      </c>
      <c r="M3837">
        <v>4</v>
      </c>
      <c r="N3837">
        <v>2</v>
      </c>
      <c r="O3837">
        <v>0</v>
      </c>
    </row>
    <row r="3838" spans="1:15" x14ac:dyDescent="0.3">
      <c r="A3838" t="s">
        <v>3851</v>
      </c>
      <c r="B3838">
        <v>5</v>
      </c>
      <c r="C3838">
        <v>28</v>
      </c>
      <c r="D3838" t="s">
        <v>5016</v>
      </c>
      <c r="E3838" t="s">
        <v>5017</v>
      </c>
      <c r="F3838" t="s">
        <v>5023</v>
      </c>
      <c r="G3838">
        <v>14.51</v>
      </c>
      <c r="H3838">
        <v>4</v>
      </c>
      <c r="I3838">
        <v>1.8</v>
      </c>
      <c r="J3838">
        <v>7.08</v>
      </c>
      <c r="K3838">
        <v>26.7</v>
      </c>
      <c r="L3838" t="s">
        <v>5027</v>
      </c>
      <c r="M3838">
        <v>4</v>
      </c>
      <c r="N3838">
        <v>3</v>
      </c>
      <c r="O3838">
        <v>1</v>
      </c>
    </row>
    <row r="3839" spans="1:15" x14ac:dyDescent="0.3">
      <c r="A3839" t="s">
        <v>3852</v>
      </c>
      <c r="B3839">
        <v>8</v>
      </c>
      <c r="C3839">
        <v>18</v>
      </c>
      <c r="D3839" t="s">
        <v>5015</v>
      </c>
      <c r="E3839" t="s">
        <v>5018</v>
      </c>
      <c r="F3839" t="s">
        <v>5023</v>
      </c>
      <c r="G3839">
        <v>18.829999999999998</v>
      </c>
      <c r="H3839">
        <v>1</v>
      </c>
      <c r="I3839">
        <v>5.7</v>
      </c>
      <c r="J3839">
        <v>11.71</v>
      </c>
      <c r="K3839">
        <v>78.900000000000006</v>
      </c>
      <c r="L3839" t="s">
        <v>5029</v>
      </c>
      <c r="M3839">
        <v>10</v>
      </c>
      <c r="N3839">
        <v>3</v>
      </c>
      <c r="O3839">
        <v>0</v>
      </c>
    </row>
    <row r="3840" spans="1:15" x14ac:dyDescent="0.3">
      <c r="A3840" t="s">
        <v>3853</v>
      </c>
      <c r="B3840">
        <v>8</v>
      </c>
      <c r="C3840">
        <v>32</v>
      </c>
      <c r="D3840" t="s">
        <v>5015</v>
      </c>
      <c r="E3840" t="s">
        <v>5018</v>
      </c>
      <c r="F3840" t="s">
        <v>5020</v>
      </c>
      <c r="G3840">
        <v>8.92</v>
      </c>
      <c r="H3840">
        <v>4</v>
      </c>
      <c r="I3840">
        <v>5.6</v>
      </c>
      <c r="J3840">
        <v>5.73</v>
      </c>
      <c r="K3840">
        <v>90.4</v>
      </c>
      <c r="L3840" t="s">
        <v>5029</v>
      </c>
      <c r="M3840">
        <v>3</v>
      </c>
      <c r="N3840">
        <v>3</v>
      </c>
      <c r="O3840">
        <v>0</v>
      </c>
    </row>
    <row r="3841" spans="1:15" x14ac:dyDescent="0.3">
      <c r="A3841" t="s">
        <v>3854</v>
      </c>
      <c r="B3841">
        <v>5</v>
      </c>
      <c r="C3841">
        <v>43</v>
      </c>
      <c r="D3841" t="s">
        <v>5016</v>
      </c>
      <c r="E3841" t="s">
        <v>5017</v>
      </c>
      <c r="F3841" t="s">
        <v>5023</v>
      </c>
      <c r="G3841">
        <v>24.63</v>
      </c>
      <c r="H3841">
        <v>4</v>
      </c>
      <c r="I3841">
        <v>6.7</v>
      </c>
      <c r="J3841">
        <v>13.34</v>
      </c>
      <c r="K3841">
        <v>16</v>
      </c>
      <c r="L3841" t="s">
        <v>5028</v>
      </c>
      <c r="M3841">
        <v>10</v>
      </c>
      <c r="N3841">
        <v>1</v>
      </c>
      <c r="O3841">
        <v>0</v>
      </c>
    </row>
    <row r="3842" spans="1:15" x14ac:dyDescent="0.3">
      <c r="A3842" t="s">
        <v>3855</v>
      </c>
      <c r="B3842">
        <v>12</v>
      </c>
      <c r="C3842">
        <v>68</v>
      </c>
      <c r="D3842" t="s">
        <v>5015</v>
      </c>
      <c r="E3842" t="s">
        <v>5017</v>
      </c>
      <c r="F3842" t="s">
        <v>5020</v>
      </c>
      <c r="G3842">
        <v>17.91</v>
      </c>
      <c r="H3842">
        <v>3</v>
      </c>
      <c r="I3842">
        <v>3.2</v>
      </c>
      <c r="J3842">
        <v>17.86</v>
      </c>
      <c r="K3842">
        <v>28.9</v>
      </c>
      <c r="L3842" t="s">
        <v>5027</v>
      </c>
      <c r="M3842">
        <v>6</v>
      </c>
      <c r="N3842">
        <v>0</v>
      </c>
      <c r="O3842">
        <v>1</v>
      </c>
    </row>
    <row r="3843" spans="1:15" x14ac:dyDescent="0.3">
      <c r="A3843" t="s">
        <v>3856</v>
      </c>
      <c r="B3843">
        <v>9</v>
      </c>
      <c r="C3843">
        <v>21</v>
      </c>
      <c r="D3843" t="s">
        <v>5015</v>
      </c>
      <c r="E3843" t="s">
        <v>5018</v>
      </c>
      <c r="F3843" t="s">
        <v>5022</v>
      </c>
      <c r="G3843">
        <v>12.31</v>
      </c>
      <c r="H3843">
        <v>2</v>
      </c>
      <c r="I3843">
        <v>1.2</v>
      </c>
      <c r="J3843">
        <v>11.11</v>
      </c>
      <c r="K3843">
        <v>79.599999999999994</v>
      </c>
      <c r="L3843" t="s">
        <v>5026</v>
      </c>
      <c r="M3843">
        <v>11</v>
      </c>
      <c r="N3843">
        <v>4</v>
      </c>
      <c r="O3843">
        <v>0</v>
      </c>
    </row>
    <row r="3844" spans="1:15" x14ac:dyDescent="0.3">
      <c r="A3844" t="s">
        <v>3857</v>
      </c>
      <c r="B3844">
        <v>1</v>
      </c>
      <c r="C3844">
        <v>60</v>
      </c>
      <c r="D3844" t="s">
        <v>5016</v>
      </c>
      <c r="E3844" t="s">
        <v>5017</v>
      </c>
      <c r="F3844" t="s">
        <v>5020</v>
      </c>
      <c r="G3844">
        <v>17</v>
      </c>
      <c r="H3844">
        <v>2</v>
      </c>
      <c r="I3844">
        <v>3.9</v>
      </c>
      <c r="J3844">
        <v>6.82</v>
      </c>
      <c r="K3844">
        <v>83.4</v>
      </c>
      <c r="L3844" t="s">
        <v>5027</v>
      </c>
      <c r="M3844">
        <v>2</v>
      </c>
      <c r="N3844">
        <v>0</v>
      </c>
      <c r="O3844">
        <v>0</v>
      </c>
    </row>
    <row r="3845" spans="1:15" x14ac:dyDescent="0.3">
      <c r="A3845" t="s">
        <v>3858</v>
      </c>
      <c r="B3845">
        <v>4</v>
      </c>
      <c r="C3845">
        <v>22</v>
      </c>
      <c r="D3845" t="s">
        <v>5016</v>
      </c>
      <c r="E3845" t="s">
        <v>5018</v>
      </c>
      <c r="F3845" t="s">
        <v>5021</v>
      </c>
      <c r="G3845">
        <v>9.33</v>
      </c>
      <c r="H3845">
        <v>1</v>
      </c>
      <c r="I3845">
        <v>4.5999999999999996</v>
      </c>
      <c r="J3845">
        <v>12.97</v>
      </c>
      <c r="K3845">
        <v>55</v>
      </c>
      <c r="L3845" t="s">
        <v>5028</v>
      </c>
      <c r="M3845">
        <v>11</v>
      </c>
      <c r="N3845">
        <v>2</v>
      </c>
      <c r="O3845">
        <v>0</v>
      </c>
    </row>
    <row r="3846" spans="1:15" x14ac:dyDescent="0.3">
      <c r="A3846" t="s">
        <v>3859</v>
      </c>
      <c r="B3846">
        <v>3</v>
      </c>
      <c r="C3846">
        <v>52</v>
      </c>
      <c r="D3846" t="s">
        <v>5016</v>
      </c>
      <c r="E3846" t="s">
        <v>5019</v>
      </c>
      <c r="F3846" t="s">
        <v>5023</v>
      </c>
      <c r="G3846">
        <v>17.68</v>
      </c>
      <c r="H3846">
        <v>3</v>
      </c>
      <c r="I3846">
        <v>6.7</v>
      </c>
      <c r="J3846">
        <v>19.77</v>
      </c>
      <c r="K3846">
        <v>72.5</v>
      </c>
      <c r="L3846" t="s">
        <v>5029</v>
      </c>
      <c r="M3846">
        <v>4</v>
      </c>
      <c r="N3846">
        <v>1</v>
      </c>
      <c r="O3846">
        <v>0</v>
      </c>
    </row>
    <row r="3847" spans="1:15" x14ac:dyDescent="0.3">
      <c r="A3847" t="s">
        <v>3860</v>
      </c>
      <c r="B3847">
        <v>2</v>
      </c>
      <c r="C3847">
        <v>30</v>
      </c>
      <c r="D3847" t="s">
        <v>5016</v>
      </c>
      <c r="E3847" t="s">
        <v>5019</v>
      </c>
      <c r="F3847" t="s">
        <v>5023</v>
      </c>
      <c r="G3847">
        <v>5.56</v>
      </c>
      <c r="H3847">
        <v>4</v>
      </c>
      <c r="I3847">
        <v>9.4</v>
      </c>
      <c r="J3847">
        <v>4.6900000000000004</v>
      </c>
      <c r="K3847">
        <v>17</v>
      </c>
      <c r="L3847" t="s">
        <v>5027</v>
      </c>
      <c r="M3847">
        <v>8</v>
      </c>
      <c r="N3847">
        <v>2</v>
      </c>
      <c r="O3847">
        <v>1</v>
      </c>
    </row>
    <row r="3848" spans="1:15" x14ac:dyDescent="0.3">
      <c r="A3848" t="s">
        <v>3861</v>
      </c>
      <c r="B3848">
        <v>8</v>
      </c>
      <c r="C3848">
        <v>27</v>
      </c>
      <c r="D3848" t="s">
        <v>5016</v>
      </c>
      <c r="E3848" t="s">
        <v>5018</v>
      </c>
      <c r="F3848" t="s">
        <v>5023</v>
      </c>
      <c r="G3848">
        <v>11.82</v>
      </c>
      <c r="H3848">
        <v>5</v>
      </c>
      <c r="I3848">
        <v>2.8</v>
      </c>
      <c r="J3848">
        <v>4.5599999999999996</v>
      </c>
      <c r="K3848">
        <v>86.5</v>
      </c>
      <c r="L3848" t="s">
        <v>5028</v>
      </c>
      <c r="M3848">
        <v>3</v>
      </c>
      <c r="N3848">
        <v>3</v>
      </c>
      <c r="O3848">
        <v>0</v>
      </c>
    </row>
    <row r="3849" spans="1:15" x14ac:dyDescent="0.3">
      <c r="A3849" t="s">
        <v>3862</v>
      </c>
      <c r="B3849">
        <v>7</v>
      </c>
      <c r="C3849">
        <v>28</v>
      </c>
      <c r="D3849" t="s">
        <v>5015</v>
      </c>
      <c r="E3849" t="s">
        <v>5018</v>
      </c>
      <c r="F3849" t="s">
        <v>5020</v>
      </c>
      <c r="G3849">
        <v>19.95</v>
      </c>
      <c r="H3849">
        <v>5</v>
      </c>
      <c r="I3849">
        <v>7.2</v>
      </c>
      <c r="J3849">
        <v>10</v>
      </c>
      <c r="K3849">
        <v>84.9</v>
      </c>
      <c r="L3849" t="s">
        <v>5026</v>
      </c>
      <c r="M3849">
        <v>8</v>
      </c>
      <c r="N3849">
        <v>3</v>
      </c>
      <c r="O3849">
        <v>0</v>
      </c>
    </row>
    <row r="3850" spans="1:15" x14ac:dyDescent="0.3">
      <c r="A3850" t="s">
        <v>3863</v>
      </c>
      <c r="B3850">
        <v>9</v>
      </c>
      <c r="C3850">
        <v>35</v>
      </c>
      <c r="D3850" t="s">
        <v>5015</v>
      </c>
      <c r="E3850" t="s">
        <v>5018</v>
      </c>
      <c r="F3850" t="s">
        <v>5024</v>
      </c>
      <c r="G3850">
        <v>21.16</v>
      </c>
      <c r="H3850">
        <v>1</v>
      </c>
      <c r="I3850">
        <v>1.9</v>
      </c>
      <c r="J3850">
        <v>12.13</v>
      </c>
      <c r="K3850">
        <v>72.400000000000006</v>
      </c>
      <c r="L3850" t="s">
        <v>5029</v>
      </c>
      <c r="M3850">
        <v>7</v>
      </c>
      <c r="N3850">
        <v>4</v>
      </c>
      <c r="O3850">
        <v>0</v>
      </c>
    </row>
    <row r="3851" spans="1:15" x14ac:dyDescent="0.3">
      <c r="A3851" t="s">
        <v>3864</v>
      </c>
      <c r="B3851">
        <v>2</v>
      </c>
      <c r="C3851">
        <v>51</v>
      </c>
      <c r="D3851" t="s">
        <v>5016</v>
      </c>
      <c r="E3851" t="s">
        <v>5017</v>
      </c>
      <c r="F3851" t="s">
        <v>5020</v>
      </c>
      <c r="G3851">
        <v>10.06</v>
      </c>
      <c r="H3851">
        <v>1</v>
      </c>
      <c r="I3851">
        <v>2.7</v>
      </c>
      <c r="J3851">
        <v>7.76</v>
      </c>
      <c r="K3851">
        <v>92.5</v>
      </c>
      <c r="L3851" t="s">
        <v>5027</v>
      </c>
      <c r="M3851">
        <v>7</v>
      </c>
      <c r="N3851">
        <v>0</v>
      </c>
      <c r="O3851">
        <v>1</v>
      </c>
    </row>
    <row r="3852" spans="1:15" x14ac:dyDescent="0.3">
      <c r="A3852" t="s">
        <v>3865</v>
      </c>
      <c r="B3852">
        <v>4</v>
      </c>
      <c r="C3852">
        <v>56</v>
      </c>
      <c r="D3852" t="s">
        <v>5016</v>
      </c>
      <c r="E3852" t="s">
        <v>5019</v>
      </c>
      <c r="F3852" t="s">
        <v>5021</v>
      </c>
      <c r="G3852">
        <v>15.79</v>
      </c>
      <c r="H3852">
        <v>1</v>
      </c>
      <c r="I3852">
        <v>5.6</v>
      </c>
      <c r="J3852">
        <v>3.59</v>
      </c>
      <c r="K3852">
        <v>14.3</v>
      </c>
      <c r="L3852" t="s">
        <v>5027</v>
      </c>
      <c r="M3852">
        <v>11</v>
      </c>
      <c r="N3852">
        <v>2</v>
      </c>
      <c r="O3852">
        <v>1</v>
      </c>
    </row>
    <row r="3853" spans="1:15" x14ac:dyDescent="0.3">
      <c r="A3853" t="s">
        <v>3866</v>
      </c>
      <c r="B3853">
        <v>6</v>
      </c>
      <c r="C3853">
        <v>58</v>
      </c>
      <c r="D3853" t="s">
        <v>5015</v>
      </c>
      <c r="E3853" t="s">
        <v>5017</v>
      </c>
      <c r="F3853" t="s">
        <v>5020</v>
      </c>
      <c r="G3853">
        <v>15.57</v>
      </c>
      <c r="H3853">
        <v>3</v>
      </c>
      <c r="I3853">
        <v>7.4</v>
      </c>
      <c r="J3853">
        <v>7.83</v>
      </c>
      <c r="K3853">
        <v>30.8</v>
      </c>
      <c r="L3853" t="s">
        <v>5029</v>
      </c>
      <c r="M3853">
        <v>9</v>
      </c>
      <c r="N3853">
        <v>3</v>
      </c>
      <c r="O3853">
        <v>0</v>
      </c>
    </row>
    <row r="3854" spans="1:15" x14ac:dyDescent="0.3">
      <c r="A3854" t="s">
        <v>3867</v>
      </c>
      <c r="B3854">
        <v>11</v>
      </c>
      <c r="C3854">
        <v>59</v>
      </c>
      <c r="D3854" t="s">
        <v>5016</v>
      </c>
      <c r="E3854" t="s">
        <v>5017</v>
      </c>
      <c r="F3854" t="s">
        <v>5023</v>
      </c>
      <c r="G3854">
        <v>13.43</v>
      </c>
      <c r="H3854">
        <v>5</v>
      </c>
      <c r="I3854">
        <v>8.6999999999999993</v>
      </c>
      <c r="J3854">
        <v>12.58</v>
      </c>
      <c r="K3854">
        <v>42.6</v>
      </c>
      <c r="L3854" t="s">
        <v>5027</v>
      </c>
      <c r="M3854">
        <v>4</v>
      </c>
      <c r="N3854">
        <v>4</v>
      </c>
      <c r="O3854">
        <v>0</v>
      </c>
    </row>
    <row r="3855" spans="1:15" x14ac:dyDescent="0.3">
      <c r="A3855" t="s">
        <v>3868</v>
      </c>
      <c r="B3855">
        <v>3</v>
      </c>
      <c r="C3855">
        <v>67</v>
      </c>
      <c r="D3855" t="s">
        <v>5016</v>
      </c>
      <c r="E3855" t="s">
        <v>5019</v>
      </c>
      <c r="F3855" t="s">
        <v>5022</v>
      </c>
      <c r="G3855">
        <v>9.57</v>
      </c>
      <c r="H3855">
        <v>3</v>
      </c>
      <c r="I3855">
        <v>7.7</v>
      </c>
      <c r="J3855">
        <v>4.75</v>
      </c>
      <c r="K3855">
        <v>24.3</v>
      </c>
      <c r="L3855" t="s">
        <v>5029</v>
      </c>
      <c r="M3855">
        <v>11</v>
      </c>
      <c r="N3855">
        <v>4</v>
      </c>
      <c r="O3855">
        <v>0</v>
      </c>
    </row>
    <row r="3856" spans="1:15" x14ac:dyDescent="0.3">
      <c r="A3856" t="s">
        <v>3869</v>
      </c>
      <c r="B3856">
        <v>8</v>
      </c>
      <c r="C3856">
        <v>40</v>
      </c>
      <c r="D3856" t="s">
        <v>5015</v>
      </c>
      <c r="E3856" t="s">
        <v>5017</v>
      </c>
      <c r="F3856" t="s">
        <v>5021</v>
      </c>
      <c r="G3856">
        <v>19.059999999999999</v>
      </c>
      <c r="H3856">
        <v>3</v>
      </c>
      <c r="I3856">
        <v>1.1000000000000001</v>
      </c>
      <c r="J3856">
        <v>18.75</v>
      </c>
      <c r="K3856">
        <v>83.3</v>
      </c>
      <c r="L3856" t="s">
        <v>5028</v>
      </c>
      <c r="M3856">
        <v>8</v>
      </c>
      <c r="N3856">
        <v>2</v>
      </c>
      <c r="O3856">
        <v>0</v>
      </c>
    </row>
    <row r="3857" spans="1:15" x14ac:dyDescent="0.3">
      <c r="A3857" t="s">
        <v>3870</v>
      </c>
      <c r="B3857">
        <v>3</v>
      </c>
      <c r="C3857">
        <v>24</v>
      </c>
      <c r="D3857" t="s">
        <v>5015</v>
      </c>
      <c r="E3857" t="s">
        <v>5018</v>
      </c>
      <c r="F3857" t="s">
        <v>5022</v>
      </c>
      <c r="G3857">
        <v>10.050000000000001</v>
      </c>
      <c r="H3857">
        <v>4</v>
      </c>
      <c r="I3857">
        <v>7.2</v>
      </c>
      <c r="J3857">
        <v>15.15</v>
      </c>
      <c r="K3857">
        <v>78.099999999999994</v>
      </c>
      <c r="L3857" t="s">
        <v>5029</v>
      </c>
      <c r="M3857">
        <v>2</v>
      </c>
      <c r="N3857">
        <v>0</v>
      </c>
      <c r="O3857">
        <v>0</v>
      </c>
    </row>
    <row r="3858" spans="1:15" x14ac:dyDescent="0.3">
      <c r="A3858" t="s">
        <v>3871</v>
      </c>
      <c r="B3858">
        <v>12</v>
      </c>
      <c r="C3858">
        <v>56</v>
      </c>
      <c r="D3858" t="s">
        <v>5015</v>
      </c>
      <c r="E3858" t="s">
        <v>5017</v>
      </c>
      <c r="F3858" t="s">
        <v>5021</v>
      </c>
      <c r="G3858">
        <v>23.22</v>
      </c>
      <c r="H3858">
        <v>3</v>
      </c>
      <c r="I3858">
        <v>8.4</v>
      </c>
      <c r="J3858">
        <v>12.56</v>
      </c>
      <c r="K3858">
        <v>79.599999999999994</v>
      </c>
      <c r="L3858" t="s">
        <v>5026</v>
      </c>
      <c r="M3858">
        <v>3</v>
      </c>
      <c r="N3858">
        <v>1</v>
      </c>
      <c r="O3858">
        <v>0</v>
      </c>
    </row>
    <row r="3859" spans="1:15" x14ac:dyDescent="0.3">
      <c r="A3859" t="s">
        <v>3872</v>
      </c>
      <c r="B3859">
        <v>2</v>
      </c>
      <c r="C3859">
        <v>20</v>
      </c>
      <c r="D3859" t="s">
        <v>5016</v>
      </c>
      <c r="E3859" t="s">
        <v>5017</v>
      </c>
      <c r="F3859" t="s">
        <v>5021</v>
      </c>
      <c r="G3859">
        <v>15.57</v>
      </c>
      <c r="H3859">
        <v>3</v>
      </c>
      <c r="I3859">
        <v>5.7</v>
      </c>
      <c r="J3859">
        <v>14.41</v>
      </c>
      <c r="K3859">
        <v>36.200000000000003</v>
      </c>
      <c r="L3859" t="s">
        <v>5029</v>
      </c>
      <c r="M3859">
        <v>4</v>
      </c>
      <c r="N3859">
        <v>4</v>
      </c>
      <c r="O3859">
        <v>1</v>
      </c>
    </row>
    <row r="3860" spans="1:15" x14ac:dyDescent="0.3">
      <c r="A3860" t="s">
        <v>3873</v>
      </c>
      <c r="B3860">
        <v>3</v>
      </c>
      <c r="C3860">
        <v>29</v>
      </c>
      <c r="D3860" t="s">
        <v>5015</v>
      </c>
      <c r="E3860" t="s">
        <v>5017</v>
      </c>
      <c r="F3860" t="s">
        <v>5023</v>
      </c>
      <c r="G3860">
        <v>22.41</v>
      </c>
      <c r="H3860">
        <v>4</v>
      </c>
      <c r="I3860">
        <v>9.6999999999999993</v>
      </c>
      <c r="J3860">
        <v>17.43</v>
      </c>
      <c r="K3860">
        <v>78.599999999999994</v>
      </c>
      <c r="L3860" t="s">
        <v>5027</v>
      </c>
      <c r="M3860">
        <v>9</v>
      </c>
      <c r="N3860">
        <v>2</v>
      </c>
      <c r="O3860">
        <v>0</v>
      </c>
    </row>
    <row r="3861" spans="1:15" x14ac:dyDescent="0.3">
      <c r="A3861" t="s">
        <v>3874</v>
      </c>
      <c r="B3861">
        <v>11</v>
      </c>
      <c r="C3861">
        <v>24</v>
      </c>
      <c r="D3861" t="s">
        <v>5016</v>
      </c>
      <c r="E3861" t="s">
        <v>5017</v>
      </c>
      <c r="F3861" t="s">
        <v>5020</v>
      </c>
      <c r="G3861">
        <v>10.81</v>
      </c>
      <c r="H3861">
        <v>2</v>
      </c>
      <c r="I3861">
        <v>1</v>
      </c>
      <c r="J3861">
        <v>24.89</v>
      </c>
      <c r="K3861">
        <v>21.1</v>
      </c>
      <c r="L3861" t="s">
        <v>5029</v>
      </c>
      <c r="M3861">
        <v>1</v>
      </c>
      <c r="N3861">
        <v>3</v>
      </c>
      <c r="O3861">
        <v>0</v>
      </c>
    </row>
    <row r="3862" spans="1:15" x14ac:dyDescent="0.3">
      <c r="A3862" t="s">
        <v>3875</v>
      </c>
      <c r="B3862">
        <v>6</v>
      </c>
      <c r="C3862">
        <v>66</v>
      </c>
      <c r="D3862" t="s">
        <v>5015</v>
      </c>
      <c r="E3862" t="s">
        <v>5018</v>
      </c>
      <c r="F3862" t="s">
        <v>5023</v>
      </c>
      <c r="G3862">
        <v>21.14</v>
      </c>
      <c r="H3862">
        <v>4</v>
      </c>
      <c r="I3862">
        <v>8.4</v>
      </c>
      <c r="J3862">
        <v>20.05</v>
      </c>
      <c r="K3862">
        <v>19.600000000000001</v>
      </c>
      <c r="L3862" t="s">
        <v>5029</v>
      </c>
      <c r="M3862">
        <v>7</v>
      </c>
      <c r="N3862">
        <v>1</v>
      </c>
      <c r="O3862">
        <v>0</v>
      </c>
    </row>
    <row r="3863" spans="1:15" x14ac:dyDescent="0.3">
      <c r="A3863" t="s">
        <v>3876</v>
      </c>
      <c r="B3863">
        <v>2</v>
      </c>
      <c r="C3863">
        <v>43</v>
      </c>
      <c r="D3863" t="s">
        <v>5016</v>
      </c>
      <c r="E3863" t="s">
        <v>5019</v>
      </c>
      <c r="F3863" t="s">
        <v>5023</v>
      </c>
      <c r="G3863">
        <v>7.27</v>
      </c>
      <c r="H3863">
        <v>1</v>
      </c>
      <c r="I3863">
        <v>4</v>
      </c>
      <c r="J3863">
        <v>14.89</v>
      </c>
      <c r="K3863">
        <v>62.6</v>
      </c>
      <c r="L3863" t="s">
        <v>5029</v>
      </c>
      <c r="M3863">
        <v>2</v>
      </c>
      <c r="N3863">
        <v>1</v>
      </c>
      <c r="O3863">
        <v>0</v>
      </c>
    </row>
    <row r="3864" spans="1:15" x14ac:dyDescent="0.3">
      <c r="A3864" t="s">
        <v>3877</v>
      </c>
      <c r="B3864">
        <v>8</v>
      </c>
      <c r="C3864">
        <v>50</v>
      </c>
      <c r="D3864" t="s">
        <v>5016</v>
      </c>
      <c r="E3864" t="s">
        <v>5018</v>
      </c>
      <c r="F3864" t="s">
        <v>5023</v>
      </c>
      <c r="G3864">
        <v>20.34</v>
      </c>
      <c r="H3864">
        <v>2</v>
      </c>
      <c r="I3864">
        <v>6.9</v>
      </c>
      <c r="J3864">
        <v>19.95</v>
      </c>
      <c r="K3864">
        <v>14.4</v>
      </c>
      <c r="L3864" t="s">
        <v>5026</v>
      </c>
      <c r="M3864">
        <v>5</v>
      </c>
      <c r="N3864">
        <v>0</v>
      </c>
      <c r="O3864">
        <v>0</v>
      </c>
    </row>
    <row r="3865" spans="1:15" x14ac:dyDescent="0.3">
      <c r="A3865" t="s">
        <v>3878</v>
      </c>
      <c r="B3865">
        <v>1</v>
      </c>
      <c r="C3865">
        <v>54</v>
      </c>
      <c r="D3865" t="s">
        <v>5016</v>
      </c>
      <c r="E3865" t="s">
        <v>5019</v>
      </c>
      <c r="F3865" t="s">
        <v>5022</v>
      </c>
      <c r="G3865">
        <v>12.74</v>
      </c>
      <c r="H3865">
        <v>5</v>
      </c>
      <c r="I3865">
        <v>7.2</v>
      </c>
      <c r="J3865">
        <v>13.45</v>
      </c>
      <c r="K3865">
        <v>94.5</v>
      </c>
      <c r="L3865" t="s">
        <v>5026</v>
      </c>
      <c r="M3865">
        <v>1</v>
      </c>
      <c r="N3865">
        <v>2</v>
      </c>
      <c r="O3865">
        <v>0</v>
      </c>
    </row>
    <row r="3866" spans="1:15" x14ac:dyDescent="0.3">
      <c r="A3866" t="s">
        <v>3879</v>
      </c>
      <c r="B3866">
        <v>7</v>
      </c>
      <c r="C3866">
        <v>65</v>
      </c>
      <c r="D3866" t="s">
        <v>5015</v>
      </c>
      <c r="E3866" t="s">
        <v>5017</v>
      </c>
      <c r="F3866" t="s">
        <v>5021</v>
      </c>
      <c r="G3866">
        <v>14.4</v>
      </c>
      <c r="H3866">
        <v>3</v>
      </c>
      <c r="I3866">
        <v>3.8</v>
      </c>
      <c r="J3866">
        <v>9.84</v>
      </c>
      <c r="K3866">
        <v>39.6</v>
      </c>
      <c r="L3866" t="s">
        <v>5027</v>
      </c>
      <c r="M3866">
        <v>6</v>
      </c>
      <c r="N3866">
        <v>0</v>
      </c>
      <c r="O3866">
        <v>1</v>
      </c>
    </row>
    <row r="3867" spans="1:15" x14ac:dyDescent="0.3">
      <c r="A3867" t="s">
        <v>3880</v>
      </c>
      <c r="B3867">
        <v>2</v>
      </c>
      <c r="C3867">
        <v>32</v>
      </c>
      <c r="D3867" t="s">
        <v>5015</v>
      </c>
      <c r="E3867" t="s">
        <v>5018</v>
      </c>
      <c r="F3867" t="s">
        <v>5024</v>
      </c>
      <c r="G3867">
        <v>8.34</v>
      </c>
      <c r="H3867">
        <v>2</v>
      </c>
      <c r="I3867">
        <v>10</v>
      </c>
      <c r="J3867">
        <v>8.76</v>
      </c>
      <c r="K3867">
        <v>52.9</v>
      </c>
      <c r="L3867" t="s">
        <v>5027</v>
      </c>
      <c r="M3867">
        <v>3</v>
      </c>
      <c r="N3867">
        <v>4</v>
      </c>
      <c r="O3867">
        <v>1</v>
      </c>
    </row>
    <row r="3868" spans="1:15" x14ac:dyDescent="0.3">
      <c r="A3868" t="s">
        <v>3881</v>
      </c>
      <c r="B3868">
        <v>10</v>
      </c>
      <c r="C3868">
        <v>19</v>
      </c>
      <c r="D3868" t="s">
        <v>5015</v>
      </c>
      <c r="E3868" t="s">
        <v>5017</v>
      </c>
      <c r="F3868" t="s">
        <v>5020</v>
      </c>
      <c r="G3868">
        <v>5.37</v>
      </c>
      <c r="H3868">
        <v>5</v>
      </c>
      <c r="I3868">
        <v>1.9</v>
      </c>
      <c r="J3868">
        <v>11.79</v>
      </c>
      <c r="K3868">
        <v>83.2</v>
      </c>
      <c r="L3868" t="s">
        <v>5029</v>
      </c>
      <c r="M3868">
        <v>6</v>
      </c>
      <c r="N3868">
        <v>4</v>
      </c>
      <c r="O3868">
        <v>0</v>
      </c>
    </row>
    <row r="3869" spans="1:15" x14ac:dyDescent="0.3">
      <c r="A3869" t="s">
        <v>3882</v>
      </c>
      <c r="B3869">
        <v>12</v>
      </c>
      <c r="C3869">
        <v>58</v>
      </c>
      <c r="D3869" t="s">
        <v>5016</v>
      </c>
      <c r="E3869" t="s">
        <v>5018</v>
      </c>
      <c r="F3869" t="s">
        <v>5023</v>
      </c>
      <c r="G3869">
        <v>18.32</v>
      </c>
      <c r="H3869">
        <v>4</v>
      </c>
      <c r="I3869">
        <v>2.4</v>
      </c>
      <c r="J3869">
        <v>3.05</v>
      </c>
      <c r="K3869">
        <v>46</v>
      </c>
      <c r="L3869" t="s">
        <v>5025</v>
      </c>
      <c r="M3869">
        <v>8</v>
      </c>
      <c r="N3869">
        <v>2</v>
      </c>
      <c r="O3869">
        <v>0</v>
      </c>
    </row>
    <row r="3870" spans="1:15" x14ac:dyDescent="0.3">
      <c r="A3870" t="s">
        <v>3883</v>
      </c>
      <c r="B3870">
        <v>6</v>
      </c>
      <c r="C3870">
        <v>24</v>
      </c>
      <c r="D3870" t="s">
        <v>5015</v>
      </c>
      <c r="E3870" t="s">
        <v>5018</v>
      </c>
      <c r="F3870" t="s">
        <v>5021</v>
      </c>
      <c r="G3870">
        <v>16.75</v>
      </c>
      <c r="H3870">
        <v>4</v>
      </c>
      <c r="I3870">
        <v>9</v>
      </c>
      <c r="J3870">
        <v>6.89</v>
      </c>
      <c r="K3870">
        <v>48.8</v>
      </c>
      <c r="L3870" t="s">
        <v>5028</v>
      </c>
      <c r="M3870">
        <v>8</v>
      </c>
      <c r="N3870">
        <v>3</v>
      </c>
      <c r="O3870">
        <v>1</v>
      </c>
    </row>
    <row r="3871" spans="1:15" x14ac:dyDescent="0.3">
      <c r="A3871" t="s">
        <v>3884</v>
      </c>
      <c r="B3871">
        <v>12</v>
      </c>
      <c r="C3871">
        <v>49</v>
      </c>
      <c r="D3871" t="s">
        <v>5015</v>
      </c>
      <c r="E3871" t="s">
        <v>5018</v>
      </c>
      <c r="F3871" t="s">
        <v>5020</v>
      </c>
      <c r="G3871">
        <v>17.45</v>
      </c>
      <c r="H3871">
        <v>1</v>
      </c>
      <c r="I3871">
        <v>2.1</v>
      </c>
      <c r="J3871">
        <v>5.78</v>
      </c>
      <c r="K3871">
        <v>41.3</v>
      </c>
      <c r="L3871" t="s">
        <v>5029</v>
      </c>
      <c r="M3871">
        <v>4</v>
      </c>
      <c r="N3871">
        <v>4</v>
      </c>
      <c r="O3871">
        <v>1</v>
      </c>
    </row>
    <row r="3872" spans="1:15" x14ac:dyDescent="0.3">
      <c r="A3872" t="s">
        <v>3885</v>
      </c>
      <c r="B3872">
        <v>2</v>
      </c>
      <c r="C3872">
        <v>21</v>
      </c>
      <c r="D3872" t="s">
        <v>5016</v>
      </c>
      <c r="E3872" t="s">
        <v>5019</v>
      </c>
      <c r="F3872" t="s">
        <v>5024</v>
      </c>
      <c r="G3872">
        <v>10.1</v>
      </c>
      <c r="H3872">
        <v>1</v>
      </c>
      <c r="I3872">
        <v>4.4000000000000004</v>
      </c>
      <c r="J3872">
        <v>24.13</v>
      </c>
      <c r="K3872">
        <v>41.7</v>
      </c>
      <c r="L3872" t="s">
        <v>5028</v>
      </c>
      <c r="M3872">
        <v>7</v>
      </c>
      <c r="N3872">
        <v>4</v>
      </c>
      <c r="O3872">
        <v>0</v>
      </c>
    </row>
    <row r="3873" spans="1:15" x14ac:dyDescent="0.3">
      <c r="A3873" t="s">
        <v>3886</v>
      </c>
      <c r="B3873">
        <v>2</v>
      </c>
      <c r="C3873">
        <v>37</v>
      </c>
      <c r="D3873" t="s">
        <v>5016</v>
      </c>
      <c r="E3873" t="s">
        <v>5018</v>
      </c>
      <c r="F3873" t="s">
        <v>5024</v>
      </c>
      <c r="G3873">
        <v>9.7899999999999991</v>
      </c>
      <c r="H3873">
        <v>2</v>
      </c>
      <c r="I3873">
        <v>7.6</v>
      </c>
      <c r="J3873">
        <v>4.43</v>
      </c>
      <c r="K3873">
        <v>52.1</v>
      </c>
      <c r="L3873" t="s">
        <v>5026</v>
      </c>
      <c r="M3873">
        <v>6</v>
      </c>
      <c r="N3873">
        <v>3</v>
      </c>
      <c r="O3873">
        <v>1</v>
      </c>
    </row>
    <row r="3874" spans="1:15" x14ac:dyDescent="0.3">
      <c r="A3874" t="s">
        <v>3887</v>
      </c>
      <c r="B3874">
        <v>10</v>
      </c>
      <c r="C3874">
        <v>67</v>
      </c>
      <c r="D3874" t="s">
        <v>5015</v>
      </c>
      <c r="E3874" t="s">
        <v>5018</v>
      </c>
      <c r="F3874" t="s">
        <v>5023</v>
      </c>
      <c r="G3874">
        <v>21.61</v>
      </c>
      <c r="H3874">
        <v>3</v>
      </c>
      <c r="I3874">
        <v>8.1</v>
      </c>
      <c r="J3874">
        <v>14.02</v>
      </c>
      <c r="K3874">
        <v>95.1</v>
      </c>
      <c r="L3874" t="s">
        <v>5027</v>
      </c>
      <c r="M3874">
        <v>2</v>
      </c>
      <c r="N3874">
        <v>1</v>
      </c>
      <c r="O3874">
        <v>0</v>
      </c>
    </row>
    <row r="3875" spans="1:15" x14ac:dyDescent="0.3">
      <c r="A3875" t="s">
        <v>3888</v>
      </c>
      <c r="B3875">
        <v>8</v>
      </c>
      <c r="C3875">
        <v>53</v>
      </c>
      <c r="D3875" t="s">
        <v>5015</v>
      </c>
      <c r="E3875" t="s">
        <v>5019</v>
      </c>
      <c r="F3875" t="s">
        <v>5024</v>
      </c>
      <c r="G3875">
        <v>20.23</v>
      </c>
      <c r="H3875">
        <v>4</v>
      </c>
      <c r="I3875">
        <v>9.6</v>
      </c>
      <c r="J3875">
        <v>23.23</v>
      </c>
      <c r="K3875">
        <v>94.2</v>
      </c>
      <c r="L3875" t="s">
        <v>5025</v>
      </c>
      <c r="M3875">
        <v>6</v>
      </c>
      <c r="N3875">
        <v>2</v>
      </c>
      <c r="O3875">
        <v>0</v>
      </c>
    </row>
    <row r="3876" spans="1:15" x14ac:dyDescent="0.3">
      <c r="A3876" t="s">
        <v>3889</v>
      </c>
      <c r="B3876">
        <v>12</v>
      </c>
      <c r="C3876">
        <v>49</v>
      </c>
      <c r="D3876" t="s">
        <v>5015</v>
      </c>
      <c r="E3876" t="s">
        <v>5017</v>
      </c>
      <c r="F3876" t="s">
        <v>5024</v>
      </c>
      <c r="G3876">
        <v>11.74</v>
      </c>
      <c r="H3876">
        <v>2</v>
      </c>
      <c r="I3876">
        <v>8.1</v>
      </c>
      <c r="J3876">
        <v>16.37</v>
      </c>
      <c r="K3876">
        <v>59.1</v>
      </c>
      <c r="L3876" t="s">
        <v>5027</v>
      </c>
      <c r="M3876">
        <v>2</v>
      </c>
      <c r="N3876">
        <v>1</v>
      </c>
      <c r="O3876">
        <v>0</v>
      </c>
    </row>
    <row r="3877" spans="1:15" x14ac:dyDescent="0.3">
      <c r="A3877" t="s">
        <v>3890</v>
      </c>
      <c r="B3877">
        <v>2</v>
      </c>
      <c r="C3877">
        <v>45</v>
      </c>
      <c r="D3877" t="s">
        <v>5016</v>
      </c>
      <c r="E3877" t="s">
        <v>5018</v>
      </c>
      <c r="F3877" t="s">
        <v>5020</v>
      </c>
      <c r="G3877">
        <v>17.760000000000002</v>
      </c>
      <c r="H3877">
        <v>2</v>
      </c>
      <c r="I3877">
        <v>8.6</v>
      </c>
      <c r="J3877">
        <v>13.9</v>
      </c>
      <c r="K3877">
        <v>51</v>
      </c>
      <c r="L3877" t="s">
        <v>5026</v>
      </c>
      <c r="M3877">
        <v>4</v>
      </c>
      <c r="N3877">
        <v>0</v>
      </c>
      <c r="O3877">
        <v>0</v>
      </c>
    </row>
    <row r="3878" spans="1:15" x14ac:dyDescent="0.3">
      <c r="A3878" t="s">
        <v>3891</v>
      </c>
      <c r="B3878">
        <v>7</v>
      </c>
      <c r="C3878">
        <v>30</v>
      </c>
      <c r="D3878" t="s">
        <v>5015</v>
      </c>
      <c r="E3878" t="s">
        <v>5019</v>
      </c>
      <c r="F3878" t="s">
        <v>5020</v>
      </c>
      <c r="G3878">
        <v>21.56</v>
      </c>
      <c r="H3878">
        <v>2</v>
      </c>
      <c r="I3878">
        <v>9.5</v>
      </c>
      <c r="J3878">
        <v>19.350000000000001</v>
      </c>
      <c r="K3878">
        <v>82.7</v>
      </c>
      <c r="L3878" t="s">
        <v>5029</v>
      </c>
      <c r="M3878">
        <v>5</v>
      </c>
      <c r="N3878">
        <v>3</v>
      </c>
      <c r="O3878">
        <v>0</v>
      </c>
    </row>
    <row r="3879" spans="1:15" x14ac:dyDescent="0.3">
      <c r="A3879" t="s">
        <v>3892</v>
      </c>
      <c r="B3879">
        <v>3</v>
      </c>
      <c r="C3879">
        <v>18</v>
      </c>
      <c r="D3879" t="s">
        <v>5016</v>
      </c>
      <c r="E3879" t="s">
        <v>5018</v>
      </c>
      <c r="F3879" t="s">
        <v>5023</v>
      </c>
      <c r="G3879">
        <v>22.78</v>
      </c>
      <c r="H3879">
        <v>1</v>
      </c>
      <c r="I3879">
        <v>6</v>
      </c>
      <c r="J3879">
        <v>10.77</v>
      </c>
      <c r="K3879">
        <v>71.3</v>
      </c>
      <c r="L3879" t="s">
        <v>5026</v>
      </c>
      <c r="M3879">
        <v>9</v>
      </c>
      <c r="N3879">
        <v>2</v>
      </c>
      <c r="O3879">
        <v>0</v>
      </c>
    </row>
    <row r="3880" spans="1:15" x14ac:dyDescent="0.3">
      <c r="A3880" t="s">
        <v>3893</v>
      </c>
      <c r="B3880">
        <v>8</v>
      </c>
      <c r="C3880">
        <v>52</v>
      </c>
      <c r="D3880" t="s">
        <v>5016</v>
      </c>
      <c r="E3880" t="s">
        <v>5017</v>
      </c>
      <c r="F3880" t="s">
        <v>5021</v>
      </c>
      <c r="G3880">
        <v>5.12</v>
      </c>
      <c r="H3880">
        <v>4</v>
      </c>
      <c r="I3880">
        <v>4.0999999999999996</v>
      </c>
      <c r="J3880">
        <v>7.26</v>
      </c>
      <c r="K3880">
        <v>89.3</v>
      </c>
      <c r="L3880" t="s">
        <v>5025</v>
      </c>
      <c r="M3880">
        <v>3</v>
      </c>
      <c r="N3880">
        <v>3</v>
      </c>
      <c r="O3880">
        <v>1</v>
      </c>
    </row>
    <row r="3881" spans="1:15" x14ac:dyDescent="0.3">
      <c r="A3881" t="s">
        <v>3894</v>
      </c>
      <c r="B3881">
        <v>7</v>
      </c>
      <c r="C3881">
        <v>65</v>
      </c>
      <c r="D3881" t="s">
        <v>5015</v>
      </c>
      <c r="E3881" t="s">
        <v>5018</v>
      </c>
      <c r="F3881" t="s">
        <v>5023</v>
      </c>
      <c r="G3881">
        <v>21.27</v>
      </c>
      <c r="H3881">
        <v>1</v>
      </c>
      <c r="I3881">
        <v>7.9</v>
      </c>
      <c r="J3881">
        <v>21.64</v>
      </c>
      <c r="K3881">
        <v>75.8</v>
      </c>
      <c r="L3881" t="s">
        <v>5029</v>
      </c>
      <c r="M3881">
        <v>5</v>
      </c>
      <c r="N3881">
        <v>3</v>
      </c>
      <c r="O3881">
        <v>1</v>
      </c>
    </row>
    <row r="3882" spans="1:15" x14ac:dyDescent="0.3">
      <c r="A3882" t="s">
        <v>3895</v>
      </c>
      <c r="B3882">
        <v>8</v>
      </c>
      <c r="C3882">
        <v>47</v>
      </c>
      <c r="D3882" t="s">
        <v>5015</v>
      </c>
      <c r="E3882" t="s">
        <v>5018</v>
      </c>
      <c r="F3882" t="s">
        <v>5022</v>
      </c>
      <c r="G3882">
        <v>12.01</v>
      </c>
      <c r="H3882">
        <v>1</v>
      </c>
      <c r="I3882">
        <v>2.5</v>
      </c>
      <c r="J3882">
        <v>4.24</v>
      </c>
      <c r="K3882">
        <v>95.7</v>
      </c>
      <c r="L3882" t="s">
        <v>5029</v>
      </c>
      <c r="M3882">
        <v>2</v>
      </c>
      <c r="N3882">
        <v>1</v>
      </c>
      <c r="O3882">
        <v>0</v>
      </c>
    </row>
    <row r="3883" spans="1:15" x14ac:dyDescent="0.3">
      <c r="A3883" t="s">
        <v>3896</v>
      </c>
      <c r="B3883">
        <v>7</v>
      </c>
      <c r="C3883">
        <v>53</v>
      </c>
      <c r="D3883" t="s">
        <v>5016</v>
      </c>
      <c r="E3883" t="s">
        <v>5018</v>
      </c>
      <c r="F3883" t="s">
        <v>5024</v>
      </c>
      <c r="G3883">
        <v>19.37</v>
      </c>
      <c r="H3883">
        <v>2</v>
      </c>
      <c r="I3883">
        <v>1.6</v>
      </c>
      <c r="J3883">
        <v>20.77</v>
      </c>
      <c r="K3883">
        <v>89.8</v>
      </c>
      <c r="L3883" t="s">
        <v>5025</v>
      </c>
      <c r="M3883">
        <v>3</v>
      </c>
      <c r="N3883">
        <v>1</v>
      </c>
      <c r="O3883">
        <v>0</v>
      </c>
    </row>
    <row r="3884" spans="1:15" x14ac:dyDescent="0.3">
      <c r="A3884" t="s">
        <v>3897</v>
      </c>
      <c r="B3884">
        <v>11</v>
      </c>
      <c r="C3884">
        <v>42</v>
      </c>
      <c r="D3884" t="s">
        <v>5016</v>
      </c>
      <c r="E3884" t="s">
        <v>5017</v>
      </c>
      <c r="F3884" t="s">
        <v>5021</v>
      </c>
      <c r="G3884">
        <v>12.43</v>
      </c>
      <c r="H3884">
        <v>5</v>
      </c>
      <c r="I3884">
        <v>8.1</v>
      </c>
      <c r="J3884">
        <v>5.27</v>
      </c>
      <c r="K3884">
        <v>87</v>
      </c>
      <c r="L3884" t="s">
        <v>5027</v>
      </c>
      <c r="M3884">
        <v>5</v>
      </c>
      <c r="N3884">
        <v>0</v>
      </c>
      <c r="O3884">
        <v>0</v>
      </c>
    </row>
    <row r="3885" spans="1:15" x14ac:dyDescent="0.3">
      <c r="A3885" t="s">
        <v>3898</v>
      </c>
      <c r="B3885">
        <v>6</v>
      </c>
      <c r="C3885">
        <v>33</v>
      </c>
      <c r="D3885" t="s">
        <v>5015</v>
      </c>
      <c r="E3885" t="s">
        <v>5019</v>
      </c>
      <c r="F3885" t="s">
        <v>5020</v>
      </c>
      <c r="G3885">
        <v>17.12</v>
      </c>
      <c r="H3885">
        <v>5</v>
      </c>
      <c r="I3885">
        <v>9.6</v>
      </c>
      <c r="J3885">
        <v>16.760000000000002</v>
      </c>
      <c r="K3885">
        <v>45.2</v>
      </c>
      <c r="L3885" t="s">
        <v>5029</v>
      </c>
      <c r="M3885">
        <v>7</v>
      </c>
      <c r="N3885">
        <v>2</v>
      </c>
      <c r="O3885">
        <v>0</v>
      </c>
    </row>
    <row r="3886" spans="1:15" x14ac:dyDescent="0.3">
      <c r="A3886" t="s">
        <v>3899</v>
      </c>
      <c r="B3886">
        <v>7</v>
      </c>
      <c r="C3886">
        <v>36</v>
      </c>
      <c r="D3886" t="s">
        <v>5015</v>
      </c>
      <c r="E3886" t="s">
        <v>5019</v>
      </c>
      <c r="F3886" t="s">
        <v>5022</v>
      </c>
      <c r="G3886">
        <v>17.940000000000001</v>
      </c>
      <c r="H3886">
        <v>5</v>
      </c>
      <c r="I3886">
        <v>5</v>
      </c>
      <c r="J3886">
        <v>13.5</v>
      </c>
      <c r="K3886">
        <v>44.8</v>
      </c>
      <c r="L3886" t="s">
        <v>5027</v>
      </c>
      <c r="M3886">
        <v>6</v>
      </c>
      <c r="N3886">
        <v>3</v>
      </c>
      <c r="O3886">
        <v>0</v>
      </c>
    </row>
    <row r="3887" spans="1:15" x14ac:dyDescent="0.3">
      <c r="A3887" t="s">
        <v>3900</v>
      </c>
      <c r="B3887">
        <v>5</v>
      </c>
      <c r="C3887">
        <v>18</v>
      </c>
      <c r="D3887" t="s">
        <v>5015</v>
      </c>
      <c r="E3887" t="s">
        <v>5018</v>
      </c>
      <c r="F3887" t="s">
        <v>5022</v>
      </c>
      <c r="G3887">
        <v>13.1</v>
      </c>
      <c r="H3887">
        <v>2</v>
      </c>
      <c r="I3887">
        <v>2.5</v>
      </c>
      <c r="J3887">
        <v>24.97</v>
      </c>
      <c r="K3887">
        <v>76.7</v>
      </c>
      <c r="L3887" t="s">
        <v>5028</v>
      </c>
      <c r="M3887">
        <v>2</v>
      </c>
      <c r="N3887">
        <v>0</v>
      </c>
      <c r="O3887">
        <v>0</v>
      </c>
    </row>
    <row r="3888" spans="1:15" x14ac:dyDescent="0.3">
      <c r="A3888" t="s">
        <v>3901</v>
      </c>
      <c r="B3888">
        <v>7</v>
      </c>
      <c r="C3888">
        <v>22</v>
      </c>
      <c r="D3888" t="s">
        <v>5016</v>
      </c>
      <c r="E3888" t="s">
        <v>5018</v>
      </c>
      <c r="F3888" t="s">
        <v>5024</v>
      </c>
      <c r="G3888">
        <v>15.26</v>
      </c>
      <c r="H3888">
        <v>3</v>
      </c>
      <c r="I3888">
        <v>5.5</v>
      </c>
      <c r="J3888">
        <v>11.53</v>
      </c>
      <c r="K3888">
        <v>17.5</v>
      </c>
      <c r="L3888" t="s">
        <v>5025</v>
      </c>
      <c r="M3888">
        <v>9</v>
      </c>
      <c r="N3888">
        <v>3</v>
      </c>
      <c r="O3888">
        <v>1</v>
      </c>
    </row>
    <row r="3889" spans="1:15" x14ac:dyDescent="0.3">
      <c r="A3889" t="s">
        <v>3902</v>
      </c>
      <c r="B3889">
        <v>1</v>
      </c>
      <c r="C3889">
        <v>68</v>
      </c>
      <c r="D3889" t="s">
        <v>5016</v>
      </c>
      <c r="E3889" t="s">
        <v>5019</v>
      </c>
      <c r="F3889" t="s">
        <v>5020</v>
      </c>
      <c r="G3889">
        <v>19.53</v>
      </c>
      <c r="H3889">
        <v>4</v>
      </c>
      <c r="I3889">
        <v>4.5</v>
      </c>
      <c r="J3889">
        <v>24.06</v>
      </c>
      <c r="K3889">
        <v>39</v>
      </c>
      <c r="L3889" t="s">
        <v>5028</v>
      </c>
      <c r="M3889">
        <v>8</v>
      </c>
      <c r="N3889">
        <v>0</v>
      </c>
      <c r="O3889">
        <v>1</v>
      </c>
    </row>
    <row r="3890" spans="1:15" x14ac:dyDescent="0.3">
      <c r="A3890" t="s">
        <v>3903</v>
      </c>
      <c r="B3890">
        <v>1</v>
      </c>
      <c r="C3890">
        <v>39</v>
      </c>
      <c r="D3890" t="s">
        <v>5015</v>
      </c>
      <c r="E3890" t="s">
        <v>5017</v>
      </c>
      <c r="F3890" t="s">
        <v>5021</v>
      </c>
      <c r="G3890">
        <v>14.53</v>
      </c>
      <c r="H3890">
        <v>2</v>
      </c>
      <c r="I3890">
        <v>4.4000000000000004</v>
      </c>
      <c r="J3890">
        <v>11.88</v>
      </c>
      <c r="K3890">
        <v>93.9</v>
      </c>
      <c r="L3890" t="s">
        <v>5029</v>
      </c>
      <c r="M3890">
        <v>9</v>
      </c>
      <c r="N3890">
        <v>3</v>
      </c>
      <c r="O3890">
        <v>0</v>
      </c>
    </row>
    <row r="3891" spans="1:15" x14ac:dyDescent="0.3">
      <c r="A3891" t="s">
        <v>3904</v>
      </c>
      <c r="B3891">
        <v>9</v>
      </c>
      <c r="C3891">
        <v>41</v>
      </c>
      <c r="D3891" t="s">
        <v>5016</v>
      </c>
      <c r="E3891" t="s">
        <v>5017</v>
      </c>
      <c r="F3891" t="s">
        <v>5020</v>
      </c>
      <c r="G3891">
        <v>5.28</v>
      </c>
      <c r="H3891">
        <v>2</v>
      </c>
      <c r="I3891">
        <v>6.7</v>
      </c>
      <c r="J3891">
        <v>18</v>
      </c>
      <c r="K3891">
        <v>50.5</v>
      </c>
      <c r="L3891" t="s">
        <v>5025</v>
      </c>
      <c r="M3891">
        <v>9</v>
      </c>
      <c r="N3891">
        <v>1</v>
      </c>
      <c r="O3891">
        <v>0</v>
      </c>
    </row>
    <row r="3892" spans="1:15" x14ac:dyDescent="0.3">
      <c r="A3892" t="s">
        <v>3905</v>
      </c>
      <c r="B3892">
        <v>5</v>
      </c>
      <c r="C3892">
        <v>60</v>
      </c>
      <c r="D3892" t="s">
        <v>5016</v>
      </c>
      <c r="E3892" t="s">
        <v>5018</v>
      </c>
      <c r="F3892" t="s">
        <v>5024</v>
      </c>
      <c r="G3892">
        <v>5.26</v>
      </c>
      <c r="H3892">
        <v>1</v>
      </c>
      <c r="I3892">
        <v>2.6</v>
      </c>
      <c r="J3892">
        <v>17.16</v>
      </c>
      <c r="K3892">
        <v>34.299999999999997</v>
      </c>
      <c r="L3892" t="s">
        <v>5029</v>
      </c>
      <c r="M3892">
        <v>5</v>
      </c>
      <c r="N3892">
        <v>4</v>
      </c>
      <c r="O3892">
        <v>1</v>
      </c>
    </row>
    <row r="3893" spans="1:15" x14ac:dyDescent="0.3">
      <c r="A3893" t="s">
        <v>3906</v>
      </c>
      <c r="B3893">
        <v>5</v>
      </c>
      <c r="C3893">
        <v>62</v>
      </c>
      <c r="D3893" t="s">
        <v>5015</v>
      </c>
      <c r="E3893" t="s">
        <v>5019</v>
      </c>
      <c r="F3893" t="s">
        <v>5022</v>
      </c>
      <c r="G3893">
        <v>18.23</v>
      </c>
      <c r="H3893">
        <v>5</v>
      </c>
      <c r="I3893">
        <v>4.4000000000000004</v>
      </c>
      <c r="J3893">
        <v>4.9000000000000004</v>
      </c>
      <c r="K3893">
        <v>52.9</v>
      </c>
      <c r="L3893" t="s">
        <v>5025</v>
      </c>
      <c r="M3893">
        <v>11</v>
      </c>
      <c r="N3893">
        <v>0</v>
      </c>
      <c r="O3893">
        <v>0</v>
      </c>
    </row>
    <row r="3894" spans="1:15" x14ac:dyDescent="0.3">
      <c r="A3894" t="s">
        <v>3907</v>
      </c>
      <c r="B3894">
        <v>3</v>
      </c>
      <c r="C3894">
        <v>69</v>
      </c>
      <c r="D3894" t="s">
        <v>5016</v>
      </c>
      <c r="E3894" t="s">
        <v>5017</v>
      </c>
      <c r="F3894" t="s">
        <v>5024</v>
      </c>
      <c r="G3894">
        <v>21.94</v>
      </c>
      <c r="H3894">
        <v>2</v>
      </c>
      <c r="I3894">
        <v>8.8000000000000007</v>
      </c>
      <c r="J3894">
        <v>19.350000000000001</v>
      </c>
      <c r="K3894">
        <v>36</v>
      </c>
      <c r="L3894" t="s">
        <v>5027</v>
      </c>
      <c r="M3894">
        <v>7</v>
      </c>
      <c r="N3894">
        <v>0</v>
      </c>
      <c r="O3894">
        <v>0</v>
      </c>
    </row>
    <row r="3895" spans="1:15" x14ac:dyDescent="0.3">
      <c r="A3895" t="s">
        <v>3908</v>
      </c>
      <c r="B3895">
        <v>5</v>
      </c>
      <c r="C3895">
        <v>54</v>
      </c>
      <c r="D3895" t="s">
        <v>5015</v>
      </c>
      <c r="E3895" t="s">
        <v>5019</v>
      </c>
      <c r="F3895" t="s">
        <v>5023</v>
      </c>
      <c r="G3895">
        <v>20.71</v>
      </c>
      <c r="H3895">
        <v>3</v>
      </c>
      <c r="I3895">
        <v>7.6</v>
      </c>
      <c r="J3895">
        <v>7.59</v>
      </c>
      <c r="K3895">
        <v>79.099999999999994</v>
      </c>
      <c r="L3895" t="s">
        <v>5026</v>
      </c>
      <c r="M3895">
        <v>7</v>
      </c>
      <c r="N3895">
        <v>4</v>
      </c>
      <c r="O3895">
        <v>0</v>
      </c>
    </row>
    <row r="3896" spans="1:15" x14ac:dyDescent="0.3">
      <c r="A3896" t="s">
        <v>3909</v>
      </c>
      <c r="B3896">
        <v>3</v>
      </c>
      <c r="C3896">
        <v>53</v>
      </c>
      <c r="D3896" t="s">
        <v>5015</v>
      </c>
      <c r="E3896" t="s">
        <v>5018</v>
      </c>
      <c r="F3896" t="s">
        <v>5022</v>
      </c>
      <c r="G3896">
        <v>11.21</v>
      </c>
      <c r="H3896">
        <v>4</v>
      </c>
      <c r="I3896">
        <v>1.5</v>
      </c>
      <c r="J3896">
        <v>11.55</v>
      </c>
      <c r="K3896">
        <v>86.6</v>
      </c>
      <c r="L3896" t="s">
        <v>5026</v>
      </c>
      <c r="M3896">
        <v>10</v>
      </c>
      <c r="N3896">
        <v>1</v>
      </c>
      <c r="O3896">
        <v>1</v>
      </c>
    </row>
    <row r="3897" spans="1:15" x14ac:dyDescent="0.3">
      <c r="A3897" t="s">
        <v>3910</v>
      </c>
      <c r="B3897">
        <v>9</v>
      </c>
      <c r="C3897">
        <v>53</v>
      </c>
      <c r="D3897" t="s">
        <v>5016</v>
      </c>
      <c r="E3897" t="s">
        <v>5018</v>
      </c>
      <c r="F3897" t="s">
        <v>5024</v>
      </c>
      <c r="G3897">
        <v>14.42</v>
      </c>
      <c r="H3897">
        <v>3</v>
      </c>
      <c r="I3897">
        <v>5.6</v>
      </c>
      <c r="J3897">
        <v>20.21</v>
      </c>
      <c r="K3897">
        <v>80.400000000000006</v>
      </c>
      <c r="L3897" t="s">
        <v>5025</v>
      </c>
      <c r="M3897">
        <v>9</v>
      </c>
      <c r="N3897">
        <v>0</v>
      </c>
      <c r="O3897">
        <v>0</v>
      </c>
    </row>
    <row r="3898" spans="1:15" x14ac:dyDescent="0.3">
      <c r="A3898" t="s">
        <v>3911</v>
      </c>
      <c r="B3898">
        <v>9</v>
      </c>
      <c r="C3898">
        <v>21</v>
      </c>
      <c r="D3898" t="s">
        <v>5016</v>
      </c>
      <c r="E3898" t="s">
        <v>5017</v>
      </c>
      <c r="F3898" t="s">
        <v>5021</v>
      </c>
      <c r="G3898">
        <v>9.68</v>
      </c>
      <c r="H3898">
        <v>2</v>
      </c>
      <c r="I3898">
        <v>1.8</v>
      </c>
      <c r="J3898">
        <v>23.77</v>
      </c>
      <c r="K3898">
        <v>23.4</v>
      </c>
      <c r="L3898" t="s">
        <v>5028</v>
      </c>
      <c r="M3898">
        <v>9</v>
      </c>
      <c r="N3898">
        <v>1</v>
      </c>
      <c r="O3898">
        <v>0</v>
      </c>
    </row>
    <row r="3899" spans="1:15" x14ac:dyDescent="0.3">
      <c r="A3899" t="s">
        <v>3912</v>
      </c>
      <c r="B3899">
        <v>6</v>
      </c>
      <c r="C3899">
        <v>53</v>
      </c>
      <c r="D3899" t="s">
        <v>5015</v>
      </c>
      <c r="E3899" t="s">
        <v>5017</v>
      </c>
      <c r="F3899" t="s">
        <v>5021</v>
      </c>
      <c r="G3899">
        <v>24.78</v>
      </c>
      <c r="H3899">
        <v>2</v>
      </c>
      <c r="I3899">
        <v>9.6</v>
      </c>
      <c r="J3899">
        <v>15.32</v>
      </c>
      <c r="K3899">
        <v>40.200000000000003</v>
      </c>
      <c r="L3899" t="s">
        <v>5025</v>
      </c>
      <c r="M3899">
        <v>6</v>
      </c>
      <c r="N3899">
        <v>3</v>
      </c>
      <c r="O3899">
        <v>0</v>
      </c>
    </row>
    <row r="3900" spans="1:15" x14ac:dyDescent="0.3">
      <c r="A3900" t="s">
        <v>3913</v>
      </c>
      <c r="B3900">
        <v>1</v>
      </c>
      <c r="C3900">
        <v>69</v>
      </c>
      <c r="D3900" t="s">
        <v>5016</v>
      </c>
      <c r="E3900" t="s">
        <v>5019</v>
      </c>
      <c r="F3900" t="s">
        <v>5021</v>
      </c>
      <c r="G3900">
        <v>10.210000000000001</v>
      </c>
      <c r="H3900">
        <v>1</v>
      </c>
      <c r="I3900">
        <v>3.2</v>
      </c>
      <c r="J3900">
        <v>14.43</v>
      </c>
      <c r="K3900">
        <v>29.3</v>
      </c>
      <c r="L3900" t="s">
        <v>5027</v>
      </c>
      <c r="M3900">
        <v>3</v>
      </c>
      <c r="N3900">
        <v>3</v>
      </c>
      <c r="O3900">
        <v>0</v>
      </c>
    </row>
    <row r="3901" spans="1:15" x14ac:dyDescent="0.3">
      <c r="A3901" t="s">
        <v>3914</v>
      </c>
      <c r="B3901">
        <v>7</v>
      </c>
      <c r="C3901">
        <v>35</v>
      </c>
      <c r="D3901" t="s">
        <v>5015</v>
      </c>
      <c r="E3901" t="s">
        <v>5019</v>
      </c>
      <c r="F3901" t="s">
        <v>5023</v>
      </c>
      <c r="G3901">
        <v>13.33</v>
      </c>
      <c r="H3901">
        <v>3</v>
      </c>
      <c r="I3901">
        <v>9.4</v>
      </c>
      <c r="J3901">
        <v>14.11</v>
      </c>
      <c r="K3901">
        <v>13.9</v>
      </c>
      <c r="L3901" t="s">
        <v>5028</v>
      </c>
      <c r="M3901">
        <v>8</v>
      </c>
      <c r="N3901">
        <v>4</v>
      </c>
      <c r="O3901">
        <v>0</v>
      </c>
    </row>
    <row r="3902" spans="1:15" x14ac:dyDescent="0.3">
      <c r="A3902" t="s">
        <v>3915</v>
      </c>
      <c r="B3902">
        <v>7</v>
      </c>
      <c r="C3902">
        <v>67</v>
      </c>
      <c r="D3902" t="s">
        <v>5016</v>
      </c>
      <c r="E3902" t="s">
        <v>5018</v>
      </c>
      <c r="F3902" t="s">
        <v>5020</v>
      </c>
      <c r="G3902">
        <v>18.62</v>
      </c>
      <c r="H3902">
        <v>1</v>
      </c>
      <c r="I3902">
        <v>8.5</v>
      </c>
      <c r="J3902">
        <v>20.96</v>
      </c>
      <c r="K3902">
        <v>76.5</v>
      </c>
      <c r="L3902" t="s">
        <v>5025</v>
      </c>
      <c r="M3902">
        <v>1</v>
      </c>
      <c r="N3902">
        <v>2</v>
      </c>
      <c r="O3902">
        <v>0</v>
      </c>
    </row>
    <row r="3903" spans="1:15" x14ac:dyDescent="0.3">
      <c r="A3903" t="s">
        <v>3916</v>
      </c>
      <c r="B3903">
        <v>10</v>
      </c>
      <c r="C3903">
        <v>33</v>
      </c>
      <c r="D3903" t="s">
        <v>5016</v>
      </c>
      <c r="E3903" t="s">
        <v>5019</v>
      </c>
      <c r="F3903" t="s">
        <v>5021</v>
      </c>
      <c r="G3903">
        <v>22.52</v>
      </c>
      <c r="H3903">
        <v>3</v>
      </c>
      <c r="I3903">
        <v>6</v>
      </c>
      <c r="J3903">
        <v>24.85</v>
      </c>
      <c r="K3903">
        <v>48.6</v>
      </c>
      <c r="L3903" t="s">
        <v>5025</v>
      </c>
      <c r="M3903">
        <v>10</v>
      </c>
      <c r="N3903">
        <v>1</v>
      </c>
      <c r="O3903">
        <v>0</v>
      </c>
    </row>
    <row r="3904" spans="1:15" x14ac:dyDescent="0.3">
      <c r="A3904" t="s">
        <v>3917</v>
      </c>
      <c r="B3904">
        <v>10</v>
      </c>
      <c r="C3904">
        <v>58</v>
      </c>
      <c r="D3904" t="s">
        <v>5016</v>
      </c>
      <c r="E3904" t="s">
        <v>5019</v>
      </c>
      <c r="F3904" t="s">
        <v>5023</v>
      </c>
      <c r="G3904">
        <v>6.03</v>
      </c>
      <c r="H3904">
        <v>5</v>
      </c>
      <c r="I3904">
        <v>4</v>
      </c>
      <c r="J3904">
        <v>16.940000000000001</v>
      </c>
      <c r="K3904">
        <v>34.9</v>
      </c>
      <c r="L3904" t="s">
        <v>5029</v>
      </c>
      <c r="M3904">
        <v>11</v>
      </c>
      <c r="N3904">
        <v>2</v>
      </c>
      <c r="O3904">
        <v>0</v>
      </c>
    </row>
    <row r="3905" spans="1:15" x14ac:dyDescent="0.3">
      <c r="A3905" t="s">
        <v>3918</v>
      </c>
      <c r="B3905">
        <v>4</v>
      </c>
      <c r="C3905">
        <v>35</v>
      </c>
      <c r="D3905" t="s">
        <v>5015</v>
      </c>
      <c r="E3905" t="s">
        <v>5018</v>
      </c>
      <c r="F3905" t="s">
        <v>5021</v>
      </c>
      <c r="G3905">
        <v>11.02</v>
      </c>
      <c r="H3905">
        <v>5</v>
      </c>
      <c r="I3905">
        <v>8.6999999999999993</v>
      </c>
      <c r="J3905">
        <v>11.33</v>
      </c>
      <c r="K3905">
        <v>37.700000000000003</v>
      </c>
      <c r="L3905" t="s">
        <v>5027</v>
      </c>
      <c r="M3905">
        <v>4</v>
      </c>
      <c r="N3905">
        <v>2</v>
      </c>
      <c r="O3905">
        <v>0</v>
      </c>
    </row>
    <row r="3906" spans="1:15" x14ac:dyDescent="0.3">
      <c r="A3906" t="s">
        <v>3919</v>
      </c>
      <c r="B3906">
        <v>8</v>
      </c>
      <c r="C3906">
        <v>39</v>
      </c>
      <c r="D3906" t="s">
        <v>5016</v>
      </c>
      <c r="E3906" t="s">
        <v>5018</v>
      </c>
      <c r="F3906" t="s">
        <v>5023</v>
      </c>
      <c r="G3906">
        <v>16.38</v>
      </c>
      <c r="H3906">
        <v>3</v>
      </c>
      <c r="I3906">
        <v>2.4</v>
      </c>
      <c r="J3906">
        <v>7.81</v>
      </c>
      <c r="K3906">
        <v>22.2</v>
      </c>
      <c r="L3906" t="s">
        <v>5027</v>
      </c>
      <c r="M3906">
        <v>10</v>
      </c>
      <c r="N3906">
        <v>1</v>
      </c>
      <c r="O3906">
        <v>0</v>
      </c>
    </row>
    <row r="3907" spans="1:15" x14ac:dyDescent="0.3">
      <c r="A3907" t="s">
        <v>3920</v>
      </c>
      <c r="B3907">
        <v>6</v>
      </c>
      <c r="C3907">
        <v>19</v>
      </c>
      <c r="D3907" t="s">
        <v>5015</v>
      </c>
      <c r="E3907" t="s">
        <v>5018</v>
      </c>
      <c r="F3907" t="s">
        <v>5021</v>
      </c>
      <c r="G3907">
        <v>17.37</v>
      </c>
      <c r="H3907">
        <v>1</v>
      </c>
      <c r="I3907">
        <v>2.6</v>
      </c>
      <c r="J3907">
        <v>7.37</v>
      </c>
      <c r="K3907">
        <v>84.4</v>
      </c>
      <c r="L3907" t="s">
        <v>5026</v>
      </c>
      <c r="M3907">
        <v>2</v>
      </c>
      <c r="N3907">
        <v>2</v>
      </c>
      <c r="O3907">
        <v>0</v>
      </c>
    </row>
    <row r="3908" spans="1:15" x14ac:dyDescent="0.3">
      <c r="A3908" t="s">
        <v>3921</v>
      </c>
      <c r="B3908">
        <v>4</v>
      </c>
      <c r="C3908">
        <v>38</v>
      </c>
      <c r="D3908" t="s">
        <v>5015</v>
      </c>
      <c r="E3908" t="s">
        <v>5018</v>
      </c>
      <c r="F3908" t="s">
        <v>5020</v>
      </c>
      <c r="G3908">
        <v>6.4</v>
      </c>
      <c r="H3908">
        <v>5</v>
      </c>
      <c r="I3908">
        <v>3</v>
      </c>
      <c r="J3908">
        <v>21.84</v>
      </c>
      <c r="K3908">
        <v>23</v>
      </c>
      <c r="L3908" t="s">
        <v>5029</v>
      </c>
      <c r="M3908">
        <v>5</v>
      </c>
      <c r="N3908">
        <v>0</v>
      </c>
      <c r="O3908">
        <v>0</v>
      </c>
    </row>
    <row r="3909" spans="1:15" x14ac:dyDescent="0.3">
      <c r="A3909" t="s">
        <v>3922</v>
      </c>
      <c r="B3909">
        <v>4</v>
      </c>
      <c r="C3909">
        <v>53</v>
      </c>
      <c r="D3909" t="s">
        <v>5015</v>
      </c>
      <c r="E3909" t="s">
        <v>5017</v>
      </c>
      <c r="F3909" t="s">
        <v>5024</v>
      </c>
      <c r="G3909">
        <v>18.28</v>
      </c>
      <c r="H3909">
        <v>2</v>
      </c>
      <c r="I3909">
        <v>6.4</v>
      </c>
      <c r="J3909">
        <v>24.83</v>
      </c>
      <c r="K3909">
        <v>40.4</v>
      </c>
      <c r="L3909" t="s">
        <v>5028</v>
      </c>
      <c r="M3909">
        <v>7</v>
      </c>
      <c r="N3909">
        <v>3</v>
      </c>
      <c r="O3909">
        <v>0</v>
      </c>
    </row>
    <row r="3910" spans="1:15" x14ac:dyDescent="0.3">
      <c r="A3910" t="s">
        <v>3923</v>
      </c>
      <c r="B3910">
        <v>2</v>
      </c>
      <c r="C3910">
        <v>61</v>
      </c>
      <c r="D3910" t="s">
        <v>5016</v>
      </c>
      <c r="E3910" t="s">
        <v>5018</v>
      </c>
      <c r="F3910" t="s">
        <v>5021</v>
      </c>
      <c r="G3910">
        <v>15.56</v>
      </c>
      <c r="H3910">
        <v>4</v>
      </c>
      <c r="I3910">
        <v>3.8</v>
      </c>
      <c r="J3910">
        <v>18.36</v>
      </c>
      <c r="K3910">
        <v>10.7</v>
      </c>
      <c r="L3910" t="s">
        <v>5026</v>
      </c>
      <c r="M3910">
        <v>11</v>
      </c>
      <c r="N3910">
        <v>4</v>
      </c>
      <c r="O3910">
        <v>0</v>
      </c>
    </row>
    <row r="3911" spans="1:15" x14ac:dyDescent="0.3">
      <c r="A3911" t="s">
        <v>3924</v>
      </c>
      <c r="B3911">
        <v>2</v>
      </c>
      <c r="C3911">
        <v>56</v>
      </c>
      <c r="D3911" t="s">
        <v>5015</v>
      </c>
      <c r="E3911" t="s">
        <v>5017</v>
      </c>
      <c r="F3911" t="s">
        <v>5024</v>
      </c>
      <c r="G3911">
        <v>21.55</v>
      </c>
      <c r="H3911">
        <v>1</v>
      </c>
      <c r="I3911">
        <v>9.9</v>
      </c>
      <c r="J3911">
        <v>24.03</v>
      </c>
      <c r="K3911">
        <v>49.3</v>
      </c>
      <c r="L3911" t="s">
        <v>5027</v>
      </c>
      <c r="M3911">
        <v>1</v>
      </c>
      <c r="N3911">
        <v>1</v>
      </c>
      <c r="O3911">
        <v>0</v>
      </c>
    </row>
    <row r="3912" spans="1:15" x14ac:dyDescent="0.3">
      <c r="A3912" t="s">
        <v>3925</v>
      </c>
      <c r="B3912">
        <v>12</v>
      </c>
      <c r="C3912">
        <v>64</v>
      </c>
      <c r="D3912" t="s">
        <v>5015</v>
      </c>
      <c r="E3912" t="s">
        <v>5019</v>
      </c>
      <c r="F3912" t="s">
        <v>5021</v>
      </c>
      <c r="G3912">
        <v>9.44</v>
      </c>
      <c r="H3912">
        <v>3</v>
      </c>
      <c r="I3912">
        <v>2.8</v>
      </c>
      <c r="J3912">
        <v>10.7</v>
      </c>
      <c r="K3912">
        <v>41.9</v>
      </c>
      <c r="L3912" t="s">
        <v>5025</v>
      </c>
      <c r="M3912">
        <v>4</v>
      </c>
      <c r="N3912">
        <v>4</v>
      </c>
      <c r="O3912">
        <v>0</v>
      </c>
    </row>
    <row r="3913" spans="1:15" x14ac:dyDescent="0.3">
      <c r="A3913" t="s">
        <v>3926</v>
      </c>
      <c r="B3913">
        <v>4</v>
      </c>
      <c r="C3913">
        <v>56</v>
      </c>
      <c r="D3913" t="s">
        <v>5016</v>
      </c>
      <c r="E3913" t="s">
        <v>5019</v>
      </c>
      <c r="F3913" t="s">
        <v>5020</v>
      </c>
      <c r="G3913">
        <v>8.9</v>
      </c>
      <c r="H3913">
        <v>4</v>
      </c>
      <c r="I3913">
        <v>8.3000000000000007</v>
      </c>
      <c r="J3913">
        <v>16.809999999999999</v>
      </c>
      <c r="K3913">
        <v>74.7</v>
      </c>
      <c r="L3913" t="s">
        <v>5029</v>
      </c>
      <c r="M3913">
        <v>3</v>
      </c>
      <c r="N3913">
        <v>3</v>
      </c>
      <c r="O3913">
        <v>0</v>
      </c>
    </row>
    <row r="3914" spans="1:15" x14ac:dyDescent="0.3">
      <c r="A3914" t="s">
        <v>3927</v>
      </c>
      <c r="B3914">
        <v>5</v>
      </c>
      <c r="C3914">
        <v>46</v>
      </c>
      <c r="D3914" t="s">
        <v>5015</v>
      </c>
      <c r="E3914" t="s">
        <v>5017</v>
      </c>
      <c r="F3914" t="s">
        <v>5024</v>
      </c>
      <c r="G3914">
        <v>20.87</v>
      </c>
      <c r="H3914">
        <v>4</v>
      </c>
      <c r="I3914">
        <v>1.9</v>
      </c>
      <c r="J3914">
        <v>14.26</v>
      </c>
      <c r="K3914">
        <v>74.400000000000006</v>
      </c>
      <c r="L3914" t="s">
        <v>5027</v>
      </c>
      <c r="M3914">
        <v>4</v>
      </c>
      <c r="N3914">
        <v>4</v>
      </c>
      <c r="O3914">
        <v>0</v>
      </c>
    </row>
    <row r="3915" spans="1:15" x14ac:dyDescent="0.3">
      <c r="A3915" t="s">
        <v>3928</v>
      </c>
      <c r="B3915">
        <v>8</v>
      </c>
      <c r="C3915">
        <v>43</v>
      </c>
      <c r="D3915" t="s">
        <v>5015</v>
      </c>
      <c r="E3915" t="s">
        <v>5018</v>
      </c>
      <c r="F3915" t="s">
        <v>5023</v>
      </c>
      <c r="G3915">
        <v>19.079999999999998</v>
      </c>
      <c r="H3915">
        <v>2</v>
      </c>
      <c r="I3915">
        <v>4.2</v>
      </c>
      <c r="J3915">
        <v>13.6</v>
      </c>
      <c r="K3915">
        <v>13.5</v>
      </c>
      <c r="L3915" t="s">
        <v>5027</v>
      </c>
      <c r="M3915">
        <v>6</v>
      </c>
      <c r="N3915">
        <v>1</v>
      </c>
      <c r="O3915">
        <v>0</v>
      </c>
    </row>
    <row r="3916" spans="1:15" x14ac:dyDescent="0.3">
      <c r="A3916" t="s">
        <v>3929</v>
      </c>
      <c r="B3916">
        <v>6</v>
      </c>
      <c r="C3916">
        <v>38</v>
      </c>
      <c r="D3916" t="s">
        <v>5016</v>
      </c>
      <c r="E3916" t="s">
        <v>5018</v>
      </c>
      <c r="F3916" t="s">
        <v>5021</v>
      </c>
      <c r="G3916">
        <v>20.83</v>
      </c>
      <c r="H3916">
        <v>1</v>
      </c>
      <c r="I3916">
        <v>3.2</v>
      </c>
      <c r="J3916">
        <v>16.91</v>
      </c>
      <c r="K3916">
        <v>20.399999999999999</v>
      </c>
      <c r="L3916" t="s">
        <v>5029</v>
      </c>
      <c r="M3916">
        <v>10</v>
      </c>
      <c r="N3916">
        <v>4</v>
      </c>
      <c r="O3916">
        <v>0</v>
      </c>
    </row>
    <row r="3917" spans="1:15" x14ac:dyDescent="0.3">
      <c r="A3917" t="s">
        <v>3930</v>
      </c>
      <c r="B3917">
        <v>4</v>
      </c>
      <c r="C3917">
        <v>34</v>
      </c>
      <c r="D3917" t="s">
        <v>5015</v>
      </c>
      <c r="E3917" t="s">
        <v>5018</v>
      </c>
      <c r="F3917" t="s">
        <v>5021</v>
      </c>
      <c r="G3917">
        <v>20.64</v>
      </c>
      <c r="H3917">
        <v>4</v>
      </c>
      <c r="I3917">
        <v>9.8000000000000007</v>
      </c>
      <c r="J3917">
        <v>9.83</v>
      </c>
      <c r="K3917">
        <v>91.4</v>
      </c>
      <c r="L3917" t="s">
        <v>5027</v>
      </c>
      <c r="M3917">
        <v>6</v>
      </c>
      <c r="N3917">
        <v>2</v>
      </c>
      <c r="O3917">
        <v>0</v>
      </c>
    </row>
    <row r="3918" spans="1:15" x14ac:dyDescent="0.3">
      <c r="A3918" t="s">
        <v>3931</v>
      </c>
      <c r="B3918">
        <v>11</v>
      </c>
      <c r="C3918">
        <v>33</v>
      </c>
      <c r="D3918" t="s">
        <v>5016</v>
      </c>
      <c r="E3918" t="s">
        <v>5017</v>
      </c>
      <c r="F3918" t="s">
        <v>5023</v>
      </c>
      <c r="G3918">
        <v>7.08</v>
      </c>
      <c r="H3918">
        <v>1</v>
      </c>
      <c r="I3918">
        <v>1.2</v>
      </c>
      <c r="J3918">
        <v>17.09</v>
      </c>
      <c r="K3918">
        <v>81.3</v>
      </c>
      <c r="L3918" t="s">
        <v>5026</v>
      </c>
      <c r="M3918">
        <v>1</v>
      </c>
      <c r="N3918">
        <v>2</v>
      </c>
      <c r="O3918">
        <v>1</v>
      </c>
    </row>
    <row r="3919" spans="1:15" x14ac:dyDescent="0.3">
      <c r="A3919" t="s">
        <v>3932</v>
      </c>
      <c r="B3919">
        <v>7</v>
      </c>
      <c r="C3919">
        <v>48</v>
      </c>
      <c r="D3919" t="s">
        <v>5015</v>
      </c>
      <c r="E3919" t="s">
        <v>5018</v>
      </c>
      <c r="F3919" t="s">
        <v>5020</v>
      </c>
      <c r="G3919">
        <v>10.57</v>
      </c>
      <c r="H3919">
        <v>2</v>
      </c>
      <c r="I3919">
        <v>7.5</v>
      </c>
      <c r="J3919">
        <v>17.8</v>
      </c>
      <c r="K3919">
        <v>45.1</v>
      </c>
      <c r="L3919" t="s">
        <v>5029</v>
      </c>
      <c r="M3919">
        <v>3</v>
      </c>
      <c r="N3919">
        <v>3</v>
      </c>
      <c r="O3919">
        <v>0</v>
      </c>
    </row>
    <row r="3920" spans="1:15" x14ac:dyDescent="0.3">
      <c r="A3920" t="s">
        <v>3933</v>
      </c>
      <c r="B3920">
        <v>8</v>
      </c>
      <c r="C3920">
        <v>68</v>
      </c>
      <c r="D3920" t="s">
        <v>5015</v>
      </c>
      <c r="E3920" t="s">
        <v>5017</v>
      </c>
      <c r="F3920" t="s">
        <v>5022</v>
      </c>
      <c r="G3920">
        <v>10.199999999999999</v>
      </c>
      <c r="H3920">
        <v>3</v>
      </c>
      <c r="I3920">
        <v>3.2</v>
      </c>
      <c r="J3920">
        <v>21.39</v>
      </c>
      <c r="K3920">
        <v>25</v>
      </c>
      <c r="L3920" t="s">
        <v>5027</v>
      </c>
      <c r="M3920">
        <v>1</v>
      </c>
      <c r="N3920">
        <v>2</v>
      </c>
      <c r="O3920">
        <v>0</v>
      </c>
    </row>
    <row r="3921" spans="1:15" x14ac:dyDescent="0.3">
      <c r="A3921" t="s">
        <v>3934</v>
      </c>
      <c r="B3921">
        <v>2</v>
      </c>
      <c r="C3921">
        <v>26</v>
      </c>
      <c r="D3921" t="s">
        <v>5016</v>
      </c>
      <c r="E3921" t="s">
        <v>5017</v>
      </c>
      <c r="F3921" t="s">
        <v>5021</v>
      </c>
      <c r="G3921">
        <v>23.69</v>
      </c>
      <c r="H3921">
        <v>4</v>
      </c>
      <c r="I3921">
        <v>8.3000000000000007</v>
      </c>
      <c r="J3921">
        <v>19.07</v>
      </c>
      <c r="K3921">
        <v>33.5</v>
      </c>
      <c r="L3921" t="s">
        <v>5027</v>
      </c>
      <c r="M3921">
        <v>1</v>
      </c>
      <c r="N3921">
        <v>4</v>
      </c>
      <c r="O3921">
        <v>1</v>
      </c>
    </row>
    <row r="3922" spans="1:15" x14ac:dyDescent="0.3">
      <c r="A3922" t="s">
        <v>3935</v>
      </c>
      <c r="B3922">
        <v>12</v>
      </c>
      <c r="C3922">
        <v>48</v>
      </c>
      <c r="D3922" t="s">
        <v>5015</v>
      </c>
      <c r="E3922" t="s">
        <v>5017</v>
      </c>
      <c r="F3922" t="s">
        <v>5023</v>
      </c>
      <c r="G3922">
        <v>14.75</v>
      </c>
      <c r="H3922">
        <v>4</v>
      </c>
      <c r="I3922">
        <v>3.8</v>
      </c>
      <c r="J3922">
        <v>10.039999999999999</v>
      </c>
      <c r="K3922">
        <v>69.2</v>
      </c>
      <c r="L3922" t="s">
        <v>5029</v>
      </c>
      <c r="M3922">
        <v>1</v>
      </c>
      <c r="N3922">
        <v>0</v>
      </c>
      <c r="O3922">
        <v>0</v>
      </c>
    </row>
    <row r="3923" spans="1:15" x14ac:dyDescent="0.3">
      <c r="A3923" t="s">
        <v>3936</v>
      </c>
      <c r="B3923">
        <v>7</v>
      </c>
      <c r="C3923">
        <v>31</v>
      </c>
      <c r="D3923" t="s">
        <v>5015</v>
      </c>
      <c r="E3923" t="s">
        <v>5017</v>
      </c>
      <c r="F3923" t="s">
        <v>5022</v>
      </c>
      <c r="G3923">
        <v>7.22</v>
      </c>
      <c r="H3923">
        <v>4</v>
      </c>
      <c r="I3923">
        <v>2.7</v>
      </c>
      <c r="J3923">
        <v>12.92</v>
      </c>
      <c r="K3923">
        <v>95.1</v>
      </c>
      <c r="L3923" t="s">
        <v>5025</v>
      </c>
      <c r="M3923">
        <v>3</v>
      </c>
      <c r="N3923">
        <v>4</v>
      </c>
      <c r="O3923">
        <v>1</v>
      </c>
    </row>
    <row r="3924" spans="1:15" x14ac:dyDescent="0.3">
      <c r="A3924" t="s">
        <v>3937</v>
      </c>
      <c r="B3924">
        <v>2</v>
      </c>
      <c r="C3924">
        <v>66</v>
      </c>
      <c r="D3924" t="s">
        <v>5015</v>
      </c>
      <c r="E3924" t="s">
        <v>5019</v>
      </c>
      <c r="F3924" t="s">
        <v>5021</v>
      </c>
      <c r="G3924">
        <v>10.79</v>
      </c>
      <c r="H3924">
        <v>1</v>
      </c>
      <c r="I3924">
        <v>7.2</v>
      </c>
      <c r="J3924">
        <v>5.65</v>
      </c>
      <c r="K3924">
        <v>65.400000000000006</v>
      </c>
      <c r="L3924" t="s">
        <v>5028</v>
      </c>
      <c r="M3924">
        <v>2</v>
      </c>
      <c r="N3924">
        <v>0</v>
      </c>
      <c r="O3924">
        <v>0</v>
      </c>
    </row>
    <row r="3925" spans="1:15" x14ac:dyDescent="0.3">
      <c r="A3925" t="s">
        <v>3938</v>
      </c>
      <c r="B3925">
        <v>2</v>
      </c>
      <c r="C3925">
        <v>54</v>
      </c>
      <c r="D3925" t="s">
        <v>5016</v>
      </c>
      <c r="E3925" t="s">
        <v>5019</v>
      </c>
      <c r="F3925" t="s">
        <v>5024</v>
      </c>
      <c r="G3925">
        <v>22.44</v>
      </c>
      <c r="H3925">
        <v>4</v>
      </c>
      <c r="I3925">
        <v>3.3</v>
      </c>
      <c r="J3925">
        <v>8.66</v>
      </c>
      <c r="K3925">
        <v>12.4</v>
      </c>
      <c r="L3925" t="s">
        <v>5029</v>
      </c>
      <c r="M3925">
        <v>4</v>
      </c>
      <c r="N3925">
        <v>4</v>
      </c>
      <c r="O3925">
        <v>0</v>
      </c>
    </row>
    <row r="3926" spans="1:15" x14ac:dyDescent="0.3">
      <c r="A3926" t="s">
        <v>3939</v>
      </c>
      <c r="B3926">
        <v>8</v>
      </c>
      <c r="C3926">
        <v>19</v>
      </c>
      <c r="D3926" t="s">
        <v>5016</v>
      </c>
      <c r="E3926" t="s">
        <v>5018</v>
      </c>
      <c r="F3926" t="s">
        <v>5023</v>
      </c>
      <c r="G3926">
        <v>21.94</v>
      </c>
      <c r="H3926">
        <v>1</v>
      </c>
      <c r="I3926">
        <v>5.4</v>
      </c>
      <c r="J3926">
        <v>14.46</v>
      </c>
      <c r="K3926">
        <v>68.599999999999994</v>
      </c>
      <c r="L3926" t="s">
        <v>5025</v>
      </c>
      <c r="M3926">
        <v>7</v>
      </c>
      <c r="N3926">
        <v>0</v>
      </c>
      <c r="O3926">
        <v>0</v>
      </c>
    </row>
    <row r="3927" spans="1:15" x14ac:dyDescent="0.3">
      <c r="A3927" t="s">
        <v>3940</v>
      </c>
      <c r="B3927">
        <v>2</v>
      </c>
      <c r="C3927">
        <v>69</v>
      </c>
      <c r="D3927" t="s">
        <v>5016</v>
      </c>
      <c r="E3927" t="s">
        <v>5018</v>
      </c>
      <c r="F3927" t="s">
        <v>5024</v>
      </c>
      <c r="G3927">
        <v>23.01</v>
      </c>
      <c r="H3927">
        <v>5</v>
      </c>
      <c r="I3927">
        <v>2.2000000000000002</v>
      </c>
      <c r="J3927">
        <v>5.22</v>
      </c>
      <c r="K3927">
        <v>95</v>
      </c>
      <c r="L3927" t="s">
        <v>5027</v>
      </c>
      <c r="M3927">
        <v>11</v>
      </c>
      <c r="N3927">
        <v>0</v>
      </c>
      <c r="O3927">
        <v>0</v>
      </c>
    </row>
    <row r="3928" spans="1:15" x14ac:dyDescent="0.3">
      <c r="A3928" t="s">
        <v>3941</v>
      </c>
      <c r="B3928">
        <v>11</v>
      </c>
      <c r="C3928">
        <v>65</v>
      </c>
      <c r="D3928" t="s">
        <v>5016</v>
      </c>
      <c r="E3928" t="s">
        <v>5017</v>
      </c>
      <c r="F3928" t="s">
        <v>5020</v>
      </c>
      <c r="G3928">
        <v>12.77</v>
      </c>
      <c r="H3928">
        <v>5</v>
      </c>
      <c r="I3928">
        <v>7.5</v>
      </c>
      <c r="J3928">
        <v>15.55</v>
      </c>
      <c r="K3928">
        <v>42.3</v>
      </c>
      <c r="L3928" t="s">
        <v>5026</v>
      </c>
      <c r="M3928">
        <v>11</v>
      </c>
      <c r="N3928">
        <v>1</v>
      </c>
      <c r="O3928">
        <v>0</v>
      </c>
    </row>
    <row r="3929" spans="1:15" x14ac:dyDescent="0.3">
      <c r="A3929" t="s">
        <v>3942</v>
      </c>
      <c r="B3929">
        <v>9</v>
      </c>
      <c r="C3929">
        <v>63</v>
      </c>
      <c r="D3929" t="s">
        <v>5016</v>
      </c>
      <c r="E3929" t="s">
        <v>5018</v>
      </c>
      <c r="F3929" t="s">
        <v>5022</v>
      </c>
      <c r="G3929">
        <v>17.829999999999998</v>
      </c>
      <c r="H3929">
        <v>1</v>
      </c>
      <c r="I3929">
        <v>4.7</v>
      </c>
      <c r="J3929">
        <v>11.59</v>
      </c>
      <c r="K3929">
        <v>94</v>
      </c>
      <c r="L3929" t="s">
        <v>5027</v>
      </c>
      <c r="M3929">
        <v>2</v>
      </c>
      <c r="N3929">
        <v>1</v>
      </c>
      <c r="O3929">
        <v>0</v>
      </c>
    </row>
    <row r="3930" spans="1:15" x14ac:dyDescent="0.3">
      <c r="A3930" t="s">
        <v>3943</v>
      </c>
      <c r="B3930">
        <v>12</v>
      </c>
      <c r="C3930">
        <v>31</v>
      </c>
      <c r="D3930" t="s">
        <v>5015</v>
      </c>
      <c r="E3930" t="s">
        <v>5017</v>
      </c>
      <c r="F3930" t="s">
        <v>5023</v>
      </c>
      <c r="G3930">
        <v>10.56</v>
      </c>
      <c r="H3930">
        <v>5</v>
      </c>
      <c r="I3930">
        <v>2.2999999999999998</v>
      </c>
      <c r="J3930">
        <v>3.76</v>
      </c>
      <c r="K3930">
        <v>70.400000000000006</v>
      </c>
      <c r="L3930" t="s">
        <v>5027</v>
      </c>
      <c r="M3930">
        <v>2</v>
      </c>
      <c r="N3930">
        <v>4</v>
      </c>
      <c r="O3930">
        <v>1</v>
      </c>
    </row>
    <row r="3931" spans="1:15" x14ac:dyDescent="0.3">
      <c r="A3931" t="s">
        <v>3944</v>
      </c>
      <c r="B3931">
        <v>1</v>
      </c>
      <c r="C3931">
        <v>50</v>
      </c>
      <c r="D3931" t="s">
        <v>5016</v>
      </c>
      <c r="E3931" t="s">
        <v>5018</v>
      </c>
      <c r="F3931" t="s">
        <v>5021</v>
      </c>
      <c r="G3931">
        <v>8.6199999999999992</v>
      </c>
      <c r="H3931">
        <v>2</v>
      </c>
      <c r="I3931">
        <v>7.7</v>
      </c>
      <c r="J3931">
        <v>12.56</v>
      </c>
      <c r="K3931">
        <v>27.1</v>
      </c>
      <c r="L3931" t="s">
        <v>5025</v>
      </c>
      <c r="M3931">
        <v>11</v>
      </c>
      <c r="N3931">
        <v>2</v>
      </c>
      <c r="O3931">
        <v>1</v>
      </c>
    </row>
    <row r="3932" spans="1:15" x14ac:dyDescent="0.3">
      <c r="A3932" t="s">
        <v>3945</v>
      </c>
      <c r="B3932">
        <v>9</v>
      </c>
      <c r="C3932">
        <v>52</v>
      </c>
      <c r="D3932" t="s">
        <v>5016</v>
      </c>
      <c r="E3932" t="s">
        <v>5019</v>
      </c>
      <c r="F3932" t="s">
        <v>5021</v>
      </c>
      <c r="G3932">
        <v>5.44</v>
      </c>
      <c r="H3932">
        <v>2</v>
      </c>
      <c r="I3932">
        <v>1.9</v>
      </c>
      <c r="J3932">
        <v>9.19</v>
      </c>
      <c r="K3932">
        <v>23.1</v>
      </c>
      <c r="L3932" t="s">
        <v>5029</v>
      </c>
      <c r="M3932">
        <v>7</v>
      </c>
      <c r="N3932">
        <v>1</v>
      </c>
      <c r="O3932">
        <v>1</v>
      </c>
    </row>
    <row r="3933" spans="1:15" x14ac:dyDescent="0.3">
      <c r="A3933" t="s">
        <v>3946</v>
      </c>
      <c r="B3933">
        <v>1</v>
      </c>
      <c r="C3933">
        <v>56</v>
      </c>
      <c r="D3933" t="s">
        <v>5016</v>
      </c>
      <c r="E3933" t="s">
        <v>5017</v>
      </c>
      <c r="F3933" t="s">
        <v>5022</v>
      </c>
      <c r="G3933">
        <v>9.4700000000000006</v>
      </c>
      <c r="H3933">
        <v>5</v>
      </c>
      <c r="I3933">
        <v>6.2</v>
      </c>
      <c r="J3933">
        <v>4.47</v>
      </c>
      <c r="K3933">
        <v>25.9</v>
      </c>
      <c r="L3933" t="s">
        <v>5028</v>
      </c>
      <c r="M3933">
        <v>9</v>
      </c>
      <c r="N3933">
        <v>0</v>
      </c>
      <c r="O3933">
        <v>1</v>
      </c>
    </row>
    <row r="3934" spans="1:15" x14ac:dyDescent="0.3">
      <c r="A3934" t="s">
        <v>3947</v>
      </c>
      <c r="B3934">
        <v>10</v>
      </c>
      <c r="C3934">
        <v>64</v>
      </c>
      <c r="D3934" t="s">
        <v>5015</v>
      </c>
      <c r="E3934" t="s">
        <v>5019</v>
      </c>
      <c r="F3934" t="s">
        <v>5024</v>
      </c>
      <c r="G3934">
        <v>17.09</v>
      </c>
      <c r="H3934">
        <v>3</v>
      </c>
      <c r="I3934">
        <v>6.5</v>
      </c>
      <c r="J3934">
        <v>9.4499999999999993</v>
      </c>
      <c r="K3934">
        <v>72.900000000000006</v>
      </c>
      <c r="L3934" t="s">
        <v>5028</v>
      </c>
      <c r="M3934">
        <v>11</v>
      </c>
      <c r="N3934">
        <v>4</v>
      </c>
      <c r="O3934">
        <v>1</v>
      </c>
    </row>
    <row r="3935" spans="1:15" x14ac:dyDescent="0.3">
      <c r="A3935" t="s">
        <v>3948</v>
      </c>
      <c r="B3935">
        <v>10</v>
      </c>
      <c r="C3935">
        <v>68</v>
      </c>
      <c r="D3935" t="s">
        <v>5015</v>
      </c>
      <c r="E3935" t="s">
        <v>5017</v>
      </c>
      <c r="F3935" t="s">
        <v>5024</v>
      </c>
      <c r="G3935">
        <v>23.08</v>
      </c>
      <c r="H3935">
        <v>1</v>
      </c>
      <c r="I3935">
        <v>9.4</v>
      </c>
      <c r="J3935">
        <v>9.4700000000000006</v>
      </c>
      <c r="K3935">
        <v>63.1</v>
      </c>
      <c r="L3935" t="s">
        <v>5029</v>
      </c>
      <c r="M3935">
        <v>3</v>
      </c>
      <c r="N3935">
        <v>2</v>
      </c>
      <c r="O3935">
        <v>0</v>
      </c>
    </row>
    <row r="3936" spans="1:15" x14ac:dyDescent="0.3">
      <c r="A3936" t="s">
        <v>3949</v>
      </c>
      <c r="B3936">
        <v>2</v>
      </c>
      <c r="C3936">
        <v>37</v>
      </c>
      <c r="D3936" t="s">
        <v>5016</v>
      </c>
      <c r="E3936" t="s">
        <v>5018</v>
      </c>
      <c r="F3936" t="s">
        <v>5023</v>
      </c>
      <c r="G3936">
        <v>7.67</v>
      </c>
      <c r="H3936">
        <v>5</v>
      </c>
      <c r="I3936">
        <v>2.4</v>
      </c>
      <c r="J3936">
        <v>10.81</v>
      </c>
      <c r="K3936">
        <v>51</v>
      </c>
      <c r="L3936" t="s">
        <v>5029</v>
      </c>
      <c r="M3936">
        <v>10</v>
      </c>
      <c r="N3936">
        <v>4</v>
      </c>
      <c r="O3936">
        <v>0</v>
      </c>
    </row>
    <row r="3937" spans="1:15" x14ac:dyDescent="0.3">
      <c r="A3937" t="s">
        <v>3950</v>
      </c>
      <c r="B3937">
        <v>6</v>
      </c>
      <c r="C3937">
        <v>19</v>
      </c>
      <c r="D3937" t="s">
        <v>5015</v>
      </c>
      <c r="E3937" t="s">
        <v>5017</v>
      </c>
      <c r="F3937" t="s">
        <v>5023</v>
      </c>
      <c r="G3937">
        <v>23.36</v>
      </c>
      <c r="H3937">
        <v>1</v>
      </c>
      <c r="I3937">
        <v>6.9</v>
      </c>
      <c r="J3937">
        <v>11.06</v>
      </c>
      <c r="K3937">
        <v>33.700000000000003</v>
      </c>
      <c r="L3937" t="s">
        <v>5026</v>
      </c>
      <c r="M3937">
        <v>8</v>
      </c>
      <c r="N3937">
        <v>0</v>
      </c>
      <c r="O3937">
        <v>0</v>
      </c>
    </row>
    <row r="3938" spans="1:15" x14ac:dyDescent="0.3">
      <c r="A3938" t="s">
        <v>3951</v>
      </c>
      <c r="B3938">
        <v>6</v>
      </c>
      <c r="C3938">
        <v>68</v>
      </c>
      <c r="D3938" t="s">
        <v>5015</v>
      </c>
      <c r="E3938" t="s">
        <v>5018</v>
      </c>
      <c r="F3938" t="s">
        <v>5024</v>
      </c>
      <c r="G3938">
        <v>11.91</v>
      </c>
      <c r="H3938">
        <v>5</v>
      </c>
      <c r="I3938">
        <v>4.4000000000000004</v>
      </c>
      <c r="J3938">
        <v>12.45</v>
      </c>
      <c r="K3938">
        <v>91.7</v>
      </c>
      <c r="L3938" t="s">
        <v>5029</v>
      </c>
      <c r="M3938">
        <v>6</v>
      </c>
      <c r="N3938">
        <v>1</v>
      </c>
      <c r="O3938">
        <v>0</v>
      </c>
    </row>
    <row r="3939" spans="1:15" x14ac:dyDescent="0.3">
      <c r="A3939" t="s">
        <v>3952</v>
      </c>
      <c r="B3939">
        <v>1</v>
      </c>
      <c r="C3939">
        <v>58</v>
      </c>
      <c r="D3939" t="s">
        <v>5015</v>
      </c>
      <c r="E3939" t="s">
        <v>5017</v>
      </c>
      <c r="F3939" t="s">
        <v>5023</v>
      </c>
      <c r="G3939">
        <v>13.54</v>
      </c>
      <c r="H3939">
        <v>2</v>
      </c>
      <c r="I3939">
        <v>4.5999999999999996</v>
      </c>
      <c r="J3939">
        <v>5.0199999999999996</v>
      </c>
      <c r="K3939">
        <v>29.2</v>
      </c>
      <c r="L3939" t="s">
        <v>5026</v>
      </c>
      <c r="M3939">
        <v>6</v>
      </c>
      <c r="N3939">
        <v>1</v>
      </c>
      <c r="O3939">
        <v>1</v>
      </c>
    </row>
    <row r="3940" spans="1:15" x14ac:dyDescent="0.3">
      <c r="A3940" t="s">
        <v>3953</v>
      </c>
      <c r="B3940">
        <v>7</v>
      </c>
      <c r="C3940">
        <v>36</v>
      </c>
      <c r="D3940" t="s">
        <v>5015</v>
      </c>
      <c r="E3940" t="s">
        <v>5018</v>
      </c>
      <c r="F3940" t="s">
        <v>5024</v>
      </c>
      <c r="G3940">
        <v>12.3</v>
      </c>
      <c r="H3940">
        <v>3</v>
      </c>
      <c r="I3940">
        <v>5.5</v>
      </c>
      <c r="J3940">
        <v>3.12</v>
      </c>
      <c r="K3940">
        <v>35.5</v>
      </c>
      <c r="L3940" t="s">
        <v>5029</v>
      </c>
      <c r="M3940">
        <v>3</v>
      </c>
      <c r="N3940">
        <v>3</v>
      </c>
      <c r="O3940">
        <v>0</v>
      </c>
    </row>
    <row r="3941" spans="1:15" x14ac:dyDescent="0.3">
      <c r="A3941" t="s">
        <v>3954</v>
      </c>
      <c r="B3941">
        <v>8</v>
      </c>
      <c r="C3941">
        <v>54</v>
      </c>
      <c r="D3941" t="s">
        <v>5016</v>
      </c>
      <c r="E3941" t="s">
        <v>5018</v>
      </c>
      <c r="F3941" t="s">
        <v>5022</v>
      </c>
      <c r="G3941">
        <v>13.17</v>
      </c>
      <c r="H3941">
        <v>1</v>
      </c>
      <c r="I3941">
        <v>3.1</v>
      </c>
      <c r="J3941">
        <v>19.190000000000001</v>
      </c>
      <c r="K3941">
        <v>14.9</v>
      </c>
      <c r="L3941" t="s">
        <v>5026</v>
      </c>
      <c r="M3941">
        <v>10</v>
      </c>
      <c r="N3941">
        <v>3</v>
      </c>
      <c r="O3941">
        <v>0</v>
      </c>
    </row>
    <row r="3942" spans="1:15" x14ac:dyDescent="0.3">
      <c r="A3942" t="s">
        <v>3955</v>
      </c>
      <c r="B3942">
        <v>2</v>
      </c>
      <c r="C3942">
        <v>35</v>
      </c>
      <c r="D3942" t="s">
        <v>5016</v>
      </c>
      <c r="E3942" t="s">
        <v>5018</v>
      </c>
      <c r="F3942" t="s">
        <v>5023</v>
      </c>
      <c r="G3942">
        <v>10.18</v>
      </c>
      <c r="H3942">
        <v>3</v>
      </c>
      <c r="I3942">
        <v>5.2</v>
      </c>
      <c r="J3942">
        <v>10.42</v>
      </c>
      <c r="K3942">
        <v>34.799999999999997</v>
      </c>
      <c r="L3942" t="s">
        <v>5029</v>
      </c>
      <c r="M3942">
        <v>9</v>
      </c>
      <c r="N3942">
        <v>4</v>
      </c>
      <c r="O3942">
        <v>0</v>
      </c>
    </row>
    <row r="3943" spans="1:15" x14ac:dyDescent="0.3">
      <c r="A3943" t="s">
        <v>3956</v>
      </c>
      <c r="B3943">
        <v>8</v>
      </c>
      <c r="C3943">
        <v>33</v>
      </c>
      <c r="D3943" t="s">
        <v>5015</v>
      </c>
      <c r="E3943" t="s">
        <v>5018</v>
      </c>
      <c r="F3943" t="s">
        <v>5024</v>
      </c>
      <c r="G3943">
        <v>18.97</v>
      </c>
      <c r="H3943">
        <v>2</v>
      </c>
      <c r="I3943">
        <v>7.2</v>
      </c>
      <c r="J3943">
        <v>16.5</v>
      </c>
      <c r="K3943">
        <v>93.1</v>
      </c>
      <c r="L3943" t="s">
        <v>5029</v>
      </c>
      <c r="M3943">
        <v>9</v>
      </c>
      <c r="N3943">
        <v>4</v>
      </c>
      <c r="O3943">
        <v>0</v>
      </c>
    </row>
    <row r="3944" spans="1:15" x14ac:dyDescent="0.3">
      <c r="A3944" t="s">
        <v>3957</v>
      </c>
      <c r="B3944">
        <v>9</v>
      </c>
      <c r="C3944">
        <v>21</v>
      </c>
      <c r="D3944" t="s">
        <v>5015</v>
      </c>
      <c r="E3944" t="s">
        <v>5019</v>
      </c>
      <c r="F3944" t="s">
        <v>5023</v>
      </c>
      <c r="G3944">
        <v>20.16</v>
      </c>
      <c r="H3944">
        <v>4</v>
      </c>
      <c r="I3944">
        <v>5.0999999999999996</v>
      </c>
      <c r="J3944">
        <v>9.75</v>
      </c>
      <c r="K3944">
        <v>26.9</v>
      </c>
      <c r="L3944" t="s">
        <v>5028</v>
      </c>
      <c r="M3944">
        <v>4</v>
      </c>
      <c r="N3944">
        <v>2</v>
      </c>
      <c r="O3944">
        <v>0</v>
      </c>
    </row>
    <row r="3945" spans="1:15" x14ac:dyDescent="0.3">
      <c r="A3945" t="s">
        <v>3958</v>
      </c>
      <c r="B3945">
        <v>6</v>
      </c>
      <c r="C3945">
        <v>29</v>
      </c>
      <c r="D3945" t="s">
        <v>5015</v>
      </c>
      <c r="E3945" t="s">
        <v>5018</v>
      </c>
      <c r="F3945" t="s">
        <v>5021</v>
      </c>
      <c r="G3945">
        <v>21.46</v>
      </c>
      <c r="H3945">
        <v>4</v>
      </c>
      <c r="I3945">
        <v>1.4</v>
      </c>
      <c r="J3945">
        <v>24.65</v>
      </c>
      <c r="K3945">
        <v>28.4</v>
      </c>
      <c r="L3945" t="s">
        <v>5027</v>
      </c>
      <c r="M3945">
        <v>10</v>
      </c>
      <c r="N3945">
        <v>1</v>
      </c>
      <c r="O3945">
        <v>0</v>
      </c>
    </row>
    <row r="3946" spans="1:15" x14ac:dyDescent="0.3">
      <c r="A3946" t="s">
        <v>3959</v>
      </c>
      <c r="B3946">
        <v>5</v>
      </c>
      <c r="C3946">
        <v>46</v>
      </c>
      <c r="D3946" t="s">
        <v>5015</v>
      </c>
      <c r="E3946" t="s">
        <v>5017</v>
      </c>
      <c r="F3946" t="s">
        <v>5021</v>
      </c>
      <c r="G3946">
        <v>11.83</v>
      </c>
      <c r="H3946">
        <v>1</v>
      </c>
      <c r="I3946">
        <v>3.3</v>
      </c>
      <c r="J3946">
        <v>9.94</v>
      </c>
      <c r="K3946">
        <v>64</v>
      </c>
      <c r="L3946" t="s">
        <v>5027</v>
      </c>
      <c r="M3946">
        <v>6</v>
      </c>
      <c r="N3946">
        <v>1</v>
      </c>
      <c r="O3946">
        <v>1</v>
      </c>
    </row>
    <row r="3947" spans="1:15" x14ac:dyDescent="0.3">
      <c r="A3947" t="s">
        <v>3960</v>
      </c>
      <c r="B3947">
        <v>12</v>
      </c>
      <c r="C3947">
        <v>24</v>
      </c>
      <c r="D3947" t="s">
        <v>5016</v>
      </c>
      <c r="E3947" t="s">
        <v>5017</v>
      </c>
      <c r="F3947" t="s">
        <v>5020</v>
      </c>
      <c r="G3947">
        <v>20.29</v>
      </c>
      <c r="H3947">
        <v>2</v>
      </c>
      <c r="I3947">
        <v>4.2</v>
      </c>
      <c r="J3947">
        <v>16.309999999999999</v>
      </c>
      <c r="K3947">
        <v>61</v>
      </c>
      <c r="L3947" t="s">
        <v>5026</v>
      </c>
      <c r="M3947">
        <v>5</v>
      </c>
      <c r="N3947">
        <v>3</v>
      </c>
      <c r="O3947">
        <v>1</v>
      </c>
    </row>
    <row r="3948" spans="1:15" x14ac:dyDescent="0.3">
      <c r="A3948" t="s">
        <v>3961</v>
      </c>
      <c r="B3948">
        <v>9</v>
      </c>
      <c r="C3948">
        <v>31</v>
      </c>
      <c r="D3948" t="s">
        <v>5015</v>
      </c>
      <c r="E3948" t="s">
        <v>5019</v>
      </c>
      <c r="F3948" t="s">
        <v>5024</v>
      </c>
      <c r="G3948">
        <v>17.75</v>
      </c>
      <c r="H3948">
        <v>1</v>
      </c>
      <c r="I3948">
        <v>4.2</v>
      </c>
      <c r="J3948">
        <v>7.84</v>
      </c>
      <c r="K3948">
        <v>25.8</v>
      </c>
      <c r="L3948" t="s">
        <v>5025</v>
      </c>
      <c r="M3948">
        <v>4</v>
      </c>
      <c r="N3948">
        <v>0</v>
      </c>
      <c r="O3948">
        <v>0</v>
      </c>
    </row>
    <row r="3949" spans="1:15" x14ac:dyDescent="0.3">
      <c r="A3949" t="s">
        <v>3962</v>
      </c>
      <c r="B3949">
        <v>12</v>
      </c>
      <c r="C3949">
        <v>29</v>
      </c>
      <c r="D3949" t="s">
        <v>5016</v>
      </c>
      <c r="E3949" t="s">
        <v>5018</v>
      </c>
      <c r="F3949" t="s">
        <v>5020</v>
      </c>
      <c r="G3949">
        <v>24.16</v>
      </c>
      <c r="H3949">
        <v>1</v>
      </c>
      <c r="I3949">
        <v>1.7</v>
      </c>
      <c r="J3949">
        <v>14.39</v>
      </c>
      <c r="K3949">
        <v>23.9</v>
      </c>
      <c r="L3949" t="s">
        <v>5028</v>
      </c>
      <c r="M3949">
        <v>2</v>
      </c>
      <c r="N3949">
        <v>0</v>
      </c>
      <c r="O3949">
        <v>1</v>
      </c>
    </row>
    <row r="3950" spans="1:15" x14ac:dyDescent="0.3">
      <c r="A3950" t="s">
        <v>3963</v>
      </c>
      <c r="B3950">
        <v>11</v>
      </c>
      <c r="C3950">
        <v>52</v>
      </c>
      <c r="D3950" t="s">
        <v>5015</v>
      </c>
      <c r="E3950" t="s">
        <v>5018</v>
      </c>
      <c r="F3950" t="s">
        <v>5024</v>
      </c>
      <c r="G3950">
        <v>13.5</v>
      </c>
      <c r="H3950">
        <v>1</v>
      </c>
      <c r="I3950">
        <v>5</v>
      </c>
      <c r="J3950">
        <v>15.75</v>
      </c>
      <c r="K3950">
        <v>20.5</v>
      </c>
      <c r="L3950" t="s">
        <v>5029</v>
      </c>
      <c r="M3950">
        <v>4</v>
      </c>
      <c r="N3950">
        <v>3</v>
      </c>
      <c r="O3950">
        <v>1</v>
      </c>
    </row>
    <row r="3951" spans="1:15" x14ac:dyDescent="0.3">
      <c r="A3951" t="s">
        <v>3964</v>
      </c>
      <c r="B3951">
        <v>9</v>
      </c>
      <c r="C3951">
        <v>22</v>
      </c>
      <c r="D3951" t="s">
        <v>5016</v>
      </c>
      <c r="E3951" t="s">
        <v>5017</v>
      </c>
      <c r="F3951" t="s">
        <v>5023</v>
      </c>
      <c r="G3951">
        <v>24.85</v>
      </c>
      <c r="H3951">
        <v>3</v>
      </c>
      <c r="I3951">
        <v>7.2</v>
      </c>
      <c r="J3951">
        <v>7.02</v>
      </c>
      <c r="K3951">
        <v>87.5</v>
      </c>
      <c r="L3951" t="s">
        <v>5028</v>
      </c>
      <c r="M3951">
        <v>7</v>
      </c>
      <c r="N3951">
        <v>4</v>
      </c>
      <c r="O3951">
        <v>0</v>
      </c>
    </row>
    <row r="3952" spans="1:15" x14ac:dyDescent="0.3">
      <c r="A3952" t="s">
        <v>3965</v>
      </c>
      <c r="B3952">
        <v>1</v>
      </c>
      <c r="C3952">
        <v>34</v>
      </c>
      <c r="D3952" t="s">
        <v>5015</v>
      </c>
      <c r="E3952" t="s">
        <v>5018</v>
      </c>
      <c r="F3952" t="s">
        <v>5024</v>
      </c>
      <c r="G3952">
        <v>19.809999999999999</v>
      </c>
      <c r="H3952">
        <v>5</v>
      </c>
      <c r="I3952">
        <v>1.4</v>
      </c>
      <c r="J3952">
        <v>5.72</v>
      </c>
      <c r="K3952">
        <v>68.900000000000006</v>
      </c>
      <c r="L3952" t="s">
        <v>5025</v>
      </c>
      <c r="M3952">
        <v>3</v>
      </c>
      <c r="N3952">
        <v>1</v>
      </c>
      <c r="O3952">
        <v>1</v>
      </c>
    </row>
    <row r="3953" spans="1:15" x14ac:dyDescent="0.3">
      <c r="A3953" t="s">
        <v>3966</v>
      </c>
      <c r="B3953">
        <v>11</v>
      </c>
      <c r="C3953">
        <v>59</v>
      </c>
      <c r="D3953" t="s">
        <v>5016</v>
      </c>
      <c r="E3953" t="s">
        <v>5017</v>
      </c>
      <c r="F3953" t="s">
        <v>5021</v>
      </c>
      <c r="G3953">
        <v>20.53</v>
      </c>
      <c r="H3953">
        <v>2</v>
      </c>
      <c r="I3953">
        <v>7.8</v>
      </c>
      <c r="J3953">
        <v>24.42</v>
      </c>
      <c r="K3953">
        <v>95.8</v>
      </c>
      <c r="L3953" t="s">
        <v>5028</v>
      </c>
      <c r="M3953">
        <v>3</v>
      </c>
      <c r="N3953">
        <v>1</v>
      </c>
      <c r="O3953">
        <v>0</v>
      </c>
    </row>
    <row r="3954" spans="1:15" x14ac:dyDescent="0.3">
      <c r="A3954" t="s">
        <v>3967</v>
      </c>
      <c r="B3954">
        <v>3</v>
      </c>
      <c r="C3954">
        <v>49</v>
      </c>
      <c r="D3954" t="s">
        <v>5016</v>
      </c>
      <c r="E3954" t="s">
        <v>5019</v>
      </c>
      <c r="F3954" t="s">
        <v>5023</v>
      </c>
      <c r="G3954">
        <v>5.51</v>
      </c>
      <c r="H3954">
        <v>3</v>
      </c>
      <c r="I3954">
        <v>9.6</v>
      </c>
      <c r="J3954">
        <v>22.65</v>
      </c>
      <c r="K3954">
        <v>24.9</v>
      </c>
      <c r="L3954" t="s">
        <v>5025</v>
      </c>
      <c r="M3954">
        <v>11</v>
      </c>
      <c r="N3954">
        <v>1</v>
      </c>
      <c r="O3954">
        <v>1</v>
      </c>
    </row>
    <row r="3955" spans="1:15" x14ac:dyDescent="0.3">
      <c r="A3955" t="s">
        <v>3968</v>
      </c>
      <c r="B3955">
        <v>9</v>
      </c>
      <c r="C3955">
        <v>27</v>
      </c>
      <c r="D3955" t="s">
        <v>5016</v>
      </c>
      <c r="E3955" t="s">
        <v>5019</v>
      </c>
      <c r="F3955" t="s">
        <v>5021</v>
      </c>
      <c r="G3955">
        <v>14.95</v>
      </c>
      <c r="H3955">
        <v>5</v>
      </c>
      <c r="I3955">
        <v>1.1000000000000001</v>
      </c>
      <c r="J3955">
        <v>17.52</v>
      </c>
      <c r="K3955">
        <v>51.5</v>
      </c>
      <c r="L3955" t="s">
        <v>5025</v>
      </c>
      <c r="M3955">
        <v>3</v>
      </c>
      <c r="N3955">
        <v>0</v>
      </c>
      <c r="O3955">
        <v>0</v>
      </c>
    </row>
    <row r="3956" spans="1:15" x14ac:dyDescent="0.3">
      <c r="A3956" t="s">
        <v>3969</v>
      </c>
      <c r="B3956">
        <v>11</v>
      </c>
      <c r="C3956">
        <v>60</v>
      </c>
      <c r="D3956" t="s">
        <v>5015</v>
      </c>
      <c r="E3956" t="s">
        <v>5017</v>
      </c>
      <c r="F3956" t="s">
        <v>5023</v>
      </c>
      <c r="G3956">
        <v>15.57</v>
      </c>
      <c r="H3956">
        <v>1</v>
      </c>
      <c r="I3956">
        <v>2.7</v>
      </c>
      <c r="J3956">
        <v>21.94</v>
      </c>
      <c r="K3956">
        <v>76.900000000000006</v>
      </c>
      <c r="L3956" t="s">
        <v>5025</v>
      </c>
      <c r="M3956">
        <v>9</v>
      </c>
      <c r="N3956">
        <v>4</v>
      </c>
      <c r="O3956">
        <v>1</v>
      </c>
    </row>
    <row r="3957" spans="1:15" x14ac:dyDescent="0.3">
      <c r="A3957" t="s">
        <v>3970</v>
      </c>
      <c r="B3957">
        <v>2</v>
      </c>
      <c r="C3957">
        <v>34</v>
      </c>
      <c r="D3957" t="s">
        <v>5016</v>
      </c>
      <c r="E3957" t="s">
        <v>5018</v>
      </c>
      <c r="F3957" t="s">
        <v>5024</v>
      </c>
      <c r="G3957">
        <v>5.81</v>
      </c>
      <c r="H3957">
        <v>4</v>
      </c>
      <c r="I3957">
        <v>5.9</v>
      </c>
      <c r="J3957">
        <v>5.0999999999999996</v>
      </c>
      <c r="K3957">
        <v>29.2</v>
      </c>
      <c r="L3957" t="s">
        <v>5025</v>
      </c>
      <c r="M3957">
        <v>1</v>
      </c>
      <c r="N3957">
        <v>0</v>
      </c>
      <c r="O3957">
        <v>0</v>
      </c>
    </row>
    <row r="3958" spans="1:15" x14ac:dyDescent="0.3">
      <c r="A3958" t="s">
        <v>3971</v>
      </c>
      <c r="B3958">
        <v>12</v>
      </c>
      <c r="C3958">
        <v>22</v>
      </c>
      <c r="D3958" t="s">
        <v>5015</v>
      </c>
      <c r="E3958" t="s">
        <v>5017</v>
      </c>
      <c r="F3958" t="s">
        <v>5024</v>
      </c>
      <c r="G3958">
        <v>11.24</v>
      </c>
      <c r="H3958">
        <v>3</v>
      </c>
      <c r="I3958">
        <v>3</v>
      </c>
      <c r="J3958">
        <v>19.05</v>
      </c>
      <c r="K3958">
        <v>71.599999999999994</v>
      </c>
      <c r="L3958" t="s">
        <v>5025</v>
      </c>
      <c r="M3958">
        <v>5</v>
      </c>
      <c r="N3958">
        <v>4</v>
      </c>
      <c r="O3958">
        <v>1</v>
      </c>
    </row>
    <row r="3959" spans="1:15" x14ac:dyDescent="0.3">
      <c r="A3959" t="s">
        <v>3972</v>
      </c>
      <c r="B3959">
        <v>4</v>
      </c>
      <c r="C3959">
        <v>62</v>
      </c>
      <c r="D3959" t="s">
        <v>5016</v>
      </c>
      <c r="E3959" t="s">
        <v>5018</v>
      </c>
      <c r="F3959" t="s">
        <v>5021</v>
      </c>
      <c r="G3959">
        <v>24.11</v>
      </c>
      <c r="H3959">
        <v>2</v>
      </c>
      <c r="I3959">
        <v>7.9</v>
      </c>
      <c r="J3959">
        <v>9.2799999999999994</v>
      </c>
      <c r="K3959">
        <v>52.6</v>
      </c>
      <c r="L3959" t="s">
        <v>5029</v>
      </c>
      <c r="M3959">
        <v>9</v>
      </c>
      <c r="N3959">
        <v>3</v>
      </c>
      <c r="O3959">
        <v>0</v>
      </c>
    </row>
    <row r="3960" spans="1:15" x14ac:dyDescent="0.3">
      <c r="A3960" t="s">
        <v>3973</v>
      </c>
      <c r="B3960">
        <v>4</v>
      </c>
      <c r="C3960">
        <v>59</v>
      </c>
      <c r="D3960" t="s">
        <v>5016</v>
      </c>
      <c r="E3960" t="s">
        <v>5019</v>
      </c>
      <c r="F3960" t="s">
        <v>5022</v>
      </c>
      <c r="G3960">
        <v>13.52</v>
      </c>
      <c r="H3960">
        <v>2</v>
      </c>
      <c r="I3960">
        <v>3.8</v>
      </c>
      <c r="J3960">
        <v>14.87</v>
      </c>
      <c r="K3960">
        <v>48.8</v>
      </c>
      <c r="L3960" t="s">
        <v>5028</v>
      </c>
      <c r="M3960">
        <v>7</v>
      </c>
      <c r="N3960">
        <v>4</v>
      </c>
      <c r="O3960">
        <v>0</v>
      </c>
    </row>
    <row r="3961" spans="1:15" x14ac:dyDescent="0.3">
      <c r="A3961" t="s">
        <v>3974</v>
      </c>
      <c r="B3961">
        <v>2</v>
      </c>
      <c r="C3961">
        <v>26</v>
      </c>
      <c r="D3961" t="s">
        <v>5015</v>
      </c>
      <c r="E3961" t="s">
        <v>5018</v>
      </c>
      <c r="F3961" t="s">
        <v>5024</v>
      </c>
      <c r="G3961">
        <v>8.73</v>
      </c>
      <c r="H3961">
        <v>5</v>
      </c>
      <c r="I3961">
        <v>3.6</v>
      </c>
      <c r="J3961">
        <v>19.829999999999998</v>
      </c>
      <c r="K3961">
        <v>68</v>
      </c>
      <c r="L3961" t="s">
        <v>5027</v>
      </c>
      <c r="M3961">
        <v>1</v>
      </c>
      <c r="N3961">
        <v>0</v>
      </c>
      <c r="O3961">
        <v>1</v>
      </c>
    </row>
    <row r="3962" spans="1:15" x14ac:dyDescent="0.3">
      <c r="A3962" t="s">
        <v>3975</v>
      </c>
      <c r="B3962">
        <v>3</v>
      </c>
      <c r="C3962">
        <v>66</v>
      </c>
      <c r="D3962" t="s">
        <v>5016</v>
      </c>
      <c r="E3962" t="s">
        <v>5018</v>
      </c>
      <c r="F3962" t="s">
        <v>5022</v>
      </c>
      <c r="G3962">
        <v>15.27</v>
      </c>
      <c r="H3962">
        <v>3</v>
      </c>
      <c r="I3962">
        <v>1</v>
      </c>
      <c r="J3962">
        <v>3.74</v>
      </c>
      <c r="K3962">
        <v>52.1</v>
      </c>
      <c r="L3962" t="s">
        <v>5027</v>
      </c>
      <c r="M3962">
        <v>4</v>
      </c>
      <c r="N3962">
        <v>1</v>
      </c>
      <c r="O3962">
        <v>0</v>
      </c>
    </row>
    <row r="3963" spans="1:15" x14ac:dyDescent="0.3">
      <c r="A3963" t="s">
        <v>3976</v>
      </c>
      <c r="B3963">
        <v>3</v>
      </c>
      <c r="C3963">
        <v>50</v>
      </c>
      <c r="D3963" t="s">
        <v>5015</v>
      </c>
      <c r="E3963" t="s">
        <v>5017</v>
      </c>
      <c r="F3963" t="s">
        <v>5023</v>
      </c>
      <c r="G3963">
        <v>5.68</v>
      </c>
      <c r="H3963">
        <v>1</v>
      </c>
      <c r="I3963">
        <v>3.4</v>
      </c>
      <c r="J3963">
        <v>18.29</v>
      </c>
      <c r="K3963">
        <v>83.8</v>
      </c>
      <c r="L3963" t="s">
        <v>5029</v>
      </c>
      <c r="M3963">
        <v>6</v>
      </c>
      <c r="N3963">
        <v>0</v>
      </c>
      <c r="O3963">
        <v>1</v>
      </c>
    </row>
    <row r="3964" spans="1:15" x14ac:dyDescent="0.3">
      <c r="A3964" t="s">
        <v>3977</v>
      </c>
      <c r="B3964">
        <v>1</v>
      </c>
      <c r="C3964">
        <v>53</v>
      </c>
      <c r="D3964" t="s">
        <v>5015</v>
      </c>
      <c r="E3964" t="s">
        <v>5019</v>
      </c>
      <c r="F3964" t="s">
        <v>5022</v>
      </c>
      <c r="G3964">
        <v>15.32</v>
      </c>
      <c r="H3964">
        <v>5</v>
      </c>
      <c r="I3964">
        <v>3</v>
      </c>
      <c r="J3964">
        <v>12.57</v>
      </c>
      <c r="K3964">
        <v>93.7</v>
      </c>
      <c r="L3964" t="s">
        <v>5026</v>
      </c>
      <c r="M3964">
        <v>5</v>
      </c>
      <c r="N3964">
        <v>3</v>
      </c>
      <c r="O3964">
        <v>0</v>
      </c>
    </row>
    <row r="3965" spans="1:15" x14ac:dyDescent="0.3">
      <c r="A3965" t="s">
        <v>3978</v>
      </c>
      <c r="B3965">
        <v>6</v>
      </c>
      <c r="C3965">
        <v>53</v>
      </c>
      <c r="D3965" t="s">
        <v>5015</v>
      </c>
      <c r="E3965" t="s">
        <v>5018</v>
      </c>
      <c r="F3965" t="s">
        <v>5021</v>
      </c>
      <c r="G3965">
        <v>16.89</v>
      </c>
      <c r="H3965">
        <v>2</v>
      </c>
      <c r="I3965">
        <v>4.0999999999999996</v>
      </c>
      <c r="J3965">
        <v>12.67</v>
      </c>
      <c r="K3965">
        <v>63</v>
      </c>
      <c r="L3965" t="s">
        <v>5025</v>
      </c>
      <c r="M3965">
        <v>2</v>
      </c>
      <c r="N3965">
        <v>1</v>
      </c>
      <c r="O3965">
        <v>1</v>
      </c>
    </row>
    <row r="3966" spans="1:15" x14ac:dyDescent="0.3">
      <c r="A3966" t="s">
        <v>3979</v>
      </c>
      <c r="B3966">
        <v>8</v>
      </c>
      <c r="C3966">
        <v>35</v>
      </c>
      <c r="D3966" t="s">
        <v>5015</v>
      </c>
      <c r="E3966" t="s">
        <v>5018</v>
      </c>
      <c r="F3966" t="s">
        <v>5020</v>
      </c>
      <c r="G3966">
        <v>12.15</v>
      </c>
      <c r="H3966">
        <v>3</v>
      </c>
      <c r="I3966">
        <v>2.2999999999999998</v>
      </c>
      <c r="J3966">
        <v>22.96</v>
      </c>
      <c r="K3966">
        <v>37.1</v>
      </c>
      <c r="L3966" t="s">
        <v>5028</v>
      </c>
      <c r="M3966">
        <v>1</v>
      </c>
      <c r="N3966">
        <v>0</v>
      </c>
      <c r="O3966">
        <v>0</v>
      </c>
    </row>
    <row r="3967" spans="1:15" x14ac:dyDescent="0.3">
      <c r="A3967" t="s">
        <v>3980</v>
      </c>
      <c r="B3967">
        <v>12</v>
      </c>
      <c r="C3967">
        <v>26</v>
      </c>
      <c r="D3967" t="s">
        <v>5016</v>
      </c>
      <c r="E3967" t="s">
        <v>5017</v>
      </c>
      <c r="F3967" t="s">
        <v>5020</v>
      </c>
      <c r="G3967">
        <v>20.25</v>
      </c>
      <c r="H3967">
        <v>4</v>
      </c>
      <c r="I3967">
        <v>6.4</v>
      </c>
      <c r="J3967">
        <v>21.91</v>
      </c>
      <c r="K3967">
        <v>79.900000000000006</v>
      </c>
      <c r="L3967" t="s">
        <v>5025</v>
      </c>
      <c r="M3967">
        <v>11</v>
      </c>
      <c r="N3967">
        <v>1</v>
      </c>
      <c r="O3967">
        <v>0</v>
      </c>
    </row>
    <row r="3968" spans="1:15" x14ac:dyDescent="0.3">
      <c r="A3968" t="s">
        <v>3981</v>
      </c>
      <c r="B3968">
        <v>3</v>
      </c>
      <c r="C3968">
        <v>46</v>
      </c>
      <c r="D3968" t="s">
        <v>5016</v>
      </c>
      <c r="E3968" t="s">
        <v>5018</v>
      </c>
      <c r="F3968" t="s">
        <v>5021</v>
      </c>
      <c r="G3968">
        <v>7.71</v>
      </c>
      <c r="H3968">
        <v>1</v>
      </c>
      <c r="I3968">
        <v>3.1</v>
      </c>
      <c r="J3968">
        <v>4.2699999999999996</v>
      </c>
      <c r="K3968">
        <v>25.3</v>
      </c>
      <c r="L3968" t="s">
        <v>5025</v>
      </c>
      <c r="M3968">
        <v>4</v>
      </c>
      <c r="N3968">
        <v>3</v>
      </c>
      <c r="O3968">
        <v>1</v>
      </c>
    </row>
    <row r="3969" spans="1:15" x14ac:dyDescent="0.3">
      <c r="A3969" t="s">
        <v>3982</v>
      </c>
      <c r="B3969">
        <v>5</v>
      </c>
      <c r="C3969">
        <v>67</v>
      </c>
      <c r="D3969" t="s">
        <v>5015</v>
      </c>
      <c r="E3969" t="s">
        <v>5019</v>
      </c>
      <c r="F3969" t="s">
        <v>5020</v>
      </c>
      <c r="G3969">
        <v>22.56</v>
      </c>
      <c r="H3969">
        <v>2</v>
      </c>
      <c r="I3969">
        <v>8.5</v>
      </c>
      <c r="J3969">
        <v>16.600000000000001</v>
      </c>
      <c r="K3969">
        <v>18.5</v>
      </c>
      <c r="L3969" t="s">
        <v>5027</v>
      </c>
      <c r="M3969">
        <v>10</v>
      </c>
      <c r="N3969">
        <v>4</v>
      </c>
      <c r="O3969">
        <v>0</v>
      </c>
    </row>
    <row r="3970" spans="1:15" x14ac:dyDescent="0.3">
      <c r="A3970" t="s">
        <v>3983</v>
      </c>
      <c r="B3970">
        <v>1</v>
      </c>
      <c r="C3970">
        <v>31</v>
      </c>
      <c r="D3970" t="s">
        <v>5016</v>
      </c>
      <c r="E3970" t="s">
        <v>5018</v>
      </c>
      <c r="F3970" t="s">
        <v>5021</v>
      </c>
      <c r="G3970">
        <v>24.11</v>
      </c>
      <c r="H3970">
        <v>3</v>
      </c>
      <c r="I3970">
        <v>3.6</v>
      </c>
      <c r="J3970">
        <v>12.59</v>
      </c>
      <c r="K3970">
        <v>56.7</v>
      </c>
      <c r="L3970" t="s">
        <v>5025</v>
      </c>
      <c r="M3970">
        <v>5</v>
      </c>
      <c r="N3970">
        <v>4</v>
      </c>
      <c r="O3970">
        <v>1</v>
      </c>
    </row>
    <row r="3971" spans="1:15" x14ac:dyDescent="0.3">
      <c r="A3971" t="s">
        <v>3984</v>
      </c>
      <c r="B3971">
        <v>10</v>
      </c>
      <c r="C3971">
        <v>42</v>
      </c>
      <c r="D3971" t="s">
        <v>5016</v>
      </c>
      <c r="E3971" t="s">
        <v>5018</v>
      </c>
      <c r="F3971" t="s">
        <v>5024</v>
      </c>
      <c r="G3971">
        <v>5.0199999999999996</v>
      </c>
      <c r="H3971">
        <v>4</v>
      </c>
      <c r="I3971">
        <v>2.9</v>
      </c>
      <c r="J3971">
        <v>5.59</v>
      </c>
      <c r="K3971">
        <v>68.2</v>
      </c>
      <c r="L3971" t="s">
        <v>5028</v>
      </c>
      <c r="M3971">
        <v>4</v>
      </c>
      <c r="N3971">
        <v>2</v>
      </c>
      <c r="O3971">
        <v>0</v>
      </c>
    </row>
    <row r="3972" spans="1:15" x14ac:dyDescent="0.3">
      <c r="A3972" t="s">
        <v>3985</v>
      </c>
      <c r="B3972">
        <v>7</v>
      </c>
      <c r="C3972">
        <v>32</v>
      </c>
      <c r="D3972" t="s">
        <v>5015</v>
      </c>
      <c r="E3972" t="s">
        <v>5018</v>
      </c>
      <c r="F3972" t="s">
        <v>5022</v>
      </c>
      <c r="G3972">
        <v>21.85</v>
      </c>
      <c r="H3972">
        <v>2</v>
      </c>
      <c r="I3972">
        <v>1.5</v>
      </c>
      <c r="J3972">
        <v>21.72</v>
      </c>
      <c r="K3972">
        <v>85.1</v>
      </c>
      <c r="L3972" t="s">
        <v>5028</v>
      </c>
      <c r="M3972">
        <v>3</v>
      </c>
      <c r="N3972">
        <v>1</v>
      </c>
      <c r="O3972">
        <v>0</v>
      </c>
    </row>
    <row r="3973" spans="1:15" x14ac:dyDescent="0.3">
      <c r="A3973" t="s">
        <v>3986</v>
      </c>
      <c r="B3973">
        <v>10</v>
      </c>
      <c r="C3973">
        <v>23</v>
      </c>
      <c r="D3973" t="s">
        <v>5016</v>
      </c>
      <c r="E3973" t="s">
        <v>5019</v>
      </c>
      <c r="F3973" t="s">
        <v>5020</v>
      </c>
      <c r="G3973">
        <v>15.12</v>
      </c>
      <c r="H3973">
        <v>4</v>
      </c>
      <c r="I3973">
        <v>7.7</v>
      </c>
      <c r="J3973">
        <v>4.57</v>
      </c>
      <c r="K3973">
        <v>96</v>
      </c>
      <c r="L3973" t="s">
        <v>5027</v>
      </c>
      <c r="M3973">
        <v>10</v>
      </c>
      <c r="N3973">
        <v>3</v>
      </c>
      <c r="O3973">
        <v>0</v>
      </c>
    </row>
    <row r="3974" spans="1:15" x14ac:dyDescent="0.3">
      <c r="A3974" t="s">
        <v>3987</v>
      </c>
      <c r="B3974">
        <v>1</v>
      </c>
      <c r="C3974">
        <v>59</v>
      </c>
      <c r="D3974" t="s">
        <v>5015</v>
      </c>
      <c r="E3974" t="s">
        <v>5018</v>
      </c>
      <c r="F3974" t="s">
        <v>5024</v>
      </c>
      <c r="G3974">
        <v>14.23</v>
      </c>
      <c r="H3974">
        <v>2</v>
      </c>
      <c r="I3974">
        <v>5.6</v>
      </c>
      <c r="J3974">
        <v>3.71</v>
      </c>
      <c r="K3974">
        <v>88.6</v>
      </c>
      <c r="L3974" t="s">
        <v>5029</v>
      </c>
      <c r="M3974">
        <v>8</v>
      </c>
      <c r="N3974">
        <v>0</v>
      </c>
      <c r="O3974">
        <v>0</v>
      </c>
    </row>
    <row r="3975" spans="1:15" x14ac:dyDescent="0.3">
      <c r="A3975" t="s">
        <v>3988</v>
      </c>
      <c r="B3975">
        <v>12</v>
      </c>
      <c r="C3975">
        <v>46</v>
      </c>
      <c r="D3975" t="s">
        <v>5016</v>
      </c>
      <c r="E3975" t="s">
        <v>5017</v>
      </c>
      <c r="F3975" t="s">
        <v>5020</v>
      </c>
      <c r="G3975">
        <v>9.77</v>
      </c>
      <c r="H3975">
        <v>5</v>
      </c>
      <c r="I3975">
        <v>2</v>
      </c>
      <c r="J3975">
        <v>7.35</v>
      </c>
      <c r="K3975">
        <v>99</v>
      </c>
      <c r="L3975" t="s">
        <v>5027</v>
      </c>
      <c r="M3975">
        <v>6</v>
      </c>
      <c r="N3975">
        <v>0</v>
      </c>
      <c r="O3975">
        <v>0</v>
      </c>
    </row>
    <row r="3976" spans="1:15" x14ac:dyDescent="0.3">
      <c r="A3976" t="s">
        <v>3989</v>
      </c>
      <c r="B3976">
        <v>11</v>
      </c>
      <c r="C3976">
        <v>32</v>
      </c>
      <c r="D3976" t="s">
        <v>5016</v>
      </c>
      <c r="E3976" t="s">
        <v>5018</v>
      </c>
      <c r="F3976" t="s">
        <v>5023</v>
      </c>
      <c r="G3976">
        <v>13.95</v>
      </c>
      <c r="H3976">
        <v>5</v>
      </c>
      <c r="I3976">
        <v>3</v>
      </c>
      <c r="J3976">
        <v>9.67</v>
      </c>
      <c r="K3976">
        <v>52.8</v>
      </c>
      <c r="L3976" t="s">
        <v>5027</v>
      </c>
      <c r="M3976">
        <v>11</v>
      </c>
      <c r="N3976">
        <v>2</v>
      </c>
      <c r="O3976">
        <v>1</v>
      </c>
    </row>
    <row r="3977" spans="1:15" x14ac:dyDescent="0.3">
      <c r="A3977" t="s">
        <v>3990</v>
      </c>
      <c r="B3977">
        <v>9</v>
      </c>
      <c r="C3977">
        <v>46</v>
      </c>
      <c r="D3977" t="s">
        <v>5015</v>
      </c>
      <c r="E3977" t="s">
        <v>5018</v>
      </c>
      <c r="F3977" t="s">
        <v>5021</v>
      </c>
      <c r="G3977">
        <v>24.01</v>
      </c>
      <c r="H3977">
        <v>5</v>
      </c>
      <c r="I3977">
        <v>10</v>
      </c>
      <c r="J3977">
        <v>4.34</v>
      </c>
      <c r="K3977">
        <v>38.5</v>
      </c>
      <c r="L3977" t="s">
        <v>5025</v>
      </c>
      <c r="M3977">
        <v>3</v>
      </c>
      <c r="N3977">
        <v>0</v>
      </c>
      <c r="O3977">
        <v>0</v>
      </c>
    </row>
    <row r="3978" spans="1:15" x14ac:dyDescent="0.3">
      <c r="A3978" t="s">
        <v>3991</v>
      </c>
      <c r="B3978">
        <v>8</v>
      </c>
      <c r="C3978">
        <v>21</v>
      </c>
      <c r="D3978" t="s">
        <v>5016</v>
      </c>
      <c r="E3978" t="s">
        <v>5019</v>
      </c>
      <c r="F3978" t="s">
        <v>5021</v>
      </c>
      <c r="G3978">
        <v>9.2200000000000006</v>
      </c>
      <c r="H3978">
        <v>3</v>
      </c>
      <c r="I3978">
        <v>8.3000000000000007</v>
      </c>
      <c r="J3978">
        <v>17.11</v>
      </c>
      <c r="K3978">
        <v>51.4</v>
      </c>
      <c r="L3978" t="s">
        <v>5026</v>
      </c>
      <c r="M3978">
        <v>6</v>
      </c>
      <c r="N3978">
        <v>3</v>
      </c>
      <c r="O3978">
        <v>0</v>
      </c>
    </row>
    <row r="3979" spans="1:15" x14ac:dyDescent="0.3">
      <c r="A3979" t="s">
        <v>3992</v>
      </c>
      <c r="B3979">
        <v>7</v>
      </c>
      <c r="C3979">
        <v>35</v>
      </c>
      <c r="D3979" t="s">
        <v>5016</v>
      </c>
      <c r="E3979" t="s">
        <v>5019</v>
      </c>
      <c r="F3979" t="s">
        <v>5024</v>
      </c>
      <c r="G3979">
        <v>8.58</v>
      </c>
      <c r="H3979">
        <v>5</v>
      </c>
      <c r="I3979">
        <v>4.0999999999999996</v>
      </c>
      <c r="J3979">
        <v>12.62</v>
      </c>
      <c r="K3979">
        <v>68</v>
      </c>
      <c r="L3979" t="s">
        <v>5029</v>
      </c>
      <c r="M3979">
        <v>10</v>
      </c>
      <c r="N3979">
        <v>3</v>
      </c>
      <c r="O3979">
        <v>0</v>
      </c>
    </row>
    <row r="3980" spans="1:15" x14ac:dyDescent="0.3">
      <c r="A3980" t="s">
        <v>3993</v>
      </c>
      <c r="B3980">
        <v>10</v>
      </c>
      <c r="C3980">
        <v>67</v>
      </c>
      <c r="D3980" t="s">
        <v>5015</v>
      </c>
      <c r="E3980" t="s">
        <v>5018</v>
      </c>
      <c r="F3980" t="s">
        <v>5023</v>
      </c>
      <c r="G3980">
        <v>9.84</v>
      </c>
      <c r="H3980">
        <v>3</v>
      </c>
      <c r="I3980">
        <v>5.9</v>
      </c>
      <c r="J3980">
        <v>12.07</v>
      </c>
      <c r="K3980">
        <v>55.7</v>
      </c>
      <c r="L3980" t="s">
        <v>5029</v>
      </c>
      <c r="M3980">
        <v>8</v>
      </c>
      <c r="N3980">
        <v>4</v>
      </c>
      <c r="O3980">
        <v>0</v>
      </c>
    </row>
    <row r="3981" spans="1:15" x14ac:dyDescent="0.3">
      <c r="A3981" t="s">
        <v>3994</v>
      </c>
      <c r="B3981">
        <v>7</v>
      </c>
      <c r="C3981">
        <v>66</v>
      </c>
      <c r="D3981" t="s">
        <v>5016</v>
      </c>
      <c r="E3981" t="s">
        <v>5017</v>
      </c>
      <c r="F3981" t="s">
        <v>5022</v>
      </c>
      <c r="G3981">
        <v>16.04</v>
      </c>
      <c r="H3981">
        <v>1</v>
      </c>
      <c r="I3981">
        <v>4.7</v>
      </c>
      <c r="J3981">
        <v>6.2</v>
      </c>
      <c r="K3981">
        <v>67.099999999999994</v>
      </c>
      <c r="L3981" t="s">
        <v>5029</v>
      </c>
      <c r="M3981">
        <v>7</v>
      </c>
      <c r="N3981">
        <v>1</v>
      </c>
      <c r="O3981">
        <v>0</v>
      </c>
    </row>
    <row r="3982" spans="1:15" x14ac:dyDescent="0.3">
      <c r="A3982" t="s">
        <v>3995</v>
      </c>
      <c r="B3982">
        <v>5</v>
      </c>
      <c r="C3982">
        <v>61</v>
      </c>
      <c r="D3982" t="s">
        <v>5015</v>
      </c>
      <c r="E3982" t="s">
        <v>5019</v>
      </c>
      <c r="F3982" t="s">
        <v>5023</v>
      </c>
      <c r="G3982">
        <v>23.61</v>
      </c>
      <c r="H3982">
        <v>5</v>
      </c>
      <c r="I3982">
        <v>1.3</v>
      </c>
      <c r="J3982">
        <v>12.63</v>
      </c>
      <c r="K3982">
        <v>89.8</v>
      </c>
      <c r="L3982" t="s">
        <v>5025</v>
      </c>
      <c r="M3982">
        <v>1</v>
      </c>
      <c r="N3982">
        <v>1</v>
      </c>
      <c r="O3982">
        <v>0</v>
      </c>
    </row>
    <row r="3983" spans="1:15" x14ac:dyDescent="0.3">
      <c r="A3983" t="s">
        <v>3996</v>
      </c>
      <c r="B3983">
        <v>5</v>
      </c>
      <c r="C3983">
        <v>56</v>
      </c>
      <c r="D3983" t="s">
        <v>5016</v>
      </c>
      <c r="E3983" t="s">
        <v>5018</v>
      </c>
      <c r="F3983" t="s">
        <v>5023</v>
      </c>
      <c r="G3983">
        <v>16.48</v>
      </c>
      <c r="H3983">
        <v>3</v>
      </c>
      <c r="I3983">
        <v>8</v>
      </c>
      <c r="J3983">
        <v>11.58</v>
      </c>
      <c r="K3983">
        <v>24.9</v>
      </c>
      <c r="L3983" t="s">
        <v>5027</v>
      </c>
      <c r="M3983">
        <v>6</v>
      </c>
      <c r="N3983">
        <v>0</v>
      </c>
      <c r="O3983">
        <v>0</v>
      </c>
    </row>
    <row r="3984" spans="1:15" x14ac:dyDescent="0.3">
      <c r="A3984" t="s">
        <v>3997</v>
      </c>
      <c r="B3984">
        <v>11</v>
      </c>
      <c r="C3984">
        <v>33</v>
      </c>
      <c r="D3984" t="s">
        <v>5015</v>
      </c>
      <c r="E3984" t="s">
        <v>5018</v>
      </c>
      <c r="F3984" t="s">
        <v>5022</v>
      </c>
      <c r="G3984">
        <v>9.8699999999999992</v>
      </c>
      <c r="H3984">
        <v>2</v>
      </c>
      <c r="I3984">
        <v>7.5</v>
      </c>
      <c r="J3984">
        <v>11.44</v>
      </c>
      <c r="K3984">
        <v>20.8</v>
      </c>
      <c r="L3984" t="s">
        <v>5025</v>
      </c>
      <c r="M3984">
        <v>1</v>
      </c>
      <c r="N3984">
        <v>1</v>
      </c>
      <c r="O3984">
        <v>1</v>
      </c>
    </row>
    <row r="3985" spans="1:15" x14ac:dyDescent="0.3">
      <c r="A3985" t="s">
        <v>3998</v>
      </c>
      <c r="B3985">
        <v>5</v>
      </c>
      <c r="C3985">
        <v>28</v>
      </c>
      <c r="D3985" t="s">
        <v>5015</v>
      </c>
      <c r="E3985" t="s">
        <v>5018</v>
      </c>
      <c r="F3985" t="s">
        <v>5022</v>
      </c>
      <c r="G3985">
        <v>13.81</v>
      </c>
      <c r="H3985">
        <v>3</v>
      </c>
      <c r="I3985">
        <v>4.7</v>
      </c>
      <c r="J3985">
        <v>7.81</v>
      </c>
      <c r="K3985">
        <v>54.9</v>
      </c>
      <c r="L3985" t="s">
        <v>5028</v>
      </c>
      <c r="M3985">
        <v>4</v>
      </c>
      <c r="N3985">
        <v>2</v>
      </c>
      <c r="O3985">
        <v>0</v>
      </c>
    </row>
    <row r="3986" spans="1:15" x14ac:dyDescent="0.3">
      <c r="A3986" t="s">
        <v>3999</v>
      </c>
      <c r="B3986">
        <v>1</v>
      </c>
      <c r="C3986">
        <v>31</v>
      </c>
      <c r="D3986" t="s">
        <v>5015</v>
      </c>
      <c r="E3986" t="s">
        <v>5018</v>
      </c>
      <c r="F3986" t="s">
        <v>5023</v>
      </c>
      <c r="G3986">
        <v>12.81</v>
      </c>
      <c r="H3986">
        <v>3</v>
      </c>
      <c r="I3986">
        <v>8.6</v>
      </c>
      <c r="J3986">
        <v>5.08</v>
      </c>
      <c r="K3986">
        <v>98.4</v>
      </c>
      <c r="L3986" t="s">
        <v>5026</v>
      </c>
      <c r="M3986">
        <v>10</v>
      </c>
      <c r="N3986">
        <v>1</v>
      </c>
      <c r="O3986">
        <v>0</v>
      </c>
    </row>
    <row r="3987" spans="1:15" x14ac:dyDescent="0.3">
      <c r="A3987" t="s">
        <v>4000</v>
      </c>
      <c r="B3987">
        <v>8</v>
      </c>
      <c r="C3987">
        <v>20</v>
      </c>
      <c r="D3987" t="s">
        <v>5015</v>
      </c>
      <c r="E3987" t="s">
        <v>5017</v>
      </c>
      <c r="F3987" t="s">
        <v>5020</v>
      </c>
      <c r="G3987">
        <v>5.93</v>
      </c>
      <c r="H3987">
        <v>2</v>
      </c>
      <c r="I3987">
        <v>5.8</v>
      </c>
      <c r="J3987">
        <v>8.74</v>
      </c>
      <c r="K3987">
        <v>15.3</v>
      </c>
      <c r="L3987" t="s">
        <v>5026</v>
      </c>
      <c r="M3987">
        <v>3</v>
      </c>
      <c r="N3987">
        <v>0</v>
      </c>
      <c r="O3987">
        <v>0</v>
      </c>
    </row>
    <row r="3988" spans="1:15" x14ac:dyDescent="0.3">
      <c r="A3988" t="s">
        <v>4001</v>
      </c>
      <c r="B3988">
        <v>12</v>
      </c>
      <c r="C3988">
        <v>68</v>
      </c>
      <c r="D3988" t="s">
        <v>5015</v>
      </c>
      <c r="E3988" t="s">
        <v>5019</v>
      </c>
      <c r="F3988" t="s">
        <v>5020</v>
      </c>
      <c r="G3988">
        <v>15.21</v>
      </c>
      <c r="H3988">
        <v>3</v>
      </c>
      <c r="I3988">
        <v>1.6</v>
      </c>
      <c r="J3988">
        <v>17.68</v>
      </c>
      <c r="K3988">
        <v>98.8</v>
      </c>
      <c r="L3988" t="s">
        <v>5025</v>
      </c>
      <c r="M3988">
        <v>7</v>
      </c>
      <c r="N3988">
        <v>1</v>
      </c>
      <c r="O3988">
        <v>0</v>
      </c>
    </row>
    <row r="3989" spans="1:15" x14ac:dyDescent="0.3">
      <c r="A3989" t="s">
        <v>4002</v>
      </c>
      <c r="B3989">
        <v>11</v>
      </c>
      <c r="C3989">
        <v>67</v>
      </c>
      <c r="D3989" t="s">
        <v>5016</v>
      </c>
      <c r="E3989" t="s">
        <v>5019</v>
      </c>
      <c r="F3989" t="s">
        <v>5023</v>
      </c>
      <c r="G3989">
        <v>7.52</v>
      </c>
      <c r="H3989">
        <v>2</v>
      </c>
      <c r="I3989">
        <v>3.3</v>
      </c>
      <c r="J3989">
        <v>4.5999999999999996</v>
      </c>
      <c r="K3989">
        <v>97.1</v>
      </c>
      <c r="L3989" t="s">
        <v>5027</v>
      </c>
      <c r="M3989">
        <v>2</v>
      </c>
      <c r="N3989">
        <v>3</v>
      </c>
      <c r="O3989">
        <v>0</v>
      </c>
    </row>
    <row r="3990" spans="1:15" x14ac:dyDescent="0.3">
      <c r="A3990" t="s">
        <v>4003</v>
      </c>
      <c r="B3990">
        <v>1</v>
      </c>
      <c r="C3990">
        <v>59</v>
      </c>
      <c r="D3990" t="s">
        <v>5016</v>
      </c>
      <c r="E3990" t="s">
        <v>5018</v>
      </c>
      <c r="F3990" t="s">
        <v>5020</v>
      </c>
      <c r="G3990">
        <v>21.84</v>
      </c>
      <c r="H3990">
        <v>4</v>
      </c>
      <c r="I3990">
        <v>5.2</v>
      </c>
      <c r="J3990">
        <v>11.41</v>
      </c>
      <c r="K3990">
        <v>36.299999999999997</v>
      </c>
      <c r="L3990" t="s">
        <v>5029</v>
      </c>
      <c r="M3990">
        <v>4</v>
      </c>
      <c r="N3990">
        <v>3</v>
      </c>
      <c r="O3990">
        <v>1</v>
      </c>
    </row>
    <row r="3991" spans="1:15" x14ac:dyDescent="0.3">
      <c r="A3991" t="s">
        <v>4004</v>
      </c>
      <c r="B3991">
        <v>4</v>
      </c>
      <c r="C3991">
        <v>55</v>
      </c>
      <c r="D3991" t="s">
        <v>5015</v>
      </c>
      <c r="E3991" t="s">
        <v>5018</v>
      </c>
      <c r="F3991" t="s">
        <v>5022</v>
      </c>
      <c r="G3991">
        <v>15.98</v>
      </c>
      <c r="H3991">
        <v>5</v>
      </c>
      <c r="I3991">
        <v>1.9</v>
      </c>
      <c r="J3991">
        <v>14.32</v>
      </c>
      <c r="K3991">
        <v>90.2</v>
      </c>
      <c r="L3991" t="s">
        <v>5028</v>
      </c>
      <c r="M3991">
        <v>5</v>
      </c>
      <c r="N3991">
        <v>4</v>
      </c>
      <c r="O3991">
        <v>0</v>
      </c>
    </row>
    <row r="3992" spans="1:15" x14ac:dyDescent="0.3">
      <c r="A3992" t="s">
        <v>4005</v>
      </c>
      <c r="B3992">
        <v>9</v>
      </c>
      <c r="C3992">
        <v>62</v>
      </c>
      <c r="D3992" t="s">
        <v>5016</v>
      </c>
      <c r="E3992" t="s">
        <v>5017</v>
      </c>
      <c r="F3992" t="s">
        <v>5022</v>
      </c>
      <c r="G3992">
        <v>21.89</v>
      </c>
      <c r="H3992">
        <v>1</v>
      </c>
      <c r="I3992">
        <v>6.1</v>
      </c>
      <c r="J3992">
        <v>24.19</v>
      </c>
      <c r="K3992">
        <v>10.7</v>
      </c>
      <c r="L3992" t="s">
        <v>5028</v>
      </c>
      <c r="M3992">
        <v>2</v>
      </c>
      <c r="N3992">
        <v>4</v>
      </c>
      <c r="O3992">
        <v>0</v>
      </c>
    </row>
    <row r="3993" spans="1:15" x14ac:dyDescent="0.3">
      <c r="A3993" t="s">
        <v>4006</v>
      </c>
      <c r="B3993">
        <v>9</v>
      </c>
      <c r="C3993">
        <v>59</v>
      </c>
      <c r="D3993" t="s">
        <v>5015</v>
      </c>
      <c r="E3993" t="s">
        <v>5017</v>
      </c>
      <c r="F3993" t="s">
        <v>5020</v>
      </c>
      <c r="G3993">
        <v>24.12</v>
      </c>
      <c r="H3993">
        <v>3</v>
      </c>
      <c r="I3993">
        <v>2.1</v>
      </c>
      <c r="J3993">
        <v>21.56</v>
      </c>
      <c r="K3993">
        <v>50.9</v>
      </c>
      <c r="L3993" t="s">
        <v>5026</v>
      </c>
      <c r="M3993">
        <v>9</v>
      </c>
      <c r="N3993">
        <v>4</v>
      </c>
      <c r="O3993">
        <v>0</v>
      </c>
    </row>
    <row r="3994" spans="1:15" x14ac:dyDescent="0.3">
      <c r="A3994" t="s">
        <v>4007</v>
      </c>
      <c r="B3994">
        <v>5</v>
      </c>
      <c r="C3994">
        <v>35</v>
      </c>
      <c r="D3994" t="s">
        <v>5016</v>
      </c>
      <c r="E3994" t="s">
        <v>5018</v>
      </c>
      <c r="F3994" t="s">
        <v>5022</v>
      </c>
      <c r="G3994">
        <v>23.86</v>
      </c>
      <c r="H3994">
        <v>2</v>
      </c>
      <c r="I3994">
        <v>2.8</v>
      </c>
      <c r="J3994">
        <v>23.17</v>
      </c>
      <c r="K3994">
        <v>46.2</v>
      </c>
      <c r="L3994" t="s">
        <v>5027</v>
      </c>
      <c r="M3994">
        <v>2</v>
      </c>
      <c r="N3994">
        <v>4</v>
      </c>
      <c r="O3994">
        <v>0</v>
      </c>
    </row>
    <row r="3995" spans="1:15" x14ac:dyDescent="0.3">
      <c r="A3995" t="s">
        <v>4008</v>
      </c>
      <c r="B3995">
        <v>4</v>
      </c>
      <c r="C3995">
        <v>37</v>
      </c>
      <c r="D3995" t="s">
        <v>5016</v>
      </c>
      <c r="E3995" t="s">
        <v>5018</v>
      </c>
      <c r="F3995" t="s">
        <v>5021</v>
      </c>
      <c r="G3995">
        <v>7.01</v>
      </c>
      <c r="H3995">
        <v>5</v>
      </c>
      <c r="I3995">
        <v>9</v>
      </c>
      <c r="J3995">
        <v>21.04</v>
      </c>
      <c r="K3995">
        <v>91.2</v>
      </c>
      <c r="L3995" t="s">
        <v>5029</v>
      </c>
      <c r="M3995">
        <v>6</v>
      </c>
      <c r="N3995">
        <v>1</v>
      </c>
      <c r="O3995">
        <v>0</v>
      </c>
    </row>
    <row r="3996" spans="1:15" x14ac:dyDescent="0.3">
      <c r="A3996" t="s">
        <v>4009</v>
      </c>
      <c r="B3996">
        <v>3</v>
      </c>
      <c r="C3996">
        <v>65</v>
      </c>
      <c r="D3996" t="s">
        <v>5015</v>
      </c>
      <c r="E3996" t="s">
        <v>5019</v>
      </c>
      <c r="F3996" t="s">
        <v>5022</v>
      </c>
      <c r="G3996">
        <v>23.9</v>
      </c>
      <c r="H3996">
        <v>3</v>
      </c>
      <c r="I3996">
        <v>10</v>
      </c>
      <c r="J3996">
        <v>15.96</v>
      </c>
      <c r="K3996">
        <v>52.5</v>
      </c>
      <c r="L3996" t="s">
        <v>5026</v>
      </c>
      <c r="M3996">
        <v>8</v>
      </c>
      <c r="N3996">
        <v>0</v>
      </c>
      <c r="O3996">
        <v>0</v>
      </c>
    </row>
    <row r="3997" spans="1:15" x14ac:dyDescent="0.3">
      <c r="A3997" t="s">
        <v>4010</v>
      </c>
      <c r="B3997">
        <v>3</v>
      </c>
      <c r="C3997">
        <v>42</v>
      </c>
      <c r="D3997" t="s">
        <v>5015</v>
      </c>
      <c r="E3997" t="s">
        <v>5019</v>
      </c>
      <c r="F3997" t="s">
        <v>5023</v>
      </c>
      <c r="G3997">
        <v>20.91</v>
      </c>
      <c r="H3997">
        <v>5</v>
      </c>
      <c r="I3997">
        <v>6</v>
      </c>
      <c r="J3997">
        <v>21.94</v>
      </c>
      <c r="K3997">
        <v>47.6</v>
      </c>
      <c r="L3997" t="s">
        <v>5027</v>
      </c>
      <c r="M3997">
        <v>7</v>
      </c>
      <c r="N3997">
        <v>1</v>
      </c>
      <c r="O3997">
        <v>0</v>
      </c>
    </row>
    <row r="3998" spans="1:15" x14ac:dyDescent="0.3">
      <c r="A3998" t="s">
        <v>4011</v>
      </c>
      <c r="B3998">
        <v>12</v>
      </c>
      <c r="C3998">
        <v>55</v>
      </c>
      <c r="D3998" t="s">
        <v>5016</v>
      </c>
      <c r="E3998" t="s">
        <v>5018</v>
      </c>
      <c r="F3998" t="s">
        <v>5024</v>
      </c>
      <c r="G3998">
        <v>20.55</v>
      </c>
      <c r="H3998">
        <v>4</v>
      </c>
      <c r="I3998">
        <v>6.6</v>
      </c>
      <c r="J3998">
        <v>15.44</v>
      </c>
      <c r="K3998">
        <v>67.599999999999994</v>
      </c>
      <c r="L3998" t="s">
        <v>5029</v>
      </c>
      <c r="M3998">
        <v>6</v>
      </c>
      <c r="N3998">
        <v>0</v>
      </c>
      <c r="O3998">
        <v>0</v>
      </c>
    </row>
    <row r="3999" spans="1:15" x14ac:dyDescent="0.3">
      <c r="A3999" t="s">
        <v>4012</v>
      </c>
      <c r="B3999">
        <v>5</v>
      </c>
      <c r="C3999">
        <v>30</v>
      </c>
      <c r="D3999" t="s">
        <v>5016</v>
      </c>
      <c r="E3999" t="s">
        <v>5018</v>
      </c>
      <c r="F3999" t="s">
        <v>5020</v>
      </c>
      <c r="G3999">
        <v>6.8</v>
      </c>
      <c r="H3999">
        <v>3</v>
      </c>
      <c r="I3999">
        <v>8.1999999999999993</v>
      </c>
      <c r="J3999">
        <v>10.87</v>
      </c>
      <c r="K3999">
        <v>43.8</v>
      </c>
      <c r="L3999" t="s">
        <v>5025</v>
      </c>
      <c r="M3999">
        <v>8</v>
      </c>
      <c r="N3999">
        <v>0</v>
      </c>
      <c r="O3999">
        <v>1</v>
      </c>
    </row>
    <row r="4000" spans="1:15" x14ac:dyDescent="0.3">
      <c r="A4000" t="s">
        <v>4013</v>
      </c>
      <c r="B4000">
        <v>10</v>
      </c>
      <c r="C4000">
        <v>21</v>
      </c>
      <c r="D4000" t="s">
        <v>5015</v>
      </c>
      <c r="E4000" t="s">
        <v>5017</v>
      </c>
      <c r="F4000" t="s">
        <v>5020</v>
      </c>
      <c r="G4000">
        <v>8.59</v>
      </c>
      <c r="H4000">
        <v>2</v>
      </c>
      <c r="I4000">
        <v>7.3</v>
      </c>
      <c r="J4000">
        <v>11.19</v>
      </c>
      <c r="K4000">
        <v>58.3</v>
      </c>
      <c r="L4000" t="s">
        <v>5027</v>
      </c>
      <c r="M4000">
        <v>5</v>
      </c>
      <c r="N4000">
        <v>0</v>
      </c>
      <c r="O4000">
        <v>0</v>
      </c>
    </row>
    <row r="4001" spans="1:15" x14ac:dyDescent="0.3">
      <c r="A4001" t="s">
        <v>4014</v>
      </c>
      <c r="B4001">
        <v>1</v>
      </c>
      <c r="C4001">
        <v>31</v>
      </c>
      <c r="D4001" t="s">
        <v>5016</v>
      </c>
      <c r="E4001" t="s">
        <v>5019</v>
      </c>
      <c r="F4001" t="s">
        <v>5022</v>
      </c>
      <c r="G4001">
        <v>24.5</v>
      </c>
      <c r="H4001">
        <v>4</v>
      </c>
      <c r="I4001">
        <v>2.6</v>
      </c>
      <c r="J4001">
        <v>15.44</v>
      </c>
      <c r="K4001">
        <v>96</v>
      </c>
      <c r="L4001" t="s">
        <v>5028</v>
      </c>
      <c r="M4001">
        <v>10</v>
      </c>
      <c r="N4001">
        <v>0</v>
      </c>
      <c r="O4001">
        <v>0</v>
      </c>
    </row>
    <row r="4002" spans="1:15" x14ac:dyDescent="0.3">
      <c r="A4002" t="s">
        <v>4015</v>
      </c>
      <c r="B4002">
        <v>5</v>
      </c>
      <c r="C4002">
        <v>50</v>
      </c>
      <c r="D4002" t="s">
        <v>5016</v>
      </c>
      <c r="E4002" t="s">
        <v>5018</v>
      </c>
      <c r="F4002" t="s">
        <v>5022</v>
      </c>
      <c r="G4002">
        <v>9.27</v>
      </c>
      <c r="H4002">
        <v>3</v>
      </c>
      <c r="I4002">
        <v>4.7</v>
      </c>
      <c r="J4002">
        <v>20.81</v>
      </c>
      <c r="K4002">
        <v>28.2</v>
      </c>
      <c r="L4002" t="s">
        <v>5027</v>
      </c>
      <c r="M4002">
        <v>9</v>
      </c>
      <c r="N4002">
        <v>3</v>
      </c>
      <c r="O4002">
        <v>0</v>
      </c>
    </row>
    <row r="4003" spans="1:15" x14ac:dyDescent="0.3">
      <c r="A4003" t="s">
        <v>4016</v>
      </c>
      <c r="B4003">
        <v>6</v>
      </c>
      <c r="C4003">
        <v>45</v>
      </c>
      <c r="D4003" t="s">
        <v>5015</v>
      </c>
      <c r="E4003" t="s">
        <v>5017</v>
      </c>
      <c r="F4003" t="s">
        <v>5024</v>
      </c>
      <c r="G4003">
        <v>8.3800000000000008</v>
      </c>
      <c r="H4003">
        <v>5</v>
      </c>
      <c r="I4003">
        <v>5.8</v>
      </c>
      <c r="J4003">
        <v>5.94</v>
      </c>
      <c r="K4003">
        <v>51.3</v>
      </c>
      <c r="L4003" t="s">
        <v>5027</v>
      </c>
      <c r="M4003">
        <v>2</v>
      </c>
      <c r="N4003">
        <v>0</v>
      </c>
      <c r="O4003">
        <v>1</v>
      </c>
    </row>
    <row r="4004" spans="1:15" x14ac:dyDescent="0.3">
      <c r="A4004" t="s">
        <v>4017</v>
      </c>
      <c r="B4004">
        <v>7</v>
      </c>
      <c r="C4004">
        <v>69</v>
      </c>
      <c r="D4004" t="s">
        <v>5016</v>
      </c>
      <c r="E4004" t="s">
        <v>5018</v>
      </c>
      <c r="F4004" t="s">
        <v>5024</v>
      </c>
      <c r="G4004">
        <v>12.25</v>
      </c>
      <c r="H4004">
        <v>4</v>
      </c>
      <c r="I4004">
        <v>4.2</v>
      </c>
      <c r="J4004">
        <v>3.86</v>
      </c>
      <c r="K4004">
        <v>11.4</v>
      </c>
      <c r="L4004" t="s">
        <v>5027</v>
      </c>
      <c r="M4004">
        <v>6</v>
      </c>
      <c r="N4004">
        <v>1</v>
      </c>
      <c r="O4004">
        <v>0</v>
      </c>
    </row>
    <row r="4005" spans="1:15" x14ac:dyDescent="0.3">
      <c r="A4005" t="s">
        <v>4018</v>
      </c>
      <c r="B4005">
        <v>12</v>
      </c>
      <c r="C4005">
        <v>54</v>
      </c>
      <c r="D4005" t="s">
        <v>5015</v>
      </c>
      <c r="E4005" t="s">
        <v>5019</v>
      </c>
      <c r="F4005" t="s">
        <v>5023</v>
      </c>
      <c r="G4005">
        <v>23.27</v>
      </c>
      <c r="H4005">
        <v>2</v>
      </c>
      <c r="I4005">
        <v>2.6</v>
      </c>
      <c r="J4005">
        <v>20.37</v>
      </c>
      <c r="K4005">
        <v>85.8</v>
      </c>
      <c r="L4005" t="s">
        <v>5029</v>
      </c>
      <c r="M4005">
        <v>10</v>
      </c>
      <c r="N4005">
        <v>0</v>
      </c>
      <c r="O4005">
        <v>0</v>
      </c>
    </row>
    <row r="4006" spans="1:15" x14ac:dyDescent="0.3">
      <c r="A4006" t="s">
        <v>4019</v>
      </c>
      <c r="B4006">
        <v>9</v>
      </c>
      <c r="C4006">
        <v>25</v>
      </c>
      <c r="D4006" t="s">
        <v>5015</v>
      </c>
      <c r="E4006" t="s">
        <v>5019</v>
      </c>
      <c r="F4006" t="s">
        <v>5021</v>
      </c>
      <c r="G4006">
        <v>14.52</v>
      </c>
      <c r="H4006">
        <v>3</v>
      </c>
      <c r="I4006">
        <v>7.6</v>
      </c>
      <c r="J4006">
        <v>17.25</v>
      </c>
      <c r="K4006">
        <v>18.3</v>
      </c>
      <c r="L4006" t="s">
        <v>5029</v>
      </c>
      <c r="M4006">
        <v>11</v>
      </c>
      <c r="N4006">
        <v>3</v>
      </c>
      <c r="O4006">
        <v>1</v>
      </c>
    </row>
    <row r="4007" spans="1:15" x14ac:dyDescent="0.3">
      <c r="A4007" t="s">
        <v>4020</v>
      </c>
      <c r="B4007">
        <v>3</v>
      </c>
      <c r="C4007">
        <v>61</v>
      </c>
      <c r="D4007" t="s">
        <v>5015</v>
      </c>
      <c r="E4007" t="s">
        <v>5017</v>
      </c>
      <c r="F4007" t="s">
        <v>5023</v>
      </c>
      <c r="G4007">
        <v>23.41</v>
      </c>
      <c r="H4007">
        <v>5</v>
      </c>
      <c r="I4007">
        <v>2.8</v>
      </c>
      <c r="J4007">
        <v>21.07</v>
      </c>
      <c r="K4007">
        <v>18.5</v>
      </c>
      <c r="L4007" t="s">
        <v>5025</v>
      </c>
      <c r="M4007">
        <v>7</v>
      </c>
      <c r="N4007">
        <v>1</v>
      </c>
      <c r="O4007">
        <v>0</v>
      </c>
    </row>
    <row r="4008" spans="1:15" x14ac:dyDescent="0.3">
      <c r="A4008" t="s">
        <v>4021</v>
      </c>
      <c r="B4008">
        <v>2</v>
      </c>
      <c r="C4008">
        <v>51</v>
      </c>
      <c r="D4008" t="s">
        <v>5016</v>
      </c>
      <c r="E4008" t="s">
        <v>5019</v>
      </c>
      <c r="F4008" t="s">
        <v>5020</v>
      </c>
      <c r="G4008">
        <v>11.69</v>
      </c>
      <c r="H4008">
        <v>5</v>
      </c>
      <c r="I4008">
        <v>3.3</v>
      </c>
      <c r="J4008">
        <v>24.49</v>
      </c>
      <c r="K4008">
        <v>89.5</v>
      </c>
      <c r="L4008" t="s">
        <v>5025</v>
      </c>
      <c r="M4008">
        <v>9</v>
      </c>
      <c r="N4008">
        <v>2</v>
      </c>
      <c r="O4008">
        <v>1</v>
      </c>
    </row>
    <row r="4009" spans="1:15" x14ac:dyDescent="0.3">
      <c r="A4009" t="s">
        <v>4022</v>
      </c>
      <c r="B4009">
        <v>3</v>
      </c>
      <c r="C4009">
        <v>61</v>
      </c>
      <c r="D4009" t="s">
        <v>5016</v>
      </c>
      <c r="E4009" t="s">
        <v>5017</v>
      </c>
      <c r="F4009" t="s">
        <v>5022</v>
      </c>
      <c r="G4009">
        <v>9.5299999999999994</v>
      </c>
      <c r="H4009">
        <v>4</v>
      </c>
      <c r="I4009">
        <v>3.6</v>
      </c>
      <c r="J4009">
        <v>8.5299999999999994</v>
      </c>
      <c r="K4009">
        <v>46.8</v>
      </c>
      <c r="L4009" t="s">
        <v>5029</v>
      </c>
      <c r="M4009">
        <v>5</v>
      </c>
      <c r="N4009">
        <v>1</v>
      </c>
      <c r="O4009">
        <v>0</v>
      </c>
    </row>
    <row r="4010" spans="1:15" x14ac:dyDescent="0.3">
      <c r="A4010" t="s">
        <v>4023</v>
      </c>
      <c r="B4010">
        <v>12</v>
      </c>
      <c r="C4010">
        <v>22</v>
      </c>
      <c r="D4010" t="s">
        <v>5015</v>
      </c>
      <c r="E4010" t="s">
        <v>5017</v>
      </c>
      <c r="F4010" t="s">
        <v>5023</v>
      </c>
      <c r="G4010">
        <v>14.9</v>
      </c>
      <c r="H4010">
        <v>3</v>
      </c>
      <c r="I4010">
        <v>2.5</v>
      </c>
      <c r="J4010">
        <v>7.27</v>
      </c>
      <c r="K4010">
        <v>71.900000000000006</v>
      </c>
      <c r="L4010" t="s">
        <v>5029</v>
      </c>
      <c r="M4010">
        <v>6</v>
      </c>
      <c r="N4010">
        <v>3</v>
      </c>
      <c r="O4010">
        <v>0</v>
      </c>
    </row>
    <row r="4011" spans="1:15" x14ac:dyDescent="0.3">
      <c r="A4011" t="s">
        <v>4024</v>
      </c>
      <c r="B4011">
        <v>9</v>
      </c>
      <c r="C4011">
        <v>22</v>
      </c>
      <c r="D4011" t="s">
        <v>5015</v>
      </c>
      <c r="E4011" t="s">
        <v>5019</v>
      </c>
      <c r="F4011" t="s">
        <v>5022</v>
      </c>
      <c r="G4011">
        <v>17.309999999999999</v>
      </c>
      <c r="H4011">
        <v>5</v>
      </c>
      <c r="I4011">
        <v>8.6</v>
      </c>
      <c r="J4011">
        <v>10.5</v>
      </c>
      <c r="K4011">
        <v>87.2</v>
      </c>
      <c r="L4011" t="s">
        <v>5026</v>
      </c>
      <c r="M4011">
        <v>9</v>
      </c>
      <c r="N4011">
        <v>3</v>
      </c>
      <c r="O4011">
        <v>1</v>
      </c>
    </row>
    <row r="4012" spans="1:15" x14ac:dyDescent="0.3">
      <c r="A4012" t="s">
        <v>4025</v>
      </c>
      <c r="B4012">
        <v>12</v>
      </c>
      <c r="C4012">
        <v>48</v>
      </c>
      <c r="D4012" t="s">
        <v>5016</v>
      </c>
      <c r="E4012" t="s">
        <v>5019</v>
      </c>
      <c r="F4012" t="s">
        <v>5022</v>
      </c>
      <c r="G4012">
        <v>12.83</v>
      </c>
      <c r="H4012">
        <v>4</v>
      </c>
      <c r="I4012">
        <v>6.5</v>
      </c>
      <c r="J4012">
        <v>22.32</v>
      </c>
      <c r="K4012">
        <v>43.7</v>
      </c>
      <c r="L4012" t="s">
        <v>5027</v>
      </c>
      <c r="M4012">
        <v>10</v>
      </c>
      <c r="N4012">
        <v>4</v>
      </c>
      <c r="O4012">
        <v>0</v>
      </c>
    </row>
    <row r="4013" spans="1:15" x14ac:dyDescent="0.3">
      <c r="A4013" t="s">
        <v>4026</v>
      </c>
      <c r="B4013">
        <v>7</v>
      </c>
      <c r="C4013">
        <v>62</v>
      </c>
      <c r="D4013" t="s">
        <v>5016</v>
      </c>
      <c r="E4013" t="s">
        <v>5018</v>
      </c>
      <c r="F4013" t="s">
        <v>5023</v>
      </c>
      <c r="G4013">
        <v>11.92</v>
      </c>
      <c r="H4013">
        <v>1</v>
      </c>
      <c r="I4013">
        <v>8.5</v>
      </c>
      <c r="J4013">
        <v>3.31</v>
      </c>
      <c r="K4013">
        <v>33.5</v>
      </c>
      <c r="L4013" t="s">
        <v>5027</v>
      </c>
      <c r="M4013">
        <v>6</v>
      </c>
      <c r="N4013">
        <v>2</v>
      </c>
      <c r="O4013">
        <v>0</v>
      </c>
    </row>
    <row r="4014" spans="1:15" x14ac:dyDescent="0.3">
      <c r="A4014" t="s">
        <v>4027</v>
      </c>
      <c r="B4014">
        <v>9</v>
      </c>
      <c r="C4014">
        <v>26</v>
      </c>
      <c r="D4014" t="s">
        <v>5016</v>
      </c>
      <c r="E4014" t="s">
        <v>5018</v>
      </c>
      <c r="F4014" t="s">
        <v>5023</v>
      </c>
      <c r="G4014">
        <v>9.36</v>
      </c>
      <c r="H4014">
        <v>5</v>
      </c>
      <c r="I4014">
        <v>5.4</v>
      </c>
      <c r="J4014">
        <v>3.23</v>
      </c>
      <c r="K4014">
        <v>25.3</v>
      </c>
      <c r="L4014" t="s">
        <v>5028</v>
      </c>
      <c r="M4014">
        <v>11</v>
      </c>
      <c r="N4014">
        <v>0</v>
      </c>
      <c r="O4014">
        <v>1</v>
      </c>
    </row>
    <row r="4015" spans="1:15" x14ac:dyDescent="0.3">
      <c r="A4015" t="s">
        <v>4028</v>
      </c>
      <c r="B4015">
        <v>2</v>
      </c>
      <c r="C4015">
        <v>59</v>
      </c>
      <c r="D4015" t="s">
        <v>5015</v>
      </c>
      <c r="E4015" t="s">
        <v>5019</v>
      </c>
      <c r="F4015" t="s">
        <v>5024</v>
      </c>
      <c r="G4015">
        <v>10.5</v>
      </c>
      <c r="H4015">
        <v>4</v>
      </c>
      <c r="I4015">
        <v>5.7</v>
      </c>
      <c r="J4015">
        <v>7.77</v>
      </c>
      <c r="K4015">
        <v>64.599999999999994</v>
      </c>
      <c r="L4015" t="s">
        <v>5029</v>
      </c>
      <c r="M4015">
        <v>1</v>
      </c>
      <c r="N4015">
        <v>3</v>
      </c>
      <c r="O4015">
        <v>0</v>
      </c>
    </row>
    <row r="4016" spans="1:15" x14ac:dyDescent="0.3">
      <c r="A4016" t="s">
        <v>4029</v>
      </c>
      <c r="B4016">
        <v>5</v>
      </c>
      <c r="C4016">
        <v>49</v>
      </c>
      <c r="D4016" t="s">
        <v>5015</v>
      </c>
      <c r="E4016" t="s">
        <v>5019</v>
      </c>
      <c r="F4016" t="s">
        <v>5021</v>
      </c>
      <c r="G4016">
        <v>18.46</v>
      </c>
      <c r="H4016">
        <v>1</v>
      </c>
      <c r="I4016">
        <v>6.5</v>
      </c>
      <c r="J4016">
        <v>11.27</v>
      </c>
      <c r="K4016">
        <v>32.700000000000003</v>
      </c>
      <c r="L4016" t="s">
        <v>5029</v>
      </c>
      <c r="M4016">
        <v>4</v>
      </c>
      <c r="N4016">
        <v>4</v>
      </c>
      <c r="O4016">
        <v>0</v>
      </c>
    </row>
    <row r="4017" spans="1:15" x14ac:dyDescent="0.3">
      <c r="A4017" t="s">
        <v>4030</v>
      </c>
      <c r="B4017">
        <v>4</v>
      </c>
      <c r="C4017">
        <v>50</v>
      </c>
      <c r="D4017" t="s">
        <v>5016</v>
      </c>
      <c r="E4017" t="s">
        <v>5019</v>
      </c>
      <c r="F4017" t="s">
        <v>5024</v>
      </c>
      <c r="G4017">
        <v>12.4</v>
      </c>
      <c r="H4017">
        <v>4</v>
      </c>
      <c r="I4017">
        <v>4.3</v>
      </c>
      <c r="J4017">
        <v>9.65</v>
      </c>
      <c r="K4017">
        <v>67.099999999999994</v>
      </c>
      <c r="L4017" t="s">
        <v>5025</v>
      </c>
      <c r="M4017">
        <v>4</v>
      </c>
      <c r="N4017">
        <v>4</v>
      </c>
      <c r="O4017">
        <v>0</v>
      </c>
    </row>
    <row r="4018" spans="1:15" x14ac:dyDescent="0.3">
      <c r="A4018" t="s">
        <v>4031</v>
      </c>
      <c r="B4018">
        <v>2</v>
      </c>
      <c r="C4018">
        <v>20</v>
      </c>
      <c r="D4018" t="s">
        <v>5016</v>
      </c>
      <c r="E4018" t="s">
        <v>5018</v>
      </c>
      <c r="F4018" t="s">
        <v>5021</v>
      </c>
      <c r="G4018">
        <v>6.6</v>
      </c>
      <c r="H4018">
        <v>5</v>
      </c>
      <c r="I4018">
        <v>5.5</v>
      </c>
      <c r="J4018">
        <v>21.15</v>
      </c>
      <c r="K4018">
        <v>38.5</v>
      </c>
      <c r="L4018" t="s">
        <v>5025</v>
      </c>
      <c r="M4018">
        <v>3</v>
      </c>
      <c r="N4018">
        <v>0</v>
      </c>
      <c r="O4018">
        <v>0</v>
      </c>
    </row>
    <row r="4019" spans="1:15" x14ac:dyDescent="0.3">
      <c r="A4019" t="s">
        <v>4032</v>
      </c>
      <c r="B4019">
        <v>9</v>
      </c>
      <c r="C4019">
        <v>47</v>
      </c>
      <c r="D4019" t="s">
        <v>5016</v>
      </c>
      <c r="E4019" t="s">
        <v>5019</v>
      </c>
      <c r="F4019" t="s">
        <v>5023</v>
      </c>
      <c r="G4019">
        <v>7.76</v>
      </c>
      <c r="H4019">
        <v>1</v>
      </c>
      <c r="I4019">
        <v>5.9</v>
      </c>
      <c r="J4019">
        <v>18.170000000000002</v>
      </c>
      <c r="K4019">
        <v>41.3</v>
      </c>
      <c r="L4019" t="s">
        <v>5027</v>
      </c>
      <c r="M4019">
        <v>8</v>
      </c>
      <c r="N4019">
        <v>1</v>
      </c>
      <c r="O4019">
        <v>0</v>
      </c>
    </row>
    <row r="4020" spans="1:15" x14ac:dyDescent="0.3">
      <c r="A4020" t="s">
        <v>4033</v>
      </c>
      <c r="B4020">
        <v>9</v>
      </c>
      <c r="C4020">
        <v>67</v>
      </c>
      <c r="D4020" t="s">
        <v>5015</v>
      </c>
      <c r="E4020" t="s">
        <v>5019</v>
      </c>
      <c r="F4020" t="s">
        <v>5021</v>
      </c>
      <c r="G4020">
        <v>12.45</v>
      </c>
      <c r="H4020">
        <v>4</v>
      </c>
      <c r="I4020">
        <v>9.6</v>
      </c>
      <c r="J4020">
        <v>21.43</v>
      </c>
      <c r="K4020">
        <v>32.4</v>
      </c>
      <c r="L4020" t="s">
        <v>5027</v>
      </c>
      <c r="M4020">
        <v>6</v>
      </c>
      <c r="N4020">
        <v>2</v>
      </c>
      <c r="O4020">
        <v>0</v>
      </c>
    </row>
    <row r="4021" spans="1:15" x14ac:dyDescent="0.3">
      <c r="A4021" t="s">
        <v>4034</v>
      </c>
      <c r="B4021">
        <v>6</v>
      </c>
      <c r="C4021">
        <v>29</v>
      </c>
      <c r="D4021" t="s">
        <v>5015</v>
      </c>
      <c r="E4021" t="s">
        <v>5017</v>
      </c>
      <c r="F4021" t="s">
        <v>5020</v>
      </c>
      <c r="G4021">
        <v>23.49</v>
      </c>
      <c r="H4021">
        <v>3</v>
      </c>
      <c r="I4021">
        <v>8.9</v>
      </c>
      <c r="J4021">
        <v>11.44</v>
      </c>
      <c r="K4021">
        <v>47.7</v>
      </c>
      <c r="L4021" t="s">
        <v>5029</v>
      </c>
      <c r="M4021">
        <v>7</v>
      </c>
      <c r="N4021">
        <v>0</v>
      </c>
      <c r="O4021">
        <v>0</v>
      </c>
    </row>
    <row r="4022" spans="1:15" x14ac:dyDescent="0.3">
      <c r="A4022" t="s">
        <v>4035</v>
      </c>
      <c r="B4022">
        <v>11</v>
      </c>
      <c r="C4022">
        <v>46</v>
      </c>
      <c r="D4022" t="s">
        <v>5016</v>
      </c>
      <c r="E4022" t="s">
        <v>5019</v>
      </c>
      <c r="F4022" t="s">
        <v>5024</v>
      </c>
      <c r="G4022">
        <v>12.58</v>
      </c>
      <c r="H4022">
        <v>1</v>
      </c>
      <c r="I4022">
        <v>2.2000000000000002</v>
      </c>
      <c r="J4022">
        <v>16.11</v>
      </c>
      <c r="K4022">
        <v>24.6</v>
      </c>
      <c r="L4022" t="s">
        <v>5027</v>
      </c>
      <c r="M4022">
        <v>9</v>
      </c>
      <c r="N4022">
        <v>0</v>
      </c>
      <c r="O4022">
        <v>0</v>
      </c>
    </row>
    <row r="4023" spans="1:15" x14ac:dyDescent="0.3">
      <c r="A4023" t="s">
        <v>4036</v>
      </c>
      <c r="B4023">
        <v>6</v>
      </c>
      <c r="C4023">
        <v>20</v>
      </c>
      <c r="D4023" t="s">
        <v>5016</v>
      </c>
      <c r="E4023" t="s">
        <v>5018</v>
      </c>
      <c r="F4023" t="s">
        <v>5024</v>
      </c>
      <c r="G4023">
        <v>6.21</v>
      </c>
      <c r="H4023">
        <v>4</v>
      </c>
      <c r="I4023">
        <v>1.4</v>
      </c>
      <c r="J4023">
        <v>14.34</v>
      </c>
      <c r="K4023">
        <v>38.799999999999997</v>
      </c>
      <c r="L4023" t="s">
        <v>5029</v>
      </c>
      <c r="M4023">
        <v>8</v>
      </c>
      <c r="N4023">
        <v>1</v>
      </c>
      <c r="O4023">
        <v>0</v>
      </c>
    </row>
    <row r="4024" spans="1:15" x14ac:dyDescent="0.3">
      <c r="A4024" t="s">
        <v>4037</v>
      </c>
      <c r="B4024">
        <v>8</v>
      </c>
      <c r="C4024">
        <v>43</v>
      </c>
      <c r="D4024" t="s">
        <v>5015</v>
      </c>
      <c r="E4024" t="s">
        <v>5018</v>
      </c>
      <c r="F4024" t="s">
        <v>5024</v>
      </c>
      <c r="G4024">
        <v>13.36</v>
      </c>
      <c r="H4024">
        <v>3</v>
      </c>
      <c r="I4024">
        <v>7.1</v>
      </c>
      <c r="J4024">
        <v>13.44</v>
      </c>
      <c r="K4024">
        <v>80</v>
      </c>
      <c r="L4024" t="s">
        <v>5028</v>
      </c>
      <c r="M4024">
        <v>3</v>
      </c>
      <c r="N4024">
        <v>1</v>
      </c>
      <c r="O4024">
        <v>0</v>
      </c>
    </row>
    <row r="4025" spans="1:15" x14ac:dyDescent="0.3">
      <c r="A4025" t="s">
        <v>4038</v>
      </c>
      <c r="B4025">
        <v>6</v>
      </c>
      <c r="C4025">
        <v>47</v>
      </c>
      <c r="D4025" t="s">
        <v>5015</v>
      </c>
      <c r="E4025" t="s">
        <v>5018</v>
      </c>
      <c r="F4025" t="s">
        <v>5022</v>
      </c>
      <c r="G4025">
        <v>18.38</v>
      </c>
      <c r="H4025">
        <v>1</v>
      </c>
      <c r="I4025">
        <v>1.4</v>
      </c>
      <c r="J4025">
        <v>9.34</v>
      </c>
      <c r="K4025">
        <v>29.4</v>
      </c>
      <c r="L4025" t="s">
        <v>5028</v>
      </c>
      <c r="M4025">
        <v>4</v>
      </c>
      <c r="N4025">
        <v>3</v>
      </c>
      <c r="O4025">
        <v>1</v>
      </c>
    </row>
    <row r="4026" spans="1:15" x14ac:dyDescent="0.3">
      <c r="A4026" t="s">
        <v>4039</v>
      </c>
      <c r="B4026">
        <v>1</v>
      </c>
      <c r="C4026">
        <v>26</v>
      </c>
      <c r="D4026" t="s">
        <v>5016</v>
      </c>
      <c r="E4026" t="s">
        <v>5017</v>
      </c>
      <c r="F4026" t="s">
        <v>5022</v>
      </c>
      <c r="G4026">
        <v>16.87</v>
      </c>
      <c r="H4026">
        <v>4</v>
      </c>
      <c r="I4026">
        <v>1.5</v>
      </c>
      <c r="J4026">
        <v>18.600000000000001</v>
      </c>
      <c r="K4026">
        <v>95.2</v>
      </c>
      <c r="L4026" t="s">
        <v>5026</v>
      </c>
      <c r="M4026">
        <v>1</v>
      </c>
      <c r="N4026">
        <v>1</v>
      </c>
      <c r="O4026">
        <v>0</v>
      </c>
    </row>
    <row r="4027" spans="1:15" x14ac:dyDescent="0.3">
      <c r="A4027" t="s">
        <v>4040</v>
      </c>
      <c r="B4027">
        <v>4</v>
      </c>
      <c r="C4027">
        <v>43</v>
      </c>
      <c r="D4027" t="s">
        <v>5016</v>
      </c>
      <c r="E4027" t="s">
        <v>5018</v>
      </c>
      <c r="F4027" t="s">
        <v>5023</v>
      </c>
      <c r="G4027">
        <v>10.58</v>
      </c>
      <c r="H4027">
        <v>5</v>
      </c>
      <c r="I4027">
        <v>2.4</v>
      </c>
      <c r="J4027">
        <v>14.53</v>
      </c>
      <c r="K4027">
        <v>54.4</v>
      </c>
      <c r="L4027" t="s">
        <v>5025</v>
      </c>
      <c r="M4027">
        <v>4</v>
      </c>
      <c r="N4027">
        <v>1</v>
      </c>
      <c r="O4027">
        <v>0</v>
      </c>
    </row>
    <row r="4028" spans="1:15" x14ac:dyDescent="0.3">
      <c r="A4028" t="s">
        <v>4041</v>
      </c>
      <c r="B4028">
        <v>7</v>
      </c>
      <c r="C4028">
        <v>19</v>
      </c>
      <c r="D4028" t="s">
        <v>5016</v>
      </c>
      <c r="E4028" t="s">
        <v>5019</v>
      </c>
      <c r="F4028" t="s">
        <v>5023</v>
      </c>
      <c r="G4028">
        <v>18.760000000000002</v>
      </c>
      <c r="H4028">
        <v>1</v>
      </c>
      <c r="I4028">
        <v>4.2</v>
      </c>
      <c r="J4028">
        <v>4.7300000000000004</v>
      </c>
      <c r="K4028">
        <v>19.600000000000001</v>
      </c>
      <c r="L4028" t="s">
        <v>5026</v>
      </c>
      <c r="M4028">
        <v>9</v>
      </c>
      <c r="N4028">
        <v>2</v>
      </c>
      <c r="O4028">
        <v>1</v>
      </c>
    </row>
    <row r="4029" spans="1:15" x14ac:dyDescent="0.3">
      <c r="A4029" t="s">
        <v>4042</v>
      </c>
      <c r="B4029">
        <v>2</v>
      </c>
      <c r="C4029">
        <v>20</v>
      </c>
      <c r="D4029" t="s">
        <v>5015</v>
      </c>
      <c r="E4029" t="s">
        <v>5017</v>
      </c>
      <c r="F4029" t="s">
        <v>5022</v>
      </c>
      <c r="G4029">
        <v>17.61</v>
      </c>
      <c r="H4029">
        <v>1</v>
      </c>
      <c r="I4029">
        <v>4.9000000000000004</v>
      </c>
      <c r="J4029">
        <v>3.01</v>
      </c>
      <c r="K4029">
        <v>94.9</v>
      </c>
      <c r="L4029" t="s">
        <v>5028</v>
      </c>
      <c r="M4029">
        <v>5</v>
      </c>
      <c r="N4029">
        <v>2</v>
      </c>
      <c r="O4029">
        <v>0</v>
      </c>
    </row>
    <row r="4030" spans="1:15" x14ac:dyDescent="0.3">
      <c r="A4030" t="s">
        <v>4043</v>
      </c>
      <c r="B4030">
        <v>9</v>
      </c>
      <c r="C4030">
        <v>63</v>
      </c>
      <c r="D4030" t="s">
        <v>5016</v>
      </c>
      <c r="E4030" t="s">
        <v>5018</v>
      </c>
      <c r="F4030" t="s">
        <v>5024</v>
      </c>
      <c r="G4030">
        <v>8.44</v>
      </c>
      <c r="H4030">
        <v>3</v>
      </c>
      <c r="I4030">
        <v>5.7</v>
      </c>
      <c r="J4030">
        <v>3.45</v>
      </c>
      <c r="K4030">
        <v>51.1</v>
      </c>
      <c r="L4030" t="s">
        <v>5027</v>
      </c>
      <c r="M4030">
        <v>3</v>
      </c>
      <c r="N4030">
        <v>2</v>
      </c>
      <c r="O4030">
        <v>0</v>
      </c>
    </row>
    <row r="4031" spans="1:15" x14ac:dyDescent="0.3">
      <c r="A4031" t="s">
        <v>4044</v>
      </c>
      <c r="B4031">
        <v>8</v>
      </c>
      <c r="C4031">
        <v>21</v>
      </c>
      <c r="D4031" t="s">
        <v>5015</v>
      </c>
      <c r="E4031" t="s">
        <v>5019</v>
      </c>
      <c r="F4031" t="s">
        <v>5022</v>
      </c>
      <c r="G4031">
        <v>8.24</v>
      </c>
      <c r="H4031">
        <v>4</v>
      </c>
      <c r="I4031">
        <v>9.9</v>
      </c>
      <c r="J4031">
        <v>4.67</v>
      </c>
      <c r="K4031">
        <v>60.1</v>
      </c>
      <c r="L4031" t="s">
        <v>5025</v>
      </c>
      <c r="M4031">
        <v>2</v>
      </c>
      <c r="N4031">
        <v>0</v>
      </c>
      <c r="O4031">
        <v>0</v>
      </c>
    </row>
    <row r="4032" spans="1:15" x14ac:dyDescent="0.3">
      <c r="A4032" t="s">
        <v>4045</v>
      </c>
      <c r="B4032">
        <v>8</v>
      </c>
      <c r="C4032">
        <v>42</v>
      </c>
      <c r="D4032" t="s">
        <v>5015</v>
      </c>
      <c r="E4032" t="s">
        <v>5018</v>
      </c>
      <c r="F4032" t="s">
        <v>5021</v>
      </c>
      <c r="G4032">
        <v>15.94</v>
      </c>
      <c r="H4032">
        <v>5</v>
      </c>
      <c r="I4032">
        <v>4.5</v>
      </c>
      <c r="J4032">
        <v>11.16</v>
      </c>
      <c r="K4032">
        <v>26.7</v>
      </c>
      <c r="L4032" t="s">
        <v>5025</v>
      </c>
      <c r="M4032">
        <v>6</v>
      </c>
      <c r="N4032">
        <v>2</v>
      </c>
      <c r="O4032">
        <v>0</v>
      </c>
    </row>
    <row r="4033" spans="1:15" x14ac:dyDescent="0.3">
      <c r="A4033" t="s">
        <v>4046</v>
      </c>
      <c r="B4033">
        <v>7</v>
      </c>
      <c r="C4033">
        <v>68</v>
      </c>
      <c r="D4033" t="s">
        <v>5016</v>
      </c>
      <c r="E4033" t="s">
        <v>5018</v>
      </c>
      <c r="F4033" t="s">
        <v>5024</v>
      </c>
      <c r="G4033">
        <v>18.190000000000001</v>
      </c>
      <c r="H4033">
        <v>3</v>
      </c>
      <c r="I4033">
        <v>3.2</v>
      </c>
      <c r="J4033">
        <v>9.7200000000000006</v>
      </c>
      <c r="K4033">
        <v>40</v>
      </c>
      <c r="L4033" t="s">
        <v>5026</v>
      </c>
      <c r="M4033">
        <v>4</v>
      </c>
      <c r="N4033">
        <v>2</v>
      </c>
      <c r="O4033">
        <v>0</v>
      </c>
    </row>
    <row r="4034" spans="1:15" x14ac:dyDescent="0.3">
      <c r="A4034" t="s">
        <v>4047</v>
      </c>
      <c r="B4034">
        <v>4</v>
      </c>
      <c r="C4034">
        <v>30</v>
      </c>
      <c r="D4034" t="s">
        <v>5016</v>
      </c>
      <c r="E4034" t="s">
        <v>5018</v>
      </c>
      <c r="F4034" t="s">
        <v>5022</v>
      </c>
      <c r="G4034">
        <v>24.24</v>
      </c>
      <c r="H4034">
        <v>1</v>
      </c>
      <c r="I4034">
        <v>6.2</v>
      </c>
      <c r="J4034">
        <v>6.45</v>
      </c>
      <c r="K4034">
        <v>73.3</v>
      </c>
      <c r="L4034" t="s">
        <v>5025</v>
      </c>
      <c r="M4034">
        <v>6</v>
      </c>
      <c r="N4034">
        <v>4</v>
      </c>
      <c r="O4034">
        <v>0</v>
      </c>
    </row>
    <row r="4035" spans="1:15" x14ac:dyDescent="0.3">
      <c r="A4035" t="s">
        <v>4048</v>
      </c>
      <c r="B4035">
        <v>2</v>
      </c>
      <c r="C4035">
        <v>56</v>
      </c>
      <c r="D4035" t="s">
        <v>5015</v>
      </c>
      <c r="E4035" t="s">
        <v>5018</v>
      </c>
      <c r="F4035" t="s">
        <v>5023</v>
      </c>
      <c r="G4035">
        <v>13.44</v>
      </c>
      <c r="H4035">
        <v>3</v>
      </c>
      <c r="I4035">
        <v>2.9</v>
      </c>
      <c r="J4035">
        <v>14.34</v>
      </c>
      <c r="K4035">
        <v>21.2</v>
      </c>
      <c r="L4035" t="s">
        <v>5028</v>
      </c>
      <c r="M4035">
        <v>3</v>
      </c>
      <c r="N4035">
        <v>2</v>
      </c>
      <c r="O4035">
        <v>1</v>
      </c>
    </row>
    <row r="4036" spans="1:15" x14ac:dyDescent="0.3">
      <c r="A4036" t="s">
        <v>4049</v>
      </c>
      <c r="B4036">
        <v>3</v>
      </c>
      <c r="C4036">
        <v>61</v>
      </c>
      <c r="D4036" t="s">
        <v>5016</v>
      </c>
      <c r="E4036" t="s">
        <v>5018</v>
      </c>
      <c r="F4036" t="s">
        <v>5022</v>
      </c>
      <c r="G4036">
        <v>20.3</v>
      </c>
      <c r="H4036">
        <v>3</v>
      </c>
      <c r="I4036">
        <v>9.5</v>
      </c>
      <c r="J4036">
        <v>24.34</v>
      </c>
      <c r="K4036">
        <v>61.3</v>
      </c>
      <c r="L4036" t="s">
        <v>5027</v>
      </c>
      <c r="M4036">
        <v>3</v>
      </c>
      <c r="N4036">
        <v>0</v>
      </c>
      <c r="O4036">
        <v>0</v>
      </c>
    </row>
    <row r="4037" spans="1:15" x14ac:dyDescent="0.3">
      <c r="A4037" t="s">
        <v>4050</v>
      </c>
      <c r="B4037">
        <v>12</v>
      </c>
      <c r="C4037">
        <v>52</v>
      </c>
      <c r="D4037" t="s">
        <v>5015</v>
      </c>
      <c r="E4037" t="s">
        <v>5019</v>
      </c>
      <c r="F4037" t="s">
        <v>5020</v>
      </c>
      <c r="G4037">
        <v>7.33</v>
      </c>
      <c r="H4037">
        <v>3</v>
      </c>
      <c r="I4037">
        <v>3.3</v>
      </c>
      <c r="J4037">
        <v>6.54</v>
      </c>
      <c r="K4037">
        <v>72.400000000000006</v>
      </c>
      <c r="L4037" t="s">
        <v>5026</v>
      </c>
      <c r="M4037">
        <v>1</v>
      </c>
      <c r="N4037">
        <v>4</v>
      </c>
      <c r="O4037">
        <v>0</v>
      </c>
    </row>
    <row r="4038" spans="1:15" x14ac:dyDescent="0.3">
      <c r="A4038" t="s">
        <v>4051</v>
      </c>
      <c r="B4038">
        <v>6</v>
      </c>
      <c r="C4038">
        <v>40</v>
      </c>
      <c r="D4038" t="s">
        <v>5016</v>
      </c>
      <c r="E4038" t="s">
        <v>5018</v>
      </c>
      <c r="F4038" t="s">
        <v>5022</v>
      </c>
      <c r="G4038">
        <v>22.79</v>
      </c>
      <c r="H4038">
        <v>1</v>
      </c>
      <c r="I4038">
        <v>9.9</v>
      </c>
      <c r="J4038">
        <v>8.51</v>
      </c>
      <c r="K4038">
        <v>10.199999999999999</v>
      </c>
      <c r="L4038" t="s">
        <v>5027</v>
      </c>
      <c r="M4038">
        <v>9</v>
      </c>
      <c r="N4038">
        <v>0</v>
      </c>
      <c r="O4038">
        <v>0</v>
      </c>
    </row>
    <row r="4039" spans="1:15" x14ac:dyDescent="0.3">
      <c r="A4039" t="s">
        <v>4052</v>
      </c>
      <c r="B4039">
        <v>12</v>
      </c>
      <c r="C4039">
        <v>26</v>
      </c>
      <c r="D4039" t="s">
        <v>5016</v>
      </c>
      <c r="E4039" t="s">
        <v>5019</v>
      </c>
      <c r="F4039" t="s">
        <v>5024</v>
      </c>
      <c r="G4039">
        <v>17.66</v>
      </c>
      <c r="H4039">
        <v>2</v>
      </c>
      <c r="I4039">
        <v>4.8</v>
      </c>
      <c r="J4039">
        <v>13.17</v>
      </c>
      <c r="K4039">
        <v>85.4</v>
      </c>
      <c r="L4039" t="s">
        <v>5026</v>
      </c>
      <c r="M4039">
        <v>7</v>
      </c>
      <c r="N4039">
        <v>0</v>
      </c>
      <c r="O4039">
        <v>0</v>
      </c>
    </row>
    <row r="4040" spans="1:15" x14ac:dyDescent="0.3">
      <c r="A4040" t="s">
        <v>4053</v>
      </c>
      <c r="B4040">
        <v>12</v>
      </c>
      <c r="C4040">
        <v>19</v>
      </c>
      <c r="D4040" t="s">
        <v>5016</v>
      </c>
      <c r="E4040" t="s">
        <v>5018</v>
      </c>
      <c r="F4040" t="s">
        <v>5022</v>
      </c>
      <c r="G4040">
        <v>17.579999999999998</v>
      </c>
      <c r="H4040">
        <v>3</v>
      </c>
      <c r="I4040">
        <v>8.3000000000000007</v>
      </c>
      <c r="J4040">
        <v>17.100000000000001</v>
      </c>
      <c r="K4040">
        <v>15.1</v>
      </c>
      <c r="L4040" t="s">
        <v>5029</v>
      </c>
      <c r="M4040">
        <v>9</v>
      </c>
      <c r="N4040">
        <v>4</v>
      </c>
      <c r="O4040">
        <v>0</v>
      </c>
    </row>
    <row r="4041" spans="1:15" x14ac:dyDescent="0.3">
      <c r="A4041" t="s">
        <v>4054</v>
      </c>
      <c r="B4041">
        <v>5</v>
      </c>
      <c r="C4041">
        <v>58</v>
      </c>
      <c r="D4041" t="s">
        <v>5016</v>
      </c>
      <c r="E4041" t="s">
        <v>5018</v>
      </c>
      <c r="F4041" t="s">
        <v>5023</v>
      </c>
      <c r="G4041">
        <v>7.85</v>
      </c>
      <c r="H4041">
        <v>2</v>
      </c>
      <c r="I4041">
        <v>6.8</v>
      </c>
      <c r="J4041">
        <v>16.21</v>
      </c>
      <c r="K4041">
        <v>32.200000000000003</v>
      </c>
      <c r="L4041" t="s">
        <v>5025</v>
      </c>
      <c r="M4041">
        <v>11</v>
      </c>
      <c r="N4041">
        <v>4</v>
      </c>
      <c r="O4041">
        <v>0</v>
      </c>
    </row>
    <row r="4042" spans="1:15" x14ac:dyDescent="0.3">
      <c r="A4042" t="s">
        <v>4055</v>
      </c>
      <c r="B4042">
        <v>12</v>
      </c>
      <c r="C4042">
        <v>61</v>
      </c>
      <c r="D4042" t="s">
        <v>5015</v>
      </c>
      <c r="E4042" t="s">
        <v>5018</v>
      </c>
      <c r="F4042" t="s">
        <v>5021</v>
      </c>
      <c r="G4042">
        <v>5.79</v>
      </c>
      <c r="H4042">
        <v>5</v>
      </c>
      <c r="I4042">
        <v>9.4</v>
      </c>
      <c r="J4042">
        <v>14.47</v>
      </c>
      <c r="K4042">
        <v>96.7</v>
      </c>
      <c r="L4042" t="s">
        <v>5029</v>
      </c>
      <c r="M4042">
        <v>1</v>
      </c>
      <c r="N4042">
        <v>4</v>
      </c>
      <c r="O4042">
        <v>0</v>
      </c>
    </row>
    <row r="4043" spans="1:15" x14ac:dyDescent="0.3">
      <c r="A4043" t="s">
        <v>4056</v>
      </c>
      <c r="B4043">
        <v>8</v>
      </c>
      <c r="C4043">
        <v>48</v>
      </c>
      <c r="D4043" t="s">
        <v>5015</v>
      </c>
      <c r="E4043" t="s">
        <v>5019</v>
      </c>
      <c r="F4043" t="s">
        <v>5020</v>
      </c>
      <c r="G4043">
        <v>19.03</v>
      </c>
      <c r="H4043">
        <v>5</v>
      </c>
      <c r="I4043">
        <v>6.6</v>
      </c>
      <c r="J4043">
        <v>19.22</v>
      </c>
      <c r="K4043">
        <v>17.3</v>
      </c>
      <c r="L4043" t="s">
        <v>5025</v>
      </c>
      <c r="M4043">
        <v>8</v>
      </c>
      <c r="N4043">
        <v>4</v>
      </c>
      <c r="O4043">
        <v>0</v>
      </c>
    </row>
    <row r="4044" spans="1:15" x14ac:dyDescent="0.3">
      <c r="A4044" t="s">
        <v>4057</v>
      </c>
      <c r="B4044">
        <v>6</v>
      </c>
      <c r="C4044">
        <v>61</v>
      </c>
      <c r="D4044" t="s">
        <v>5015</v>
      </c>
      <c r="E4044" t="s">
        <v>5018</v>
      </c>
      <c r="F4044" t="s">
        <v>5024</v>
      </c>
      <c r="G4044">
        <v>7.34</v>
      </c>
      <c r="H4044">
        <v>5</v>
      </c>
      <c r="I4044">
        <v>6.2</v>
      </c>
      <c r="J4044">
        <v>21.61</v>
      </c>
      <c r="K4044">
        <v>84.3</v>
      </c>
      <c r="L4044" t="s">
        <v>5029</v>
      </c>
      <c r="M4044">
        <v>2</v>
      </c>
      <c r="N4044">
        <v>0</v>
      </c>
      <c r="O4044">
        <v>1</v>
      </c>
    </row>
    <row r="4045" spans="1:15" x14ac:dyDescent="0.3">
      <c r="A4045" t="s">
        <v>4058</v>
      </c>
      <c r="B4045">
        <v>6</v>
      </c>
      <c r="C4045">
        <v>64</v>
      </c>
      <c r="D4045" t="s">
        <v>5016</v>
      </c>
      <c r="E4045" t="s">
        <v>5017</v>
      </c>
      <c r="F4045" t="s">
        <v>5023</v>
      </c>
      <c r="G4045">
        <v>7.54</v>
      </c>
      <c r="H4045">
        <v>4</v>
      </c>
      <c r="I4045">
        <v>6.9</v>
      </c>
      <c r="J4045">
        <v>24.98</v>
      </c>
      <c r="K4045">
        <v>68.7</v>
      </c>
      <c r="L4045" t="s">
        <v>5027</v>
      </c>
      <c r="M4045">
        <v>3</v>
      </c>
      <c r="N4045">
        <v>4</v>
      </c>
      <c r="O4045">
        <v>0</v>
      </c>
    </row>
    <row r="4046" spans="1:15" x14ac:dyDescent="0.3">
      <c r="A4046" t="s">
        <v>4059</v>
      </c>
      <c r="B4046">
        <v>1</v>
      </c>
      <c r="C4046">
        <v>19</v>
      </c>
      <c r="D4046" t="s">
        <v>5015</v>
      </c>
      <c r="E4046" t="s">
        <v>5017</v>
      </c>
      <c r="F4046" t="s">
        <v>5020</v>
      </c>
      <c r="G4046">
        <v>8.75</v>
      </c>
      <c r="H4046">
        <v>1</v>
      </c>
      <c r="I4046">
        <v>8.1</v>
      </c>
      <c r="J4046">
        <v>13.24</v>
      </c>
      <c r="K4046">
        <v>63.9</v>
      </c>
      <c r="L4046" t="s">
        <v>5028</v>
      </c>
      <c r="M4046">
        <v>1</v>
      </c>
      <c r="N4046">
        <v>1</v>
      </c>
      <c r="O4046">
        <v>0</v>
      </c>
    </row>
    <row r="4047" spans="1:15" x14ac:dyDescent="0.3">
      <c r="A4047" t="s">
        <v>4060</v>
      </c>
      <c r="B4047">
        <v>4</v>
      </c>
      <c r="C4047">
        <v>49</v>
      </c>
      <c r="D4047" t="s">
        <v>5015</v>
      </c>
      <c r="E4047" t="s">
        <v>5017</v>
      </c>
      <c r="F4047" t="s">
        <v>5022</v>
      </c>
      <c r="G4047">
        <v>6.95</v>
      </c>
      <c r="H4047">
        <v>2</v>
      </c>
      <c r="I4047">
        <v>9.1</v>
      </c>
      <c r="J4047">
        <v>24.89</v>
      </c>
      <c r="K4047">
        <v>62.4</v>
      </c>
      <c r="L4047" t="s">
        <v>5026</v>
      </c>
      <c r="M4047">
        <v>7</v>
      </c>
      <c r="N4047">
        <v>2</v>
      </c>
      <c r="O4047">
        <v>0</v>
      </c>
    </row>
    <row r="4048" spans="1:15" x14ac:dyDescent="0.3">
      <c r="A4048" t="s">
        <v>4061</v>
      </c>
      <c r="B4048">
        <v>5</v>
      </c>
      <c r="C4048">
        <v>35</v>
      </c>
      <c r="D4048" t="s">
        <v>5015</v>
      </c>
      <c r="E4048" t="s">
        <v>5017</v>
      </c>
      <c r="F4048" t="s">
        <v>5020</v>
      </c>
      <c r="G4048">
        <v>17.510000000000002</v>
      </c>
      <c r="H4048">
        <v>4</v>
      </c>
      <c r="I4048">
        <v>3.4</v>
      </c>
      <c r="J4048">
        <v>19.07</v>
      </c>
      <c r="K4048">
        <v>25</v>
      </c>
      <c r="L4048" t="s">
        <v>5025</v>
      </c>
      <c r="M4048">
        <v>11</v>
      </c>
      <c r="N4048">
        <v>2</v>
      </c>
      <c r="O4048">
        <v>1</v>
      </c>
    </row>
    <row r="4049" spans="1:15" x14ac:dyDescent="0.3">
      <c r="A4049" t="s">
        <v>4062</v>
      </c>
      <c r="B4049">
        <v>12</v>
      </c>
      <c r="C4049">
        <v>30</v>
      </c>
      <c r="D4049" t="s">
        <v>5016</v>
      </c>
      <c r="E4049" t="s">
        <v>5018</v>
      </c>
      <c r="F4049" t="s">
        <v>5021</v>
      </c>
      <c r="G4049">
        <v>13.44</v>
      </c>
      <c r="H4049">
        <v>2</v>
      </c>
      <c r="I4049">
        <v>2.8</v>
      </c>
      <c r="J4049">
        <v>17.46</v>
      </c>
      <c r="K4049">
        <v>70.2</v>
      </c>
      <c r="L4049" t="s">
        <v>5026</v>
      </c>
      <c r="M4049">
        <v>5</v>
      </c>
      <c r="N4049">
        <v>1</v>
      </c>
      <c r="O4049">
        <v>1</v>
      </c>
    </row>
    <row r="4050" spans="1:15" x14ac:dyDescent="0.3">
      <c r="A4050" t="s">
        <v>4063</v>
      </c>
      <c r="B4050">
        <v>11</v>
      </c>
      <c r="C4050">
        <v>63</v>
      </c>
      <c r="D4050" t="s">
        <v>5015</v>
      </c>
      <c r="E4050" t="s">
        <v>5017</v>
      </c>
      <c r="F4050" t="s">
        <v>5020</v>
      </c>
      <c r="G4050">
        <v>10.32</v>
      </c>
      <c r="H4050">
        <v>1</v>
      </c>
      <c r="I4050">
        <v>1.3</v>
      </c>
      <c r="J4050">
        <v>17.07</v>
      </c>
      <c r="K4050">
        <v>95.6</v>
      </c>
      <c r="L4050" t="s">
        <v>5028</v>
      </c>
      <c r="M4050">
        <v>11</v>
      </c>
      <c r="N4050">
        <v>0</v>
      </c>
      <c r="O4050">
        <v>0</v>
      </c>
    </row>
    <row r="4051" spans="1:15" x14ac:dyDescent="0.3">
      <c r="A4051" t="s">
        <v>4064</v>
      </c>
      <c r="B4051">
        <v>3</v>
      </c>
      <c r="C4051">
        <v>22</v>
      </c>
      <c r="D4051" t="s">
        <v>5016</v>
      </c>
      <c r="E4051" t="s">
        <v>5019</v>
      </c>
      <c r="F4051" t="s">
        <v>5020</v>
      </c>
      <c r="G4051">
        <v>13.81</v>
      </c>
      <c r="H4051">
        <v>3</v>
      </c>
      <c r="I4051">
        <v>4.3</v>
      </c>
      <c r="J4051">
        <v>23.04</v>
      </c>
      <c r="K4051">
        <v>16.899999999999999</v>
      </c>
      <c r="L4051" t="s">
        <v>5029</v>
      </c>
      <c r="M4051">
        <v>3</v>
      </c>
      <c r="N4051">
        <v>0</v>
      </c>
      <c r="O4051">
        <v>0</v>
      </c>
    </row>
    <row r="4052" spans="1:15" x14ac:dyDescent="0.3">
      <c r="A4052" t="s">
        <v>4065</v>
      </c>
      <c r="B4052">
        <v>9</v>
      </c>
      <c r="C4052">
        <v>59</v>
      </c>
      <c r="D4052" t="s">
        <v>5016</v>
      </c>
      <c r="E4052" t="s">
        <v>5017</v>
      </c>
      <c r="F4052" t="s">
        <v>5022</v>
      </c>
      <c r="G4052">
        <v>21.88</v>
      </c>
      <c r="H4052">
        <v>4</v>
      </c>
      <c r="I4052">
        <v>8.6</v>
      </c>
      <c r="J4052">
        <v>23.85</v>
      </c>
      <c r="K4052">
        <v>39.9</v>
      </c>
      <c r="L4052" t="s">
        <v>5027</v>
      </c>
      <c r="M4052">
        <v>4</v>
      </c>
      <c r="N4052">
        <v>2</v>
      </c>
      <c r="O4052">
        <v>1</v>
      </c>
    </row>
    <row r="4053" spans="1:15" x14ac:dyDescent="0.3">
      <c r="A4053" t="s">
        <v>4066</v>
      </c>
      <c r="B4053">
        <v>1</v>
      </c>
      <c r="C4053">
        <v>61</v>
      </c>
      <c r="D4053" t="s">
        <v>5015</v>
      </c>
      <c r="E4053" t="s">
        <v>5018</v>
      </c>
      <c r="F4053" t="s">
        <v>5022</v>
      </c>
      <c r="G4053">
        <v>23.54</v>
      </c>
      <c r="H4053">
        <v>1</v>
      </c>
      <c r="I4053">
        <v>1.6</v>
      </c>
      <c r="J4053">
        <v>6.93</v>
      </c>
      <c r="K4053">
        <v>52.5</v>
      </c>
      <c r="L4053" t="s">
        <v>5026</v>
      </c>
      <c r="M4053">
        <v>10</v>
      </c>
      <c r="N4053">
        <v>3</v>
      </c>
      <c r="O4053">
        <v>1</v>
      </c>
    </row>
    <row r="4054" spans="1:15" x14ac:dyDescent="0.3">
      <c r="A4054" t="s">
        <v>4067</v>
      </c>
      <c r="B4054">
        <v>6</v>
      </c>
      <c r="C4054">
        <v>27</v>
      </c>
      <c r="D4054" t="s">
        <v>5016</v>
      </c>
      <c r="E4054" t="s">
        <v>5018</v>
      </c>
      <c r="F4054" t="s">
        <v>5024</v>
      </c>
      <c r="G4054">
        <v>14.75</v>
      </c>
      <c r="H4054">
        <v>4</v>
      </c>
      <c r="I4054">
        <v>5.8</v>
      </c>
      <c r="J4054">
        <v>13.86</v>
      </c>
      <c r="K4054">
        <v>30.9</v>
      </c>
      <c r="L4054" t="s">
        <v>5029</v>
      </c>
      <c r="M4054">
        <v>6</v>
      </c>
      <c r="N4054">
        <v>1</v>
      </c>
      <c r="O4054">
        <v>0</v>
      </c>
    </row>
    <row r="4055" spans="1:15" x14ac:dyDescent="0.3">
      <c r="A4055" t="s">
        <v>4068</v>
      </c>
      <c r="B4055">
        <v>6</v>
      </c>
      <c r="C4055">
        <v>60</v>
      </c>
      <c r="D4055" t="s">
        <v>5015</v>
      </c>
      <c r="E4055" t="s">
        <v>5017</v>
      </c>
      <c r="F4055" t="s">
        <v>5022</v>
      </c>
      <c r="G4055">
        <v>16.34</v>
      </c>
      <c r="H4055">
        <v>5</v>
      </c>
      <c r="I4055">
        <v>7.3</v>
      </c>
      <c r="J4055">
        <v>23.71</v>
      </c>
      <c r="K4055">
        <v>76.7</v>
      </c>
      <c r="L4055" t="s">
        <v>5025</v>
      </c>
      <c r="M4055">
        <v>6</v>
      </c>
      <c r="N4055">
        <v>1</v>
      </c>
      <c r="O4055">
        <v>1</v>
      </c>
    </row>
    <row r="4056" spans="1:15" x14ac:dyDescent="0.3">
      <c r="A4056" t="s">
        <v>4069</v>
      </c>
      <c r="B4056">
        <v>10</v>
      </c>
      <c r="C4056">
        <v>42</v>
      </c>
      <c r="D4056" t="s">
        <v>5015</v>
      </c>
      <c r="E4056" t="s">
        <v>5019</v>
      </c>
      <c r="F4056" t="s">
        <v>5020</v>
      </c>
      <c r="G4056">
        <v>10.14</v>
      </c>
      <c r="H4056">
        <v>4</v>
      </c>
      <c r="I4056">
        <v>8.5</v>
      </c>
      <c r="J4056">
        <v>11.41</v>
      </c>
      <c r="K4056">
        <v>72</v>
      </c>
      <c r="L4056" t="s">
        <v>5026</v>
      </c>
      <c r="M4056">
        <v>2</v>
      </c>
      <c r="N4056">
        <v>2</v>
      </c>
      <c r="O4056">
        <v>1</v>
      </c>
    </row>
    <row r="4057" spans="1:15" x14ac:dyDescent="0.3">
      <c r="A4057" t="s">
        <v>4070</v>
      </c>
      <c r="B4057">
        <v>5</v>
      </c>
      <c r="C4057">
        <v>51</v>
      </c>
      <c r="D4057" t="s">
        <v>5015</v>
      </c>
      <c r="E4057" t="s">
        <v>5017</v>
      </c>
      <c r="F4057" t="s">
        <v>5021</v>
      </c>
      <c r="G4057">
        <v>15.27</v>
      </c>
      <c r="H4057">
        <v>3</v>
      </c>
      <c r="I4057">
        <v>6.3</v>
      </c>
      <c r="J4057">
        <v>8.1199999999999992</v>
      </c>
      <c r="K4057">
        <v>20.6</v>
      </c>
      <c r="L4057" t="s">
        <v>5026</v>
      </c>
      <c r="M4057">
        <v>7</v>
      </c>
      <c r="N4057">
        <v>4</v>
      </c>
      <c r="O4057">
        <v>0</v>
      </c>
    </row>
    <row r="4058" spans="1:15" x14ac:dyDescent="0.3">
      <c r="A4058" t="s">
        <v>4071</v>
      </c>
      <c r="B4058">
        <v>12</v>
      </c>
      <c r="C4058">
        <v>54</v>
      </c>
      <c r="D4058" t="s">
        <v>5015</v>
      </c>
      <c r="E4058" t="s">
        <v>5018</v>
      </c>
      <c r="F4058" t="s">
        <v>5022</v>
      </c>
      <c r="G4058">
        <v>19.96</v>
      </c>
      <c r="H4058">
        <v>3</v>
      </c>
      <c r="I4058">
        <v>2.7</v>
      </c>
      <c r="J4058">
        <v>5.26</v>
      </c>
      <c r="K4058">
        <v>61.3</v>
      </c>
      <c r="L4058" t="s">
        <v>5025</v>
      </c>
      <c r="M4058">
        <v>2</v>
      </c>
      <c r="N4058">
        <v>3</v>
      </c>
      <c r="O4058">
        <v>0</v>
      </c>
    </row>
    <row r="4059" spans="1:15" x14ac:dyDescent="0.3">
      <c r="A4059" t="s">
        <v>4072</v>
      </c>
      <c r="B4059">
        <v>5</v>
      </c>
      <c r="C4059">
        <v>47</v>
      </c>
      <c r="D4059" t="s">
        <v>5015</v>
      </c>
      <c r="E4059" t="s">
        <v>5019</v>
      </c>
      <c r="F4059" t="s">
        <v>5024</v>
      </c>
      <c r="G4059">
        <v>14.84</v>
      </c>
      <c r="H4059">
        <v>2</v>
      </c>
      <c r="I4059">
        <v>9.6999999999999993</v>
      </c>
      <c r="J4059">
        <v>16.14</v>
      </c>
      <c r="K4059">
        <v>43.2</v>
      </c>
      <c r="L4059" t="s">
        <v>5028</v>
      </c>
      <c r="M4059">
        <v>9</v>
      </c>
      <c r="N4059">
        <v>0</v>
      </c>
      <c r="O4059">
        <v>0</v>
      </c>
    </row>
    <row r="4060" spans="1:15" x14ac:dyDescent="0.3">
      <c r="A4060" t="s">
        <v>4073</v>
      </c>
      <c r="B4060">
        <v>10</v>
      </c>
      <c r="C4060">
        <v>24</v>
      </c>
      <c r="D4060" t="s">
        <v>5016</v>
      </c>
      <c r="E4060" t="s">
        <v>5018</v>
      </c>
      <c r="F4060" t="s">
        <v>5024</v>
      </c>
      <c r="G4060">
        <v>11.04</v>
      </c>
      <c r="H4060">
        <v>4</v>
      </c>
      <c r="I4060">
        <v>1.9</v>
      </c>
      <c r="J4060">
        <v>18.41</v>
      </c>
      <c r="K4060">
        <v>30.6</v>
      </c>
      <c r="L4060" t="s">
        <v>5029</v>
      </c>
      <c r="M4060">
        <v>2</v>
      </c>
      <c r="N4060">
        <v>0</v>
      </c>
      <c r="O4060">
        <v>0</v>
      </c>
    </row>
    <row r="4061" spans="1:15" x14ac:dyDescent="0.3">
      <c r="A4061" t="s">
        <v>4074</v>
      </c>
      <c r="B4061">
        <v>5</v>
      </c>
      <c r="C4061">
        <v>23</v>
      </c>
      <c r="D4061" t="s">
        <v>5015</v>
      </c>
      <c r="E4061" t="s">
        <v>5017</v>
      </c>
      <c r="F4061" t="s">
        <v>5020</v>
      </c>
      <c r="G4061">
        <v>16.64</v>
      </c>
      <c r="H4061">
        <v>5</v>
      </c>
      <c r="I4061">
        <v>7.9</v>
      </c>
      <c r="J4061">
        <v>7.3</v>
      </c>
      <c r="K4061">
        <v>86.3</v>
      </c>
      <c r="L4061" t="s">
        <v>5026</v>
      </c>
      <c r="M4061">
        <v>5</v>
      </c>
      <c r="N4061">
        <v>0</v>
      </c>
      <c r="O4061">
        <v>0</v>
      </c>
    </row>
    <row r="4062" spans="1:15" x14ac:dyDescent="0.3">
      <c r="A4062" t="s">
        <v>4075</v>
      </c>
      <c r="B4062">
        <v>6</v>
      </c>
      <c r="C4062">
        <v>20</v>
      </c>
      <c r="D4062" t="s">
        <v>5016</v>
      </c>
      <c r="E4062" t="s">
        <v>5018</v>
      </c>
      <c r="F4062" t="s">
        <v>5022</v>
      </c>
      <c r="G4062">
        <v>23.93</v>
      </c>
      <c r="H4062">
        <v>3</v>
      </c>
      <c r="I4062">
        <v>1.8</v>
      </c>
      <c r="J4062">
        <v>17.82</v>
      </c>
      <c r="K4062">
        <v>14.9</v>
      </c>
      <c r="L4062" t="s">
        <v>5029</v>
      </c>
      <c r="M4062">
        <v>8</v>
      </c>
      <c r="N4062">
        <v>0</v>
      </c>
      <c r="O4062">
        <v>1</v>
      </c>
    </row>
    <row r="4063" spans="1:15" x14ac:dyDescent="0.3">
      <c r="A4063" t="s">
        <v>4076</v>
      </c>
      <c r="B4063">
        <v>8</v>
      </c>
      <c r="C4063">
        <v>30</v>
      </c>
      <c r="D4063" t="s">
        <v>5015</v>
      </c>
      <c r="E4063" t="s">
        <v>5019</v>
      </c>
      <c r="F4063" t="s">
        <v>5022</v>
      </c>
      <c r="G4063">
        <v>22.76</v>
      </c>
      <c r="H4063">
        <v>2</v>
      </c>
      <c r="I4063">
        <v>2.2999999999999998</v>
      </c>
      <c r="J4063">
        <v>22.79</v>
      </c>
      <c r="K4063">
        <v>52.1</v>
      </c>
      <c r="L4063" t="s">
        <v>5027</v>
      </c>
      <c r="M4063">
        <v>8</v>
      </c>
      <c r="N4063">
        <v>1</v>
      </c>
      <c r="O4063">
        <v>0</v>
      </c>
    </row>
    <row r="4064" spans="1:15" x14ac:dyDescent="0.3">
      <c r="A4064" t="s">
        <v>4077</v>
      </c>
      <c r="B4064">
        <v>2</v>
      </c>
      <c r="C4064">
        <v>20</v>
      </c>
      <c r="D4064" t="s">
        <v>5015</v>
      </c>
      <c r="E4064" t="s">
        <v>5019</v>
      </c>
      <c r="F4064" t="s">
        <v>5024</v>
      </c>
      <c r="G4064">
        <v>20.38</v>
      </c>
      <c r="H4064">
        <v>5</v>
      </c>
      <c r="I4064">
        <v>9.1</v>
      </c>
      <c r="J4064">
        <v>8.36</v>
      </c>
      <c r="K4064">
        <v>52.8</v>
      </c>
      <c r="L4064" t="s">
        <v>5029</v>
      </c>
      <c r="M4064">
        <v>11</v>
      </c>
      <c r="N4064">
        <v>1</v>
      </c>
      <c r="O4064">
        <v>0</v>
      </c>
    </row>
    <row r="4065" spans="1:15" x14ac:dyDescent="0.3">
      <c r="A4065" t="s">
        <v>4078</v>
      </c>
      <c r="B4065">
        <v>6</v>
      </c>
      <c r="C4065">
        <v>43</v>
      </c>
      <c r="D4065" t="s">
        <v>5015</v>
      </c>
      <c r="E4065" t="s">
        <v>5019</v>
      </c>
      <c r="F4065" t="s">
        <v>5022</v>
      </c>
      <c r="G4065">
        <v>10.52</v>
      </c>
      <c r="H4065">
        <v>5</v>
      </c>
      <c r="I4065">
        <v>7.8</v>
      </c>
      <c r="J4065">
        <v>5.68</v>
      </c>
      <c r="K4065">
        <v>61.3</v>
      </c>
      <c r="L4065" t="s">
        <v>5029</v>
      </c>
      <c r="M4065">
        <v>4</v>
      </c>
      <c r="N4065">
        <v>4</v>
      </c>
      <c r="O4065">
        <v>0</v>
      </c>
    </row>
    <row r="4066" spans="1:15" x14ac:dyDescent="0.3">
      <c r="A4066" t="s">
        <v>4079</v>
      </c>
      <c r="B4066">
        <v>1</v>
      </c>
      <c r="C4066">
        <v>41</v>
      </c>
      <c r="D4066" t="s">
        <v>5016</v>
      </c>
      <c r="E4066" t="s">
        <v>5018</v>
      </c>
      <c r="F4066" t="s">
        <v>5020</v>
      </c>
      <c r="G4066">
        <v>9.83</v>
      </c>
      <c r="H4066">
        <v>5</v>
      </c>
      <c r="I4066">
        <v>4.3</v>
      </c>
      <c r="J4066">
        <v>21.38</v>
      </c>
      <c r="K4066">
        <v>27.8</v>
      </c>
      <c r="L4066" t="s">
        <v>5025</v>
      </c>
      <c r="M4066">
        <v>7</v>
      </c>
      <c r="N4066">
        <v>1</v>
      </c>
      <c r="O4066">
        <v>0</v>
      </c>
    </row>
    <row r="4067" spans="1:15" x14ac:dyDescent="0.3">
      <c r="A4067" t="s">
        <v>4080</v>
      </c>
      <c r="B4067">
        <v>4</v>
      </c>
      <c r="C4067">
        <v>23</v>
      </c>
      <c r="D4067" t="s">
        <v>5016</v>
      </c>
      <c r="E4067" t="s">
        <v>5019</v>
      </c>
      <c r="F4067" t="s">
        <v>5021</v>
      </c>
      <c r="G4067">
        <v>21.77</v>
      </c>
      <c r="H4067">
        <v>1</v>
      </c>
      <c r="I4067">
        <v>6.7</v>
      </c>
      <c r="J4067">
        <v>23.16</v>
      </c>
      <c r="K4067">
        <v>88.4</v>
      </c>
      <c r="L4067" t="s">
        <v>5029</v>
      </c>
      <c r="M4067">
        <v>8</v>
      </c>
      <c r="N4067">
        <v>4</v>
      </c>
      <c r="O4067">
        <v>0</v>
      </c>
    </row>
    <row r="4068" spans="1:15" x14ac:dyDescent="0.3">
      <c r="A4068" t="s">
        <v>4081</v>
      </c>
      <c r="B4068">
        <v>10</v>
      </c>
      <c r="C4068">
        <v>60</v>
      </c>
      <c r="D4068" t="s">
        <v>5016</v>
      </c>
      <c r="E4068" t="s">
        <v>5017</v>
      </c>
      <c r="F4068" t="s">
        <v>5020</v>
      </c>
      <c r="G4068">
        <v>8.6300000000000008</v>
      </c>
      <c r="H4068">
        <v>3</v>
      </c>
      <c r="I4068">
        <v>5.0999999999999996</v>
      </c>
      <c r="J4068">
        <v>7.73</v>
      </c>
      <c r="K4068">
        <v>96.9</v>
      </c>
      <c r="L4068" t="s">
        <v>5028</v>
      </c>
      <c r="M4068">
        <v>8</v>
      </c>
      <c r="N4068">
        <v>4</v>
      </c>
      <c r="O4068">
        <v>0</v>
      </c>
    </row>
    <row r="4069" spans="1:15" x14ac:dyDescent="0.3">
      <c r="A4069" t="s">
        <v>4082</v>
      </c>
      <c r="B4069">
        <v>3</v>
      </c>
      <c r="C4069">
        <v>66</v>
      </c>
      <c r="D4069" t="s">
        <v>5016</v>
      </c>
      <c r="E4069" t="s">
        <v>5017</v>
      </c>
      <c r="F4069" t="s">
        <v>5022</v>
      </c>
      <c r="G4069">
        <v>17.11</v>
      </c>
      <c r="H4069">
        <v>1</v>
      </c>
      <c r="I4069">
        <v>1.6</v>
      </c>
      <c r="J4069">
        <v>18.87</v>
      </c>
      <c r="K4069">
        <v>59.4</v>
      </c>
      <c r="L4069" t="s">
        <v>5029</v>
      </c>
      <c r="M4069">
        <v>5</v>
      </c>
      <c r="N4069">
        <v>0</v>
      </c>
      <c r="O4069">
        <v>0</v>
      </c>
    </row>
    <row r="4070" spans="1:15" x14ac:dyDescent="0.3">
      <c r="A4070" t="s">
        <v>4083</v>
      </c>
      <c r="B4070">
        <v>9</v>
      </c>
      <c r="C4070">
        <v>59</v>
      </c>
      <c r="D4070" t="s">
        <v>5015</v>
      </c>
      <c r="E4070" t="s">
        <v>5019</v>
      </c>
      <c r="F4070" t="s">
        <v>5020</v>
      </c>
      <c r="G4070">
        <v>13.78</v>
      </c>
      <c r="H4070">
        <v>1</v>
      </c>
      <c r="I4070">
        <v>7.5</v>
      </c>
      <c r="J4070">
        <v>16</v>
      </c>
      <c r="K4070">
        <v>33.1</v>
      </c>
      <c r="L4070" t="s">
        <v>5027</v>
      </c>
      <c r="M4070">
        <v>10</v>
      </c>
      <c r="N4070">
        <v>0</v>
      </c>
      <c r="O4070">
        <v>0</v>
      </c>
    </row>
    <row r="4071" spans="1:15" x14ac:dyDescent="0.3">
      <c r="A4071" t="s">
        <v>4084</v>
      </c>
      <c r="B4071">
        <v>3</v>
      </c>
      <c r="C4071">
        <v>29</v>
      </c>
      <c r="D4071" t="s">
        <v>5015</v>
      </c>
      <c r="E4071" t="s">
        <v>5017</v>
      </c>
      <c r="F4071" t="s">
        <v>5023</v>
      </c>
      <c r="G4071">
        <v>14.36</v>
      </c>
      <c r="H4071">
        <v>3</v>
      </c>
      <c r="I4071">
        <v>7.9</v>
      </c>
      <c r="J4071">
        <v>8.26</v>
      </c>
      <c r="K4071">
        <v>88.9</v>
      </c>
      <c r="L4071" t="s">
        <v>5029</v>
      </c>
      <c r="M4071">
        <v>2</v>
      </c>
      <c r="N4071">
        <v>1</v>
      </c>
      <c r="O4071">
        <v>0</v>
      </c>
    </row>
    <row r="4072" spans="1:15" x14ac:dyDescent="0.3">
      <c r="A4072" t="s">
        <v>4085</v>
      </c>
      <c r="B4072">
        <v>6</v>
      </c>
      <c r="C4072">
        <v>66</v>
      </c>
      <c r="D4072" t="s">
        <v>5016</v>
      </c>
      <c r="E4072" t="s">
        <v>5017</v>
      </c>
      <c r="F4072" t="s">
        <v>5023</v>
      </c>
      <c r="G4072">
        <v>14.09</v>
      </c>
      <c r="H4072">
        <v>4</v>
      </c>
      <c r="I4072">
        <v>8.9</v>
      </c>
      <c r="J4072">
        <v>21.12</v>
      </c>
      <c r="K4072">
        <v>98.9</v>
      </c>
      <c r="L4072" t="s">
        <v>5025</v>
      </c>
      <c r="M4072">
        <v>2</v>
      </c>
      <c r="N4072">
        <v>1</v>
      </c>
      <c r="O4072">
        <v>1</v>
      </c>
    </row>
    <row r="4073" spans="1:15" x14ac:dyDescent="0.3">
      <c r="A4073" t="s">
        <v>4086</v>
      </c>
      <c r="B4073">
        <v>1</v>
      </c>
      <c r="C4073">
        <v>53</v>
      </c>
      <c r="D4073" t="s">
        <v>5016</v>
      </c>
      <c r="E4073" t="s">
        <v>5017</v>
      </c>
      <c r="F4073" t="s">
        <v>5022</v>
      </c>
      <c r="G4073">
        <v>23</v>
      </c>
      <c r="H4073">
        <v>2</v>
      </c>
      <c r="I4073">
        <v>5.9</v>
      </c>
      <c r="J4073">
        <v>13.35</v>
      </c>
      <c r="K4073">
        <v>76.8</v>
      </c>
      <c r="L4073" t="s">
        <v>5027</v>
      </c>
      <c r="M4073">
        <v>5</v>
      </c>
      <c r="N4073">
        <v>4</v>
      </c>
      <c r="O4073">
        <v>0</v>
      </c>
    </row>
    <row r="4074" spans="1:15" x14ac:dyDescent="0.3">
      <c r="A4074" t="s">
        <v>4087</v>
      </c>
      <c r="B4074">
        <v>12</v>
      </c>
      <c r="C4074">
        <v>19</v>
      </c>
      <c r="D4074" t="s">
        <v>5016</v>
      </c>
      <c r="E4074" t="s">
        <v>5018</v>
      </c>
      <c r="F4074" t="s">
        <v>5022</v>
      </c>
      <c r="G4074">
        <v>6.74</v>
      </c>
      <c r="H4074">
        <v>3</v>
      </c>
      <c r="I4074">
        <v>7.1</v>
      </c>
      <c r="J4074">
        <v>18.41</v>
      </c>
      <c r="K4074">
        <v>40</v>
      </c>
      <c r="L4074" t="s">
        <v>5025</v>
      </c>
      <c r="M4074">
        <v>4</v>
      </c>
      <c r="N4074">
        <v>2</v>
      </c>
      <c r="O4074">
        <v>0</v>
      </c>
    </row>
    <row r="4075" spans="1:15" x14ac:dyDescent="0.3">
      <c r="A4075" t="s">
        <v>4088</v>
      </c>
      <c r="B4075">
        <v>6</v>
      </c>
      <c r="C4075">
        <v>28</v>
      </c>
      <c r="D4075" t="s">
        <v>5015</v>
      </c>
      <c r="E4075" t="s">
        <v>5019</v>
      </c>
      <c r="F4075" t="s">
        <v>5021</v>
      </c>
      <c r="G4075">
        <v>20.66</v>
      </c>
      <c r="H4075">
        <v>2</v>
      </c>
      <c r="I4075">
        <v>4.9000000000000004</v>
      </c>
      <c r="J4075">
        <v>9.6300000000000008</v>
      </c>
      <c r="K4075">
        <v>31.2</v>
      </c>
      <c r="L4075" t="s">
        <v>5028</v>
      </c>
      <c r="M4075">
        <v>4</v>
      </c>
      <c r="N4075">
        <v>0</v>
      </c>
      <c r="O4075">
        <v>0</v>
      </c>
    </row>
    <row r="4076" spans="1:15" x14ac:dyDescent="0.3">
      <c r="A4076" t="s">
        <v>4089</v>
      </c>
      <c r="B4076">
        <v>4</v>
      </c>
      <c r="C4076">
        <v>56</v>
      </c>
      <c r="D4076" t="s">
        <v>5016</v>
      </c>
      <c r="E4076" t="s">
        <v>5018</v>
      </c>
      <c r="F4076" t="s">
        <v>5020</v>
      </c>
      <c r="G4076">
        <v>21.7</v>
      </c>
      <c r="H4076">
        <v>4</v>
      </c>
      <c r="I4076">
        <v>3.9</v>
      </c>
      <c r="J4076">
        <v>20.95</v>
      </c>
      <c r="K4076">
        <v>24.1</v>
      </c>
      <c r="L4076" t="s">
        <v>5028</v>
      </c>
      <c r="M4076">
        <v>3</v>
      </c>
      <c r="N4076">
        <v>3</v>
      </c>
      <c r="O4076">
        <v>0</v>
      </c>
    </row>
    <row r="4077" spans="1:15" x14ac:dyDescent="0.3">
      <c r="A4077" t="s">
        <v>4090</v>
      </c>
      <c r="B4077">
        <v>8</v>
      </c>
      <c r="C4077">
        <v>51</v>
      </c>
      <c r="D4077" t="s">
        <v>5016</v>
      </c>
      <c r="E4077" t="s">
        <v>5017</v>
      </c>
      <c r="F4077" t="s">
        <v>5021</v>
      </c>
      <c r="G4077">
        <v>23.86</v>
      </c>
      <c r="H4077">
        <v>3</v>
      </c>
      <c r="I4077">
        <v>4.7</v>
      </c>
      <c r="J4077">
        <v>8.81</v>
      </c>
      <c r="K4077">
        <v>31.1</v>
      </c>
      <c r="L4077" t="s">
        <v>5025</v>
      </c>
      <c r="M4077">
        <v>9</v>
      </c>
      <c r="N4077">
        <v>2</v>
      </c>
      <c r="O4077">
        <v>0</v>
      </c>
    </row>
    <row r="4078" spans="1:15" x14ac:dyDescent="0.3">
      <c r="A4078" t="s">
        <v>4091</v>
      </c>
      <c r="B4078">
        <v>11</v>
      </c>
      <c r="C4078">
        <v>43</v>
      </c>
      <c r="D4078" t="s">
        <v>5015</v>
      </c>
      <c r="E4078" t="s">
        <v>5018</v>
      </c>
      <c r="F4078" t="s">
        <v>5022</v>
      </c>
      <c r="G4078">
        <v>14.05</v>
      </c>
      <c r="H4078">
        <v>5</v>
      </c>
      <c r="I4078">
        <v>9.1999999999999993</v>
      </c>
      <c r="J4078">
        <v>11.03</v>
      </c>
      <c r="K4078">
        <v>30.5</v>
      </c>
      <c r="L4078" t="s">
        <v>5028</v>
      </c>
      <c r="M4078">
        <v>8</v>
      </c>
      <c r="N4078">
        <v>0</v>
      </c>
      <c r="O4078">
        <v>0</v>
      </c>
    </row>
    <row r="4079" spans="1:15" x14ac:dyDescent="0.3">
      <c r="A4079" t="s">
        <v>4092</v>
      </c>
      <c r="B4079">
        <v>9</v>
      </c>
      <c r="C4079">
        <v>35</v>
      </c>
      <c r="D4079" t="s">
        <v>5016</v>
      </c>
      <c r="E4079" t="s">
        <v>5019</v>
      </c>
      <c r="F4079" t="s">
        <v>5022</v>
      </c>
      <c r="G4079">
        <v>15</v>
      </c>
      <c r="H4079">
        <v>3</v>
      </c>
      <c r="I4079">
        <v>2.5</v>
      </c>
      <c r="J4079">
        <v>11.61</v>
      </c>
      <c r="K4079">
        <v>97.1</v>
      </c>
      <c r="L4079" t="s">
        <v>5025</v>
      </c>
      <c r="M4079">
        <v>4</v>
      </c>
      <c r="N4079">
        <v>0</v>
      </c>
      <c r="O4079">
        <v>0</v>
      </c>
    </row>
    <row r="4080" spans="1:15" x14ac:dyDescent="0.3">
      <c r="A4080" t="s">
        <v>4093</v>
      </c>
      <c r="B4080">
        <v>4</v>
      </c>
      <c r="C4080">
        <v>38</v>
      </c>
      <c r="D4080" t="s">
        <v>5015</v>
      </c>
      <c r="E4080" t="s">
        <v>5019</v>
      </c>
      <c r="F4080" t="s">
        <v>5024</v>
      </c>
      <c r="G4080">
        <v>24.23</v>
      </c>
      <c r="H4080">
        <v>4</v>
      </c>
      <c r="I4080">
        <v>3.2</v>
      </c>
      <c r="J4080">
        <v>7.54</v>
      </c>
      <c r="K4080">
        <v>67.900000000000006</v>
      </c>
      <c r="L4080" t="s">
        <v>5026</v>
      </c>
      <c r="M4080">
        <v>7</v>
      </c>
      <c r="N4080">
        <v>1</v>
      </c>
      <c r="O4080">
        <v>0</v>
      </c>
    </row>
    <row r="4081" spans="1:15" x14ac:dyDescent="0.3">
      <c r="A4081" t="s">
        <v>4094</v>
      </c>
      <c r="B4081">
        <v>10</v>
      </c>
      <c r="C4081">
        <v>53</v>
      </c>
      <c r="D4081" t="s">
        <v>5015</v>
      </c>
      <c r="E4081" t="s">
        <v>5018</v>
      </c>
      <c r="F4081" t="s">
        <v>5021</v>
      </c>
      <c r="G4081">
        <v>14.17</v>
      </c>
      <c r="H4081">
        <v>1</v>
      </c>
      <c r="I4081">
        <v>6.5</v>
      </c>
      <c r="J4081">
        <v>22.24</v>
      </c>
      <c r="K4081">
        <v>25</v>
      </c>
      <c r="L4081" t="s">
        <v>5029</v>
      </c>
      <c r="M4081">
        <v>8</v>
      </c>
      <c r="N4081">
        <v>3</v>
      </c>
      <c r="O4081">
        <v>0</v>
      </c>
    </row>
    <row r="4082" spans="1:15" x14ac:dyDescent="0.3">
      <c r="A4082" t="s">
        <v>4095</v>
      </c>
      <c r="B4082">
        <v>12</v>
      </c>
      <c r="C4082">
        <v>57</v>
      </c>
      <c r="D4082" t="s">
        <v>5015</v>
      </c>
      <c r="E4082" t="s">
        <v>5019</v>
      </c>
      <c r="F4082" t="s">
        <v>5022</v>
      </c>
      <c r="G4082">
        <v>15.07</v>
      </c>
      <c r="H4082">
        <v>3</v>
      </c>
      <c r="I4082">
        <v>2</v>
      </c>
      <c r="J4082">
        <v>5.5</v>
      </c>
      <c r="K4082">
        <v>53.9</v>
      </c>
      <c r="L4082" t="s">
        <v>5026</v>
      </c>
      <c r="M4082">
        <v>6</v>
      </c>
      <c r="N4082">
        <v>3</v>
      </c>
      <c r="O4082">
        <v>0</v>
      </c>
    </row>
    <row r="4083" spans="1:15" x14ac:dyDescent="0.3">
      <c r="A4083" t="s">
        <v>4096</v>
      </c>
      <c r="B4083">
        <v>10</v>
      </c>
      <c r="C4083">
        <v>69</v>
      </c>
      <c r="D4083" t="s">
        <v>5015</v>
      </c>
      <c r="E4083" t="s">
        <v>5019</v>
      </c>
      <c r="F4083" t="s">
        <v>5023</v>
      </c>
      <c r="G4083">
        <v>11.65</v>
      </c>
      <c r="H4083">
        <v>5</v>
      </c>
      <c r="I4083">
        <v>9</v>
      </c>
      <c r="J4083">
        <v>15.39</v>
      </c>
      <c r="K4083">
        <v>26.6</v>
      </c>
      <c r="L4083" t="s">
        <v>5028</v>
      </c>
      <c r="M4083">
        <v>2</v>
      </c>
      <c r="N4083">
        <v>0</v>
      </c>
      <c r="O4083">
        <v>0</v>
      </c>
    </row>
    <row r="4084" spans="1:15" x14ac:dyDescent="0.3">
      <c r="A4084" t="s">
        <v>4097</v>
      </c>
      <c r="B4084">
        <v>6</v>
      </c>
      <c r="C4084">
        <v>63</v>
      </c>
      <c r="D4084" t="s">
        <v>5015</v>
      </c>
      <c r="E4084" t="s">
        <v>5017</v>
      </c>
      <c r="F4084" t="s">
        <v>5024</v>
      </c>
      <c r="G4084">
        <v>5.63</v>
      </c>
      <c r="H4084">
        <v>3</v>
      </c>
      <c r="I4084">
        <v>1.4</v>
      </c>
      <c r="J4084">
        <v>20.91</v>
      </c>
      <c r="K4084">
        <v>64.5</v>
      </c>
      <c r="L4084" t="s">
        <v>5025</v>
      </c>
      <c r="M4084">
        <v>8</v>
      </c>
      <c r="N4084">
        <v>4</v>
      </c>
      <c r="O4084">
        <v>0</v>
      </c>
    </row>
    <row r="4085" spans="1:15" x14ac:dyDescent="0.3">
      <c r="A4085" t="s">
        <v>4098</v>
      </c>
      <c r="B4085">
        <v>1</v>
      </c>
      <c r="C4085">
        <v>61</v>
      </c>
      <c r="D4085" t="s">
        <v>5016</v>
      </c>
      <c r="E4085" t="s">
        <v>5017</v>
      </c>
      <c r="F4085" t="s">
        <v>5020</v>
      </c>
      <c r="G4085">
        <v>13.66</v>
      </c>
      <c r="H4085">
        <v>1</v>
      </c>
      <c r="I4085">
        <v>7.8</v>
      </c>
      <c r="J4085">
        <v>15.78</v>
      </c>
      <c r="K4085">
        <v>40.700000000000003</v>
      </c>
      <c r="L4085" t="s">
        <v>5025</v>
      </c>
      <c r="M4085">
        <v>3</v>
      </c>
      <c r="N4085">
        <v>3</v>
      </c>
      <c r="O4085">
        <v>0</v>
      </c>
    </row>
    <row r="4086" spans="1:15" x14ac:dyDescent="0.3">
      <c r="A4086" t="s">
        <v>4099</v>
      </c>
      <c r="B4086">
        <v>4</v>
      </c>
      <c r="C4086">
        <v>39</v>
      </c>
      <c r="D4086" t="s">
        <v>5016</v>
      </c>
      <c r="E4086" t="s">
        <v>5017</v>
      </c>
      <c r="F4086" t="s">
        <v>5024</v>
      </c>
      <c r="G4086">
        <v>18.100000000000001</v>
      </c>
      <c r="H4086">
        <v>3</v>
      </c>
      <c r="I4086">
        <v>4.4000000000000004</v>
      </c>
      <c r="J4086">
        <v>10.19</v>
      </c>
      <c r="K4086">
        <v>27.6</v>
      </c>
      <c r="L4086" t="s">
        <v>5025</v>
      </c>
      <c r="M4086">
        <v>4</v>
      </c>
      <c r="N4086">
        <v>2</v>
      </c>
      <c r="O4086">
        <v>0</v>
      </c>
    </row>
    <row r="4087" spans="1:15" x14ac:dyDescent="0.3">
      <c r="A4087" t="s">
        <v>4100</v>
      </c>
      <c r="B4087">
        <v>7</v>
      </c>
      <c r="C4087">
        <v>47</v>
      </c>
      <c r="D4087" t="s">
        <v>5015</v>
      </c>
      <c r="E4087" t="s">
        <v>5019</v>
      </c>
      <c r="F4087" t="s">
        <v>5020</v>
      </c>
      <c r="G4087">
        <v>18.8</v>
      </c>
      <c r="H4087">
        <v>5</v>
      </c>
      <c r="I4087">
        <v>1.5</v>
      </c>
      <c r="J4087">
        <v>20.190000000000001</v>
      </c>
      <c r="K4087">
        <v>31.9</v>
      </c>
      <c r="L4087" t="s">
        <v>5025</v>
      </c>
      <c r="M4087">
        <v>4</v>
      </c>
      <c r="N4087">
        <v>4</v>
      </c>
      <c r="O4087">
        <v>0</v>
      </c>
    </row>
    <row r="4088" spans="1:15" x14ac:dyDescent="0.3">
      <c r="A4088" t="s">
        <v>4101</v>
      </c>
      <c r="B4088">
        <v>12</v>
      </c>
      <c r="C4088">
        <v>67</v>
      </c>
      <c r="D4088" t="s">
        <v>5015</v>
      </c>
      <c r="E4088" t="s">
        <v>5017</v>
      </c>
      <c r="F4088" t="s">
        <v>5023</v>
      </c>
      <c r="G4088">
        <v>5.13</v>
      </c>
      <c r="H4088">
        <v>4</v>
      </c>
      <c r="I4088">
        <v>8.6</v>
      </c>
      <c r="J4088">
        <v>13.98</v>
      </c>
      <c r="K4088">
        <v>70.8</v>
      </c>
      <c r="L4088" t="s">
        <v>5029</v>
      </c>
      <c r="M4088">
        <v>7</v>
      </c>
      <c r="N4088">
        <v>1</v>
      </c>
      <c r="O4088">
        <v>0</v>
      </c>
    </row>
    <row r="4089" spans="1:15" x14ac:dyDescent="0.3">
      <c r="A4089" t="s">
        <v>4102</v>
      </c>
      <c r="B4089">
        <v>1</v>
      </c>
      <c r="C4089">
        <v>60</v>
      </c>
      <c r="D4089" t="s">
        <v>5016</v>
      </c>
      <c r="E4089" t="s">
        <v>5018</v>
      </c>
      <c r="F4089" t="s">
        <v>5020</v>
      </c>
      <c r="G4089">
        <v>21.02</v>
      </c>
      <c r="H4089">
        <v>5</v>
      </c>
      <c r="I4089">
        <v>6.8</v>
      </c>
      <c r="J4089">
        <v>6.59</v>
      </c>
      <c r="K4089">
        <v>46.7</v>
      </c>
      <c r="L4089" t="s">
        <v>5027</v>
      </c>
      <c r="M4089">
        <v>8</v>
      </c>
      <c r="N4089">
        <v>0</v>
      </c>
      <c r="O4089">
        <v>0</v>
      </c>
    </row>
    <row r="4090" spans="1:15" x14ac:dyDescent="0.3">
      <c r="A4090" t="s">
        <v>4103</v>
      </c>
      <c r="B4090">
        <v>8</v>
      </c>
      <c r="C4090">
        <v>47</v>
      </c>
      <c r="D4090" t="s">
        <v>5016</v>
      </c>
      <c r="E4090" t="s">
        <v>5017</v>
      </c>
      <c r="F4090" t="s">
        <v>5021</v>
      </c>
      <c r="G4090">
        <v>14.85</v>
      </c>
      <c r="H4090">
        <v>4</v>
      </c>
      <c r="I4090">
        <v>1.1000000000000001</v>
      </c>
      <c r="J4090">
        <v>9.9700000000000006</v>
      </c>
      <c r="K4090">
        <v>56.2</v>
      </c>
      <c r="L4090" t="s">
        <v>5026</v>
      </c>
      <c r="M4090">
        <v>9</v>
      </c>
      <c r="N4090">
        <v>0</v>
      </c>
      <c r="O4090">
        <v>0</v>
      </c>
    </row>
    <row r="4091" spans="1:15" x14ac:dyDescent="0.3">
      <c r="A4091" t="s">
        <v>4104</v>
      </c>
      <c r="B4091">
        <v>12</v>
      </c>
      <c r="C4091">
        <v>25</v>
      </c>
      <c r="D4091" t="s">
        <v>5015</v>
      </c>
      <c r="E4091" t="s">
        <v>5019</v>
      </c>
      <c r="F4091" t="s">
        <v>5020</v>
      </c>
      <c r="G4091">
        <v>15.41</v>
      </c>
      <c r="H4091">
        <v>5</v>
      </c>
      <c r="I4091">
        <v>3.4</v>
      </c>
      <c r="J4091">
        <v>16.02</v>
      </c>
      <c r="K4091">
        <v>83.9</v>
      </c>
      <c r="L4091" t="s">
        <v>5028</v>
      </c>
      <c r="M4091">
        <v>1</v>
      </c>
      <c r="N4091">
        <v>2</v>
      </c>
      <c r="O4091">
        <v>0</v>
      </c>
    </row>
    <row r="4092" spans="1:15" x14ac:dyDescent="0.3">
      <c r="A4092" t="s">
        <v>4105</v>
      </c>
      <c r="B4092">
        <v>10</v>
      </c>
      <c r="C4092">
        <v>51</v>
      </c>
      <c r="D4092" t="s">
        <v>5016</v>
      </c>
      <c r="E4092" t="s">
        <v>5018</v>
      </c>
      <c r="F4092" t="s">
        <v>5020</v>
      </c>
      <c r="G4092">
        <v>24.23</v>
      </c>
      <c r="H4092">
        <v>2</v>
      </c>
      <c r="I4092">
        <v>4.2</v>
      </c>
      <c r="J4092">
        <v>17.489999999999998</v>
      </c>
      <c r="K4092">
        <v>69</v>
      </c>
      <c r="L4092" t="s">
        <v>5025</v>
      </c>
      <c r="M4092">
        <v>1</v>
      </c>
      <c r="N4092">
        <v>2</v>
      </c>
      <c r="O4092">
        <v>0</v>
      </c>
    </row>
    <row r="4093" spans="1:15" x14ac:dyDescent="0.3">
      <c r="A4093" t="s">
        <v>4106</v>
      </c>
      <c r="B4093">
        <v>12</v>
      </c>
      <c r="C4093">
        <v>64</v>
      </c>
      <c r="D4093" t="s">
        <v>5016</v>
      </c>
      <c r="E4093" t="s">
        <v>5019</v>
      </c>
      <c r="F4093" t="s">
        <v>5024</v>
      </c>
      <c r="G4093">
        <v>10.69</v>
      </c>
      <c r="H4093">
        <v>3</v>
      </c>
      <c r="I4093">
        <v>3.9</v>
      </c>
      <c r="J4093">
        <v>15.06</v>
      </c>
      <c r="K4093">
        <v>51.6</v>
      </c>
      <c r="L4093" t="s">
        <v>5026</v>
      </c>
      <c r="M4093">
        <v>7</v>
      </c>
      <c r="N4093">
        <v>1</v>
      </c>
      <c r="O4093">
        <v>0</v>
      </c>
    </row>
    <row r="4094" spans="1:15" x14ac:dyDescent="0.3">
      <c r="A4094" t="s">
        <v>4107</v>
      </c>
      <c r="B4094">
        <v>11</v>
      </c>
      <c r="C4094">
        <v>26</v>
      </c>
      <c r="D4094" t="s">
        <v>5015</v>
      </c>
      <c r="E4094" t="s">
        <v>5019</v>
      </c>
      <c r="F4094" t="s">
        <v>5023</v>
      </c>
      <c r="G4094">
        <v>20.23</v>
      </c>
      <c r="H4094">
        <v>3</v>
      </c>
      <c r="I4094">
        <v>5.5</v>
      </c>
      <c r="J4094">
        <v>8.98</v>
      </c>
      <c r="K4094">
        <v>95.9</v>
      </c>
      <c r="L4094" t="s">
        <v>5027</v>
      </c>
      <c r="M4094">
        <v>4</v>
      </c>
      <c r="N4094">
        <v>1</v>
      </c>
      <c r="O4094">
        <v>0</v>
      </c>
    </row>
    <row r="4095" spans="1:15" x14ac:dyDescent="0.3">
      <c r="A4095" t="s">
        <v>4108</v>
      </c>
      <c r="B4095">
        <v>6</v>
      </c>
      <c r="C4095">
        <v>68</v>
      </c>
      <c r="D4095" t="s">
        <v>5016</v>
      </c>
      <c r="E4095" t="s">
        <v>5017</v>
      </c>
      <c r="F4095" t="s">
        <v>5020</v>
      </c>
      <c r="G4095">
        <v>16.5</v>
      </c>
      <c r="H4095">
        <v>1</v>
      </c>
      <c r="I4095">
        <v>5.7</v>
      </c>
      <c r="J4095">
        <v>16.059999999999999</v>
      </c>
      <c r="K4095">
        <v>29.3</v>
      </c>
      <c r="L4095" t="s">
        <v>5026</v>
      </c>
      <c r="M4095">
        <v>10</v>
      </c>
      <c r="N4095">
        <v>3</v>
      </c>
      <c r="O4095">
        <v>1</v>
      </c>
    </row>
    <row r="4096" spans="1:15" x14ac:dyDescent="0.3">
      <c r="A4096" t="s">
        <v>4109</v>
      </c>
      <c r="B4096">
        <v>5</v>
      </c>
      <c r="C4096">
        <v>37</v>
      </c>
      <c r="D4096" t="s">
        <v>5016</v>
      </c>
      <c r="E4096" t="s">
        <v>5018</v>
      </c>
      <c r="F4096" t="s">
        <v>5021</v>
      </c>
      <c r="G4096">
        <v>19.02</v>
      </c>
      <c r="H4096">
        <v>2</v>
      </c>
      <c r="I4096">
        <v>4.5999999999999996</v>
      </c>
      <c r="J4096">
        <v>10.31</v>
      </c>
      <c r="K4096">
        <v>36</v>
      </c>
      <c r="L4096" t="s">
        <v>5028</v>
      </c>
      <c r="M4096">
        <v>8</v>
      </c>
      <c r="N4096">
        <v>4</v>
      </c>
      <c r="O4096">
        <v>1</v>
      </c>
    </row>
    <row r="4097" spans="1:15" x14ac:dyDescent="0.3">
      <c r="A4097" t="s">
        <v>4110</v>
      </c>
      <c r="B4097">
        <v>10</v>
      </c>
      <c r="C4097">
        <v>57</v>
      </c>
      <c r="D4097" t="s">
        <v>5016</v>
      </c>
      <c r="E4097" t="s">
        <v>5017</v>
      </c>
      <c r="F4097" t="s">
        <v>5024</v>
      </c>
      <c r="G4097">
        <v>13.36</v>
      </c>
      <c r="H4097">
        <v>1</v>
      </c>
      <c r="I4097">
        <v>4</v>
      </c>
      <c r="J4097">
        <v>7.95</v>
      </c>
      <c r="K4097">
        <v>92</v>
      </c>
      <c r="L4097" t="s">
        <v>5025</v>
      </c>
      <c r="M4097">
        <v>5</v>
      </c>
      <c r="N4097">
        <v>0</v>
      </c>
      <c r="O4097">
        <v>0</v>
      </c>
    </row>
    <row r="4098" spans="1:15" x14ac:dyDescent="0.3">
      <c r="A4098" t="s">
        <v>4111</v>
      </c>
      <c r="B4098">
        <v>11</v>
      </c>
      <c r="C4098">
        <v>42</v>
      </c>
      <c r="D4098" t="s">
        <v>5016</v>
      </c>
      <c r="E4098" t="s">
        <v>5019</v>
      </c>
      <c r="F4098" t="s">
        <v>5023</v>
      </c>
      <c r="G4098">
        <v>10.58</v>
      </c>
      <c r="H4098">
        <v>3</v>
      </c>
      <c r="I4098">
        <v>5.5</v>
      </c>
      <c r="J4098">
        <v>23.8</v>
      </c>
      <c r="K4098">
        <v>86.8</v>
      </c>
      <c r="L4098" t="s">
        <v>5028</v>
      </c>
      <c r="M4098">
        <v>1</v>
      </c>
      <c r="N4098">
        <v>3</v>
      </c>
      <c r="O4098">
        <v>0</v>
      </c>
    </row>
    <row r="4099" spans="1:15" x14ac:dyDescent="0.3">
      <c r="A4099" t="s">
        <v>4112</v>
      </c>
      <c r="B4099">
        <v>9</v>
      </c>
      <c r="C4099">
        <v>36</v>
      </c>
      <c r="D4099" t="s">
        <v>5015</v>
      </c>
      <c r="E4099" t="s">
        <v>5018</v>
      </c>
      <c r="F4099" t="s">
        <v>5023</v>
      </c>
      <c r="G4099">
        <v>15.92</v>
      </c>
      <c r="H4099">
        <v>1</v>
      </c>
      <c r="I4099">
        <v>1.3</v>
      </c>
      <c r="J4099">
        <v>9.93</v>
      </c>
      <c r="K4099">
        <v>21.7</v>
      </c>
      <c r="L4099" t="s">
        <v>5025</v>
      </c>
      <c r="M4099">
        <v>2</v>
      </c>
      <c r="N4099">
        <v>1</v>
      </c>
      <c r="O4099">
        <v>0</v>
      </c>
    </row>
    <row r="4100" spans="1:15" x14ac:dyDescent="0.3">
      <c r="A4100" t="s">
        <v>4113</v>
      </c>
      <c r="B4100">
        <v>2</v>
      </c>
      <c r="C4100">
        <v>22</v>
      </c>
      <c r="D4100" t="s">
        <v>5016</v>
      </c>
      <c r="E4100" t="s">
        <v>5017</v>
      </c>
      <c r="F4100" t="s">
        <v>5022</v>
      </c>
      <c r="G4100">
        <v>12.5</v>
      </c>
      <c r="H4100">
        <v>4</v>
      </c>
      <c r="I4100">
        <v>6.8</v>
      </c>
      <c r="J4100">
        <v>10.38</v>
      </c>
      <c r="K4100">
        <v>93.7</v>
      </c>
      <c r="L4100" t="s">
        <v>5027</v>
      </c>
      <c r="M4100">
        <v>10</v>
      </c>
      <c r="N4100">
        <v>2</v>
      </c>
      <c r="O4100">
        <v>0</v>
      </c>
    </row>
    <row r="4101" spans="1:15" x14ac:dyDescent="0.3">
      <c r="A4101" t="s">
        <v>4114</v>
      </c>
      <c r="B4101">
        <v>5</v>
      </c>
      <c r="C4101">
        <v>28</v>
      </c>
      <c r="D4101" t="s">
        <v>5015</v>
      </c>
      <c r="E4101" t="s">
        <v>5017</v>
      </c>
      <c r="F4101" t="s">
        <v>5021</v>
      </c>
      <c r="G4101">
        <v>9.4600000000000009</v>
      </c>
      <c r="H4101">
        <v>2</v>
      </c>
      <c r="I4101">
        <v>6.5</v>
      </c>
      <c r="J4101">
        <v>22.73</v>
      </c>
      <c r="K4101">
        <v>10.9</v>
      </c>
      <c r="L4101" t="s">
        <v>5028</v>
      </c>
      <c r="M4101">
        <v>3</v>
      </c>
      <c r="N4101">
        <v>3</v>
      </c>
      <c r="O4101">
        <v>0</v>
      </c>
    </row>
    <row r="4102" spans="1:15" x14ac:dyDescent="0.3">
      <c r="A4102" t="s">
        <v>4115</v>
      </c>
      <c r="B4102">
        <v>6</v>
      </c>
      <c r="C4102">
        <v>32</v>
      </c>
      <c r="D4102" t="s">
        <v>5016</v>
      </c>
      <c r="E4102" t="s">
        <v>5018</v>
      </c>
      <c r="F4102" t="s">
        <v>5024</v>
      </c>
      <c r="G4102">
        <v>21.78</v>
      </c>
      <c r="H4102">
        <v>5</v>
      </c>
      <c r="I4102">
        <v>3.5</v>
      </c>
      <c r="J4102">
        <v>6.14</v>
      </c>
      <c r="K4102">
        <v>84</v>
      </c>
      <c r="L4102" t="s">
        <v>5026</v>
      </c>
      <c r="M4102">
        <v>2</v>
      </c>
      <c r="N4102">
        <v>2</v>
      </c>
      <c r="O4102">
        <v>1</v>
      </c>
    </row>
    <row r="4103" spans="1:15" x14ac:dyDescent="0.3">
      <c r="A4103" t="s">
        <v>4116</v>
      </c>
      <c r="B4103">
        <v>7</v>
      </c>
      <c r="C4103">
        <v>25</v>
      </c>
      <c r="D4103" t="s">
        <v>5015</v>
      </c>
      <c r="E4103" t="s">
        <v>5019</v>
      </c>
      <c r="F4103" t="s">
        <v>5024</v>
      </c>
      <c r="G4103">
        <v>14.52</v>
      </c>
      <c r="H4103">
        <v>4</v>
      </c>
      <c r="I4103">
        <v>2.6</v>
      </c>
      <c r="J4103">
        <v>15.86</v>
      </c>
      <c r="K4103">
        <v>35.1</v>
      </c>
      <c r="L4103" t="s">
        <v>5027</v>
      </c>
      <c r="M4103">
        <v>9</v>
      </c>
      <c r="N4103">
        <v>4</v>
      </c>
      <c r="O4103">
        <v>1</v>
      </c>
    </row>
    <row r="4104" spans="1:15" x14ac:dyDescent="0.3">
      <c r="A4104" t="s">
        <v>4117</v>
      </c>
      <c r="B4104">
        <v>5</v>
      </c>
      <c r="C4104">
        <v>36</v>
      </c>
      <c r="D4104" t="s">
        <v>5015</v>
      </c>
      <c r="E4104" t="s">
        <v>5018</v>
      </c>
      <c r="F4104" t="s">
        <v>5021</v>
      </c>
      <c r="G4104">
        <v>21.95</v>
      </c>
      <c r="H4104">
        <v>5</v>
      </c>
      <c r="I4104">
        <v>1.7</v>
      </c>
      <c r="J4104">
        <v>20.239999999999998</v>
      </c>
      <c r="K4104">
        <v>27</v>
      </c>
      <c r="L4104" t="s">
        <v>5028</v>
      </c>
      <c r="M4104">
        <v>7</v>
      </c>
      <c r="N4104">
        <v>2</v>
      </c>
      <c r="O4104">
        <v>0</v>
      </c>
    </row>
    <row r="4105" spans="1:15" x14ac:dyDescent="0.3">
      <c r="A4105" t="s">
        <v>4118</v>
      </c>
      <c r="B4105">
        <v>9</v>
      </c>
      <c r="C4105">
        <v>40</v>
      </c>
      <c r="D4105" t="s">
        <v>5016</v>
      </c>
      <c r="E4105" t="s">
        <v>5019</v>
      </c>
      <c r="F4105" t="s">
        <v>5023</v>
      </c>
      <c r="G4105">
        <v>14.48</v>
      </c>
      <c r="H4105">
        <v>1</v>
      </c>
      <c r="I4105">
        <v>6.3</v>
      </c>
      <c r="J4105">
        <v>9.02</v>
      </c>
      <c r="K4105">
        <v>50.4</v>
      </c>
      <c r="L4105" t="s">
        <v>5025</v>
      </c>
      <c r="M4105">
        <v>2</v>
      </c>
      <c r="N4105">
        <v>0</v>
      </c>
      <c r="O4105">
        <v>1</v>
      </c>
    </row>
    <row r="4106" spans="1:15" x14ac:dyDescent="0.3">
      <c r="A4106" t="s">
        <v>4119</v>
      </c>
      <c r="B4106">
        <v>1</v>
      </c>
      <c r="C4106">
        <v>44</v>
      </c>
      <c r="D4106" t="s">
        <v>5015</v>
      </c>
      <c r="E4106" t="s">
        <v>5018</v>
      </c>
      <c r="F4106" t="s">
        <v>5020</v>
      </c>
      <c r="G4106">
        <v>16.14</v>
      </c>
      <c r="H4106">
        <v>3</v>
      </c>
      <c r="I4106">
        <v>6.1</v>
      </c>
      <c r="J4106">
        <v>21.57</v>
      </c>
      <c r="K4106">
        <v>90.7</v>
      </c>
      <c r="L4106" t="s">
        <v>5027</v>
      </c>
      <c r="M4106">
        <v>7</v>
      </c>
      <c r="N4106">
        <v>4</v>
      </c>
      <c r="O4106">
        <v>0</v>
      </c>
    </row>
    <row r="4107" spans="1:15" x14ac:dyDescent="0.3">
      <c r="A4107" t="s">
        <v>4120</v>
      </c>
      <c r="B4107">
        <v>7</v>
      </c>
      <c r="C4107">
        <v>57</v>
      </c>
      <c r="D4107" t="s">
        <v>5015</v>
      </c>
      <c r="E4107" t="s">
        <v>5017</v>
      </c>
      <c r="F4107" t="s">
        <v>5021</v>
      </c>
      <c r="G4107">
        <v>24.91</v>
      </c>
      <c r="H4107">
        <v>4</v>
      </c>
      <c r="I4107">
        <v>5.8</v>
      </c>
      <c r="J4107">
        <v>19.93</v>
      </c>
      <c r="K4107">
        <v>80.7</v>
      </c>
      <c r="L4107" t="s">
        <v>5025</v>
      </c>
      <c r="M4107">
        <v>10</v>
      </c>
      <c r="N4107">
        <v>2</v>
      </c>
      <c r="O4107">
        <v>0</v>
      </c>
    </row>
    <row r="4108" spans="1:15" x14ac:dyDescent="0.3">
      <c r="A4108" t="s">
        <v>4121</v>
      </c>
      <c r="B4108">
        <v>10</v>
      </c>
      <c r="C4108">
        <v>49</v>
      </c>
      <c r="D4108" t="s">
        <v>5015</v>
      </c>
      <c r="E4108" t="s">
        <v>5019</v>
      </c>
      <c r="F4108" t="s">
        <v>5024</v>
      </c>
      <c r="G4108">
        <v>24.03</v>
      </c>
      <c r="H4108">
        <v>2</v>
      </c>
      <c r="I4108">
        <v>9.9</v>
      </c>
      <c r="J4108">
        <v>13.69</v>
      </c>
      <c r="K4108">
        <v>97</v>
      </c>
      <c r="L4108" t="s">
        <v>5029</v>
      </c>
      <c r="M4108">
        <v>1</v>
      </c>
      <c r="N4108">
        <v>3</v>
      </c>
      <c r="O4108">
        <v>0</v>
      </c>
    </row>
    <row r="4109" spans="1:15" x14ac:dyDescent="0.3">
      <c r="A4109" t="s">
        <v>4122</v>
      </c>
      <c r="B4109">
        <v>7</v>
      </c>
      <c r="C4109">
        <v>43</v>
      </c>
      <c r="D4109" t="s">
        <v>5015</v>
      </c>
      <c r="E4109" t="s">
        <v>5017</v>
      </c>
      <c r="F4109" t="s">
        <v>5021</v>
      </c>
      <c r="G4109">
        <v>10.43</v>
      </c>
      <c r="H4109">
        <v>5</v>
      </c>
      <c r="I4109">
        <v>5.8</v>
      </c>
      <c r="J4109">
        <v>5.61</v>
      </c>
      <c r="K4109">
        <v>58.7</v>
      </c>
      <c r="L4109" t="s">
        <v>5026</v>
      </c>
      <c r="M4109">
        <v>5</v>
      </c>
      <c r="N4109">
        <v>0</v>
      </c>
      <c r="O4109">
        <v>0</v>
      </c>
    </row>
    <row r="4110" spans="1:15" x14ac:dyDescent="0.3">
      <c r="A4110" t="s">
        <v>4123</v>
      </c>
      <c r="B4110">
        <v>4</v>
      </c>
      <c r="C4110">
        <v>44</v>
      </c>
      <c r="D4110" t="s">
        <v>5015</v>
      </c>
      <c r="E4110" t="s">
        <v>5019</v>
      </c>
      <c r="F4110" t="s">
        <v>5023</v>
      </c>
      <c r="G4110">
        <v>22.37</v>
      </c>
      <c r="H4110">
        <v>4</v>
      </c>
      <c r="I4110">
        <v>7.5</v>
      </c>
      <c r="J4110">
        <v>24.34</v>
      </c>
      <c r="K4110">
        <v>56</v>
      </c>
      <c r="L4110" t="s">
        <v>5025</v>
      </c>
      <c r="M4110">
        <v>5</v>
      </c>
      <c r="N4110">
        <v>0</v>
      </c>
      <c r="O4110">
        <v>1</v>
      </c>
    </row>
    <row r="4111" spans="1:15" x14ac:dyDescent="0.3">
      <c r="A4111" t="s">
        <v>4124</v>
      </c>
      <c r="B4111">
        <v>9</v>
      </c>
      <c r="C4111">
        <v>36</v>
      </c>
      <c r="D4111" t="s">
        <v>5016</v>
      </c>
      <c r="E4111" t="s">
        <v>5018</v>
      </c>
      <c r="F4111" t="s">
        <v>5022</v>
      </c>
      <c r="G4111">
        <v>12.81</v>
      </c>
      <c r="H4111">
        <v>3</v>
      </c>
      <c r="I4111">
        <v>2</v>
      </c>
      <c r="J4111">
        <v>16.73</v>
      </c>
      <c r="K4111">
        <v>11.2</v>
      </c>
      <c r="L4111" t="s">
        <v>5028</v>
      </c>
      <c r="M4111">
        <v>9</v>
      </c>
      <c r="N4111">
        <v>1</v>
      </c>
      <c r="O4111">
        <v>0</v>
      </c>
    </row>
    <row r="4112" spans="1:15" x14ac:dyDescent="0.3">
      <c r="A4112" t="s">
        <v>4125</v>
      </c>
      <c r="B4112">
        <v>12</v>
      </c>
      <c r="C4112">
        <v>67</v>
      </c>
      <c r="D4112" t="s">
        <v>5015</v>
      </c>
      <c r="E4112" t="s">
        <v>5017</v>
      </c>
      <c r="F4112" t="s">
        <v>5022</v>
      </c>
      <c r="G4112">
        <v>6.42</v>
      </c>
      <c r="H4112">
        <v>2</v>
      </c>
      <c r="I4112">
        <v>3.7</v>
      </c>
      <c r="J4112">
        <v>14.38</v>
      </c>
      <c r="K4112">
        <v>26.3</v>
      </c>
      <c r="L4112" t="s">
        <v>5029</v>
      </c>
      <c r="M4112">
        <v>4</v>
      </c>
      <c r="N4112">
        <v>1</v>
      </c>
      <c r="O4112">
        <v>0</v>
      </c>
    </row>
    <row r="4113" spans="1:15" x14ac:dyDescent="0.3">
      <c r="A4113" t="s">
        <v>4126</v>
      </c>
      <c r="B4113">
        <v>11</v>
      </c>
      <c r="C4113">
        <v>59</v>
      </c>
      <c r="D4113" t="s">
        <v>5015</v>
      </c>
      <c r="E4113" t="s">
        <v>5018</v>
      </c>
      <c r="F4113" t="s">
        <v>5020</v>
      </c>
      <c r="G4113">
        <v>16.52</v>
      </c>
      <c r="H4113">
        <v>2</v>
      </c>
      <c r="I4113">
        <v>3.5</v>
      </c>
      <c r="J4113">
        <v>22.48</v>
      </c>
      <c r="K4113">
        <v>54.8</v>
      </c>
      <c r="L4113" t="s">
        <v>5027</v>
      </c>
      <c r="M4113">
        <v>4</v>
      </c>
      <c r="N4113">
        <v>3</v>
      </c>
      <c r="O4113">
        <v>1</v>
      </c>
    </row>
    <row r="4114" spans="1:15" x14ac:dyDescent="0.3">
      <c r="A4114" t="s">
        <v>4127</v>
      </c>
      <c r="B4114">
        <v>5</v>
      </c>
      <c r="C4114">
        <v>46</v>
      </c>
      <c r="D4114" t="s">
        <v>5016</v>
      </c>
      <c r="E4114" t="s">
        <v>5019</v>
      </c>
      <c r="F4114" t="s">
        <v>5020</v>
      </c>
      <c r="G4114">
        <v>24.54</v>
      </c>
      <c r="H4114">
        <v>5</v>
      </c>
      <c r="I4114">
        <v>6.2</v>
      </c>
      <c r="J4114">
        <v>12.27</v>
      </c>
      <c r="K4114">
        <v>77.7</v>
      </c>
      <c r="L4114" t="s">
        <v>5028</v>
      </c>
      <c r="M4114">
        <v>6</v>
      </c>
      <c r="N4114">
        <v>1</v>
      </c>
      <c r="O4114">
        <v>0</v>
      </c>
    </row>
    <row r="4115" spans="1:15" x14ac:dyDescent="0.3">
      <c r="A4115" t="s">
        <v>4128</v>
      </c>
      <c r="B4115">
        <v>4</v>
      </c>
      <c r="C4115">
        <v>56</v>
      </c>
      <c r="D4115" t="s">
        <v>5016</v>
      </c>
      <c r="E4115" t="s">
        <v>5019</v>
      </c>
      <c r="F4115" t="s">
        <v>5023</v>
      </c>
      <c r="G4115">
        <v>24.49</v>
      </c>
      <c r="H4115">
        <v>4</v>
      </c>
      <c r="I4115">
        <v>4</v>
      </c>
      <c r="J4115">
        <v>15.4</v>
      </c>
      <c r="K4115">
        <v>84</v>
      </c>
      <c r="L4115" t="s">
        <v>5027</v>
      </c>
      <c r="M4115">
        <v>11</v>
      </c>
      <c r="N4115">
        <v>2</v>
      </c>
      <c r="O4115">
        <v>0</v>
      </c>
    </row>
    <row r="4116" spans="1:15" x14ac:dyDescent="0.3">
      <c r="A4116" t="s">
        <v>4129</v>
      </c>
      <c r="B4116">
        <v>7</v>
      </c>
      <c r="C4116">
        <v>58</v>
      </c>
      <c r="D4116" t="s">
        <v>5015</v>
      </c>
      <c r="E4116" t="s">
        <v>5017</v>
      </c>
      <c r="F4116" t="s">
        <v>5020</v>
      </c>
      <c r="G4116">
        <v>7.53</v>
      </c>
      <c r="H4116">
        <v>4</v>
      </c>
      <c r="I4116">
        <v>6.8</v>
      </c>
      <c r="J4116">
        <v>21.89</v>
      </c>
      <c r="K4116">
        <v>35.5</v>
      </c>
      <c r="L4116" t="s">
        <v>5029</v>
      </c>
      <c r="M4116">
        <v>2</v>
      </c>
      <c r="N4116">
        <v>1</v>
      </c>
      <c r="O4116">
        <v>0</v>
      </c>
    </row>
    <row r="4117" spans="1:15" x14ac:dyDescent="0.3">
      <c r="A4117" t="s">
        <v>4130</v>
      </c>
      <c r="B4117">
        <v>4</v>
      </c>
      <c r="C4117">
        <v>50</v>
      </c>
      <c r="D4117" t="s">
        <v>5016</v>
      </c>
      <c r="E4117" t="s">
        <v>5017</v>
      </c>
      <c r="F4117" t="s">
        <v>5022</v>
      </c>
      <c r="G4117">
        <v>20.420000000000002</v>
      </c>
      <c r="H4117">
        <v>2</v>
      </c>
      <c r="I4117">
        <v>7.2</v>
      </c>
      <c r="J4117">
        <v>11.65</v>
      </c>
      <c r="K4117">
        <v>74.099999999999994</v>
      </c>
      <c r="L4117" t="s">
        <v>5028</v>
      </c>
      <c r="M4117">
        <v>10</v>
      </c>
      <c r="N4117">
        <v>0</v>
      </c>
      <c r="O4117">
        <v>1</v>
      </c>
    </row>
    <row r="4118" spans="1:15" x14ac:dyDescent="0.3">
      <c r="A4118" t="s">
        <v>4131</v>
      </c>
      <c r="B4118">
        <v>3</v>
      </c>
      <c r="C4118">
        <v>36</v>
      </c>
      <c r="D4118" t="s">
        <v>5016</v>
      </c>
      <c r="E4118" t="s">
        <v>5018</v>
      </c>
      <c r="F4118" t="s">
        <v>5023</v>
      </c>
      <c r="G4118">
        <v>21.06</v>
      </c>
      <c r="H4118">
        <v>1</v>
      </c>
      <c r="I4118">
        <v>1.3</v>
      </c>
      <c r="J4118">
        <v>19.989999999999998</v>
      </c>
      <c r="K4118">
        <v>84.6</v>
      </c>
      <c r="L4118" t="s">
        <v>5025</v>
      </c>
      <c r="M4118">
        <v>6</v>
      </c>
      <c r="N4118">
        <v>3</v>
      </c>
      <c r="O4118">
        <v>1</v>
      </c>
    </row>
    <row r="4119" spans="1:15" x14ac:dyDescent="0.3">
      <c r="A4119" t="s">
        <v>4132</v>
      </c>
      <c r="B4119">
        <v>9</v>
      </c>
      <c r="C4119">
        <v>54</v>
      </c>
      <c r="D4119" t="s">
        <v>5016</v>
      </c>
      <c r="E4119" t="s">
        <v>5018</v>
      </c>
      <c r="F4119" t="s">
        <v>5023</v>
      </c>
      <c r="G4119">
        <v>12.37</v>
      </c>
      <c r="H4119">
        <v>2</v>
      </c>
      <c r="I4119">
        <v>6.8</v>
      </c>
      <c r="J4119">
        <v>8.64</v>
      </c>
      <c r="K4119">
        <v>43.7</v>
      </c>
      <c r="L4119" t="s">
        <v>5028</v>
      </c>
      <c r="M4119">
        <v>7</v>
      </c>
      <c r="N4119">
        <v>2</v>
      </c>
      <c r="O4119">
        <v>1</v>
      </c>
    </row>
    <row r="4120" spans="1:15" x14ac:dyDescent="0.3">
      <c r="A4120" t="s">
        <v>4133</v>
      </c>
      <c r="B4120">
        <v>11</v>
      </c>
      <c r="C4120">
        <v>36</v>
      </c>
      <c r="D4120" t="s">
        <v>5016</v>
      </c>
      <c r="E4120" t="s">
        <v>5019</v>
      </c>
      <c r="F4120" t="s">
        <v>5023</v>
      </c>
      <c r="G4120">
        <v>18.170000000000002</v>
      </c>
      <c r="H4120">
        <v>3</v>
      </c>
      <c r="I4120">
        <v>2.1</v>
      </c>
      <c r="J4120">
        <v>18.45</v>
      </c>
      <c r="K4120">
        <v>72.599999999999994</v>
      </c>
      <c r="L4120" t="s">
        <v>5026</v>
      </c>
      <c r="M4120">
        <v>4</v>
      </c>
      <c r="N4120">
        <v>0</v>
      </c>
      <c r="O4120">
        <v>0</v>
      </c>
    </row>
    <row r="4121" spans="1:15" x14ac:dyDescent="0.3">
      <c r="A4121" t="s">
        <v>4134</v>
      </c>
      <c r="B4121">
        <v>8</v>
      </c>
      <c r="C4121">
        <v>50</v>
      </c>
      <c r="D4121" t="s">
        <v>5016</v>
      </c>
      <c r="E4121" t="s">
        <v>5017</v>
      </c>
      <c r="F4121" t="s">
        <v>5021</v>
      </c>
      <c r="G4121">
        <v>14.76</v>
      </c>
      <c r="H4121">
        <v>4</v>
      </c>
      <c r="I4121">
        <v>5.2</v>
      </c>
      <c r="J4121">
        <v>14.23</v>
      </c>
      <c r="K4121">
        <v>49.4</v>
      </c>
      <c r="L4121" t="s">
        <v>5025</v>
      </c>
      <c r="M4121">
        <v>10</v>
      </c>
      <c r="N4121">
        <v>0</v>
      </c>
      <c r="O4121">
        <v>0</v>
      </c>
    </row>
    <row r="4122" spans="1:15" x14ac:dyDescent="0.3">
      <c r="A4122" t="s">
        <v>4135</v>
      </c>
      <c r="B4122">
        <v>1</v>
      </c>
      <c r="C4122">
        <v>64</v>
      </c>
      <c r="D4122" t="s">
        <v>5016</v>
      </c>
      <c r="E4122" t="s">
        <v>5019</v>
      </c>
      <c r="F4122" t="s">
        <v>5020</v>
      </c>
      <c r="G4122">
        <v>9.56</v>
      </c>
      <c r="H4122">
        <v>5</v>
      </c>
      <c r="I4122">
        <v>7.5</v>
      </c>
      <c r="J4122">
        <v>6.63</v>
      </c>
      <c r="K4122">
        <v>98.7</v>
      </c>
      <c r="L4122" t="s">
        <v>5026</v>
      </c>
      <c r="M4122">
        <v>9</v>
      </c>
      <c r="N4122">
        <v>4</v>
      </c>
      <c r="O4122">
        <v>0</v>
      </c>
    </row>
    <row r="4123" spans="1:15" x14ac:dyDescent="0.3">
      <c r="A4123" t="s">
        <v>4136</v>
      </c>
      <c r="B4123">
        <v>7</v>
      </c>
      <c r="C4123">
        <v>33</v>
      </c>
      <c r="D4123" t="s">
        <v>5015</v>
      </c>
      <c r="E4123" t="s">
        <v>5018</v>
      </c>
      <c r="F4123" t="s">
        <v>5024</v>
      </c>
      <c r="G4123">
        <v>20.23</v>
      </c>
      <c r="H4123">
        <v>4</v>
      </c>
      <c r="I4123">
        <v>7.3</v>
      </c>
      <c r="J4123">
        <v>5.99</v>
      </c>
      <c r="K4123">
        <v>10.6</v>
      </c>
      <c r="L4123" t="s">
        <v>5028</v>
      </c>
      <c r="M4123">
        <v>5</v>
      </c>
      <c r="N4123">
        <v>1</v>
      </c>
      <c r="O4123">
        <v>0</v>
      </c>
    </row>
    <row r="4124" spans="1:15" x14ac:dyDescent="0.3">
      <c r="A4124" t="s">
        <v>4137</v>
      </c>
      <c r="B4124">
        <v>9</v>
      </c>
      <c r="C4124">
        <v>40</v>
      </c>
      <c r="D4124" t="s">
        <v>5015</v>
      </c>
      <c r="E4124" t="s">
        <v>5019</v>
      </c>
      <c r="F4124" t="s">
        <v>5022</v>
      </c>
      <c r="G4124">
        <v>10.26</v>
      </c>
      <c r="H4124">
        <v>2</v>
      </c>
      <c r="I4124">
        <v>3.7</v>
      </c>
      <c r="J4124">
        <v>13.07</v>
      </c>
      <c r="K4124">
        <v>47.3</v>
      </c>
      <c r="L4124" t="s">
        <v>5028</v>
      </c>
      <c r="M4124">
        <v>3</v>
      </c>
      <c r="N4124">
        <v>2</v>
      </c>
      <c r="O4124">
        <v>0</v>
      </c>
    </row>
    <row r="4125" spans="1:15" x14ac:dyDescent="0.3">
      <c r="A4125" t="s">
        <v>4138</v>
      </c>
      <c r="B4125">
        <v>8</v>
      </c>
      <c r="C4125">
        <v>24</v>
      </c>
      <c r="D4125" t="s">
        <v>5016</v>
      </c>
      <c r="E4125" t="s">
        <v>5018</v>
      </c>
      <c r="F4125" t="s">
        <v>5020</v>
      </c>
      <c r="G4125">
        <v>11.81</v>
      </c>
      <c r="H4125">
        <v>3</v>
      </c>
      <c r="I4125">
        <v>3.5</v>
      </c>
      <c r="J4125">
        <v>18.64</v>
      </c>
      <c r="K4125">
        <v>33.700000000000003</v>
      </c>
      <c r="L4125" t="s">
        <v>5027</v>
      </c>
      <c r="M4125">
        <v>9</v>
      </c>
      <c r="N4125">
        <v>3</v>
      </c>
      <c r="O4125">
        <v>0</v>
      </c>
    </row>
    <row r="4126" spans="1:15" x14ac:dyDescent="0.3">
      <c r="A4126" t="s">
        <v>4139</v>
      </c>
      <c r="B4126">
        <v>8</v>
      </c>
      <c r="C4126">
        <v>43</v>
      </c>
      <c r="D4126" t="s">
        <v>5016</v>
      </c>
      <c r="E4126" t="s">
        <v>5018</v>
      </c>
      <c r="F4126" t="s">
        <v>5022</v>
      </c>
      <c r="G4126">
        <v>8.8000000000000007</v>
      </c>
      <c r="H4126">
        <v>1</v>
      </c>
      <c r="I4126">
        <v>5</v>
      </c>
      <c r="J4126">
        <v>16.27</v>
      </c>
      <c r="K4126">
        <v>86.5</v>
      </c>
      <c r="L4126" t="s">
        <v>5028</v>
      </c>
      <c r="M4126">
        <v>1</v>
      </c>
      <c r="N4126">
        <v>3</v>
      </c>
      <c r="O4126">
        <v>0</v>
      </c>
    </row>
    <row r="4127" spans="1:15" x14ac:dyDescent="0.3">
      <c r="A4127" t="s">
        <v>4140</v>
      </c>
      <c r="B4127">
        <v>6</v>
      </c>
      <c r="C4127">
        <v>49</v>
      </c>
      <c r="D4127" t="s">
        <v>5015</v>
      </c>
      <c r="E4127" t="s">
        <v>5019</v>
      </c>
      <c r="F4127" t="s">
        <v>5020</v>
      </c>
      <c r="G4127">
        <v>19.39</v>
      </c>
      <c r="H4127">
        <v>4</v>
      </c>
      <c r="I4127">
        <v>2.7</v>
      </c>
      <c r="J4127">
        <v>21.8</v>
      </c>
      <c r="K4127">
        <v>35.799999999999997</v>
      </c>
      <c r="L4127" t="s">
        <v>5025</v>
      </c>
      <c r="M4127">
        <v>8</v>
      </c>
      <c r="N4127">
        <v>3</v>
      </c>
      <c r="O4127">
        <v>0</v>
      </c>
    </row>
    <row r="4128" spans="1:15" x14ac:dyDescent="0.3">
      <c r="A4128" t="s">
        <v>4141</v>
      </c>
      <c r="B4128">
        <v>11</v>
      </c>
      <c r="C4128">
        <v>29</v>
      </c>
      <c r="D4128" t="s">
        <v>5016</v>
      </c>
      <c r="E4128" t="s">
        <v>5018</v>
      </c>
      <c r="F4128" t="s">
        <v>5024</v>
      </c>
      <c r="G4128">
        <v>14.17</v>
      </c>
      <c r="H4128">
        <v>2</v>
      </c>
      <c r="I4128">
        <v>9.8000000000000007</v>
      </c>
      <c r="J4128">
        <v>11.57</v>
      </c>
      <c r="K4128">
        <v>58.9</v>
      </c>
      <c r="L4128" t="s">
        <v>5026</v>
      </c>
      <c r="M4128">
        <v>1</v>
      </c>
      <c r="N4128">
        <v>4</v>
      </c>
      <c r="O4128">
        <v>0</v>
      </c>
    </row>
    <row r="4129" spans="1:15" x14ac:dyDescent="0.3">
      <c r="A4129" t="s">
        <v>4142</v>
      </c>
      <c r="B4129">
        <v>4</v>
      </c>
      <c r="C4129">
        <v>25</v>
      </c>
      <c r="D4129" t="s">
        <v>5015</v>
      </c>
      <c r="E4129" t="s">
        <v>5019</v>
      </c>
      <c r="F4129" t="s">
        <v>5022</v>
      </c>
      <c r="G4129">
        <v>13.87</v>
      </c>
      <c r="H4129">
        <v>2</v>
      </c>
      <c r="I4129">
        <v>4.0999999999999996</v>
      </c>
      <c r="J4129">
        <v>21.56</v>
      </c>
      <c r="K4129">
        <v>76.599999999999994</v>
      </c>
      <c r="L4129" t="s">
        <v>5029</v>
      </c>
      <c r="M4129">
        <v>10</v>
      </c>
      <c r="N4129">
        <v>2</v>
      </c>
      <c r="O4129">
        <v>0</v>
      </c>
    </row>
    <row r="4130" spans="1:15" x14ac:dyDescent="0.3">
      <c r="A4130" t="s">
        <v>4143</v>
      </c>
      <c r="B4130">
        <v>8</v>
      </c>
      <c r="C4130">
        <v>22</v>
      </c>
      <c r="D4130" t="s">
        <v>5016</v>
      </c>
      <c r="E4130" t="s">
        <v>5019</v>
      </c>
      <c r="F4130" t="s">
        <v>5024</v>
      </c>
      <c r="G4130">
        <v>17.09</v>
      </c>
      <c r="H4130">
        <v>2</v>
      </c>
      <c r="I4130">
        <v>9.3000000000000007</v>
      </c>
      <c r="J4130">
        <v>3.81</v>
      </c>
      <c r="K4130">
        <v>54.8</v>
      </c>
      <c r="L4130" t="s">
        <v>5026</v>
      </c>
      <c r="M4130">
        <v>8</v>
      </c>
      <c r="N4130">
        <v>0</v>
      </c>
      <c r="O4130">
        <v>1</v>
      </c>
    </row>
    <row r="4131" spans="1:15" x14ac:dyDescent="0.3">
      <c r="A4131" t="s">
        <v>4144</v>
      </c>
      <c r="B4131">
        <v>3</v>
      </c>
      <c r="C4131">
        <v>59</v>
      </c>
      <c r="D4131" t="s">
        <v>5015</v>
      </c>
      <c r="E4131" t="s">
        <v>5018</v>
      </c>
      <c r="F4131" t="s">
        <v>5022</v>
      </c>
      <c r="G4131">
        <v>8.15</v>
      </c>
      <c r="H4131">
        <v>3</v>
      </c>
      <c r="I4131">
        <v>9.1999999999999993</v>
      </c>
      <c r="J4131">
        <v>11.05</v>
      </c>
      <c r="K4131">
        <v>46.9</v>
      </c>
      <c r="L4131" t="s">
        <v>5027</v>
      </c>
      <c r="M4131">
        <v>5</v>
      </c>
      <c r="N4131">
        <v>4</v>
      </c>
      <c r="O4131">
        <v>0</v>
      </c>
    </row>
    <row r="4132" spans="1:15" x14ac:dyDescent="0.3">
      <c r="A4132" t="s">
        <v>4145</v>
      </c>
      <c r="B4132">
        <v>9</v>
      </c>
      <c r="C4132">
        <v>45</v>
      </c>
      <c r="D4132" t="s">
        <v>5015</v>
      </c>
      <c r="E4132" t="s">
        <v>5018</v>
      </c>
      <c r="F4132" t="s">
        <v>5021</v>
      </c>
      <c r="G4132">
        <v>22.96</v>
      </c>
      <c r="H4132">
        <v>2</v>
      </c>
      <c r="I4132">
        <v>4.3</v>
      </c>
      <c r="J4132">
        <v>4.6100000000000003</v>
      </c>
      <c r="K4132">
        <v>13.8</v>
      </c>
      <c r="L4132" t="s">
        <v>5029</v>
      </c>
      <c r="M4132">
        <v>7</v>
      </c>
      <c r="N4132">
        <v>1</v>
      </c>
      <c r="O4132">
        <v>0</v>
      </c>
    </row>
    <row r="4133" spans="1:15" x14ac:dyDescent="0.3">
      <c r="A4133" t="s">
        <v>4146</v>
      </c>
      <c r="B4133">
        <v>2</v>
      </c>
      <c r="C4133">
        <v>22</v>
      </c>
      <c r="D4133" t="s">
        <v>5016</v>
      </c>
      <c r="E4133" t="s">
        <v>5017</v>
      </c>
      <c r="F4133" t="s">
        <v>5021</v>
      </c>
      <c r="G4133">
        <v>14.3</v>
      </c>
      <c r="H4133">
        <v>2</v>
      </c>
      <c r="I4133">
        <v>3.3</v>
      </c>
      <c r="J4133">
        <v>23.22</v>
      </c>
      <c r="K4133">
        <v>12.1</v>
      </c>
      <c r="L4133" t="s">
        <v>5029</v>
      </c>
      <c r="M4133">
        <v>8</v>
      </c>
      <c r="N4133">
        <v>0</v>
      </c>
      <c r="O4133">
        <v>1</v>
      </c>
    </row>
    <row r="4134" spans="1:15" x14ac:dyDescent="0.3">
      <c r="A4134" t="s">
        <v>4147</v>
      </c>
      <c r="B4134">
        <v>2</v>
      </c>
      <c r="C4134">
        <v>66</v>
      </c>
      <c r="D4134" t="s">
        <v>5016</v>
      </c>
      <c r="E4134" t="s">
        <v>5017</v>
      </c>
      <c r="F4134" t="s">
        <v>5022</v>
      </c>
      <c r="G4134">
        <v>12.33</v>
      </c>
      <c r="H4134">
        <v>2</v>
      </c>
      <c r="I4134">
        <v>7.9</v>
      </c>
      <c r="J4134">
        <v>13.46</v>
      </c>
      <c r="K4134">
        <v>96.2</v>
      </c>
      <c r="L4134" t="s">
        <v>5028</v>
      </c>
      <c r="M4134">
        <v>11</v>
      </c>
      <c r="N4134">
        <v>3</v>
      </c>
      <c r="O4134">
        <v>0</v>
      </c>
    </row>
    <row r="4135" spans="1:15" x14ac:dyDescent="0.3">
      <c r="A4135" t="s">
        <v>4148</v>
      </c>
      <c r="B4135">
        <v>12</v>
      </c>
      <c r="C4135">
        <v>43</v>
      </c>
      <c r="D4135" t="s">
        <v>5016</v>
      </c>
      <c r="E4135" t="s">
        <v>5017</v>
      </c>
      <c r="F4135" t="s">
        <v>5022</v>
      </c>
      <c r="G4135">
        <v>7.53</v>
      </c>
      <c r="H4135">
        <v>4</v>
      </c>
      <c r="I4135">
        <v>3.1</v>
      </c>
      <c r="J4135">
        <v>9.9600000000000009</v>
      </c>
      <c r="K4135">
        <v>67.900000000000006</v>
      </c>
      <c r="L4135" t="s">
        <v>5027</v>
      </c>
      <c r="M4135">
        <v>1</v>
      </c>
      <c r="N4135">
        <v>1</v>
      </c>
      <c r="O4135">
        <v>0</v>
      </c>
    </row>
    <row r="4136" spans="1:15" x14ac:dyDescent="0.3">
      <c r="A4136" t="s">
        <v>4149</v>
      </c>
      <c r="B4136">
        <v>12</v>
      </c>
      <c r="C4136">
        <v>22</v>
      </c>
      <c r="D4136" t="s">
        <v>5016</v>
      </c>
      <c r="E4136" t="s">
        <v>5017</v>
      </c>
      <c r="F4136" t="s">
        <v>5024</v>
      </c>
      <c r="G4136">
        <v>8.36</v>
      </c>
      <c r="H4136">
        <v>2</v>
      </c>
      <c r="I4136">
        <v>5.7</v>
      </c>
      <c r="J4136">
        <v>13.83</v>
      </c>
      <c r="K4136">
        <v>84.3</v>
      </c>
      <c r="L4136" t="s">
        <v>5027</v>
      </c>
      <c r="M4136">
        <v>1</v>
      </c>
      <c r="N4136">
        <v>2</v>
      </c>
      <c r="O4136">
        <v>0</v>
      </c>
    </row>
    <row r="4137" spans="1:15" x14ac:dyDescent="0.3">
      <c r="A4137" t="s">
        <v>4150</v>
      </c>
      <c r="B4137">
        <v>7</v>
      </c>
      <c r="C4137">
        <v>39</v>
      </c>
      <c r="D4137" t="s">
        <v>5015</v>
      </c>
      <c r="E4137" t="s">
        <v>5017</v>
      </c>
      <c r="F4137" t="s">
        <v>5023</v>
      </c>
      <c r="G4137">
        <v>23.41</v>
      </c>
      <c r="H4137">
        <v>3</v>
      </c>
      <c r="I4137">
        <v>2</v>
      </c>
      <c r="J4137">
        <v>14.72</v>
      </c>
      <c r="K4137">
        <v>53.2</v>
      </c>
      <c r="L4137" t="s">
        <v>5028</v>
      </c>
      <c r="M4137">
        <v>7</v>
      </c>
      <c r="N4137">
        <v>2</v>
      </c>
      <c r="O4137">
        <v>0</v>
      </c>
    </row>
    <row r="4138" spans="1:15" x14ac:dyDescent="0.3">
      <c r="A4138" t="s">
        <v>4151</v>
      </c>
      <c r="B4138">
        <v>12</v>
      </c>
      <c r="C4138">
        <v>32</v>
      </c>
      <c r="D4138" t="s">
        <v>5016</v>
      </c>
      <c r="E4138" t="s">
        <v>5018</v>
      </c>
      <c r="F4138" t="s">
        <v>5022</v>
      </c>
      <c r="G4138">
        <v>14.13</v>
      </c>
      <c r="H4138">
        <v>4</v>
      </c>
      <c r="I4138">
        <v>4.5</v>
      </c>
      <c r="J4138">
        <v>21.62</v>
      </c>
      <c r="K4138">
        <v>33.5</v>
      </c>
      <c r="L4138" t="s">
        <v>5025</v>
      </c>
      <c r="M4138">
        <v>1</v>
      </c>
      <c r="N4138">
        <v>4</v>
      </c>
      <c r="O4138">
        <v>0</v>
      </c>
    </row>
    <row r="4139" spans="1:15" x14ac:dyDescent="0.3">
      <c r="A4139" t="s">
        <v>4152</v>
      </c>
      <c r="B4139">
        <v>10</v>
      </c>
      <c r="C4139">
        <v>30</v>
      </c>
      <c r="D4139" t="s">
        <v>5015</v>
      </c>
      <c r="E4139" t="s">
        <v>5018</v>
      </c>
      <c r="F4139" t="s">
        <v>5020</v>
      </c>
      <c r="G4139">
        <v>19.440000000000001</v>
      </c>
      <c r="H4139">
        <v>2</v>
      </c>
      <c r="I4139">
        <v>1.7</v>
      </c>
      <c r="J4139">
        <v>14.93</v>
      </c>
      <c r="K4139">
        <v>36.5</v>
      </c>
      <c r="L4139" t="s">
        <v>5028</v>
      </c>
      <c r="M4139">
        <v>4</v>
      </c>
      <c r="N4139">
        <v>2</v>
      </c>
      <c r="O4139">
        <v>1</v>
      </c>
    </row>
    <row r="4140" spans="1:15" x14ac:dyDescent="0.3">
      <c r="A4140" t="s">
        <v>4153</v>
      </c>
      <c r="B4140">
        <v>4</v>
      </c>
      <c r="C4140">
        <v>45</v>
      </c>
      <c r="D4140" t="s">
        <v>5016</v>
      </c>
      <c r="E4140" t="s">
        <v>5018</v>
      </c>
      <c r="F4140" t="s">
        <v>5020</v>
      </c>
      <c r="G4140">
        <v>6.61</v>
      </c>
      <c r="H4140">
        <v>1</v>
      </c>
      <c r="I4140">
        <v>3.6</v>
      </c>
      <c r="J4140">
        <v>12.49</v>
      </c>
      <c r="K4140">
        <v>13.9</v>
      </c>
      <c r="L4140" t="s">
        <v>5027</v>
      </c>
      <c r="M4140">
        <v>6</v>
      </c>
      <c r="N4140">
        <v>3</v>
      </c>
      <c r="O4140">
        <v>0</v>
      </c>
    </row>
    <row r="4141" spans="1:15" x14ac:dyDescent="0.3">
      <c r="A4141" t="s">
        <v>4154</v>
      </c>
      <c r="B4141">
        <v>10</v>
      </c>
      <c r="C4141">
        <v>50</v>
      </c>
      <c r="D4141" t="s">
        <v>5015</v>
      </c>
      <c r="E4141" t="s">
        <v>5017</v>
      </c>
      <c r="F4141" t="s">
        <v>5020</v>
      </c>
      <c r="G4141">
        <v>17.87</v>
      </c>
      <c r="H4141">
        <v>3</v>
      </c>
      <c r="I4141">
        <v>7</v>
      </c>
      <c r="J4141">
        <v>24.15</v>
      </c>
      <c r="K4141">
        <v>81.2</v>
      </c>
      <c r="L4141" t="s">
        <v>5029</v>
      </c>
      <c r="M4141">
        <v>2</v>
      </c>
      <c r="N4141">
        <v>4</v>
      </c>
      <c r="O4141">
        <v>0</v>
      </c>
    </row>
    <row r="4142" spans="1:15" x14ac:dyDescent="0.3">
      <c r="A4142" t="s">
        <v>4155</v>
      </c>
      <c r="B4142">
        <v>8</v>
      </c>
      <c r="C4142">
        <v>60</v>
      </c>
      <c r="D4142" t="s">
        <v>5016</v>
      </c>
      <c r="E4142" t="s">
        <v>5017</v>
      </c>
      <c r="F4142" t="s">
        <v>5021</v>
      </c>
      <c r="G4142">
        <v>23.43</v>
      </c>
      <c r="H4142">
        <v>1</v>
      </c>
      <c r="I4142">
        <v>9.9</v>
      </c>
      <c r="J4142">
        <v>24.31</v>
      </c>
      <c r="K4142">
        <v>62.3</v>
      </c>
      <c r="L4142" t="s">
        <v>5025</v>
      </c>
      <c r="M4142">
        <v>10</v>
      </c>
      <c r="N4142">
        <v>4</v>
      </c>
      <c r="O4142">
        <v>0</v>
      </c>
    </row>
    <row r="4143" spans="1:15" x14ac:dyDescent="0.3">
      <c r="A4143" t="s">
        <v>4156</v>
      </c>
      <c r="B4143">
        <v>9</v>
      </c>
      <c r="C4143">
        <v>40</v>
      </c>
      <c r="D4143" t="s">
        <v>5016</v>
      </c>
      <c r="E4143" t="s">
        <v>5018</v>
      </c>
      <c r="F4143" t="s">
        <v>5024</v>
      </c>
      <c r="G4143">
        <v>11</v>
      </c>
      <c r="H4143">
        <v>3</v>
      </c>
      <c r="I4143">
        <v>3.3</v>
      </c>
      <c r="J4143">
        <v>3.85</v>
      </c>
      <c r="K4143">
        <v>53.3</v>
      </c>
      <c r="L4143" t="s">
        <v>5027</v>
      </c>
      <c r="M4143">
        <v>5</v>
      </c>
      <c r="N4143">
        <v>3</v>
      </c>
      <c r="O4143">
        <v>1</v>
      </c>
    </row>
    <row r="4144" spans="1:15" x14ac:dyDescent="0.3">
      <c r="A4144" t="s">
        <v>4157</v>
      </c>
      <c r="B4144">
        <v>7</v>
      </c>
      <c r="C4144">
        <v>50</v>
      </c>
      <c r="D4144" t="s">
        <v>5015</v>
      </c>
      <c r="E4144" t="s">
        <v>5018</v>
      </c>
      <c r="F4144" t="s">
        <v>5021</v>
      </c>
      <c r="G4144">
        <v>16.579999999999998</v>
      </c>
      <c r="H4144">
        <v>1</v>
      </c>
      <c r="I4144">
        <v>5.3</v>
      </c>
      <c r="J4144">
        <v>18.55</v>
      </c>
      <c r="K4144">
        <v>86.7</v>
      </c>
      <c r="L4144" t="s">
        <v>5027</v>
      </c>
      <c r="M4144">
        <v>10</v>
      </c>
      <c r="N4144">
        <v>2</v>
      </c>
      <c r="O4144">
        <v>0</v>
      </c>
    </row>
    <row r="4145" spans="1:15" x14ac:dyDescent="0.3">
      <c r="A4145" t="s">
        <v>4158</v>
      </c>
      <c r="B4145">
        <v>5</v>
      </c>
      <c r="C4145">
        <v>60</v>
      </c>
      <c r="D4145" t="s">
        <v>5016</v>
      </c>
      <c r="E4145" t="s">
        <v>5018</v>
      </c>
      <c r="F4145" t="s">
        <v>5020</v>
      </c>
      <c r="G4145">
        <v>23.8</v>
      </c>
      <c r="H4145">
        <v>2</v>
      </c>
      <c r="I4145">
        <v>5</v>
      </c>
      <c r="J4145">
        <v>11.18</v>
      </c>
      <c r="K4145">
        <v>50</v>
      </c>
      <c r="L4145" t="s">
        <v>5028</v>
      </c>
      <c r="M4145">
        <v>10</v>
      </c>
      <c r="N4145">
        <v>1</v>
      </c>
      <c r="O4145">
        <v>0</v>
      </c>
    </row>
    <row r="4146" spans="1:15" x14ac:dyDescent="0.3">
      <c r="A4146" t="s">
        <v>4159</v>
      </c>
      <c r="B4146">
        <v>8</v>
      </c>
      <c r="C4146">
        <v>35</v>
      </c>
      <c r="D4146" t="s">
        <v>5016</v>
      </c>
      <c r="E4146" t="s">
        <v>5018</v>
      </c>
      <c r="F4146" t="s">
        <v>5022</v>
      </c>
      <c r="G4146">
        <v>19.39</v>
      </c>
      <c r="H4146">
        <v>1</v>
      </c>
      <c r="I4146">
        <v>2.7</v>
      </c>
      <c r="J4146">
        <v>17.850000000000001</v>
      </c>
      <c r="K4146">
        <v>95.3</v>
      </c>
      <c r="L4146" t="s">
        <v>5026</v>
      </c>
      <c r="M4146">
        <v>11</v>
      </c>
      <c r="N4146">
        <v>4</v>
      </c>
      <c r="O4146">
        <v>1</v>
      </c>
    </row>
    <row r="4147" spans="1:15" x14ac:dyDescent="0.3">
      <c r="A4147" t="s">
        <v>4160</v>
      </c>
      <c r="B4147">
        <v>4</v>
      </c>
      <c r="C4147">
        <v>67</v>
      </c>
      <c r="D4147" t="s">
        <v>5016</v>
      </c>
      <c r="E4147" t="s">
        <v>5019</v>
      </c>
      <c r="F4147" t="s">
        <v>5020</v>
      </c>
      <c r="G4147">
        <v>6.25</v>
      </c>
      <c r="H4147">
        <v>1</v>
      </c>
      <c r="I4147">
        <v>6.5</v>
      </c>
      <c r="J4147">
        <v>17.010000000000002</v>
      </c>
      <c r="K4147">
        <v>11.2</v>
      </c>
      <c r="L4147" t="s">
        <v>5027</v>
      </c>
      <c r="M4147">
        <v>11</v>
      </c>
      <c r="N4147">
        <v>1</v>
      </c>
      <c r="O4147">
        <v>1</v>
      </c>
    </row>
    <row r="4148" spans="1:15" x14ac:dyDescent="0.3">
      <c r="A4148" t="s">
        <v>4161</v>
      </c>
      <c r="B4148">
        <v>2</v>
      </c>
      <c r="C4148">
        <v>47</v>
      </c>
      <c r="D4148" t="s">
        <v>5016</v>
      </c>
      <c r="E4148" t="s">
        <v>5018</v>
      </c>
      <c r="F4148" t="s">
        <v>5022</v>
      </c>
      <c r="G4148">
        <v>12.57</v>
      </c>
      <c r="H4148">
        <v>3</v>
      </c>
      <c r="I4148">
        <v>7.5</v>
      </c>
      <c r="J4148">
        <v>10.26</v>
      </c>
      <c r="K4148">
        <v>98.6</v>
      </c>
      <c r="L4148" t="s">
        <v>5026</v>
      </c>
      <c r="M4148">
        <v>10</v>
      </c>
      <c r="N4148">
        <v>1</v>
      </c>
      <c r="O4148">
        <v>0</v>
      </c>
    </row>
    <row r="4149" spans="1:15" x14ac:dyDescent="0.3">
      <c r="A4149" t="s">
        <v>4162</v>
      </c>
      <c r="B4149">
        <v>11</v>
      </c>
      <c r="C4149">
        <v>43</v>
      </c>
      <c r="D4149" t="s">
        <v>5016</v>
      </c>
      <c r="E4149" t="s">
        <v>5018</v>
      </c>
      <c r="F4149" t="s">
        <v>5024</v>
      </c>
      <c r="G4149">
        <v>6.72</v>
      </c>
      <c r="H4149">
        <v>2</v>
      </c>
      <c r="I4149">
        <v>2.2999999999999998</v>
      </c>
      <c r="J4149">
        <v>24.71</v>
      </c>
      <c r="K4149">
        <v>83.4</v>
      </c>
      <c r="L4149" t="s">
        <v>5025</v>
      </c>
      <c r="M4149">
        <v>11</v>
      </c>
      <c r="N4149">
        <v>1</v>
      </c>
      <c r="O4149">
        <v>0</v>
      </c>
    </row>
    <row r="4150" spans="1:15" x14ac:dyDescent="0.3">
      <c r="A4150" t="s">
        <v>4163</v>
      </c>
      <c r="B4150">
        <v>12</v>
      </c>
      <c r="C4150">
        <v>33</v>
      </c>
      <c r="D4150" t="s">
        <v>5015</v>
      </c>
      <c r="E4150" t="s">
        <v>5019</v>
      </c>
      <c r="F4150" t="s">
        <v>5023</v>
      </c>
      <c r="G4150">
        <v>22.23</v>
      </c>
      <c r="H4150">
        <v>3</v>
      </c>
      <c r="I4150">
        <v>7.8</v>
      </c>
      <c r="J4150">
        <v>10.86</v>
      </c>
      <c r="K4150">
        <v>41.9</v>
      </c>
      <c r="L4150" t="s">
        <v>5029</v>
      </c>
      <c r="M4150">
        <v>6</v>
      </c>
      <c r="N4150">
        <v>1</v>
      </c>
      <c r="O4150">
        <v>0</v>
      </c>
    </row>
    <row r="4151" spans="1:15" x14ac:dyDescent="0.3">
      <c r="A4151" t="s">
        <v>4164</v>
      </c>
      <c r="B4151">
        <v>6</v>
      </c>
      <c r="C4151">
        <v>30</v>
      </c>
      <c r="D4151" t="s">
        <v>5016</v>
      </c>
      <c r="E4151" t="s">
        <v>5019</v>
      </c>
      <c r="F4151" t="s">
        <v>5022</v>
      </c>
      <c r="G4151">
        <v>17.43</v>
      </c>
      <c r="H4151">
        <v>2</v>
      </c>
      <c r="I4151">
        <v>7.3</v>
      </c>
      <c r="J4151">
        <v>16.899999999999999</v>
      </c>
      <c r="K4151">
        <v>63.6</v>
      </c>
      <c r="L4151" t="s">
        <v>5026</v>
      </c>
      <c r="M4151">
        <v>5</v>
      </c>
      <c r="N4151">
        <v>3</v>
      </c>
      <c r="O4151">
        <v>0</v>
      </c>
    </row>
    <row r="4152" spans="1:15" x14ac:dyDescent="0.3">
      <c r="A4152" t="s">
        <v>4165</v>
      </c>
      <c r="B4152">
        <v>9</v>
      </c>
      <c r="C4152">
        <v>56</v>
      </c>
      <c r="D4152" t="s">
        <v>5015</v>
      </c>
      <c r="E4152" t="s">
        <v>5018</v>
      </c>
      <c r="F4152" t="s">
        <v>5021</v>
      </c>
      <c r="G4152">
        <v>24.13</v>
      </c>
      <c r="H4152">
        <v>5</v>
      </c>
      <c r="I4152">
        <v>2.8</v>
      </c>
      <c r="J4152">
        <v>20.89</v>
      </c>
      <c r="K4152">
        <v>87.8</v>
      </c>
      <c r="L4152" t="s">
        <v>5026</v>
      </c>
      <c r="M4152">
        <v>10</v>
      </c>
      <c r="N4152">
        <v>0</v>
      </c>
      <c r="O4152">
        <v>1</v>
      </c>
    </row>
    <row r="4153" spans="1:15" x14ac:dyDescent="0.3">
      <c r="A4153" t="s">
        <v>4166</v>
      </c>
      <c r="B4153">
        <v>1</v>
      </c>
      <c r="C4153">
        <v>50</v>
      </c>
      <c r="D4153" t="s">
        <v>5016</v>
      </c>
      <c r="E4153" t="s">
        <v>5018</v>
      </c>
      <c r="F4153" t="s">
        <v>5020</v>
      </c>
      <c r="G4153">
        <v>5.4</v>
      </c>
      <c r="H4153">
        <v>4</v>
      </c>
      <c r="I4153">
        <v>6.8</v>
      </c>
      <c r="J4153">
        <v>6.2</v>
      </c>
      <c r="K4153">
        <v>53.3</v>
      </c>
      <c r="L4153" t="s">
        <v>5026</v>
      </c>
      <c r="M4153">
        <v>8</v>
      </c>
      <c r="N4153">
        <v>2</v>
      </c>
      <c r="O4153">
        <v>0</v>
      </c>
    </row>
    <row r="4154" spans="1:15" x14ac:dyDescent="0.3">
      <c r="A4154" t="s">
        <v>4167</v>
      </c>
      <c r="B4154">
        <v>11</v>
      </c>
      <c r="C4154">
        <v>43</v>
      </c>
      <c r="D4154" t="s">
        <v>5016</v>
      </c>
      <c r="E4154" t="s">
        <v>5017</v>
      </c>
      <c r="F4154" t="s">
        <v>5020</v>
      </c>
      <c r="G4154">
        <v>13.46</v>
      </c>
      <c r="H4154">
        <v>4</v>
      </c>
      <c r="I4154">
        <v>4.5</v>
      </c>
      <c r="J4154">
        <v>9.61</v>
      </c>
      <c r="K4154">
        <v>14.6</v>
      </c>
      <c r="L4154" t="s">
        <v>5026</v>
      </c>
      <c r="M4154">
        <v>11</v>
      </c>
      <c r="N4154">
        <v>0</v>
      </c>
      <c r="O4154">
        <v>0</v>
      </c>
    </row>
    <row r="4155" spans="1:15" x14ac:dyDescent="0.3">
      <c r="A4155" t="s">
        <v>4168</v>
      </c>
      <c r="B4155">
        <v>10</v>
      </c>
      <c r="C4155">
        <v>65</v>
      </c>
      <c r="D4155" t="s">
        <v>5015</v>
      </c>
      <c r="E4155" t="s">
        <v>5018</v>
      </c>
      <c r="F4155" t="s">
        <v>5020</v>
      </c>
      <c r="G4155">
        <v>7.09</v>
      </c>
      <c r="H4155">
        <v>3</v>
      </c>
      <c r="I4155">
        <v>7.1</v>
      </c>
      <c r="J4155">
        <v>7.38</v>
      </c>
      <c r="K4155">
        <v>91.3</v>
      </c>
      <c r="L4155" t="s">
        <v>5026</v>
      </c>
      <c r="M4155">
        <v>4</v>
      </c>
      <c r="N4155">
        <v>0</v>
      </c>
      <c r="O4155">
        <v>0</v>
      </c>
    </row>
    <row r="4156" spans="1:15" x14ac:dyDescent="0.3">
      <c r="A4156" t="s">
        <v>4169</v>
      </c>
      <c r="B4156">
        <v>12</v>
      </c>
      <c r="C4156">
        <v>18</v>
      </c>
      <c r="D4156" t="s">
        <v>5015</v>
      </c>
      <c r="E4156" t="s">
        <v>5019</v>
      </c>
      <c r="F4156" t="s">
        <v>5022</v>
      </c>
      <c r="G4156">
        <v>12.01</v>
      </c>
      <c r="H4156">
        <v>2</v>
      </c>
      <c r="I4156">
        <v>5.5</v>
      </c>
      <c r="J4156">
        <v>20.2</v>
      </c>
      <c r="K4156">
        <v>56.5</v>
      </c>
      <c r="L4156" t="s">
        <v>5025</v>
      </c>
      <c r="M4156">
        <v>8</v>
      </c>
      <c r="N4156">
        <v>4</v>
      </c>
      <c r="O4156">
        <v>1</v>
      </c>
    </row>
    <row r="4157" spans="1:15" x14ac:dyDescent="0.3">
      <c r="A4157" t="s">
        <v>4170</v>
      </c>
      <c r="B4157">
        <v>7</v>
      </c>
      <c r="C4157">
        <v>66</v>
      </c>
      <c r="D4157" t="s">
        <v>5015</v>
      </c>
      <c r="E4157" t="s">
        <v>5018</v>
      </c>
      <c r="F4157" t="s">
        <v>5024</v>
      </c>
      <c r="G4157">
        <v>8.24</v>
      </c>
      <c r="H4157">
        <v>1</v>
      </c>
      <c r="I4157">
        <v>1.4</v>
      </c>
      <c r="J4157">
        <v>20.63</v>
      </c>
      <c r="K4157">
        <v>59.1</v>
      </c>
      <c r="L4157" t="s">
        <v>5027</v>
      </c>
      <c r="M4157">
        <v>11</v>
      </c>
      <c r="N4157">
        <v>0</v>
      </c>
      <c r="O4157">
        <v>1</v>
      </c>
    </row>
    <row r="4158" spans="1:15" x14ac:dyDescent="0.3">
      <c r="A4158" t="s">
        <v>4171</v>
      </c>
      <c r="B4158">
        <v>10</v>
      </c>
      <c r="C4158">
        <v>55</v>
      </c>
      <c r="D4158" t="s">
        <v>5015</v>
      </c>
      <c r="E4158" t="s">
        <v>5019</v>
      </c>
      <c r="F4158" t="s">
        <v>5022</v>
      </c>
      <c r="G4158">
        <v>11.58</v>
      </c>
      <c r="H4158">
        <v>4</v>
      </c>
      <c r="I4158">
        <v>8.1</v>
      </c>
      <c r="J4158">
        <v>8.6300000000000008</v>
      </c>
      <c r="K4158">
        <v>11.2</v>
      </c>
      <c r="L4158" t="s">
        <v>5029</v>
      </c>
      <c r="M4158">
        <v>3</v>
      </c>
      <c r="N4158">
        <v>0</v>
      </c>
      <c r="O4158">
        <v>0</v>
      </c>
    </row>
    <row r="4159" spans="1:15" x14ac:dyDescent="0.3">
      <c r="A4159" t="s">
        <v>4172</v>
      </c>
      <c r="B4159">
        <v>9</v>
      </c>
      <c r="C4159">
        <v>19</v>
      </c>
      <c r="D4159" t="s">
        <v>5015</v>
      </c>
      <c r="E4159" t="s">
        <v>5018</v>
      </c>
      <c r="F4159" t="s">
        <v>5021</v>
      </c>
      <c r="G4159">
        <v>21.39</v>
      </c>
      <c r="H4159">
        <v>3</v>
      </c>
      <c r="I4159">
        <v>6</v>
      </c>
      <c r="J4159">
        <v>3.09</v>
      </c>
      <c r="K4159">
        <v>19</v>
      </c>
      <c r="L4159" t="s">
        <v>5027</v>
      </c>
      <c r="M4159">
        <v>7</v>
      </c>
      <c r="N4159">
        <v>3</v>
      </c>
      <c r="O4159">
        <v>1</v>
      </c>
    </row>
    <row r="4160" spans="1:15" x14ac:dyDescent="0.3">
      <c r="A4160" t="s">
        <v>4173</v>
      </c>
      <c r="B4160">
        <v>10</v>
      </c>
      <c r="C4160">
        <v>66</v>
      </c>
      <c r="D4160" t="s">
        <v>5016</v>
      </c>
      <c r="E4160" t="s">
        <v>5019</v>
      </c>
      <c r="F4160" t="s">
        <v>5020</v>
      </c>
      <c r="G4160">
        <v>8.2100000000000009</v>
      </c>
      <c r="H4160">
        <v>3</v>
      </c>
      <c r="I4160">
        <v>7.5</v>
      </c>
      <c r="J4160">
        <v>12.31</v>
      </c>
      <c r="K4160">
        <v>80</v>
      </c>
      <c r="L4160" t="s">
        <v>5025</v>
      </c>
      <c r="M4160">
        <v>5</v>
      </c>
      <c r="N4160">
        <v>1</v>
      </c>
      <c r="O4160">
        <v>1</v>
      </c>
    </row>
    <row r="4161" spans="1:15" x14ac:dyDescent="0.3">
      <c r="A4161" t="s">
        <v>4174</v>
      </c>
      <c r="B4161">
        <v>9</v>
      </c>
      <c r="C4161">
        <v>23</v>
      </c>
      <c r="D4161" t="s">
        <v>5015</v>
      </c>
      <c r="E4161" t="s">
        <v>5018</v>
      </c>
      <c r="F4161" t="s">
        <v>5022</v>
      </c>
      <c r="G4161">
        <v>14.47</v>
      </c>
      <c r="H4161">
        <v>3</v>
      </c>
      <c r="I4161">
        <v>2.1</v>
      </c>
      <c r="J4161">
        <v>18.12</v>
      </c>
      <c r="K4161">
        <v>49.1</v>
      </c>
      <c r="L4161" t="s">
        <v>5025</v>
      </c>
      <c r="M4161">
        <v>5</v>
      </c>
      <c r="N4161">
        <v>0</v>
      </c>
      <c r="O4161">
        <v>0</v>
      </c>
    </row>
    <row r="4162" spans="1:15" x14ac:dyDescent="0.3">
      <c r="A4162" t="s">
        <v>4175</v>
      </c>
      <c r="B4162">
        <v>10</v>
      </c>
      <c r="C4162">
        <v>63</v>
      </c>
      <c r="D4162" t="s">
        <v>5015</v>
      </c>
      <c r="E4162" t="s">
        <v>5017</v>
      </c>
      <c r="F4162" t="s">
        <v>5020</v>
      </c>
      <c r="G4162">
        <v>23.43</v>
      </c>
      <c r="H4162">
        <v>2</v>
      </c>
      <c r="I4162">
        <v>7.5</v>
      </c>
      <c r="J4162">
        <v>16.7</v>
      </c>
      <c r="K4162">
        <v>99.8</v>
      </c>
      <c r="L4162" t="s">
        <v>5026</v>
      </c>
      <c r="M4162">
        <v>6</v>
      </c>
      <c r="N4162">
        <v>0</v>
      </c>
      <c r="O4162">
        <v>0</v>
      </c>
    </row>
    <row r="4163" spans="1:15" x14ac:dyDescent="0.3">
      <c r="A4163" t="s">
        <v>4176</v>
      </c>
      <c r="B4163">
        <v>11</v>
      </c>
      <c r="C4163">
        <v>67</v>
      </c>
      <c r="D4163" t="s">
        <v>5016</v>
      </c>
      <c r="E4163" t="s">
        <v>5018</v>
      </c>
      <c r="F4163" t="s">
        <v>5021</v>
      </c>
      <c r="G4163">
        <v>24.98</v>
      </c>
      <c r="H4163">
        <v>3</v>
      </c>
      <c r="I4163">
        <v>4.7</v>
      </c>
      <c r="J4163">
        <v>12.81</v>
      </c>
      <c r="K4163">
        <v>72.599999999999994</v>
      </c>
      <c r="L4163" t="s">
        <v>5025</v>
      </c>
      <c r="M4163">
        <v>5</v>
      </c>
      <c r="N4163">
        <v>4</v>
      </c>
      <c r="O4163">
        <v>0</v>
      </c>
    </row>
    <row r="4164" spans="1:15" x14ac:dyDescent="0.3">
      <c r="A4164" t="s">
        <v>4177</v>
      </c>
      <c r="B4164">
        <v>3</v>
      </c>
      <c r="C4164">
        <v>55</v>
      </c>
      <c r="D4164" t="s">
        <v>5016</v>
      </c>
      <c r="E4164" t="s">
        <v>5017</v>
      </c>
      <c r="F4164" t="s">
        <v>5023</v>
      </c>
      <c r="G4164">
        <v>10.01</v>
      </c>
      <c r="H4164">
        <v>5</v>
      </c>
      <c r="I4164">
        <v>8.1999999999999993</v>
      </c>
      <c r="J4164">
        <v>9.64</v>
      </c>
      <c r="K4164">
        <v>95.5</v>
      </c>
      <c r="L4164" t="s">
        <v>5025</v>
      </c>
      <c r="M4164">
        <v>1</v>
      </c>
      <c r="N4164">
        <v>2</v>
      </c>
      <c r="O4164">
        <v>0</v>
      </c>
    </row>
    <row r="4165" spans="1:15" x14ac:dyDescent="0.3">
      <c r="A4165" t="s">
        <v>4178</v>
      </c>
      <c r="B4165">
        <v>11</v>
      </c>
      <c r="C4165">
        <v>59</v>
      </c>
      <c r="D4165" t="s">
        <v>5015</v>
      </c>
      <c r="E4165" t="s">
        <v>5017</v>
      </c>
      <c r="F4165" t="s">
        <v>5023</v>
      </c>
      <c r="G4165">
        <v>23.71</v>
      </c>
      <c r="H4165">
        <v>1</v>
      </c>
      <c r="I4165">
        <v>6.4</v>
      </c>
      <c r="J4165">
        <v>13.44</v>
      </c>
      <c r="K4165">
        <v>35.1</v>
      </c>
      <c r="L4165" t="s">
        <v>5026</v>
      </c>
      <c r="M4165">
        <v>9</v>
      </c>
      <c r="N4165">
        <v>4</v>
      </c>
      <c r="O4165">
        <v>0</v>
      </c>
    </row>
    <row r="4166" spans="1:15" x14ac:dyDescent="0.3">
      <c r="A4166" t="s">
        <v>4179</v>
      </c>
      <c r="B4166">
        <v>5</v>
      </c>
      <c r="C4166">
        <v>41</v>
      </c>
      <c r="D4166" t="s">
        <v>5015</v>
      </c>
      <c r="E4166" t="s">
        <v>5019</v>
      </c>
      <c r="F4166" t="s">
        <v>5023</v>
      </c>
      <c r="G4166">
        <v>10.23</v>
      </c>
      <c r="H4166">
        <v>3</v>
      </c>
      <c r="I4166">
        <v>4.2</v>
      </c>
      <c r="J4166">
        <v>3.33</v>
      </c>
      <c r="K4166">
        <v>25.9</v>
      </c>
      <c r="L4166" t="s">
        <v>5025</v>
      </c>
      <c r="M4166">
        <v>11</v>
      </c>
      <c r="N4166">
        <v>2</v>
      </c>
      <c r="O4166">
        <v>0</v>
      </c>
    </row>
    <row r="4167" spans="1:15" x14ac:dyDescent="0.3">
      <c r="A4167" t="s">
        <v>4180</v>
      </c>
      <c r="B4167">
        <v>8</v>
      </c>
      <c r="C4167">
        <v>35</v>
      </c>
      <c r="D4167" t="s">
        <v>5015</v>
      </c>
      <c r="E4167" t="s">
        <v>5017</v>
      </c>
      <c r="F4167" t="s">
        <v>5020</v>
      </c>
      <c r="G4167">
        <v>13.27</v>
      </c>
      <c r="H4167">
        <v>2</v>
      </c>
      <c r="I4167">
        <v>2.8</v>
      </c>
      <c r="J4167">
        <v>4.63</v>
      </c>
      <c r="K4167">
        <v>43.9</v>
      </c>
      <c r="L4167" t="s">
        <v>5025</v>
      </c>
      <c r="M4167">
        <v>4</v>
      </c>
      <c r="N4167">
        <v>2</v>
      </c>
      <c r="O4167">
        <v>1</v>
      </c>
    </row>
    <row r="4168" spans="1:15" x14ac:dyDescent="0.3">
      <c r="A4168" t="s">
        <v>4181</v>
      </c>
      <c r="B4168">
        <v>8</v>
      </c>
      <c r="C4168">
        <v>44</v>
      </c>
      <c r="D4168" t="s">
        <v>5016</v>
      </c>
      <c r="E4168" t="s">
        <v>5019</v>
      </c>
      <c r="F4168" t="s">
        <v>5022</v>
      </c>
      <c r="G4168">
        <v>22.56</v>
      </c>
      <c r="H4168">
        <v>1</v>
      </c>
      <c r="I4168">
        <v>8.3000000000000007</v>
      </c>
      <c r="J4168">
        <v>6.58</v>
      </c>
      <c r="K4168">
        <v>33.799999999999997</v>
      </c>
      <c r="L4168" t="s">
        <v>5025</v>
      </c>
      <c r="M4168">
        <v>5</v>
      </c>
      <c r="N4168">
        <v>2</v>
      </c>
      <c r="O4168">
        <v>0</v>
      </c>
    </row>
    <row r="4169" spans="1:15" x14ac:dyDescent="0.3">
      <c r="A4169" t="s">
        <v>4182</v>
      </c>
      <c r="B4169">
        <v>4</v>
      </c>
      <c r="C4169">
        <v>58</v>
      </c>
      <c r="D4169" t="s">
        <v>5015</v>
      </c>
      <c r="E4169" t="s">
        <v>5017</v>
      </c>
      <c r="F4169" t="s">
        <v>5020</v>
      </c>
      <c r="G4169">
        <v>20.72</v>
      </c>
      <c r="H4169">
        <v>1</v>
      </c>
      <c r="I4169">
        <v>6</v>
      </c>
      <c r="J4169">
        <v>16.760000000000002</v>
      </c>
      <c r="K4169">
        <v>65.2</v>
      </c>
      <c r="L4169" t="s">
        <v>5028</v>
      </c>
      <c r="M4169">
        <v>1</v>
      </c>
      <c r="N4169">
        <v>3</v>
      </c>
      <c r="O4169">
        <v>0</v>
      </c>
    </row>
    <row r="4170" spans="1:15" x14ac:dyDescent="0.3">
      <c r="A4170" t="s">
        <v>4183</v>
      </c>
      <c r="B4170">
        <v>12</v>
      </c>
      <c r="C4170">
        <v>25</v>
      </c>
      <c r="D4170" t="s">
        <v>5016</v>
      </c>
      <c r="E4170" t="s">
        <v>5017</v>
      </c>
      <c r="F4170" t="s">
        <v>5024</v>
      </c>
      <c r="G4170">
        <v>22.15</v>
      </c>
      <c r="H4170">
        <v>4</v>
      </c>
      <c r="I4170">
        <v>9.9</v>
      </c>
      <c r="J4170">
        <v>7.81</v>
      </c>
      <c r="K4170">
        <v>77</v>
      </c>
      <c r="L4170" t="s">
        <v>5027</v>
      </c>
      <c r="M4170">
        <v>3</v>
      </c>
      <c r="N4170">
        <v>3</v>
      </c>
      <c r="O4170">
        <v>1</v>
      </c>
    </row>
    <row r="4171" spans="1:15" x14ac:dyDescent="0.3">
      <c r="A4171" t="s">
        <v>4184</v>
      </c>
      <c r="B4171">
        <v>11</v>
      </c>
      <c r="C4171">
        <v>45</v>
      </c>
      <c r="D4171" t="s">
        <v>5016</v>
      </c>
      <c r="E4171" t="s">
        <v>5019</v>
      </c>
      <c r="F4171" t="s">
        <v>5022</v>
      </c>
      <c r="G4171">
        <v>21.01</v>
      </c>
      <c r="H4171">
        <v>3</v>
      </c>
      <c r="I4171">
        <v>4.4000000000000004</v>
      </c>
      <c r="J4171">
        <v>12.31</v>
      </c>
      <c r="K4171">
        <v>46.2</v>
      </c>
      <c r="L4171" t="s">
        <v>5028</v>
      </c>
      <c r="M4171">
        <v>3</v>
      </c>
      <c r="N4171">
        <v>1</v>
      </c>
      <c r="O4171">
        <v>0</v>
      </c>
    </row>
    <row r="4172" spans="1:15" x14ac:dyDescent="0.3">
      <c r="A4172" t="s">
        <v>4185</v>
      </c>
      <c r="B4172">
        <v>11</v>
      </c>
      <c r="C4172">
        <v>27</v>
      </c>
      <c r="D4172" t="s">
        <v>5016</v>
      </c>
      <c r="E4172" t="s">
        <v>5018</v>
      </c>
      <c r="F4172" t="s">
        <v>5021</v>
      </c>
      <c r="G4172">
        <v>9.6999999999999993</v>
      </c>
      <c r="H4172">
        <v>3</v>
      </c>
      <c r="I4172">
        <v>7.2</v>
      </c>
      <c r="J4172">
        <v>16.670000000000002</v>
      </c>
      <c r="K4172">
        <v>18.100000000000001</v>
      </c>
      <c r="L4172" t="s">
        <v>5027</v>
      </c>
      <c r="M4172">
        <v>8</v>
      </c>
      <c r="N4172">
        <v>2</v>
      </c>
      <c r="O4172">
        <v>0</v>
      </c>
    </row>
    <row r="4173" spans="1:15" x14ac:dyDescent="0.3">
      <c r="A4173" t="s">
        <v>4186</v>
      </c>
      <c r="B4173">
        <v>1</v>
      </c>
      <c r="C4173">
        <v>34</v>
      </c>
      <c r="D4173" t="s">
        <v>5016</v>
      </c>
      <c r="E4173" t="s">
        <v>5018</v>
      </c>
      <c r="F4173" t="s">
        <v>5023</v>
      </c>
      <c r="G4173">
        <v>16.18</v>
      </c>
      <c r="H4173">
        <v>2</v>
      </c>
      <c r="I4173">
        <v>6.6</v>
      </c>
      <c r="J4173">
        <v>21.27</v>
      </c>
      <c r="K4173">
        <v>12.4</v>
      </c>
      <c r="L4173" t="s">
        <v>5026</v>
      </c>
      <c r="M4173">
        <v>11</v>
      </c>
      <c r="N4173">
        <v>3</v>
      </c>
      <c r="O4173">
        <v>0</v>
      </c>
    </row>
    <row r="4174" spans="1:15" x14ac:dyDescent="0.3">
      <c r="A4174" t="s">
        <v>4187</v>
      </c>
      <c r="B4174">
        <v>1</v>
      </c>
      <c r="C4174">
        <v>46</v>
      </c>
      <c r="D4174" t="s">
        <v>5015</v>
      </c>
      <c r="E4174" t="s">
        <v>5018</v>
      </c>
      <c r="F4174" t="s">
        <v>5022</v>
      </c>
      <c r="G4174">
        <v>12.71</v>
      </c>
      <c r="H4174">
        <v>5</v>
      </c>
      <c r="I4174">
        <v>6.7</v>
      </c>
      <c r="J4174">
        <v>15.09</v>
      </c>
      <c r="K4174">
        <v>29.6</v>
      </c>
      <c r="L4174" t="s">
        <v>5026</v>
      </c>
      <c r="M4174">
        <v>8</v>
      </c>
      <c r="N4174">
        <v>3</v>
      </c>
      <c r="O4174">
        <v>0</v>
      </c>
    </row>
    <row r="4175" spans="1:15" x14ac:dyDescent="0.3">
      <c r="A4175" t="s">
        <v>4188</v>
      </c>
      <c r="B4175">
        <v>4</v>
      </c>
      <c r="C4175">
        <v>23</v>
      </c>
      <c r="D4175" t="s">
        <v>5016</v>
      </c>
      <c r="E4175" t="s">
        <v>5018</v>
      </c>
      <c r="F4175" t="s">
        <v>5022</v>
      </c>
      <c r="G4175">
        <v>14.19</v>
      </c>
      <c r="H4175">
        <v>5</v>
      </c>
      <c r="I4175">
        <v>7.6</v>
      </c>
      <c r="J4175">
        <v>6.9</v>
      </c>
      <c r="K4175">
        <v>75.900000000000006</v>
      </c>
      <c r="L4175" t="s">
        <v>5027</v>
      </c>
      <c r="M4175">
        <v>9</v>
      </c>
      <c r="N4175">
        <v>0</v>
      </c>
      <c r="O4175">
        <v>0</v>
      </c>
    </row>
    <row r="4176" spans="1:15" x14ac:dyDescent="0.3">
      <c r="A4176" t="s">
        <v>4189</v>
      </c>
      <c r="B4176">
        <v>6</v>
      </c>
      <c r="C4176">
        <v>31</v>
      </c>
      <c r="D4176" t="s">
        <v>5016</v>
      </c>
      <c r="E4176" t="s">
        <v>5019</v>
      </c>
      <c r="F4176" t="s">
        <v>5023</v>
      </c>
      <c r="G4176">
        <v>8.08</v>
      </c>
      <c r="H4176">
        <v>4</v>
      </c>
      <c r="I4176">
        <v>2.2999999999999998</v>
      </c>
      <c r="J4176">
        <v>23.94</v>
      </c>
      <c r="K4176">
        <v>29.9</v>
      </c>
      <c r="L4176" t="s">
        <v>5027</v>
      </c>
      <c r="M4176">
        <v>10</v>
      </c>
      <c r="N4176">
        <v>2</v>
      </c>
      <c r="O4176">
        <v>0</v>
      </c>
    </row>
    <row r="4177" spans="1:15" x14ac:dyDescent="0.3">
      <c r="A4177" t="s">
        <v>4190</v>
      </c>
      <c r="B4177">
        <v>8</v>
      </c>
      <c r="C4177">
        <v>39</v>
      </c>
      <c r="D4177" t="s">
        <v>5015</v>
      </c>
      <c r="E4177" t="s">
        <v>5018</v>
      </c>
      <c r="F4177" t="s">
        <v>5021</v>
      </c>
      <c r="G4177">
        <v>11.32</v>
      </c>
      <c r="H4177">
        <v>5</v>
      </c>
      <c r="I4177">
        <v>5.9</v>
      </c>
      <c r="J4177">
        <v>4.9800000000000004</v>
      </c>
      <c r="K4177">
        <v>92</v>
      </c>
      <c r="L4177" t="s">
        <v>5029</v>
      </c>
      <c r="M4177">
        <v>7</v>
      </c>
      <c r="N4177">
        <v>4</v>
      </c>
      <c r="O4177">
        <v>1</v>
      </c>
    </row>
    <row r="4178" spans="1:15" x14ac:dyDescent="0.3">
      <c r="A4178" t="s">
        <v>4191</v>
      </c>
      <c r="B4178">
        <v>6</v>
      </c>
      <c r="C4178">
        <v>23</v>
      </c>
      <c r="D4178" t="s">
        <v>5016</v>
      </c>
      <c r="E4178" t="s">
        <v>5018</v>
      </c>
      <c r="F4178" t="s">
        <v>5020</v>
      </c>
      <c r="G4178">
        <v>22.15</v>
      </c>
      <c r="H4178">
        <v>2</v>
      </c>
      <c r="I4178">
        <v>5.6</v>
      </c>
      <c r="J4178">
        <v>11.08</v>
      </c>
      <c r="K4178">
        <v>68.599999999999994</v>
      </c>
      <c r="L4178" t="s">
        <v>5027</v>
      </c>
      <c r="M4178">
        <v>6</v>
      </c>
      <c r="N4178">
        <v>0</v>
      </c>
      <c r="O4178">
        <v>0</v>
      </c>
    </row>
    <row r="4179" spans="1:15" x14ac:dyDescent="0.3">
      <c r="A4179" t="s">
        <v>4192</v>
      </c>
      <c r="B4179">
        <v>12</v>
      </c>
      <c r="C4179">
        <v>43</v>
      </c>
      <c r="D4179" t="s">
        <v>5015</v>
      </c>
      <c r="E4179" t="s">
        <v>5019</v>
      </c>
      <c r="F4179" t="s">
        <v>5020</v>
      </c>
      <c r="G4179">
        <v>22.95</v>
      </c>
      <c r="H4179">
        <v>4</v>
      </c>
      <c r="I4179">
        <v>4.0999999999999996</v>
      </c>
      <c r="J4179">
        <v>23.27</v>
      </c>
      <c r="K4179">
        <v>87.6</v>
      </c>
      <c r="L4179" t="s">
        <v>5027</v>
      </c>
      <c r="M4179">
        <v>8</v>
      </c>
      <c r="N4179">
        <v>3</v>
      </c>
      <c r="O4179">
        <v>0</v>
      </c>
    </row>
    <row r="4180" spans="1:15" x14ac:dyDescent="0.3">
      <c r="A4180" t="s">
        <v>4193</v>
      </c>
      <c r="B4180">
        <v>9</v>
      </c>
      <c r="C4180">
        <v>56</v>
      </c>
      <c r="D4180" t="s">
        <v>5016</v>
      </c>
      <c r="E4180" t="s">
        <v>5017</v>
      </c>
      <c r="F4180" t="s">
        <v>5022</v>
      </c>
      <c r="G4180">
        <v>17.2</v>
      </c>
      <c r="H4180">
        <v>3</v>
      </c>
      <c r="I4180">
        <v>4.9000000000000004</v>
      </c>
      <c r="J4180">
        <v>16.25</v>
      </c>
      <c r="K4180">
        <v>44.7</v>
      </c>
      <c r="L4180" t="s">
        <v>5026</v>
      </c>
      <c r="M4180">
        <v>3</v>
      </c>
      <c r="N4180">
        <v>3</v>
      </c>
      <c r="O4180">
        <v>0</v>
      </c>
    </row>
    <row r="4181" spans="1:15" x14ac:dyDescent="0.3">
      <c r="A4181" t="s">
        <v>4194</v>
      </c>
      <c r="B4181">
        <v>9</v>
      </c>
      <c r="C4181">
        <v>29</v>
      </c>
      <c r="D4181" t="s">
        <v>5015</v>
      </c>
      <c r="E4181" t="s">
        <v>5018</v>
      </c>
      <c r="F4181" t="s">
        <v>5023</v>
      </c>
      <c r="G4181">
        <v>14.97</v>
      </c>
      <c r="H4181">
        <v>5</v>
      </c>
      <c r="I4181">
        <v>5.7</v>
      </c>
      <c r="J4181">
        <v>17.579999999999998</v>
      </c>
      <c r="K4181">
        <v>98.5</v>
      </c>
      <c r="L4181" t="s">
        <v>5026</v>
      </c>
      <c r="M4181">
        <v>10</v>
      </c>
      <c r="N4181">
        <v>3</v>
      </c>
      <c r="O4181">
        <v>1</v>
      </c>
    </row>
    <row r="4182" spans="1:15" x14ac:dyDescent="0.3">
      <c r="A4182" t="s">
        <v>4195</v>
      </c>
      <c r="B4182">
        <v>2</v>
      </c>
      <c r="C4182">
        <v>52</v>
      </c>
      <c r="D4182" t="s">
        <v>5016</v>
      </c>
      <c r="E4182" t="s">
        <v>5019</v>
      </c>
      <c r="F4182" t="s">
        <v>5024</v>
      </c>
      <c r="G4182">
        <v>19.260000000000002</v>
      </c>
      <c r="H4182">
        <v>2</v>
      </c>
      <c r="I4182">
        <v>3.9</v>
      </c>
      <c r="J4182">
        <v>9.64</v>
      </c>
      <c r="K4182">
        <v>71.2</v>
      </c>
      <c r="L4182" t="s">
        <v>5025</v>
      </c>
      <c r="M4182">
        <v>10</v>
      </c>
      <c r="N4182">
        <v>3</v>
      </c>
      <c r="O4182">
        <v>1</v>
      </c>
    </row>
    <row r="4183" spans="1:15" x14ac:dyDescent="0.3">
      <c r="A4183" t="s">
        <v>4196</v>
      </c>
      <c r="B4183">
        <v>10</v>
      </c>
      <c r="C4183">
        <v>31</v>
      </c>
      <c r="D4183" t="s">
        <v>5016</v>
      </c>
      <c r="E4183" t="s">
        <v>5018</v>
      </c>
      <c r="F4183" t="s">
        <v>5021</v>
      </c>
      <c r="G4183">
        <v>17.18</v>
      </c>
      <c r="H4183">
        <v>2</v>
      </c>
      <c r="I4183">
        <v>3.6</v>
      </c>
      <c r="J4183">
        <v>4.7300000000000004</v>
      </c>
      <c r="K4183">
        <v>42.1</v>
      </c>
      <c r="L4183" t="s">
        <v>5025</v>
      </c>
      <c r="M4183">
        <v>10</v>
      </c>
      <c r="N4183">
        <v>4</v>
      </c>
      <c r="O4183">
        <v>0</v>
      </c>
    </row>
    <row r="4184" spans="1:15" x14ac:dyDescent="0.3">
      <c r="A4184" t="s">
        <v>4197</v>
      </c>
      <c r="B4184">
        <v>1</v>
      </c>
      <c r="C4184">
        <v>39</v>
      </c>
      <c r="D4184" t="s">
        <v>5015</v>
      </c>
      <c r="E4184" t="s">
        <v>5019</v>
      </c>
      <c r="F4184" t="s">
        <v>5020</v>
      </c>
      <c r="G4184">
        <v>24.67</v>
      </c>
      <c r="H4184">
        <v>3</v>
      </c>
      <c r="I4184">
        <v>7.6</v>
      </c>
      <c r="J4184">
        <v>11.05</v>
      </c>
      <c r="K4184">
        <v>29.1</v>
      </c>
      <c r="L4184" t="s">
        <v>5026</v>
      </c>
      <c r="M4184">
        <v>8</v>
      </c>
      <c r="N4184">
        <v>1</v>
      </c>
      <c r="O4184">
        <v>0</v>
      </c>
    </row>
    <row r="4185" spans="1:15" x14ac:dyDescent="0.3">
      <c r="A4185" t="s">
        <v>4198</v>
      </c>
      <c r="B4185">
        <v>2</v>
      </c>
      <c r="C4185">
        <v>68</v>
      </c>
      <c r="D4185" t="s">
        <v>5016</v>
      </c>
      <c r="E4185" t="s">
        <v>5018</v>
      </c>
      <c r="F4185" t="s">
        <v>5021</v>
      </c>
      <c r="G4185">
        <v>8.8000000000000007</v>
      </c>
      <c r="H4185">
        <v>2</v>
      </c>
      <c r="I4185">
        <v>1.6</v>
      </c>
      <c r="J4185">
        <v>11.85</v>
      </c>
      <c r="K4185">
        <v>88</v>
      </c>
      <c r="L4185" t="s">
        <v>5025</v>
      </c>
      <c r="M4185">
        <v>3</v>
      </c>
      <c r="N4185">
        <v>1</v>
      </c>
      <c r="O4185">
        <v>0</v>
      </c>
    </row>
    <row r="4186" spans="1:15" x14ac:dyDescent="0.3">
      <c r="A4186" t="s">
        <v>4199</v>
      </c>
      <c r="B4186">
        <v>5</v>
      </c>
      <c r="C4186">
        <v>40</v>
      </c>
      <c r="D4186" t="s">
        <v>5016</v>
      </c>
      <c r="E4186" t="s">
        <v>5019</v>
      </c>
      <c r="F4186" t="s">
        <v>5021</v>
      </c>
      <c r="G4186">
        <v>13.98</v>
      </c>
      <c r="H4186">
        <v>4</v>
      </c>
      <c r="I4186">
        <v>3.8</v>
      </c>
      <c r="J4186">
        <v>8.9499999999999993</v>
      </c>
      <c r="K4186">
        <v>38.6</v>
      </c>
      <c r="L4186" t="s">
        <v>5028</v>
      </c>
      <c r="M4186">
        <v>2</v>
      </c>
      <c r="N4186">
        <v>2</v>
      </c>
      <c r="O4186">
        <v>0</v>
      </c>
    </row>
    <row r="4187" spans="1:15" x14ac:dyDescent="0.3">
      <c r="A4187" t="s">
        <v>4200</v>
      </c>
      <c r="B4187">
        <v>4</v>
      </c>
      <c r="C4187">
        <v>65</v>
      </c>
      <c r="D4187" t="s">
        <v>5015</v>
      </c>
      <c r="E4187" t="s">
        <v>5019</v>
      </c>
      <c r="F4187" t="s">
        <v>5021</v>
      </c>
      <c r="G4187">
        <v>23.36</v>
      </c>
      <c r="H4187">
        <v>4</v>
      </c>
      <c r="I4187">
        <v>6.9</v>
      </c>
      <c r="J4187">
        <v>7.74</v>
      </c>
      <c r="K4187">
        <v>14</v>
      </c>
      <c r="L4187" t="s">
        <v>5028</v>
      </c>
      <c r="M4187">
        <v>9</v>
      </c>
      <c r="N4187">
        <v>3</v>
      </c>
      <c r="O4187">
        <v>0</v>
      </c>
    </row>
    <row r="4188" spans="1:15" x14ac:dyDescent="0.3">
      <c r="A4188" t="s">
        <v>4201</v>
      </c>
      <c r="B4188">
        <v>4</v>
      </c>
      <c r="C4188">
        <v>24</v>
      </c>
      <c r="D4188" t="s">
        <v>5016</v>
      </c>
      <c r="E4188" t="s">
        <v>5017</v>
      </c>
      <c r="F4188" t="s">
        <v>5023</v>
      </c>
      <c r="G4188">
        <v>23.29</v>
      </c>
      <c r="H4188">
        <v>1</v>
      </c>
      <c r="I4188">
        <v>2.9</v>
      </c>
      <c r="J4188">
        <v>10.82</v>
      </c>
      <c r="K4188">
        <v>35.1</v>
      </c>
      <c r="L4188" t="s">
        <v>5025</v>
      </c>
      <c r="M4188">
        <v>1</v>
      </c>
      <c r="N4188">
        <v>2</v>
      </c>
      <c r="O4188">
        <v>0</v>
      </c>
    </row>
    <row r="4189" spans="1:15" x14ac:dyDescent="0.3">
      <c r="A4189" t="s">
        <v>4202</v>
      </c>
      <c r="B4189">
        <v>9</v>
      </c>
      <c r="C4189">
        <v>57</v>
      </c>
      <c r="D4189" t="s">
        <v>5016</v>
      </c>
      <c r="E4189" t="s">
        <v>5017</v>
      </c>
      <c r="F4189" t="s">
        <v>5023</v>
      </c>
      <c r="G4189">
        <v>14.91</v>
      </c>
      <c r="H4189">
        <v>3</v>
      </c>
      <c r="I4189">
        <v>6.2</v>
      </c>
      <c r="J4189">
        <v>17.07</v>
      </c>
      <c r="K4189">
        <v>26.2</v>
      </c>
      <c r="L4189" t="s">
        <v>5025</v>
      </c>
      <c r="M4189">
        <v>10</v>
      </c>
      <c r="N4189">
        <v>4</v>
      </c>
      <c r="O4189">
        <v>0</v>
      </c>
    </row>
    <row r="4190" spans="1:15" x14ac:dyDescent="0.3">
      <c r="A4190" t="s">
        <v>4203</v>
      </c>
      <c r="B4190">
        <v>11</v>
      </c>
      <c r="C4190">
        <v>67</v>
      </c>
      <c r="D4190" t="s">
        <v>5015</v>
      </c>
      <c r="E4190" t="s">
        <v>5018</v>
      </c>
      <c r="F4190" t="s">
        <v>5023</v>
      </c>
      <c r="G4190">
        <v>7.7</v>
      </c>
      <c r="H4190">
        <v>2</v>
      </c>
      <c r="I4190">
        <v>3.7</v>
      </c>
      <c r="J4190">
        <v>23.88</v>
      </c>
      <c r="K4190">
        <v>38.799999999999997</v>
      </c>
      <c r="L4190" t="s">
        <v>5027</v>
      </c>
      <c r="M4190">
        <v>10</v>
      </c>
      <c r="N4190">
        <v>2</v>
      </c>
      <c r="O4190">
        <v>0</v>
      </c>
    </row>
    <row r="4191" spans="1:15" x14ac:dyDescent="0.3">
      <c r="A4191" t="s">
        <v>4204</v>
      </c>
      <c r="B4191">
        <v>8</v>
      </c>
      <c r="C4191">
        <v>42</v>
      </c>
      <c r="D4191" t="s">
        <v>5015</v>
      </c>
      <c r="E4191" t="s">
        <v>5019</v>
      </c>
      <c r="F4191" t="s">
        <v>5022</v>
      </c>
      <c r="G4191">
        <v>21.3</v>
      </c>
      <c r="H4191">
        <v>5</v>
      </c>
      <c r="I4191">
        <v>8.6</v>
      </c>
      <c r="J4191">
        <v>18.48</v>
      </c>
      <c r="K4191">
        <v>65.2</v>
      </c>
      <c r="L4191" t="s">
        <v>5027</v>
      </c>
      <c r="M4191">
        <v>2</v>
      </c>
      <c r="N4191">
        <v>1</v>
      </c>
      <c r="O4191">
        <v>0</v>
      </c>
    </row>
    <row r="4192" spans="1:15" x14ac:dyDescent="0.3">
      <c r="A4192" t="s">
        <v>4205</v>
      </c>
      <c r="B4192">
        <v>6</v>
      </c>
      <c r="C4192">
        <v>30</v>
      </c>
      <c r="D4192" t="s">
        <v>5015</v>
      </c>
      <c r="E4192" t="s">
        <v>5017</v>
      </c>
      <c r="F4192" t="s">
        <v>5023</v>
      </c>
      <c r="G4192">
        <v>16.7</v>
      </c>
      <c r="H4192">
        <v>4</v>
      </c>
      <c r="I4192">
        <v>4.0999999999999996</v>
      </c>
      <c r="J4192">
        <v>20.149999999999999</v>
      </c>
      <c r="K4192">
        <v>55</v>
      </c>
      <c r="L4192" t="s">
        <v>5028</v>
      </c>
      <c r="M4192">
        <v>7</v>
      </c>
      <c r="N4192">
        <v>1</v>
      </c>
      <c r="O4192">
        <v>0</v>
      </c>
    </row>
    <row r="4193" spans="1:15" x14ac:dyDescent="0.3">
      <c r="A4193" t="s">
        <v>4206</v>
      </c>
      <c r="B4193">
        <v>1</v>
      </c>
      <c r="C4193">
        <v>38</v>
      </c>
      <c r="D4193" t="s">
        <v>5015</v>
      </c>
      <c r="E4193" t="s">
        <v>5017</v>
      </c>
      <c r="F4193" t="s">
        <v>5022</v>
      </c>
      <c r="G4193">
        <v>20.46</v>
      </c>
      <c r="H4193">
        <v>3</v>
      </c>
      <c r="I4193">
        <v>3.1</v>
      </c>
      <c r="J4193">
        <v>9.73</v>
      </c>
      <c r="K4193">
        <v>74</v>
      </c>
      <c r="L4193" t="s">
        <v>5028</v>
      </c>
      <c r="M4193">
        <v>1</v>
      </c>
      <c r="N4193">
        <v>1</v>
      </c>
      <c r="O4193">
        <v>0</v>
      </c>
    </row>
    <row r="4194" spans="1:15" x14ac:dyDescent="0.3">
      <c r="A4194" t="s">
        <v>4207</v>
      </c>
      <c r="B4194">
        <v>2</v>
      </c>
      <c r="C4194">
        <v>58</v>
      </c>
      <c r="D4194" t="s">
        <v>5015</v>
      </c>
      <c r="E4194" t="s">
        <v>5018</v>
      </c>
      <c r="F4194" t="s">
        <v>5020</v>
      </c>
      <c r="G4194">
        <v>14.25</v>
      </c>
      <c r="H4194">
        <v>3</v>
      </c>
      <c r="I4194">
        <v>5.8</v>
      </c>
      <c r="J4194">
        <v>5.3</v>
      </c>
      <c r="K4194">
        <v>40</v>
      </c>
      <c r="L4194" t="s">
        <v>5027</v>
      </c>
      <c r="M4194">
        <v>5</v>
      </c>
      <c r="N4194">
        <v>2</v>
      </c>
      <c r="O4194">
        <v>1</v>
      </c>
    </row>
    <row r="4195" spans="1:15" x14ac:dyDescent="0.3">
      <c r="A4195" t="s">
        <v>4208</v>
      </c>
      <c r="B4195">
        <v>6</v>
      </c>
      <c r="C4195">
        <v>27</v>
      </c>
      <c r="D4195" t="s">
        <v>5016</v>
      </c>
      <c r="E4195" t="s">
        <v>5019</v>
      </c>
      <c r="F4195" t="s">
        <v>5020</v>
      </c>
      <c r="G4195">
        <v>9.08</v>
      </c>
      <c r="H4195">
        <v>4</v>
      </c>
      <c r="I4195">
        <v>2.2000000000000002</v>
      </c>
      <c r="J4195">
        <v>9.41</v>
      </c>
      <c r="K4195">
        <v>20.8</v>
      </c>
      <c r="L4195" t="s">
        <v>5027</v>
      </c>
      <c r="M4195">
        <v>9</v>
      </c>
      <c r="N4195">
        <v>3</v>
      </c>
      <c r="O4195">
        <v>0</v>
      </c>
    </row>
    <row r="4196" spans="1:15" x14ac:dyDescent="0.3">
      <c r="A4196" t="s">
        <v>4209</v>
      </c>
      <c r="B4196">
        <v>11</v>
      </c>
      <c r="C4196">
        <v>26</v>
      </c>
      <c r="D4196" t="s">
        <v>5015</v>
      </c>
      <c r="E4196" t="s">
        <v>5018</v>
      </c>
      <c r="F4196" t="s">
        <v>5020</v>
      </c>
      <c r="G4196">
        <v>5.48</v>
      </c>
      <c r="H4196">
        <v>1</v>
      </c>
      <c r="I4196">
        <v>8.1999999999999993</v>
      </c>
      <c r="J4196">
        <v>11.86</v>
      </c>
      <c r="K4196">
        <v>24.4</v>
      </c>
      <c r="L4196" t="s">
        <v>5027</v>
      </c>
      <c r="M4196">
        <v>9</v>
      </c>
      <c r="N4196">
        <v>0</v>
      </c>
      <c r="O4196">
        <v>0</v>
      </c>
    </row>
    <row r="4197" spans="1:15" x14ac:dyDescent="0.3">
      <c r="A4197" t="s">
        <v>4210</v>
      </c>
      <c r="B4197">
        <v>2</v>
      </c>
      <c r="C4197">
        <v>32</v>
      </c>
      <c r="D4197" t="s">
        <v>5016</v>
      </c>
      <c r="E4197" t="s">
        <v>5018</v>
      </c>
      <c r="F4197" t="s">
        <v>5020</v>
      </c>
      <c r="G4197">
        <v>16.18</v>
      </c>
      <c r="H4197">
        <v>3</v>
      </c>
      <c r="I4197">
        <v>7.1</v>
      </c>
      <c r="J4197">
        <v>18.18</v>
      </c>
      <c r="K4197">
        <v>81.8</v>
      </c>
      <c r="L4197" t="s">
        <v>5025</v>
      </c>
      <c r="M4197">
        <v>11</v>
      </c>
      <c r="N4197">
        <v>1</v>
      </c>
      <c r="O4197">
        <v>0</v>
      </c>
    </row>
    <row r="4198" spans="1:15" x14ac:dyDescent="0.3">
      <c r="A4198" t="s">
        <v>4211</v>
      </c>
      <c r="B4198">
        <v>10</v>
      </c>
      <c r="C4198">
        <v>69</v>
      </c>
      <c r="D4198" t="s">
        <v>5015</v>
      </c>
      <c r="E4198" t="s">
        <v>5017</v>
      </c>
      <c r="F4198" t="s">
        <v>5020</v>
      </c>
      <c r="G4198">
        <v>8.2200000000000006</v>
      </c>
      <c r="H4198">
        <v>2</v>
      </c>
      <c r="I4198">
        <v>7.9</v>
      </c>
      <c r="J4198">
        <v>23.67</v>
      </c>
      <c r="K4198">
        <v>18.8</v>
      </c>
      <c r="L4198" t="s">
        <v>5026</v>
      </c>
      <c r="M4198">
        <v>4</v>
      </c>
      <c r="N4198">
        <v>2</v>
      </c>
      <c r="O4198">
        <v>0</v>
      </c>
    </row>
    <row r="4199" spans="1:15" x14ac:dyDescent="0.3">
      <c r="A4199" t="s">
        <v>4212</v>
      </c>
      <c r="B4199">
        <v>5</v>
      </c>
      <c r="C4199">
        <v>19</v>
      </c>
      <c r="D4199" t="s">
        <v>5016</v>
      </c>
      <c r="E4199" t="s">
        <v>5018</v>
      </c>
      <c r="F4199" t="s">
        <v>5023</v>
      </c>
      <c r="G4199">
        <v>8.74</v>
      </c>
      <c r="H4199">
        <v>5</v>
      </c>
      <c r="I4199">
        <v>4.5999999999999996</v>
      </c>
      <c r="J4199">
        <v>20.8</v>
      </c>
      <c r="K4199">
        <v>81.8</v>
      </c>
      <c r="L4199" t="s">
        <v>5028</v>
      </c>
      <c r="M4199">
        <v>10</v>
      </c>
      <c r="N4199">
        <v>0</v>
      </c>
      <c r="O4199">
        <v>0</v>
      </c>
    </row>
    <row r="4200" spans="1:15" x14ac:dyDescent="0.3">
      <c r="A4200" t="s">
        <v>4213</v>
      </c>
      <c r="B4200">
        <v>5</v>
      </c>
      <c r="C4200">
        <v>42</v>
      </c>
      <c r="D4200" t="s">
        <v>5016</v>
      </c>
      <c r="E4200" t="s">
        <v>5017</v>
      </c>
      <c r="F4200" t="s">
        <v>5024</v>
      </c>
      <c r="G4200">
        <v>13.73</v>
      </c>
      <c r="H4200">
        <v>5</v>
      </c>
      <c r="I4200">
        <v>8.5</v>
      </c>
      <c r="J4200">
        <v>8.86</v>
      </c>
      <c r="K4200">
        <v>29.1</v>
      </c>
      <c r="L4200" t="s">
        <v>5029</v>
      </c>
      <c r="M4200">
        <v>2</v>
      </c>
      <c r="N4200">
        <v>1</v>
      </c>
      <c r="O4200">
        <v>1</v>
      </c>
    </row>
    <row r="4201" spans="1:15" x14ac:dyDescent="0.3">
      <c r="A4201" t="s">
        <v>4214</v>
      </c>
      <c r="B4201">
        <v>6</v>
      </c>
      <c r="C4201">
        <v>30</v>
      </c>
      <c r="D4201" t="s">
        <v>5015</v>
      </c>
      <c r="E4201" t="s">
        <v>5017</v>
      </c>
      <c r="F4201" t="s">
        <v>5023</v>
      </c>
      <c r="G4201">
        <v>13.84</v>
      </c>
      <c r="H4201">
        <v>4</v>
      </c>
      <c r="I4201">
        <v>5.4</v>
      </c>
      <c r="J4201">
        <v>21.05</v>
      </c>
      <c r="K4201">
        <v>71.099999999999994</v>
      </c>
      <c r="L4201" t="s">
        <v>5027</v>
      </c>
      <c r="M4201">
        <v>9</v>
      </c>
      <c r="N4201">
        <v>1</v>
      </c>
      <c r="O4201">
        <v>0</v>
      </c>
    </row>
    <row r="4202" spans="1:15" x14ac:dyDescent="0.3">
      <c r="A4202" t="s">
        <v>4215</v>
      </c>
      <c r="B4202">
        <v>6</v>
      </c>
      <c r="C4202">
        <v>51</v>
      </c>
      <c r="D4202" t="s">
        <v>5016</v>
      </c>
      <c r="E4202" t="s">
        <v>5019</v>
      </c>
      <c r="F4202" t="s">
        <v>5024</v>
      </c>
      <c r="G4202">
        <v>10.49</v>
      </c>
      <c r="H4202">
        <v>3</v>
      </c>
      <c r="I4202">
        <v>1.9</v>
      </c>
      <c r="J4202">
        <v>12.06</v>
      </c>
      <c r="K4202">
        <v>66.099999999999994</v>
      </c>
      <c r="L4202" t="s">
        <v>5025</v>
      </c>
      <c r="M4202">
        <v>11</v>
      </c>
      <c r="N4202">
        <v>4</v>
      </c>
      <c r="O4202">
        <v>0</v>
      </c>
    </row>
    <row r="4203" spans="1:15" x14ac:dyDescent="0.3">
      <c r="A4203" t="s">
        <v>4216</v>
      </c>
      <c r="B4203">
        <v>6</v>
      </c>
      <c r="C4203">
        <v>68</v>
      </c>
      <c r="D4203" t="s">
        <v>5016</v>
      </c>
      <c r="E4203" t="s">
        <v>5019</v>
      </c>
      <c r="F4203" t="s">
        <v>5023</v>
      </c>
      <c r="G4203">
        <v>7.64</v>
      </c>
      <c r="H4203">
        <v>5</v>
      </c>
      <c r="I4203">
        <v>3</v>
      </c>
      <c r="J4203">
        <v>6.86</v>
      </c>
      <c r="K4203">
        <v>18.8</v>
      </c>
      <c r="L4203" t="s">
        <v>5028</v>
      </c>
      <c r="M4203">
        <v>4</v>
      </c>
      <c r="N4203">
        <v>1</v>
      </c>
      <c r="O4203">
        <v>0</v>
      </c>
    </row>
    <row r="4204" spans="1:15" x14ac:dyDescent="0.3">
      <c r="A4204" t="s">
        <v>4217</v>
      </c>
      <c r="B4204">
        <v>2</v>
      </c>
      <c r="C4204">
        <v>51</v>
      </c>
      <c r="D4204" t="s">
        <v>5015</v>
      </c>
      <c r="E4204" t="s">
        <v>5017</v>
      </c>
      <c r="F4204" t="s">
        <v>5020</v>
      </c>
      <c r="G4204">
        <v>23.9</v>
      </c>
      <c r="H4204">
        <v>3</v>
      </c>
      <c r="I4204">
        <v>7.4</v>
      </c>
      <c r="J4204">
        <v>13.15</v>
      </c>
      <c r="K4204">
        <v>69.900000000000006</v>
      </c>
      <c r="L4204" t="s">
        <v>5027</v>
      </c>
      <c r="M4204">
        <v>3</v>
      </c>
      <c r="N4204">
        <v>0</v>
      </c>
      <c r="O4204">
        <v>0</v>
      </c>
    </row>
    <row r="4205" spans="1:15" x14ac:dyDescent="0.3">
      <c r="A4205" t="s">
        <v>4218</v>
      </c>
      <c r="B4205">
        <v>10</v>
      </c>
      <c r="C4205">
        <v>52</v>
      </c>
      <c r="D4205" t="s">
        <v>5015</v>
      </c>
      <c r="E4205" t="s">
        <v>5017</v>
      </c>
      <c r="F4205" t="s">
        <v>5021</v>
      </c>
      <c r="G4205">
        <v>7.63</v>
      </c>
      <c r="H4205">
        <v>4</v>
      </c>
      <c r="I4205">
        <v>9.1</v>
      </c>
      <c r="J4205">
        <v>15.39</v>
      </c>
      <c r="K4205">
        <v>50.3</v>
      </c>
      <c r="L4205" t="s">
        <v>5025</v>
      </c>
      <c r="M4205">
        <v>3</v>
      </c>
      <c r="N4205">
        <v>0</v>
      </c>
      <c r="O4205">
        <v>1</v>
      </c>
    </row>
    <row r="4206" spans="1:15" x14ac:dyDescent="0.3">
      <c r="A4206" t="s">
        <v>4219</v>
      </c>
      <c r="B4206">
        <v>3</v>
      </c>
      <c r="C4206">
        <v>55</v>
      </c>
      <c r="D4206" t="s">
        <v>5015</v>
      </c>
      <c r="E4206" t="s">
        <v>5018</v>
      </c>
      <c r="F4206" t="s">
        <v>5024</v>
      </c>
      <c r="G4206">
        <v>12.02</v>
      </c>
      <c r="H4206">
        <v>1</v>
      </c>
      <c r="I4206">
        <v>1.9</v>
      </c>
      <c r="J4206">
        <v>19.79</v>
      </c>
      <c r="K4206">
        <v>73.599999999999994</v>
      </c>
      <c r="L4206" t="s">
        <v>5028</v>
      </c>
      <c r="M4206">
        <v>7</v>
      </c>
      <c r="N4206">
        <v>3</v>
      </c>
      <c r="O4206">
        <v>0</v>
      </c>
    </row>
    <row r="4207" spans="1:15" x14ac:dyDescent="0.3">
      <c r="A4207" t="s">
        <v>4220</v>
      </c>
      <c r="B4207">
        <v>6</v>
      </c>
      <c r="C4207">
        <v>20</v>
      </c>
      <c r="D4207" t="s">
        <v>5015</v>
      </c>
      <c r="E4207" t="s">
        <v>5018</v>
      </c>
      <c r="F4207" t="s">
        <v>5021</v>
      </c>
      <c r="G4207">
        <v>11.1</v>
      </c>
      <c r="H4207">
        <v>5</v>
      </c>
      <c r="I4207">
        <v>8.8000000000000007</v>
      </c>
      <c r="J4207">
        <v>10.7</v>
      </c>
      <c r="K4207">
        <v>85.2</v>
      </c>
      <c r="L4207" t="s">
        <v>5028</v>
      </c>
      <c r="M4207">
        <v>2</v>
      </c>
      <c r="N4207">
        <v>0</v>
      </c>
      <c r="O4207">
        <v>0</v>
      </c>
    </row>
    <row r="4208" spans="1:15" x14ac:dyDescent="0.3">
      <c r="A4208" t="s">
        <v>4221</v>
      </c>
      <c r="B4208">
        <v>8</v>
      </c>
      <c r="C4208">
        <v>59</v>
      </c>
      <c r="D4208" t="s">
        <v>5016</v>
      </c>
      <c r="E4208" t="s">
        <v>5017</v>
      </c>
      <c r="F4208" t="s">
        <v>5020</v>
      </c>
      <c r="G4208">
        <v>22.33</v>
      </c>
      <c r="H4208">
        <v>2</v>
      </c>
      <c r="I4208">
        <v>8.1999999999999993</v>
      </c>
      <c r="J4208">
        <v>6.23</v>
      </c>
      <c r="K4208">
        <v>13.6</v>
      </c>
      <c r="L4208" t="s">
        <v>5029</v>
      </c>
      <c r="M4208">
        <v>5</v>
      </c>
      <c r="N4208">
        <v>2</v>
      </c>
      <c r="O4208">
        <v>0</v>
      </c>
    </row>
    <row r="4209" spans="1:15" x14ac:dyDescent="0.3">
      <c r="A4209" t="s">
        <v>4222</v>
      </c>
      <c r="B4209">
        <v>12</v>
      </c>
      <c r="C4209">
        <v>23</v>
      </c>
      <c r="D4209" t="s">
        <v>5016</v>
      </c>
      <c r="E4209" t="s">
        <v>5018</v>
      </c>
      <c r="F4209" t="s">
        <v>5024</v>
      </c>
      <c r="G4209">
        <v>13.2</v>
      </c>
      <c r="H4209">
        <v>4</v>
      </c>
      <c r="I4209">
        <v>4.2</v>
      </c>
      <c r="J4209">
        <v>5.08</v>
      </c>
      <c r="K4209">
        <v>68.3</v>
      </c>
      <c r="L4209" t="s">
        <v>5029</v>
      </c>
      <c r="M4209">
        <v>2</v>
      </c>
      <c r="N4209">
        <v>2</v>
      </c>
      <c r="O4209">
        <v>0</v>
      </c>
    </row>
    <row r="4210" spans="1:15" x14ac:dyDescent="0.3">
      <c r="A4210" t="s">
        <v>4223</v>
      </c>
      <c r="B4210">
        <v>11</v>
      </c>
      <c r="C4210">
        <v>65</v>
      </c>
      <c r="D4210" t="s">
        <v>5016</v>
      </c>
      <c r="E4210" t="s">
        <v>5017</v>
      </c>
      <c r="F4210" t="s">
        <v>5021</v>
      </c>
      <c r="G4210">
        <v>7.48</v>
      </c>
      <c r="H4210">
        <v>1</v>
      </c>
      <c r="I4210">
        <v>7.2</v>
      </c>
      <c r="J4210">
        <v>5.47</v>
      </c>
      <c r="K4210">
        <v>19.399999999999999</v>
      </c>
      <c r="L4210" t="s">
        <v>5028</v>
      </c>
      <c r="M4210">
        <v>7</v>
      </c>
      <c r="N4210">
        <v>1</v>
      </c>
      <c r="O4210">
        <v>1</v>
      </c>
    </row>
    <row r="4211" spans="1:15" x14ac:dyDescent="0.3">
      <c r="A4211" t="s">
        <v>4224</v>
      </c>
      <c r="B4211">
        <v>12</v>
      </c>
      <c r="C4211">
        <v>66</v>
      </c>
      <c r="D4211" t="s">
        <v>5016</v>
      </c>
      <c r="E4211" t="s">
        <v>5019</v>
      </c>
      <c r="F4211" t="s">
        <v>5023</v>
      </c>
      <c r="G4211">
        <v>5.21</v>
      </c>
      <c r="H4211">
        <v>2</v>
      </c>
      <c r="I4211">
        <v>2.7</v>
      </c>
      <c r="J4211">
        <v>23.9</v>
      </c>
      <c r="K4211">
        <v>44.1</v>
      </c>
      <c r="L4211" t="s">
        <v>5025</v>
      </c>
      <c r="M4211">
        <v>7</v>
      </c>
      <c r="N4211">
        <v>3</v>
      </c>
      <c r="O4211">
        <v>1</v>
      </c>
    </row>
    <row r="4212" spans="1:15" x14ac:dyDescent="0.3">
      <c r="A4212" t="s">
        <v>4225</v>
      </c>
      <c r="B4212">
        <v>1</v>
      </c>
      <c r="C4212">
        <v>36</v>
      </c>
      <c r="D4212" t="s">
        <v>5016</v>
      </c>
      <c r="E4212" t="s">
        <v>5019</v>
      </c>
      <c r="F4212" t="s">
        <v>5020</v>
      </c>
      <c r="G4212">
        <v>19.440000000000001</v>
      </c>
      <c r="H4212">
        <v>2</v>
      </c>
      <c r="I4212">
        <v>8.3000000000000007</v>
      </c>
      <c r="J4212">
        <v>23.94</v>
      </c>
      <c r="K4212">
        <v>11.1</v>
      </c>
      <c r="L4212" t="s">
        <v>5027</v>
      </c>
      <c r="M4212">
        <v>3</v>
      </c>
      <c r="N4212">
        <v>1</v>
      </c>
      <c r="O4212">
        <v>0</v>
      </c>
    </row>
    <row r="4213" spans="1:15" x14ac:dyDescent="0.3">
      <c r="A4213" t="s">
        <v>4226</v>
      </c>
      <c r="B4213">
        <v>1</v>
      </c>
      <c r="C4213">
        <v>20</v>
      </c>
      <c r="D4213" t="s">
        <v>5016</v>
      </c>
      <c r="E4213" t="s">
        <v>5018</v>
      </c>
      <c r="F4213" t="s">
        <v>5023</v>
      </c>
      <c r="G4213">
        <v>19.29</v>
      </c>
      <c r="H4213">
        <v>5</v>
      </c>
      <c r="I4213">
        <v>6.9</v>
      </c>
      <c r="J4213">
        <v>24.31</v>
      </c>
      <c r="K4213">
        <v>39.6</v>
      </c>
      <c r="L4213" t="s">
        <v>5027</v>
      </c>
      <c r="M4213">
        <v>3</v>
      </c>
      <c r="N4213">
        <v>3</v>
      </c>
      <c r="O4213">
        <v>1</v>
      </c>
    </row>
    <row r="4214" spans="1:15" x14ac:dyDescent="0.3">
      <c r="A4214" t="s">
        <v>4227</v>
      </c>
      <c r="B4214">
        <v>11</v>
      </c>
      <c r="C4214">
        <v>35</v>
      </c>
      <c r="D4214" t="s">
        <v>5015</v>
      </c>
      <c r="E4214" t="s">
        <v>5018</v>
      </c>
      <c r="F4214" t="s">
        <v>5023</v>
      </c>
      <c r="G4214">
        <v>13.36</v>
      </c>
      <c r="H4214">
        <v>3</v>
      </c>
      <c r="I4214">
        <v>4.9000000000000004</v>
      </c>
      <c r="J4214">
        <v>9.65</v>
      </c>
      <c r="K4214">
        <v>25.2</v>
      </c>
      <c r="L4214" t="s">
        <v>5028</v>
      </c>
      <c r="M4214">
        <v>8</v>
      </c>
      <c r="N4214">
        <v>4</v>
      </c>
      <c r="O4214">
        <v>0</v>
      </c>
    </row>
    <row r="4215" spans="1:15" x14ac:dyDescent="0.3">
      <c r="A4215" t="s">
        <v>4228</v>
      </c>
      <c r="B4215">
        <v>2</v>
      </c>
      <c r="C4215">
        <v>56</v>
      </c>
      <c r="D4215" t="s">
        <v>5016</v>
      </c>
      <c r="E4215" t="s">
        <v>5019</v>
      </c>
      <c r="F4215" t="s">
        <v>5020</v>
      </c>
      <c r="G4215">
        <v>7.53</v>
      </c>
      <c r="H4215">
        <v>4</v>
      </c>
      <c r="I4215">
        <v>8.8000000000000007</v>
      </c>
      <c r="J4215">
        <v>7.22</v>
      </c>
      <c r="K4215">
        <v>60.1</v>
      </c>
      <c r="L4215" t="s">
        <v>5027</v>
      </c>
      <c r="M4215">
        <v>7</v>
      </c>
      <c r="N4215">
        <v>3</v>
      </c>
      <c r="O4215">
        <v>0</v>
      </c>
    </row>
    <row r="4216" spans="1:15" x14ac:dyDescent="0.3">
      <c r="A4216" t="s">
        <v>4229</v>
      </c>
      <c r="B4216">
        <v>11</v>
      </c>
      <c r="C4216">
        <v>26</v>
      </c>
      <c r="D4216" t="s">
        <v>5016</v>
      </c>
      <c r="E4216" t="s">
        <v>5019</v>
      </c>
      <c r="F4216" t="s">
        <v>5024</v>
      </c>
      <c r="G4216">
        <v>12.43</v>
      </c>
      <c r="H4216">
        <v>2</v>
      </c>
      <c r="I4216">
        <v>2.2999999999999998</v>
      </c>
      <c r="J4216">
        <v>24.58</v>
      </c>
      <c r="K4216">
        <v>56.1</v>
      </c>
      <c r="L4216" t="s">
        <v>5029</v>
      </c>
      <c r="M4216">
        <v>4</v>
      </c>
      <c r="N4216">
        <v>4</v>
      </c>
      <c r="O4216">
        <v>0</v>
      </c>
    </row>
    <row r="4217" spans="1:15" x14ac:dyDescent="0.3">
      <c r="A4217" t="s">
        <v>4230</v>
      </c>
      <c r="B4217">
        <v>12</v>
      </c>
      <c r="C4217">
        <v>69</v>
      </c>
      <c r="D4217" t="s">
        <v>5016</v>
      </c>
      <c r="E4217" t="s">
        <v>5017</v>
      </c>
      <c r="F4217" t="s">
        <v>5022</v>
      </c>
      <c r="G4217">
        <v>16.8</v>
      </c>
      <c r="H4217">
        <v>5</v>
      </c>
      <c r="I4217">
        <v>8.6</v>
      </c>
      <c r="J4217">
        <v>24.74</v>
      </c>
      <c r="K4217">
        <v>81.400000000000006</v>
      </c>
      <c r="L4217" t="s">
        <v>5027</v>
      </c>
      <c r="M4217">
        <v>2</v>
      </c>
      <c r="N4217">
        <v>4</v>
      </c>
      <c r="O4217">
        <v>1</v>
      </c>
    </row>
    <row r="4218" spans="1:15" x14ac:dyDescent="0.3">
      <c r="A4218" t="s">
        <v>4231</v>
      </c>
      <c r="B4218">
        <v>12</v>
      </c>
      <c r="C4218">
        <v>29</v>
      </c>
      <c r="D4218" t="s">
        <v>5015</v>
      </c>
      <c r="E4218" t="s">
        <v>5017</v>
      </c>
      <c r="F4218" t="s">
        <v>5022</v>
      </c>
      <c r="G4218">
        <v>19.079999999999998</v>
      </c>
      <c r="H4218">
        <v>1</v>
      </c>
      <c r="I4218">
        <v>1.2</v>
      </c>
      <c r="J4218">
        <v>4.72</v>
      </c>
      <c r="K4218">
        <v>67.599999999999994</v>
      </c>
      <c r="L4218" t="s">
        <v>5026</v>
      </c>
      <c r="M4218">
        <v>3</v>
      </c>
      <c r="N4218">
        <v>1</v>
      </c>
      <c r="O4218">
        <v>0</v>
      </c>
    </row>
    <row r="4219" spans="1:15" x14ac:dyDescent="0.3">
      <c r="A4219" t="s">
        <v>4232</v>
      </c>
      <c r="B4219">
        <v>6</v>
      </c>
      <c r="C4219">
        <v>22</v>
      </c>
      <c r="D4219" t="s">
        <v>5015</v>
      </c>
      <c r="E4219" t="s">
        <v>5018</v>
      </c>
      <c r="F4219" t="s">
        <v>5020</v>
      </c>
      <c r="G4219">
        <v>6.56</v>
      </c>
      <c r="H4219">
        <v>2</v>
      </c>
      <c r="I4219">
        <v>7.8</v>
      </c>
      <c r="J4219">
        <v>19.559999999999999</v>
      </c>
      <c r="K4219">
        <v>74.3</v>
      </c>
      <c r="L4219" t="s">
        <v>5029</v>
      </c>
      <c r="M4219">
        <v>11</v>
      </c>
      <c r="N4219">
        <v>2</v>
      </c>
      <c r="O4219">
        <v>0</v>
      </c>
    </row>
    <row r="4220" spans="1:15" x14ac:dyDescent="0.3">
      <c r="A4220" t="s">
        <v>4233</v>
      </c>
      <c r="B4220">
        <v>9</v>
      </c>
      <c r="C4220">
        <v>20</v>
      </c>
      <c r="D4220" t="s">
        <v>5015</v>
      </c>
      <c r="E4220" t="s">
        <v>5017</v>
      </c>
      <c r="F4220" t="s">
        <v>5022</v>
      </c>
      <c r="G4220">
        <v>16.13</v>
      </c>
      <c r="H4220">
        <v>1</v>
      </c>
      <c r="I4220">
        <v>6.2</v>
      </c>
      <c r="J4220">
        <v>9.35</v>
      </c>
      <c r="K4220">
        <v>18.3</v>
      </c>
      <c r="L4220" t="s">
        <v>5029</v>
      </c>
      <c r="M4220">
        <v>11</v>
      </c>
      <c r="N4220">
        <v>3</v>
      </c>
      <c r="O4220">
        <v>0</v>
      </c>
    </row>
    <row r="4221" spans="1:15" x14ac:dyDescent="0.3">
      <c r="A4221" t="s">
        <v>4234</v>
      </c>
      <c r="B4221">
        <v>4</v>
      </c>
      <c r="C4221">
        <v>28</v>
      </c>
      <c r="D4221" t="s">
        <v>5015</v>
      </c>
      <c r="E4221" t="s">
        <v>5018</v>
      </c>
      <c r="F4221" t="s">
        <v>5021</v>
      </c>
      <c r="G4221">
        <v>10.52</v>
      </c>
      <c r="H4221">
        <v>4</v>
      </c>
      <c r="I4221">
        <v>7.3</v>
      </c>
      <c r="J4221">
        <v>23</v>
      </c>
      <c r="K4221">
        <v>12.5</v>
      </c>
      <c r="L4221" t="s">
        <v>5028</v>
      </c>
      <c r="M4221">
        <v>11</v>
      </c>
      <c r="N4221">
        <v>1</v>
      </c>
      <c r="O4221">
        <v>1</v>
      </c>
    </row>
    <row r="4222" spans="1:15" x14ac:dyDescent="0.3">
      <c r="A4222" t="s">
        <v>4235</v>
      </c>
      <c r="B4222">
        <v>3</v>
      </c>
      <c r="C4222">
        <v>47</v>
      </c>
      <c r="D4222" t="s">
        <v>5016</v>
      </c>
      <c r="E4222" t="s">
        <v>5018</v>
      </c>
      <c r="F4222" t="s">
        <v>5024</v>
      </c>
      <c r="G4222">
        <v>17.350000000000001</v>
      </c>
      <c r="H4222">
        <v>5</v>
      </c>
      <c r="I4222">
        <v>4.7</v>
      </c>
      <c r="J4222">
        <v>4.96</v>
      </c>
      <c r="K4222">
        <v>97.3</v>
      </c>
      <c r="L4222" t="s">
        <v>5028</v>
      </c>
      <c r="M4222">
        <v>3</v>
      </c>
      <c r="N4222">
        <v>4</v>
      </c>
      <c r="O4222">
        <v>0</v>
      </c>
    </row>
    <row r="4223" spans="1:15" x14ac:dyDescent="0.3">
      <c r="A4223" t="s">
        <v>4236</v>
      </c>
      <c r="B4223">
        <v>12</v>
      </c>
      <c r="C4223">
        <v>21</v>
      </c>
      <c r="D4223" t="s">
        <v>5016</v>
      </c>
      <c r="E4223" t="s">
        <v>5018</v>
      </c>
      <c r="F4223" t="s">
        <v>5023</v>
      </c>
      <c r="G4223">
        <v>17.96</v>
      </c>
      <c r="H4223">
        <v>1</v>
      </c>
      <c r="I4223">
        <v>8.8000000000000007</v>
      </c>
      <c r="J4223">
        <v>22.55</v>
      </c>
      <c r="K4223">
        <v>48.4</v>
      </c>
      <c r="L4223" t="s">
        <v>5027</v>
      </c>
      <c r="M4223">
        <v>5</v>
      </c>
      <c r="N4223">
        <v>4</v>
      </c>
      <c r="O4223">
        <v>0</v>
      </c>
    </row>
    <row r="4224" spans="1:15" x14ac:dyDescent="0.3">
      <c r="A4224" t="s">
        <v>4237</v>
      </c>
      <c r="B4224">
        <v>8</v>
      </c>
      <c r="C4224">
        <v>22</v>
      </c>
      <c r="D4224" t="s">
        <v>5016</v>
      </c>
      <c r="E4224" t="s">
        <v>5018</v>
      </c>
      <c r="F4224" t="s">
        <v>5023</v>
      </c>
      <c r="G4224">
        <v>23.21</v>
      </c>
      <c r="H4224">
        <v>3</v>
      </c>
      <c r="I4224">
        <v>3.8</v>
      </c>
      <c r="J4224">
        <v>3.06</v>
      </c>
      <c r="K4224">
        <v>45.5</v>
      </c>
      <c r="L4224" t="s">
        <v>5027</v>
      </c>
      <c r="M4224">
        <v>7</v>
      </c>
      <c r="N4224">
        <v>0</v>
      </c>
      <c r="O4224">
        <v>0</v>
      </c>
    </row>
    <row r="4225" spans="1:15" x14ac:dyDescent="0.3">
      <c r="A4225" t="s">
        <v>4238</v>
      </c>
      <c r="B4225">
        <v>11</v>
      </c>
      <c r="C4225">
        <v>18</v>
      </c>
      <c r="D4225" t="s">
        <v>5015</v>
      </c>
      <c r="E4225" t="s">
        <v>5018</v>
      </c>
      <c r="F4225" t="s">
        <v>5020</v>
      </c>
      <c r="G4225">
        <v>13.21</v>
      </c>
      <c r="H4225">
        <v>1</v>
      </c>
      <c r="I4225">
        <v>3.5</v>
      </c>
      <c r="J4225">
        <v>14.48</v>
      </c>
      <c r="K4225">
        <v>13.2</v>
      </c>
      <c r="L4225" t="s">
        <v>5028</v>
      </c>
      <c r="M4225">
        <v>4</v>
      </c>
      <c r="N4225">
        <v>0</v>
      </c>
      <c r="O4225">
        <v>0</v>
      </c>
    </row>
    <row r="4226" spans="1:15" x14ac:dyDescent="0.3">
      <c r="A4226" t="s">
        <v>4239</v>
      </c>
      <c r="B4226">
        <v>10</v>
      </c>
      <c r="C4226">
        <v>44</v>
      </c>
      <c r="D4226" t="s">
        <v>5016</v>
      </c>
      <c r="E4226" t="s">
        <v>5019</v>
      </c>
      <c r="F4226" t="s">
        <v>5023</v>
      </c>
      <c r="G4226">
        <v>15.75</v>
      </c>
      <c r="H4226">
        <v>1</v>
      </c>
      <c r="I4226">
        <v>3.7</v>
      </c>
      <c r="J4226">
        <v>10.38</v>
      </c>
      <c r="K4226">
        <v>20.7</v>
      </c>
      <c r="L4226" t="s">
        <v>5025</v>
      </c>
      <c r="M4226">
        <v>1</v>
      </c>
      <c r="N4226">
        <v>3</v>
      </c>
      <c r="O4226">
        <v>0</v>
      </c>
    </row>
    <row r="4227" spans="1:15" x14ac:dyDescent="0.3">
      <c r="A4227" t="s">
        <v>4240</v>
      </c>
      <c r="B4227">
        <v>9</v>
      </c>
      <c r="C4227">
        <v>45</v>
      </c>
      <c r="D4227" t="s">
        <v>5016</v>
      </c>
      <c r="E4227" t="s">
        <v>5017</v>
      </c>
      <c r="F4227" t="s">
        <v>5021</v>
      </c>
      <c r="G4227">
        <v>10.36</v>
      </c>
      <c r="H4227">
        <v>5</v>
      </c>
      <c r="I4227">
        <v>8</v>
      </c>
      <c r="J4227">
        <v>12.4</v>
      </c>
      <c r="K4227">
        <v>94.6</v>
      </c>
      <c r="L4227" t="s">
        <v>5027</v>
      </c>
      <c r="M4227">
        <v>3</v>
      </c>
      <c r="N4227">
        <v>2</v>
      </c>
      <c r="O4227">
        <v>0</v>
      </c>
    </row>
    <row r="4228" spans="1:15" x14ac:dyDescent="0.3">
      <c r="A4228" t="s">
        <v>4241</v>
      </c>
      <c r="B4228">
        <v>12</v>
      </c>
      <c r="C4228">
        <v>46</v>
      </c>
      <c r="D4228" t="s">
        <v>5016</v>
      </c>
      <c r="E4228" t="s">
        <v>5018</v>
      </c>
      <c r="F4228" t="s">
        <v>5021</v>
      </c>
      <c r="G4228">
        <v>10.73</v>
      </c>
      <c r="H4228">
        <v>5</v>
      </c>
      <c r="I4228">
        <v>5.5</v>
      </c>
      <c r="J4228">
        <v>12.54</v>
      </c>
      <c r="K4228">
        <v>72.5</v>
      </c>
      <c r="L4228" t="s">
        <v>5025</v>
      </c>
      <c r="M4228">
        <v>3</v>
      </c>
      <c r="N4228">
        <v>0</v>
      </c>
      <c r="O4228">
        <v>0</v>
      </c>
    </row>
    <row r="4229" spans="1:15" x14ac:dyDescent="0.3">
      <c r="A4229" t="s">
        <v>4242</v>
      </c>
      <c r="B4229">
        <v>11</v>
      </c>
      <c r="C4229">
        <v>35</v>
      </c>
      <c r="D4229" t="s">
        <v>5015</v>
      </c>
      <c r="E4229" t="s">
        <v>5017</v>
      </c>
      <c r="F4229" t="s">
        <v>5020</v>
      </c>
      <c r="G4229">
        <v>5.92</v>
      </c>
      <c r="H4229">
        <v>2</v>
      </c>
      <c r="I4229">
        <v>5.8</v>
      </c>
      <c r="J4229">
        <v>17.38</v>
      </c>
      <c r="K4229">
        <v>46.8</v>
      </c>
      <c r="L4229" t="s">
        <v>5029</v>
      </c>
      <c r="M4229">
        <v>1</v>
      </c>
      <c r="N4229">
        <v>4</v>
      </c>
      <c r="O4229">
        <v>0</v>
      </c>
    </row>
    <row r="4230" spans="1:15" x14ac:dyDescent="0.3">
      <c r="A4230" t="s">
        <v>4243</v>
      </c>
      <c r="B4230">
        <v>5</v>
      </c>
      <c r="C4230">
        <v>29</v>
      </c>
      <c r="D4230" t="s">
        <v>5015</v>
      </c>
      <c r="E4230" t="s">
        <v>5017</v>
      </c>
      <c r="F4230" t="s">
        <v>5023</v>
      </c>
      <c r="G4230">
        <v>10.72</v>
      </c>
      <c r="H4230">
        <v>1</v>
      </c>
      <c r="I4230">
        <v>8.5</v>
      </c>
      <c r="J4230">
        <v>3.51</v>
      </c>
      <c r="K4230">
        <v>91.4</v>
      </c>
      <c r="L4230" t="s">
        <v>5026</v>
      </c>
      <c r="M4230">
        <v>8</v>
      </c>
      <c r="N4230">
        <v>1</v>
      </c>
      <c r="O4230">
        <v>0</v>
      </c>
    </row>
    <row r="4231" spans="1:15" x14ac:dyDescent="0.3">
      <c r="A4231" t="s">
        <v>4244</v>
      </c>
      <c r="B4231">
        <v>9</v>
      </c>
      <c r="C4231">
        <v>30</v>
      </c>
      <c r="D4231" t="s">
        <v>5015</v>
      </c>
      <c r="E4231" t="s">
        <v>5018</v>
      </c>
      <c r="F4231" t="s">
        <v>5022</v>
      </c>
      <c r="G4231">
        <v>6.28</v>
      </c>
      <c r="H4231">
        <v>1</v>
      </c>
      <c r="I4231">
        <v>8.5</v>
      </c>
      <c r="J4231">
        <v>18.21</v>
      </c>
      <c r="K4231">
        <v>63.1</v>
      </c>
      <c r="L4231" t="s">
        <v>5025</v>
      </c>
      <c r="M4231">
        <v>4</v>
      </c>
      <c r="N4231">
        <v>2</v>
      </c>
      <c r="O4231">
        <v>1</v>
      </c>
    </row>
    <row r="4232" spans="1:15" x14ac:dyDescent="0.3">
      <c r="A4232" t="s">
        <v>4245</v>
      </c>
      <c r="B4232">
        <v>2</v>
      </c>
      <c r="C4232">
        <v>58</v>
      </c>
      <c r="D4232" t="s">
        <v>5016</v>
      </c>
      <c r="E4232" t="s">
        <v>5017</v>
      </c>
      <c r="F4232" t="s">
        <v>5022</v>
      </c>
      <c r="G4232">
        <v>24.28</v>
      </c>
      <c r="H4232">
        <v>5</v>
      </c>
      <c r="I4232">
        <v>2.5</v>
      </c>
      <c r="J4232">
        <v>3.49</v>
      </c>
      <c r="K4232">
        <v>77.2</v>
      </c>
      <c r="L4232" t="s">
        <v>5027</v>
      </c>
      <c r="M4232">
        <v>5</v>
      </c>
      <c r="N4232">
        <v>3</v>
      </c>
      <c r="O4232">
        <v>0</v>
      </c>
    </row>
    <row r="4233" spans="1:15" x14ac:dyDescent="0.3">
      <c r="A4233" t="s">
        <v>4246</v>
      </c>
      <c r="B4233">
        <v>3</v>
      </c>
      <c r="C4233">
        <v>19</v>
      </c>
      <c r="D4233" t="s">
        <v>5016</v>
      </c>
      <c r="E4233" t="s">
        <v>5017</v>
      </c>
      <c r="F4233" t="s">
        <v>5024</v>
      </c>
      <c r="G4233">
        <v>17.489999999999998</v>
      </c>
      <c r="H4233">
        <v>3</v>
      </c>
      <c r="I4233">
        <v>5.9</v>
      </c>
      <c r="J4233">
        <v>7.08</v>
      </c>
      <c r="K4233">
        <v>48.8</v>
      </c>
      <c r="L4233" t="s">
        <v>5028</v>
      </c>
      <c r="M4233">
        <v>3</v>
      </c>
      <c r="N4233">
        <v>1</v>
      </c>
      <c r="O4233">
        <v>0</v>
      </c>
    </row>
    <row r="4234" spans="1:15" x14ac:dyDescent="0.3">
      <c r="A4234" t="s">
        <v>4247</v>
      </c>
      <c r="B4234">
        <v>7</v>
      </c>
      <c r="C4234">
        <v>54</v>
      </c>
      <c r="D4234" t="s">
        <v>5016</v>
      </c>
      <c r="E4234" t="s">
        <v>5017</v>
      </c>
      <c r="F4234" t="s">
        <v>5020</v>
      </c>
      <c r="G4234">
        <v>8.4600000000000009</v>
      </c>
      <c r="H4234">
        <v>5</v>
      </c>
      <c r="I4234">
        <v>2.1</v>
      </c>
      <c r="J4234">
        <v>16.350000000000001</v>
      </c>
      <c r="K4234">
        <v>48.8</v>
      </c>
      <c r="L4234" t="s">
        <v>5028</v>
      </c>
      <c r="M4234">
        <v>4</v>
      </c>
      <c r="N4234">
        <v>3</v>
      </c>
      <c r="O4234">
        <v>0</v>
      </c>
    </row>
    <row r="4235" spans="1:15" x14ac:dyDescent="0.3">
      <c r="A4235" t="s">
        <v>4248</v>
      </c>
      <c r="B4235">
        <v>7</v>
      </c>
      <c r="C4235">
        <v>62</v>
      </c>
      <c r="D4235" t="s">
        <v>5016</v>
      </c>
      <c r="E4235" t="s">
        <v>5018</v>
      </c>
      <c r="F4235" t="s">
        <v>5024</v>
      </c>
      <c r="G4235">
        <v>7.34</v>
      </c>
      <c r="H4235">
        <v>3</v>
      </c>
      <c r="I4235">
        <v>8.8000000000000007</v>
      </c>
      <c r="J4235">
        <v>4.9000000000000004</v>
      </c>
      <c r="K4235">
        <v>16.2</v>
      </c>
      <c r="L4235" t="s">
        <v>5026</v>
      </c>
      <c r="M4235">
        <v>1</v>
      </c>
      <c r="N4235">
        <v>1</v>
      </c>
      <c r="O4235">
        <v>0</v>
      </c>
    </row>
    <row r="4236" spans="1:15" x14ac:dyDescent="0.3">
      <c r="A4236" t="s">
        <v>4249</v>
      </c>
      <c r="B4236">
        <v>6</v>
      </c>
      <c r="C4236">
        <v>33</v>
      </c>
      <c r="D4236" t="s">
        <v>5015</v>
      </c>
      <c r="E4236" t="s">
        <v>5019</v>
      </c>
      <c r="F4236" t="s">
        <v>5022</v>
      </c>
      <c r="G4236">
        <v>12.4</v>
      </c>
      <c r="H4236">
        <v>5</v>
      </c>
      <c r="I4236">
        <v>8.5</v>
      </c>
      <c r="J4236">
        <v>24.8</v>
      </c>
      <c r="K4236">
        <v>76.099999999999994</v>
      </c>
      <c r="L4236" t="s">
        <v>5026</v>
      </c>
      <c r="M4236">
        <v>4</v>
      </c>
      <c r="N4236">
        <v>1</v>
      </c>
      <c r="O4236">
        <v>0</v>
      </c>
    </row>
    <row r="4237" spans="1:15" x14ac:dyDescent="0.3">
      <c r="A4237" t="s">
        <v>4250</v>
      </c>
      <c r="B4237">
        <v>6</v>
      </c>
      <c r="C4237">
        <v>65</v>
      </c>
      <c r="D4237" t="s">
        <v>5016</v>
      </c>
      <c r="E4237" t="s">
        <v>5017</v>
      </c>
      <c r="F4237" t="s">
        <v>5022</v>
      </c>
      <c r="G4237">
        <v>11.15</v>
      </c>
      <c r="H4237">
        <v>4</v>
      </c>
      <c r="I4237">
        <v>8.6</v>
      </c>
      <c r="J4237">
        <v>20.260000000000002</v>
      </c>
      <c r="K4237">
        <v>18.899999999999999</v>
      </c>
      <c r="L4237" t="s">
        <v>5029</v>
      </c>
      <c r="M4237">
        <v>2</v>
      </c>
      <c r="N4237">
        <v>2</v>
      </c>
      <c r="O4237">
        <v>0</v>
      </c>
    </row>
    <row r="4238" spans="1:15" x14ac:dyDescent="0.3">
      <c r="A4238" t="s">
        <v>4251</v>
      </c>
      <c r="B4238">
        <v>2</v>
      </c>
      <c r="C4238">
        <v>41</v>
      </c>
      <c r="D4238" t="s">
        <v>5015</v>
      </c>
      <c r="E4238" t="s">
        <v>5018</v>
      </c>
      <c r="F4238" t="s">
        <v>5022</v>
      </c>
      <c r="G4238">
        <v>10.59</v>
      </c>
      <c r="H4238">
        <v>1</v>
      </c>
      <c r="I4238">
        <v>7.3</v>
      </c>
      <c r="J4238">
        <v>18.52</v>
      </c>
      <c r="K4238">
        <v>78.8</v>
      </c>
      <c r="L4238" t="s">
        <v>5025</v>
      </c>
      <c r="M4238">
        <v>10</v>
      </c>
      <c r="N4238">
        <v>3</v>
      </c>
      <c r="O4238">
        <v>0</v>
      </c>
    </row>
    <row r="4239" spans="1:15" x14ac:dyDescent="0.3">
      <c r="A4239" t="s">
        <v>4252</v>
      </c>
      <c r="B4239">
        <v>10</v>
      </c>
      <c r="C4239">
        <v>52</v>
      </c>
      <c r="D4239" t="s">
        <v>5016</v>
      </c>
      <c r="E4239" t="s">
        <v>5017</v>
      </c>
      <c r="F4239" t="s">
        <v>5024</v>
      </c>
      <c r="G4239">
        <v>14.36</v>
      </c>
      <c r="H4239">
        <v>3</v>
      </c>
      <c r="I4239">
        <v>5.2</v>
      </c>
      <c r="J4239">
        <v>8.89</v>
      </c>
      <c r="K4239">
        <v>27.2</v>
      </c>
      <c r="L4239" t="s">
        <v>5026</v>
      </c>
      <c r="M4239">
        <v>6</v>
      </c>
      <c r="N4239">
        <v>0</v>
      </c>
      <c r="O4239">
        <v>0</v>
      </c>
    </row>
    <row r="4240" spans="1:15" x14ac:dyDescent="0.3">
      <c r="A4240" t="s">
        <v>4253</v>
      </c>
      <c r="B4240">
        <v>6</v>
      </c>
      <c r="C4240">
        <v>39</v>
      </c>
      <c r="D4240" t="s">
        <v>5015</v>
      </c>
      <c r="E4240" t="s">
        <v>5018</v>
      </c>
      <c r="F4240" t="s">
        <v>5020</v>
      </c>
      <c r="G4240">
        <v>23.26</v>
      </c>
      <c r="H4240">
        <v>4</v>
      </c>
      <c r="I4240">
        <v>4.5999999999999996</v>
      </c>
      <c r="J4240">
        <v>4.07</v>
      </c>
      <c r="K4240">
        <v>32.299999999999997</v>
      </c>
      <c r="L4240" t="s">
        <v>5029</v>
      </c>
      <c r="M4240">
        <v>2</v>
      </c>
      <c r="N4240">
        <v>1</v>
      </c>
      <c r="O4240">
        <v>0</v>
      </c>
    </row>
    <row r="4241" spans="1:15" x14ac:dyDescent="0.3">
      <c r="A4241" t="s">
        <v>4254</v>
      </c>
      <c r="B4241">
        <v>4</v>
      </c>
      <c r="C4241">
        <v>53</v>
      </c>
      <c r="D4241" t="s">
        <v>5016</v>
      </c>
      <c r="E4241" t="s">
        <v>5018</v>
      </c>
      <c r="F4241" t="s">
        <v>5021</v>
      </c>
      <c r="G4241">
        <v>16.36</v>
      </c>
      <c r="H4241">
        <v>3</v>
      </c>
      <c r="I4241">
        <v>4.5999999999999996</v>
      </c>
      <c r="J4241">
        <v>24.53</v>
      </c>
      <c r="K4241">
        <v>92.6</v>
      </c>
      <c r="L4241" t="s">
        <v>5029</v>
      </c>
      <c r="M4241">
        <v>9</v>
      </c>
      <c r="N4241">
        <v>1</v>
      </c>
      <c r="O4241">
        <v>0</v>
      </c>
    </row>
    <row r="4242" spans="1:15" x14ac:dyDescent="0.3">
      <c r="A4242" t="s">
        <v>4255</v>
      </c>
      <c r="B4242">
        <v>12</v>
      </c>
      <c r="C4242">
        <v>28</v>
      </c>
      <c r="D4242" t="s">
        <v>5016</v>
      </c>
      <c r="E4242" t="s">
        <v>5018</v>
      </c>
      <c r="F4242" t="s">
        <v>5021</v>
      </c>
      <c r="G4242">
        <v>15.42</v>
      </c>
      <c r="H4242">
        <v>2</v>
      </c>
      <c r="I4242">
        <v>1.6</v>
      </c>
      <c r="J4242">
        <v>6.25</v>
      </c>
      <c r="K4242">
        <v>52.4</v>
      </c>
      <c r="L4242" t="s">
        <v>5029</v>
      </c>
      <c r="M4242">
        <v>2</v>
      </c>
      <c r="N4242">
        <v>0</v>
      </c>
      <c r="O4242">
        <v>1</v>
      </c>
    </row>
    <row r="4243" spans="1:15" x14ac:dyDescent="0.3">
      <c r="A4243" t="s">
        <v>4256</v>
      </c>
      <c r="B4243">
        <v>3</v>
      </c>
      <c r="C4243">
        <v>63</v>
      </c>
      <c r="D4243" t="s">
        <v>5015</v>
      </c>
      <c r="E4243" t="s">
        <v>5019</v>
      </c>
      <c r="F4243" t="s">
        <v>5022</v>
      </c>
      <c r="G4243">
        <v>21.13</v>
      </c>
      <c r="H4243">
        <v>2</v>
      </c>
      <c r="I4243">
        <v>9.5</v>
      </c>
      <c r="J4243">
        <v>21.27</v>
      </c>
      <c r="K4243">
        <v>21.3</v>
      </c>
      <c r="L4243" t="s">
        <v>5027</v>
      </c>
      <c r="M4243">
        <v>4</v>
      </c>
      <c r="N4243">
        <v>2</v>
      </c>
      <c r="O4243">
        <v>0</v>
      </c>
    </row>
    <row r="4244" spans="1:15" x14ac:dyDescent="0.3">
      <c r="A4244" t="s">
        <v>4257</v>
      </c>
      <c r="B4244">
        <v>11</v>
      </c>
      <c r="C4244">
        <v>46</v>
      </c>
      <c r="D4244" t="s">
        <v>5015</v>
      </c>
      <c r="E4244" t="s">
        <v>5019</v>
      </c>
      <c r="F4244" t="s">
        <v>5020</v>
      </c>
      <c r="G4244">
        <v>5.08</v>
      </c>
      <c r="H4244">
        <v>1</v>
      </c>
      <c r="I4244">
        <v>5.0999999999999996</v>
      </c>
      <c r="J4244">
        <v>7.35</v>
      </c>
      <c r="K4244">
        <v>91.5</v>
      </c>
      <c r="L4244" t="s">
        <v>5026</v>
      </c>
      <c r="M4244">
        <v>4</v>
      </c>
      <c r="N4244">
        <v>2</v>
      </c>
      <c r="O4244">
        <v>0</v>
      </c>
    </row>
    <row r="4245" spans="1:15" x14ac:dyDescent="0.3">
      <c r="A4245" t="s">
        <v>4258</v>
      </c>
      <c r="B4245">
        <v>2</v>
      </c>
      <c r="C4245">
        <v>52</v>
      </c>
      <c r="D4245" t="s">
        <v>5016</v>
      </c>
      <c r="E4245" t="s">
        <v>5017</v>
      </c>
      <c r="F4245" t="s">
        <v>5020</v>
      </c>
      <c r="G4245">
        <v>8.9499999999999993</v>
      </c>
      <c r="H4245">
        <v>4</v>
      </c>
      <c r="I4245">
        <v>9.4</v>
      </c>
      <c r="J4245">
        <v>11.23</v>
      </c>
      <c r="K4245">
        <v>50.7</v>
      </c>
      <c r="L4245" t="s">
        <v>5028</v>
      </c>
      <c r="M4245">
        <v>11</v>
      </c>
      <c r="N4245">
        <v>2</v>
      </c>
      <c r="O4245">
        <v>0</v>
      </c>
    </row>
    <row r="4246" spans="1:15" x14ac:dyDescent="0.3">
      <c r="A4246" t="s">
        <v>4259</v>
      </c>
      <c r="B4246">
        <v>1</v>
      </c>
      <c r="C4246">
        <v>65</v>
      </c>
      <c r="D4246" t="s">
        <v>5016</v>
      </c>
      <c r="E4246" t="s">
        <v>5019</v>
      </c>
      <c r="F4246" t="s">
        <v>5023</v>
      </c>
      <c r="G4246">
        <v>14.92</v>
      </c>
      <c r="H4246">
        <v>4</v>
      </c>
      <c r="I4246">
        <v>8.9</v>
      </c>
      <c r="J4246">
        <v>18.260000000000002</v>
      </c>
      <c r="K4246">
        <v>21.7</v>
      </c>
      <c r="L4246" t="s">
        <v>5029</v>
      </c>
      <c r="M4246">
        <v>1</v>
      </c>
      <c r="N4246">
        <v>4</v>
      </c>
      <c r="O4246">
        <v>0</v>
      </c>
    </row>
    <row r="4247" spans="1:15" x14ac:dyDescent="0.3">
      <c r="A4247" t="s">
        <v>4260</v>
      </c>
      <c r="B4247">
        <v>11</v>
      </c>
      <c r="C4247">
        <v>32</v>
      </c>
      <c r="D4247" t="s">
        <v>5016</v>
      </c>
      <c r="E4247" t="s">
        <v>5017</v>
      </c>
      <c r="F4247" t="s">
        <v>5023</v>
      </c>
      <c r="G4247">
        <v>19.11</v>
      </c>
      <c r="H4247">
        <v>2</v>
      </c>
      <c r="I4247">
        <v>8.5</v>
      </c>
      <c r="J4247">
        <v>23.8</v>
      </c>
      <c r="K4247">
        <v>45.2</v>
      </c>
      <c r="L4247" t="s">
        <v>5028</v>
      </c>
      <c r="M4247">
        <v>11</v>
      </c>
      <c r="N4247">
        <v>4</v>
      </c>
      <c r="O4247">
        <v>1</v>
      </c>
    </row>
    <row r="4248" spans="1:15" x14ac:dyDescent="0.3">
      <c r="A4248" t="s">
        <v>4261</v>
      </c>
      <c r="B4248">
        <v>11</v>
      </c>
      <c r="C4248">
        <v>48</v>
      </c>
      <c r="D4248" t="s">
        <v>5015</v>
      </c>
      <c r="E4248" t="s">
        <v>5019</v>
      </c>
      <c r="F4248" t="s">
        <v>5024</v>
      </c>
      <c r="G4248">
        <v>14.7</v>
      </c>
      <c r="H4248">
        <v>1</v>
      </c>
      <c r="I4248">
        <v>6.3</v>
      </c>
      <c r="J4248">
        <v>3.44</v>
      </c>
      <c r="K4248">
        <v>63</v>
      </c>
      <c r="L4248" t="s">
        <v>5027</v>
      </c>
      <c r="M4248">
        <v>7</v>
      </c>
      <c r="N4248">
        <v>2</v>
      </c>
      <c r="O4248">
        <v>0</v>
      </c>
    </row>
    <row r="4249" spans="1:15" x14ac:dyDescent="0.3">
      <c r="A4249" t="s">
        <v>4262</v>
      </c>
      <c r="B4249">
        <v>5</v>
      </c>
      <c r="C4249">
        <v>59</v>
      </c>
      <c r="D4249" t="s">
        <v>5016</v>
      </c>
      <c r="E4249" t="s">
        <v>5017</v>
      </c>
      <c r="F4249" t="s">
        <v>5023</v>
      </c>
      <c r="G4249">
        <v>8.27</v>
      </c>
      <c r="H4249">
        <v>2</v>
      </c>
      <c r="I4249">
        <v>1.9</v>
      </c>
      <c r="J4249">
        <v>8.74</v>
      </c>
      <c r="K4249">
        <v>42.6</v>
      </c>
      <c r="L4249" t="s">
        <v>5025</v>
      </c>
      <c r="M4249">
        <v>1</v>
      </c>
      <c r="N4249">
        <v>2</v>
      </c>
      <c r="O4249">
        <v>0</v>
      </c>
    </row>
    <row r="4250" spans="1:15" x14ac:dyDescent="0.3">
      <c r="A4250" t="s">
        <v>4263</v>
      </c>
      <c r="B4250">
        <v>2</v>
      </c>
      <c r="C4250">
        <v>58</v>
      </c>
      <c r="D4250" t="s">
        <v>5015</v>
      </c>
      <c r="E4250" t="s">
        <v>5018</v>
      </c>
      <c r="F4250" t="s">
        <v>5024</v>
      </c>
      <c r="G4250">
        <v>23.6</v>
      </c>
      <c r="H4250">
        <v>4</v>
      </c>
      <c r="I4250">
        <v>3.9</v>
      </c>
      <c r="J4250">
        <v>19.829999999999998</v>
      </c>
      <c r="K4250">
        <v>93.2</v>
      </c>
      <c r="L4250" t="s">
        <v>5027</v>
      </c>
      <c r="M4250">
        <v>8</v>
      </c>
      <c r="N4250">
        <v>0</v>
      </c>
      <c r="O4250">
        <v>1</v>
      </c>
    </row>
    <row r="4251" spans="1:15" x14ac:dyDescent="0.3">
      <c r="A4251" t="s">
        <v>4264</v>
      </c>
      <c r="B4251">
        <v>2</v>
      </c>
      <c r="C4251">
        <v>60</v>
      </c>
      <c r="D4251" t="s">
        <v>5016</v>
      </c>
      <c r="E4251" t="s">
        <v>5017</v>
      </c>
      <c r="F4251" t="s">
        <v>5021</v>
      </c>
      <c r="G4251">
        <v>11.57</v>
      </c>
      <c r="H4251">
        <v>3</v>
      </c>
      <c r="I4251">
        <v>6.4</v>
      </c>
      <c r="J4251">
        <v>6.81</v>
      </c>
      <c r="K4251">
        <v>34.299999999999997</v>
      </c>
      <c r="L4251" t="s">
        <v>5027</v>
      </c>
      <c r="M4251">
        <v>3</v>
      </c>
      <c r="N4251">
        <v>4</v>
      </c>
      <c r="O4251">
        <v>0</v>
      </c>
    </row>
    <row r="4252" spans="1:15" x14ac:dyDescent="0.3">
      <c r="A4252" t="s">
        <v>4265</v>
      </c>
      <c r="B4252">
        <v>7</v>
      </c>
      <c r="C4252">
        <v>33</v>
      </c>
      <c r="D4252" t="s">
        <v>5016</v>
      </c>
      <c r="E4252" t="s">
        <v>5017</v>
      </c>
      <c r="F4252" t="s">
        <v>5022</v>
      </c>
      <c r="G4252">
        <v>20.76</v>
      </c>
      <c r="H4252">
        <v>4</v>
      </c>
      <c r="I4252">
        <v>1.1000000000000001</v>
      </c>
      <c r="J4252">
        <v>5.45</v>
      </c>
      <c r="K4252">
        <v>25.8</v>
      </c>
      <c r="L4252" t="s">
        <v>5026</v>
      </c>
      <c r="M4252">
        <v>8</v>
      </c>
      <c r="N4252">
        <v>3</v>
      </c>
      <c r="O4252">
        <v>0</v>
      </c>
    </row>
    <row r="4253" spans="1:15" x14ac:dyDescent="0.3">
      <c r="A4253" t="s">
        <v>4266</v>
      </c>
      <c r="B4253">
        <v>8</v>
      </c>
      <c r="C4253">
        <v>27</v>
      </c>
      <c r="D4253" t="s">
        <v>5016</v>
      </c>
      <c r="E4253" t="s">
        <v>5019</v>
      </c>
      <c r="F4253" t="s">
        <v>5020</v>
      </c>
      <c r="G4253">
        <v>22.83</v>
      </c>
      <c r="H4253">
        <v>1</v>
      </c>
      <c r="I4253">
        <v>1.4</v>
      </c>
      <c r="J4253">
        <v>4.0199999999999996</v>
      </c>
      <c r="K4253">
        <v>29.9</v>
      </c>
      <c r="L4253" t="s">
        <v>5029</v>
      </c>
      <c r="M4253">
        <v>8</v>
      </c>
      <c r="N4253">
        <v>2</v>
      </c>
      <c r="O4253">
        <v>1</v>
      </c>
    </row>
    <row r="4254" spans="1:15" x14ac:dyDescent="0.3">
      <c r="A4254" t="s">
        <v>4267</v>
      </c>
      <c r="B4254">
        <v>10</v>
      </c>
      <c r="C4254">
        <v>66</v>
      </c>
      <c r="D4254" t="s">
        <v>5016</v>
      </c>
      <c r="E4254" t="s">
        <v>5019</v>
      </c>
      <c r="F4254" t="s">
        <v>5021</v>
      </c>
      <c r="G4254">
        <v>11.93</v>
      </c>
      <c r="H4254">
        <v>4</v>
      </c>
      <c r="I4254">
        <v>7.1</v>
      </c>
      <c r="J4254">
        <v>14.05</v>
      </c>
      <c r="K4254">
        <v>17.5</v>
      </c>
      <c r="L4254" t="s">
        <v>5027</v>
      </c>
      <c r="M4254">
        <v>10</v>
      </c>
      <c r="N4254">
        <v>2</v>
      </c>
      <c r="O4254">
        <v>0</v>
      </c>
    </row>
    <row r="4255" spans="1:15" x14ac:dyDescent="0.3">
      <c r="A4255" t="s">
        <v>4268</v>
      </c>
      <c r="B4255">
        <v>8</v>
      </c>
      <c r="C4255">
        <v>49</v>
      </c>
      <c r="D4255" t="s">
        <v>5015</v>
      </c>
      <c r="E4255" t="s">
        <v>5018</v>
      </c>
      <c r="F4255" t="s">
        <v>5021</v>
      </c>
      <c r="G4255">
        <v>21.91</v>
      </c>
      <c r="H4255">
        <v>5</v>
      </c>
      <c r="I4255">
        <v>9</v>
      </c>
      <c r="J4255">
        <v>19.89</v>
      </c>
      <c r="K4255">
        <v>50.7</v>
      </c>
      <c r="L4255" t="s">
        <v>5029</v>
      </c>
      <c r="M4255">
        <v>10</v>
      </c>
      <c r="N4255">
        <v>2</v>
      </c>
      <c r="O4255">
        <v>0</v>
      </c>
    </row>
    <row r="4256" spans="1:15" x14ac:dyDescent="0.3">
      <c r="A4256" t="s">
        <v>4269</v>
      </c>
      <c r="B4256">
        <v>4</v>
      </c>
      <c r="C4256">
        <v>68</v>
      </c>
      <c r="D4256" t="s">
        <v>5015</v>
      </c>
      <c r="E4256" t="s">
        <v>5019</v>
      </c>
      <c r="F4256" t="s">
        <v>5024</v>
      </c>
      <c r="G4256">
        <v>19.22</v>
      </c>
      <c r="H4256">
        <v>4</v>
      </c>
      <c r="I4256">
        <v>8.6999999999999993</v>
      </c>
      <c r="J4256">
        <v>24.16</v>
      </c>
      <c r="K4256">
        <v>89.1</v>
      </c>
      <c r="L4256" t="s">
        <v>5028</v>
      </c>
      <c r="M4256">
        <v>5</v>
      </c>
      <c r="N4256">
        <v>1</v>
      </c>
      <c r="O4256">
        <v>1</v>
      </c>
    </row>
    <row r="4257" spans="1:15" x14ac:dyDescent="0.3">
      <c r="A4257" t="s">
        <v>4270</v>
      </c>
      <c r="B4257">
        <v>1</v>
      </c>
      <c r="C4257">
        <v>19</v>
      </c>
      <c r="D4257" t="s">
        <v>5016</v>
      </c>
      <c r="E4257" t="s">
        <v>5019</v>
      </c>
      <c r="F4257" t="s">
        <v>5022</v>
      </c>
      <c r="G4257">
        <v>23.09</v>
      </c>
      <c r="H4257">
        <v>5</v>
      </c>
      <c r="I4257">
        <v>2.5</v>
      </c>
      <c r="J4257">
        <v>8.8800000000000008</v>
      </c>
      <c r="K4257">
        <v>37.5</v>
      </c>
      <c r="L4257" t="s">
        <v>5025</v>
      </c>
      <c r="M4257">
        <v>3</v>
      </c>
      <c r="N4257">
        <v>4</v>
      </c>
      <c r="O4257">
        <v>0</v>
      </c>
    </row>
    <row r="4258" spans="1:15" x14ac:dyDescent="0.3">
      <c r="A4258" t="s">
        <v>4271</v>
      </c>
      <c r="B4258">
        <v>11</v>
      </c>
      <c r="C4258">
        <v>41</v>
      </c>
      <c r="D4258" t="s">
        <v>5016</v>
      </c>
      <c r="E4258" t="s">
        <v>5017</v>
      </c>
      <c r="F4258" t="s">
        <v>5024</v>
      </c>
      <c r="G4258">
        <v>10.029999999999999</v>
      </c>
      <c r="H4258">
        <v>2</v>
      </c>
      <c r="I4258">
        <v>9.1999999999999993</v>
      </c>
      <c r="J4258">
        <v>5.67</v>
      </c>
      <c r="K4258">
        <v>33.299999999999997</v>
      </c>
      <c r="L4258" t="s">
        <v>5025</v>
      </c>
      <c r="M4258">
        <v>11</v>
      </c>
      <c r="N4258">
        <v>3</v>
      </c>
      <c r="O4258">
        <v>1</v>
      </c>
    </row>
    <row r="4259" spans="1:15" x14ac:dyDescent="0.3">
      <c r="A4259" t="s">
        <v>4272</v>
      </c>
      <c r="B4259">
        <v>7</v>
      </c>
      <c r="C4259">
        <v>40</v>
      </c>
      <c r="D4259" t="s">
        <v>5016</v>
      </c>
      <c r="E4259" t="s">
        <v>5017</v>
      </c>
      <c r="F4259" t="s">
        <v>5021</v>
      </c>
      <c r="G4259">
        <v>23.63</v>
      </c>
      <c r="H4259">
        <v>5</v>
      </c>
      <c r="I4259">
        <v>7.3</v>
      </c>
      <c r="J4259">
        <v>11.86</v>
      </c>
      <c r="K4259">
        <v>85.4</v>
      </c>
      <c r="L4259" t="s">
        <v>5028</v>
      </c>
      <c r="M4259">
        <v>11</v>
      </c>
      <c r="N4259">
        <v>1</v>
      </c>
      <c r="O4259">
        <v>0</v>
      </c>
    </row>
    <row r="4260" spans="1:15" x14ac:dyDescent="0.3">
      <c r="A4260" t="s">
        <v>4273</v>
      </c>
      <c r="B4260">
        <v>1</v>
      </c>
      <c r="C4260">
        <v>19</v>
      </c>
      <c r="D4260" t="s">
        <v>5015</v>
      </c>
      <c r="E4260" t="s">
        <v>5017</v>
      </c>
      <c r="F4260" t="s">
        <v>5020</v>
      </c>
      <c r="G4260">
        <v>6.31</v>
      </c>
      <c r="H4260">
        <v>4</v>
      </c>
      <c r="I4260">
        <v>7.4</v>
      </c>
      <c r="J4260">
        <v>4.22</v>
      </c>
      <c r="K4260">
        <v>37.5</v>
      </c>
      <c r="L4260" t="s">
        <v>5026</v>
      </c>
      <c r="M4260">
        <v>11</v>
      </c>
      <c r="N4260">
        <v>1</v>
      </c>
      <c r="O4260">
        <v>1</v>
      </c>
    </row>
    <row r="4261" spans="1:15" x14ac:dyDescent="0.3">
      <c r="A4261" t="s">
        <v>4274</v>
      </c>
      <c r="B4261">
        <v>11</v>
      </c>
      <c r="C4261">
        <v>55</v>
      </c>
      <c r="D4261" t="s">
        <v>5016</v>
      </c>
      <c r="E4261" t="s">
        <v>5018</v>
      </c>
      <c r="F4261" t="s">
        <v>5023</v>
      </c>
      <c r="G4261">
        <v>20.87</v>
      </c>
      <c r="H4261">
        <v>4</v>
      </c>
      <c r="I4261">
        <v>3.7</v>
      </c>
      <c r="J4261">
        <v>10.29</v>
      </c>
      <c r="K4261">
        <v>52.9</v>
      </c>
      <c r="L4261" t="s">
        <v>5028</v>
      </c>
      <c r="M4261">
        <v>9</v>
      </c>
      <c r="N4261">
        <v>3</v>
      </c>
      <c r="O4261">
        <v>0</v>
      </c>
    </row>
    <row r="4262" spans="1:15" x14ac:dyDescent="0.3">
      <c r="A4262" t="s">
        <v>4275</v>
      </c>
      <c r="B4262">
        <v>4</v>
      </c>
      <c r="C4262">
        <v>48</v>
      </c>
      <c r="D4262" t="s">
        <v>5015</v>
      </c>
      <c r="E4262" t="s">
        <v>5017</v>
      </c>
      <c r="F4262" t="s">
        <v>5024</v>
      </c>
      <c r="G4262">
        <v>13.71</v>
      </c>
      <c r="H4262">
        <v>4</v>
      </c>
      <c r="I4262">
        <v>7.4</v>
      </c>
      <c r="J4262">
        <v>17.149999999999999</v>
      </c>
      <c r="K4262">
        <v>12.8</v>
      </c>
      <c r="L4262" t="s">
        <v>5028</v>
      </c>
      <c r="M4262">
        <v>1</v>
      </c>
      <c r="N4262">
        <v>3</v>
      </c>
      <c r="O4262">
        <v>0</v>
      </c>
    </row>
    <row r="4263" spans="1:15" x14ac:dyDescent="0.3">
      <c r="A4263" t="s">
        <v>4276</v>
      </c>
      <c r="B4263">
        <v>8</v>
      </c>
      <c r="C4263">
        <v>68</v>
      </c>
      <c r="D4263" t="s">
        <v>5015</v>
      </c>
      <c r="E4263" t="s">
        <v>5017</v>
      </c>
      <c r="F4263" t="s">
        <v>5021</v>
      </c>
      <c r="G4263">
        <v>8.56</v>
      </c>
      <c r="H4263">
        <v>1</v>
      </c>
      <c r="I4263">
        <v>7.4</v>
      </c>
      <c r="J4263">
        <v>6.7</v>
      </c>
      <c r="K4263">
        <v>35.799999999999997</v>
      </c>
      <c r="L4263" t="s">
        <v>5026</v>
      </c>
      <c r="M4263">
        <v>1</v>
      </c>
      <c r="N4263">
        <v>3</v>
      </c>
      <c r="O4263">
        <v>0</v>
      </c>
    </row>
    <row r="4264" spans="1:15" x14ac:dyDescent="0.3">
      <c r="A4264" t="s">
        <v>4277</v>
      </c>
      <c r="B4264">
        <v>2</v>
      </c>
      <c r="C4264">
        <v>57</v>
      </c>
      <c r="D4264" t="s">
        <v>5015</v>
      </c>
      <c r="E4264" t="s">
        <v>5017</v>
      </c>
      <c r="F4264" t="s">
        <v>5023</v>
      </c>
      <c r="G4264">
        <v>6.59</v>
      </c>
      <c r="H4264">
        <v>2</v>
      </c>
      <c r="I4264">
        <v>6.4</v>
      </c>
      <c r="J4264">
        <v>16.899999999999999</v>
      </c>
      <c r="K4264">
        <v>21.8</v>
      </c>
      <c r="L4264" t="s">
        <v>5026</v>
      </c>
      <c r="M4264">
        <v>2</v>
      </c>
      <c r="N4264">
        <v>3</v>
      </c>
      <c r="O4264">
        <v>0</v>
      </c>
    </row>
    <row r="4265" spans="1:15" x14ac:dyDescent="0.3">
      <c r="A4265" t="s">
        <v>4278</v>
      </c>
      <c r="B4265">
        <v>6</v>
      </c>
      <c r="C4265">
        <v>43</v>
      </c>
      <c r="D4265" t="s">
        <v>5015</v>
      </c>
      <c r="E4265" t="s">
        <v>5017</v>
      </c>
      <c r="F4265" t="s">
        <v>5023</v>
      </c>
      <c r="G4265">
        <v>12.79</v>
      </c>
      <c r="H4265">
        <v>5</v>
      </c>
      <c r="I4265">
        <v>4.2</v>
      </c>
      <c r="J4265">
        <v>24.38</v>
      </c>
      <c r="K4265">
        <v>19.5</v>
      </c>
      <c r="L4265" t="s">
        <v>5027</v>
      </c>
      <c r="M4265">
        <v>10</v>
      </c>
      <c r="N4265">
        <v>3</v>
      </c>
      <c r="O4265">
        <v>0</v>
      </c>
    </row>
    <row r="4266" spans="1:15" x14ac:dyDescent="0.3">
      <c r="A4266" t="s">
        <v>4279</v>
      </c>
      <c r="B4266">
        <v>6</v>
      </c>
      <c r="C4266">
        <v>46</v>
      </c>
      <c r="D4266" t="s">
        <v>5016</v>
      </c>
      <c r="E4266" t="s">
        <v>5019</v>
      </c>
      <c r="F4266" t="s">
        <v>5021</v>
      </c>
      <c r="G4266">
        <v>12.79</v>
      </c>
      <c r="H4266">
        <v>3</v>
      </c>
      <c r="I4266">
        <v>8.3000000000000007</v>
      </c>
      <c r="J4266">
        <v>22.01</v>
      </c>
      <c r="K4266">
        <v>48.8</v>
      </c>
      <c r="L4266" t="s">
        <v>5029</v>
      </c>
      <c r="M4266">
        <v>6</v>
      </c>
      <c r="N4266">
        <v>2</v>
      </c>
      <c r="O4266">
        <v>0</v>
      </c>
    </row>
    <row r="4267" spans="1:15" x14ac:dyDescent="0.3">
      <c r="A4267" t="s">
        <v>4280</v>
      </c>
      <c r="B4267">
        <v>12</v>
      </c>
      <c r="C4267">
        <v>20</v>
      </c>
      <c r="D4267" t="s">
        <v>5016</v>
      </c>
      <c r="E4267" t="s">
        <v>5017</v>
      </c>
      <c r="F4267" t="s">
        <v>5022</v>
      </c>
      <c r="G4267">
        <v>9.6</v>
      </c>
      <c r="H4267">
        <v>5</v>
      </c>
      <c r="I4267">
        <v>9.4</v>
      </c>
      <c r="J4267">
        <v>10.85</v>
      </c>
      <c r="K4267">
        <v>35</v>
      </c>
      <c r="L4267" t="s">
        <v>5025</v>
      </c>
      <c r="M4267">
        <v>2</v>
      </c>
      <c r="N4267">
        <v>3</v>
      </c>
      <c r="O4267">
        <v>1</v>
      </c>
    </row>
    <row r="4268" spans="1:15" x14ac:dyDescent="0.3">
      <c r="A4268" t="s">
        <v>4281</v>
      </c>
      <c r="B4268">
        <v>9</v>
      </c>
      <c r="C4268">
        <v>31</v>
      </c>
      <c r="D4268" t="s">
        <v>5015</v>
      </c>
      <c r="E4268" t="s">
        <v>5018</v>
      </c>
      <c r="F4268" t="s">
        <v>5021</v>
      </c>
      <c r="G4268">
        <v>9.31</v>
      </c>
      <c r="H4268">
        <v>4</v>
      </c>
      <c r="I4268">
        <v>8.8000000000000007</v>
      </c>
      <c r="J4268">
        <v>12.27</v>
      </c>
      <c r="K4268">
        <v>25</v>
      </c>
      <c r="L4268" t="s">
        <v>5026</v>
      </c>
      <c r="M4268">
        <v>4</v>
      </c>
      <c r="N4268">
        <v>3</v>
      </c>
      <c r="O4268">
        <v>0</v>
      </c>
    </row>
    <row r="4269" spans="1:15" x14ac:dyDescent="0.3">
      <c r="A4269" t="s">
        <v>4282</v>
      </c>
      <c r="B4269">
        <v>5</v>
      </c>
      <c r="C4269">
        <v>42</v>
      </c>
      <c r="D4269" t="s">
        <v>5016</v>
      </c>
      <c r="E4269" t="s">
        <v>5018</v>
      </c>
      <c r="F4269" t="s">
        <v>5020</v>
      </c>
      <c r="G4269">
        <v>12.99</v>
      </c>
      <c r="H4269">
        <v>3</v>
      </c>
      <c r="I4269">
        <v>3.2</v>
      </c>
      <c r="J4269">
        <v>12.23</v>
      </c>
      <c r="K4269">
        <v>56</v>
      </c>
      <c r="L4269" t="s">
        <v>5026</v>
      </c>
      <c r="M4269">
        <v>6</v>
      </c>
      <c r="N4269">
        <v>4</v>
      </c>
      <c r="O4269">
        <v>1</v>
      </c>
    </row>
    <row r="4270" spans="1:15" x14ac:dyDescent="0.3">
      <c r="A4270" t="s">
        <v>4283</v>
      </c>
      <c r="B4270">
        <v>10</v>
      </c>
      <c r="C4270">
        <v>65</v>
      </c>
      <c r="D4270" t="s">
        <v>5016</v>
      </c>
      <c r="E4270" t="s">
        <v>5018</v>
      </c>
      <c r="F4270" t="s">
        <v>5023</v>
      </c>
      <c r="G4270">
        <v>13.2</v>
      </c>
      <c r="H4270">
        <v>3</v>
      </c>
      <c r="I4270">
        <v>5</v>
      </c>
      <c r="J4270">
        <v>21.92</v>
      </c>
      <c r="K4270">
        <v>80.599999999999994</v>
      </c>
      <c r="L4270" t="s">
        <v>5027</v>
      </c>
      <c r="M4270">
        <v>2</v>
      </c>
      <c r="N4270">
        <v>2</v>
      </c>
      <c r="O4270">
        <v>1</v>
      </c>
    </row>
    <row r="4271" spans="1:15" x14ac:dyDescent="0.3">
      <c r="A4271" t="s">
        <v>4284</v>
      </c>
      <c r="B4271">
        <v>4</v>
      </c>
      <c r="C4271">
        <v>18</v>
      </c>
      <c r="D4271" t="s">
        <v>5016</v>
      </c>
      <c r="E4271" t="s">
        <v>5017</v>
      </c>
      <c r="F4271" t="s">
        <v>5020</v>
      </c>
      <c r="G4271">
        <v>13.85</v>
      </c>
      <c r="H4271">
        <v>5</v>
      </c>
      <c r="I4271">
        <v>4.0999999999999996</v>
      </c>
      <c r="J4271">
        <v>24.86</v>
      </c>
      <c r="K4271">
        <v>76.099999999999994</v>
      </c>
      <c r="L4271" t="s">
        <v>5027</v>
      </c>
      <c r="M4271">
        <v>4</v>
      </c>
      <c r="N4271">
        <v>1</v>
      </c>
      <c r="O4271">
        <v>1</v>
      </c>
    </row>
    <row r="4272" spans="1:15" x14ac:dyDescent="0.3">
      <c r="A4272" t="s">
        <v>4285</v>
      </c>
      <c r="B4272">
        <v>5</v>
      </c>
      <c r="C4272">
        <v>20</v>
      </c>
      <c r="D4272" t="s">
        <v>5015</v>
      </c>
      <c r="E4272" t="s">
        <v>5018</v>
      </c>
      <c r="F4272" t="s">
        <v>5024</v>
      </c>
      <c r="G4272">
        <v>22.38</v>
      </c>
      <c r="H4272">
        <v>5</v>
      </c>
      <c r="I4272">
        <v>7.4</v>
      </c>
      <c r="J4272">
        <v>21.17</v>
      </c>
      <c r="K4272">
        <v>32.6</v>
      </c>
      <c r="L4272" t="s">
        <v>5029</v>
      </c>
      <c r="M4272">
        <v>7</v>
      </c>
      <c r="N4272">
        <v>2</v>
      </c>
      <c r="O4272">
        <v>1</v>
      </c>
    </row>
    <row r="4273" spans="1:15" x14ac:dyDescent="0.3">
      <c r="A4273" t="s">
        <v>4286</v>
      </c>
      <c r="B4273">
        <v>12</v>
      </c>
      <c r="C4273">
        <v>43</v>
      </c>
      <c r="D4273" t="s">
        <v>5016</v>
      </c>
      <c r="E4273" t="s">
        <v>5017</v>
      </c>
      <c r="F4273" t="s">
        <v>5023</v>
      </c>
      <c r="G4273">
        <v>17.23</v>
      </c>
      <c r="H4273">
        <v>5</v>
      </c>
      <c r="I4273">
        <v>8.5</v>
      </c>
      <c r="J4273">
        <v>15.28</v>
      </c>
      <c r="K4273">
        <v>33.700000000000003</v>
      </c>
      <c r="L4273" t="s">
        <v>5026</v>
      </c>
      <c r="M4273">
        <v>1</v>
      </c>
      <c r="N4273">
        <v>0</v>
      </c>
      <c r="O4273">
        <v>0</v>
      </c>
    </row>
    <row r="4274" spans="1:15" x14ac:dyDescent="0.3">
      <c r="A4274" t="s">
        <v>4287</v>
      </c>
      <c r="B4274">
        <v>12</v>
      </c>
      <c r="C4274">
        <v>35</v>
      </c>
      <c r="D4274" t="s">
        <v>5016</v>
      </c>
      <c r="E4274" t="s">
        <v>5018</v>
      </c>
      <c r="F4274" t="s">
        <v>5022</v>
      </c>
      <c r="G4274">
        <v>5.41</v>
      </c>
      <c r="H4274">
        <v>5</v>
      </c>
      <c r="I4274">
        <v>2.9</v>
      </c>
      <c r="J4274">
        <v>5.14</v>
      </c>
      <c r="K4274">
        <v>75.900000000000006</v>
      </c>
      <c r="L4274" t="s">
        <v>5026</v>
      </c>
      <c r="M4274">
        <v>9</v>
      </c>
      <c r="N4274">
        <v>3</v>
      </c>
      <c r="O4274">
        <v>0</v>
      </c>
    </row>
    <row r="4275" spans="1:15" x14ac:dyDescent="0.3">
      <c r="A4275" t="s">
        <v>4288</v>
      </c>
      <c r="B4275">
        <v>10</v>
      </c>
      <c r="C4275">
        <v>26</v>
      </c>
      <c r="D4275" t="s">
        <v>5016</v>
      </c>
      <c r="E4275" t="s">
        <v>5017</v>
      </c>
      <c r="F4275" t="s">
        <v>5021</v>
      </c>
      <c r="G4275">
        <v>15.38</v>
      </c>
      <c r="H4275">
        <v>2</v>
      </c>
      <c r="I4275">
        <v>9.5</v>
      </c>
      <c r="J4275">
        <v>24</v>
      </c>
      <c r="K4275">
        <v>60.1</v>
      </c>
      <c r="L4275" t="s">
        <v>5027</v>
      </c>
      <c r="M4275">
        <v>10</v>
      </c>
      <c r="N4275">
        <v>1</v>
      </c>
      <c r="O4275">
        <v>1</v>
      </c>
    </row>
    <row r="4276" spans="1:15" x14ac:dyDescent="0.3">
      <c r="A4276" t="s">
        <v>4289</v>
      </c>
      <c r="B4276">
        <v>11</v>
      </c>
      <c r="C4276">
        <v>55</v>
      </c>
      <c r="D4276" t="s">
        <v>5016</v>
      </c>
      <c r="E4276" t="s">
        <v>5018</v>
      </c>
      <c r="F4276" t="s">
        <v>5024</v>
      </c>
      <c r="G4276">
        <v>20.25</v>
      </c>
      <c r="H4276">
        <v>1</v>
      </c>
      <c r="I4276">
        <v>7.1</v>
      </c>
      <c r="J4276">
        <v>21.92</v>
      </c>
      <c r="K4276">
        <v>76.8</v>
      </c>
      <c r="L4276" t="s">
        <v>5028</v>
      </c>
      <c r="M4276">
        <v>10</v>
      </c>
      <c r="N4276">
        <v>0</v>
      </c>
      <c r="O4276">
        <v>0</v>
      </c>
    </row>
    <row r="4277" spans="1:15" x14ac:dyDescent="0.3">
      <c r="A4277" t="s">
        <v>4290</v>
      </c>
      <c r="B4277">
        <v>5</v>
      </c>
      <c r="C4277">
        <v>40</v>
      </c>
      <c r="D4277" t="s">
        <v>5016</v>
      </c>
      <c r="E4277" t="s">
        <v>5018</v>
      </c>
      <c r="F4277" t="s">
        <v>5020</v>
      </c>
      <c r="G4277">
        <v>6.13</v>
      </c>
      <c r="H4277">
        <v>1</v>
      </c>
      <c r="I4277">
        <v>3</v>
      </c>
      <c r="J4277">
        <v>21.51</v>
      </c>
      <c r="K4277">
        <v>10.1</v>
      </c>
      <c r="L4277" t="s">
        <v>5029</v>
      </c>
      <c r="M4277">
        <v>7</v>
      </c>
      <c r="N4277">
        <v>1</v>
      </c>
      <c r="O4277">
        <v>1</v>
      </c>
    </row>
    <row r="4278" spans="1:15" x14ac:dyDescent="0.3">
      <c r="A4278" t="s">
        <v>4291</v>
      </c>
      <c r="B4278">
        <v>8</v>
      </c>
      <c r="C4278">
        <v>38</v>
      </c>
      <c r="D4278" t="s">
        <v>5016</v>
      </c>
      <c r="E4278" t="s">
        <v>5018</v>
      </c>
      <c r="F4278" t="s">
        <v>5024</v>
      </c>
      <c r="G4278">
        <v>13.45</v>
      </c>
      <c r="H4278">
        <v>5</v>
      </c>
      <c r="I4278">
        <v>4.3</v>
      </c>
      <c r="J4278">
        <v>11.62</v>
      </c>
      <c r="K4278">
        <v>17.8</v>
      </c>
      <c r="L4278" t="s">
        <v>5026</v>
      </c>
      <c r="M4278">
        <v>9</v>
      </c>
      <c r="N4278">
        <v>2</v>
      </c>
      <c r="O4278">
        <v>0</v>
      </c>
    </row>
    <row r="4279" spans="1:15" x14ac:dyDescent="0.3">
      <c r="A4279" t="s">
        <v>4292</v>
      </c>
      <c r="B4279">
        <v>10</v>
      </c>
      <c r="C4279">
        <v>18</v>
      </c>
      <c r="D4279" t="s">
        <v>5016</v>
      </c>
      <c r="E4279" t="s">
        <v>5018</v>
      </c>
      <c r="F4279" t="s">
        <v>5022</v>
      </c>
      <c r="G4279">
        <v>14.02</v>
      </c>
      <c r="H4279">
        <v>1</v>
      </c>
      <c r="I4279">
        <v>1.9</v>
      </c>
      <c r="J4279">
        <v>12.84</v>
      </c>
      <c r="K4279">
        <v>82.2</v>
      </c>
      <c r="L4279" t="s">
        <v>5025</v>
      </c>
      <c r="M4279">
        <v>7</v>
      </c>
      <c r="N4279">
        <v>0</v>
      </c>
      <c r="O4279">
        <v>0</v>
      </c>
    </row>
    <row r="4280" spans="1:15" x14ac:dyDescent="0.3">
      <c r="A4280" t="s">
        <v>4293</v>
      </c>
      <c r="B4280">
        <v>12</v>
      </c>
      <c r="C4280">
        <v>38</v>
      </c>
      <c r="D4280" t="s">
        <v>5016</v>
      </c>
      <c r="E4280" t="s">
        <v>5018</v>
      </c>
      <c r="F4280" t="s">
        <v>5021</v>
      </c>
      <c r="G4280">
        <v>24.08</v>
      </c>
      <c r="H4280">
        <v>5</v>
      </c>
      <c r="I4280">
        <v>6.4</v>
      </c>
      <c r="J4280">
        <v>5.63</v>
      </c>
      <c r="K4280">
        <v>86.6</v>
      </c>
      <c r="L4280" t="s">
        <v>5025</v>
      </c>
      <c r="M4280">
        <v>11</v>
      </c>
      <c r="N4280">
        <v>3</v>
      </c>
      <c r="O4280">
        <v>0</v>
      </c>
    </row>
    <row r="4281" spans="1:15" x14ac:dyDescent="0.3">
      <c r="A4281" t="s">
        <v>4294</v>
      </c>
      <c r="B4281">
        <v>8</v>
      </c>
      <c r="C4281">
        <v>44</v>
      </c>
      <c r="D4281" t="s">
        <v>5016</v>
      </c>
      <c r="E4281" t="s">
        <v>5019</v>
      </c>
      <c r="F4281" t="s">
        <v>5024</v>
      </c>
      <c r="G4281">
        <v>14.51</v>
      </c>
      <c r="H4281">
        <v>5</v>
      </c>
      <c r="I4281">
        <v>2.5</v>
      </c>
      <c r="J4281">
        <v>23.63</v>
      </c>
      <c r="K4281">
        <v>40.9</v>
      </c>
      <c r="L4281" t="s">
        <v>5027</v>
      </c>
      <c r="M4281">
        <v>1</v>
      </c>
      <c r="N4281">
        <v>3</v>
      </c>
      <c r="O4281">
        <v>0</v>
      </c>
    </row>
    <row r="4282" spans="1:15" x14ac:dyDescent="0.3">
      <c r="A4282" t="s">
        <v>4295</v>
      </c>
      <c r="B4282">
        <v>2</v>
      </c>
      <c r="C4282">
        <v>59</v>
      </c>
      <c r="D4282" t="s">
        <v>5016</v>
      </c>
      <c r="E4282" t="s">
        <v>5017</v>
      </c>
      <c r="F4282" t="s">
        <v>5020</v>
      </c>
      <c r="G4282">
        <v>20</v>
      </c>
      <c r="H4282">
        <v>5</v>
      </c>
      <c r="I4282">
        <v>7.2</v>
      </c>
      <c r="J4282">
        <v>23.75</v>
      </c>
      <c r="K4282">
        <v>96.3</v>
      </c>
      <c r="L4282" t="s">
        <v>5025</v>
      </c>
      <c r="M4282">
        <v>7</v>
      </c>
      <c r="N4282">
        <v>0</v>
      </c>
      <c r="O4282">
        <v>0</v>
      </c>
    </row>
    <row r="4283" spans="1:15" x14ac:dyDescent="0.3">
      <c r="A4283" t="s">
        <v>4296</v>
      </c>
      <c r="B4283">
        <v>7</v>
      </c>
      <c r="C4283">
        <v>23</v>
      </c>
      <c r="D4283" t="s">
        <v>5015</v>
      </c>
      <c r="E4283" t="s">
        <v>5019</v>
      </c>
      <c r="F4283" t="s">
        <v>5024</v>
      </c>
      <c r="G4283">
        <v>11.06</v>
      </c>
      <c r="H4283">
        <v>2</v>
      </c>
      <c r="I4283">
        <v>7.6</v>
      </c>
      <c r="J4283">
        <v>8.6</v>
      </c>
      <c r="K4283">
        <v>37.1</v>
      </c>
      <c r="L4283" t="s">
        <v>5027</v>
      </c>
      <c r="M4283">
        <v>11</v>
      </c>
      <c r="N4283">
        <v>2</v>
      </c>
      <c r="O4283">
        <v>0</v>
      </c>
    </row>
    <row r="4284" spans="1:15" x14ac:dyDescent="0.3">
      <c r="A4284" t="s">
        <v>4297</v>
      </c>
      <c r="B4284">
        <v>8</v>
      </c>
      <c r="C4284">
        <v>61</v>
      </c>
      <c r="D4284" t="s">
        <v>5016</v>
      </c>
      <c r="E4284" t="s">
        <v>5019</v>
      </c>
      <c r="F4284" t="s">
        <v>5021</v>
      </c>
      <c r="G4284">
        <v>20.59</v>
      </c>
      <c r="H4284">
        <v>4</v>
      </c>
      <c r="I4284">
        <v>5.3</v>
      </c>
      <c r="J4284">
        <v>18.309999999999999</v>
      </c>
      <c r="K4284">
        <v>90.1</v>
      </c>
      <c r="L4284" t="s">
        <v>5028</v>
      </c>
      <c r="M4284">
        <v>9</v>
      </c>
      <c r="N4284">
        <v>0</v>
      </c>
      <c r="O4284">
        <v>1</v>
      </c>
    </row>
    <row r="4285" spans="1:15" x14ac:dyDescent="0.3">
      <c r="A4285" t="s">
        <v>4298</v>
      </c>
      <c r="B4285">
        <v>11</v>
      </c>
      <c r="C4285">
        <v>53</v>
      </c>
      <c r="D4285" t="s">
        <v>5015</v>
      </c>
      <c r="E4285" t="s">
        <v>5018</v>
      </c>
      <c r="F4285" t="s">
        <v>5024</v>
      </c>
      <c r="G4285">
        <v>11.45</v>
      </c>
      <c r="H4285">
        <v>1</v>
      </c>
      <c r="I4285">
        <v>1.8</v>
      </c>
      <c r="J4285">
        <v>7.48</v>
      </c>
      <c r="K4285">
        <v>48</v>
      </c>
      <c r="L4285" t="s">
        <v>5027</v>
      </c>
      <c r="M4285">
        <v>8</v>
      </c>
      <c r="N4285">
        <v>2</v>
      </c>
      <c r="O4285">
        <v>1</v>
      </c>
    </row>
    <row r="4286" spans="1:15" x14ac:dyDescent="0.3">
      <c r="A4286" t="s">
        <v>4299</v>
      </c>
      <c r="B4286">
        <v>6</v>
      </c>
      <c r="C4286">
        <v>45</v>
      </c>
      <c r="D4286" t="s">
        <v>5016</v>
      </c>
      <c r="E4286" t="s">
        <v>5017</v>
      </c>
      <c r="F4286" t="s">
        <v>5020</v>
      </c>
      <c r="G4286">
        <v>13.6</v>
      </c>
      <c r="H4286">
        <v>1</v>
      </c>
      <c r="I4286">
        <v>6.5</v>
      </c>
      <c r="J4286">
        <v>11.64</v>
      </c>
      <c r="K4286">
        <v>60.6</v>
      </c>
      <c r="L4286" t="s">
        <v>5026</v>
      </c>
      <c r="M4286">
        <v>4</v>
      </c>
      <c r="N4286">
        <v>1</v>
      </c>
      <c r="O4286">
        <v>0</v>
      </c>
    </row>
    <row r="4287" spans="1:15" x14ac:dyDescent="0.3">
      <c r="A4287" t="s">
        <v>4300</v>
      </c>
      <c r="B4287">
        <v>5</v>
      </c>
      <c r="C4287">
        <v>62</v>
      </c>
      <c r="D4287" t="s">
        <v>5015</v>
      </c>
      <c r="E4287" t="s">
        <v>5018</v>
      </c>
      <c r="F4287" t="s">
        <v>5021</v>
      </c>
      <c r="G4287">
        <v>14.59</v>
      </c>
      <c r="H4287">
        <v>2</v>
      </c>
      <c r="I4287">
        <v>4.3</v>
      </c>
      <c r="J4287">
        <v>9.65</v>
      </c>
      <c r="K4287">
        <v>67.900000000000006</v>
      </c>
      <c r="L4287" t="s">
        <v>5025</v>
      </c>
      <c r="M4287">
        <v>5</v>
      </c>
      <c r="N4287">
        <v>2</v>
      </c>
      <c r="O4287">
        <v>0</v>
      </c>
    </row>
    <row r="4288" spans="1:15" x14ac:dyDescent="0.3">
      <c r="A4288" t="s">
        <v>4301</v>
      </c>
      <c r="B4288">
        <v>11</v>
      </c>
      <c r="C4288">
        <v>34</v>
      </c>
      <c r="D4288" t="s">
        <v>5015</v>
      </c>
      <c r="E4288" t="s">
        <v>5017</v>
      </c>
      <c r="F4288" t="s">
        <v>5022</v>
      </c>
      <c r="G4288">
        <v>23.53</v>
      </c>
      <c r="H4288">
        <v>2</v>
      </c>
      <c r="I4288">
        <v>9.5</v>
      </c>
      <c r="J4288">
        <v>11.57</v>
      </c>
      <c r="K4288">
        <v>22</v>
      </c>
      <c r="L4288" t="s">
        <v>5026</v>
      </c>
      <c r="M4288">
        <v>3</v>
      </c>
      <c r="N4288">
        <v>0</v>
      </c>
      <c r="O4288">
        <v>0</v>
      </c>
    </row>
    <row r="4289" spans="1:15" x14ac:dyDescent="0.3">
      <c r="A4289" t="s">
        <v>4302</v>
      </c>
      <c r="B4289">
        <v>9</v>
      </c>
      <c r="C4289">
        <v>57</v>
      </c>
      <c r="D4289" t="s">
        <v>5016</v>
      </c>
      <c r="E4289" t="s">
        <v>5017</v>
      </c>
      <c r="F4289" t="s">
        <v>5022</v>
      </c>
      <c r="G4289">
        <v>6.07</v>
      </c>
      <c r="H4289">
        <v>5</v>
      </c>
      <c r="I4289">
        <v>5.6</v>
      </c>
      <c r="J4289">
        <v>9.8000000000000007</v>
      </c>
      <c r="K4289">
        <v>13.3</v>
      </c>
      <c r="L4289" t="s">
        <v>5025</v>
      </c>
      <c r="M4289">
        <v>10</v>
      </c>
      <c r="N4289">
        <v>0</v>
      </c>
      <c r="O4289">
        <v>1</v>
      </c>
    </row>
    <row r="4290" spans="1:15" x14ac:dyDescent="0.3">
      <c r="A4290" t="s">
        <v>4303</v>
      </c>
      <c r="B4290">
        <v>3</v>
      </c>
      <c r="C4290">
        <v>69</v>
      </c>
      <c r="D4290" t="s">
        <v>5015</v>
      </c>
      <c r="E4290" t="s">
        <v>5017</v>
      </c>
      <c r="F4290" t="s">
        <v>5023</v>
      </c>
      <c r="G4290">
        <v>8.94</v>
      </c>
      <c r="H4290">
        <v>5</v>
      </c>
      <c r="I4290">
        <v>1.7</v>
      </c>
      <c r="J4290">
        <v>10.6</v>
      </c>
      <c r="K4290">
        <v>48.4</v>
      </c>
      <c r="L4290" t="s">
        <v>5025</v>
      </c>
      <c r="M4290">
        <v>10</v>
      </c>
      <c r="N4290">
        <v>1</v>
      </c>
      <c r="O4290">
        <v>0</v>
      </c>
    </row>
    <row r="4291" spans="1:15" x14ac:dyDescent="0.3">
      <c r="A4291" t="s">
        <v>4304</v>
      </c>
      <c r="B4291">
        <v>12</v>
      </c>
      <c r="C4291">
        <v>20</v>
      </c>
      <c r="D4291" t="s">
        <v>5015</v>
      </c>
      <c r="E4291" t="s">
        <v>5017</v>
      </c>
      <c r="F4291" t="s">
        <v>5024</v>
      </c>
      <c r="G4291">
        <v>19.11</v>
      </c>
      <c r="H4291">
        <v>4</v>
      </c>
      <c r="I4291">
        <v>6.7</v>
      </c>
      <c r="J4291">
        <v>20.399999999999999</v>
      </c>
      <c r="K4291">
        <v>24.4</v>
      </c>
      <c r="L4291" t="s">
        <v>5027</v>
      </c>
      <c r="M4291">
        <v>2</v>
      </c>
      <c r="N4291">
        <v>0</v>
      </c>
      <c r="O4291">
        <v>0</v>
      </c>
    </row>
    <row r="4292" spans="1:15" x14ac:dyDescent="0.3">
      <c r="A4292" t="s">
        <v>4305</v>
      </c>
      <c r="B4292">
        <v>10</v>
      </c>
      <c r="C4292">
        <v>29</v>
      </c>
      <c r="D4292" t="s">
        <v>5015</v>
      </c>
      <c r="E4292" t="s">
        <v>5018</v>
      </c>
      <c r="F4292" t="s">
        <v>5020</v>
      </c>
      <c r="G4292">
        <v>16.55</v>
      </c>
      <c r="H4292">
        <v>1</v>
      </c>
      <c r="I4292">
        <v>8</v>
      </c>
      <c r="J4292">
        <v>9.6</v>
      </c>
      <c r="K4292">
        <v>59.4</v>
      </c>
      <c r="L4292" t="s">
        <v>5029</v>
      </c>
      <c r="M4292">
        <v>3</v>
      </c>
      <c r="N4292">
        <v>4</v>
      </c>
      <c r="O4292">
        <v>0</v>
      </c>
    </row>
    <row r="4293" spans="1:15" x14ac:dyDescent="0.3">
      <c r="A4293" t="s">
        <v>4306</v>
      </c>
      <c r="B4293">
        <v>4</v>
      </c>
      <c r="C4293">
        <v>56</v>
      </c>
      <c r="D4293" t="s">
        <v>5016</v>
      </c>
      <c r="E4293" t="s">
        <v>5019</v>
      </c>
      <c r="F4293" t="s">
        <v>5024</v>
      </c>
      <c r="G4293">
        <v>10.029999999999999</v>
      </c>
      <c r="H4293">
        <v>2</v>
      </c>
      <c r="I4293">
        <v>2.4</v>
      </c>
      <c r="J4293">
        <v>20.92</v>
      </c>
      <c r="K4293">
        <v>50.8</v>
      </c>
      <c r="L4293" t="s">
        <v>5025</v>
      </c>
      <c r="M4293">
        <v>7</v>
      </c>
      <c r="N4293">
        <v>0</v>
      </c>
      <c r="O4293">
        <v>0</v>
      </c>
    </row>
    <row r="4294" spans="1:15" x14ac:dyDescent="0.3">
      <c r="A4294" t="s">
        <v>4307</v>
      </c>
      <c r="B4294">
        <v>9</v>
      </c>
      <c r="C4294">
        <v>29</v>
      </c>
      <c r="D4294" t="s">
        <v>5015</v>
      </c>
      <c r="E4294" t="s">
        <v>5017</v>
      </c>
      <c r="F4294" t="s">
        <v>5021</v>
      </c>
      <c r="G4294">
        <v>10.78</v>
      </c>
      <c r="H4294">
        <v>4</v>
      </c>
      <c r="I4294">
        <v>5</v>
      </c>
      <c r="J4294">
        <v>15.49</v>
      </c>
      <c r="K4294">
        <v>21</v>
      </c>
      <c r="L4294" t="s">
        <v>5025</v>
      </c>
      <c r="M4294">
        <v>8</v>
      </c>
      <c r="N4294">
        <v>4</v>
      </c>
      <c r="O4294">
        <v>1</v>
      </c>
    </row>
    <row r="4295" spans="1:15" x14ac:dyDescent="0.3">
      <c r="A4295" t="s">
        <v>4308</v>
      </c>
      <c r="B4295">
        <v>6</v>
      </c>
      <c r="C4295">
        <v>19</v>
      </c>
      <c r="D4295" t="s">
        <v>5015</v>
      </c>
      <c r="E4295" t="s">
        <v>5019</v>
      </c>
      <c r="F4295" t="s">
        <v>5023</v>
      </c>
      <c r="G4295">
        <v>12.35</v>
      </c>
      <c r="H4295">
        <v>1</v>
      </c>
      <c r="I4295">
        <v>7.7</v>
      </c>
      <c r="J4295">
        <v>20.170000000000002</v>
      </c>
      <c r="K4295">
        <v>69.900000000000006</v>
      </c>
      <c r="L4295" t="s">
        <v>5029</v>
      </c>
      <c r="M4295">
        <v>2</v>
      </c>
      <c r="N4295">
        <v>0</v>
      </c>
      <c r="O4295">
        <v>1</v>
      </c>
    </row>
    <row r="4296" spans="1:15" x14ac:dyDescent="0.3">
      <c r="A4296" t="s">
        <v>4309</v>
      </c>
      <c r="B4296">
        <v>8</v>
      </c>
      <c r="C4296">
        <v>63</v>
      </c>
      <c r="D4296" t="s">
        <v>5016</v>
      </c>
      <c r="E4296" t="s">
        <v>5019</v>
      </c>
      <c r="F4296" t="s">
        <v>5020</v>
      </c>
      <c r="G4296">
        <v>14.01</v>
      </c>
      <c r="H4296">
        <v>4</v>
      </c>
      <c r="I4296">
        <v>1.2</v>
      </c>
      <c r="J4296">
        <v>23.22</v>
      </c>
      <c r="K4296">
        <v>11.8</v>
      </c>
      <c r="L4296" t="s">
        <v>5026</v>
      </c>
      <c r="M4296">
        <v>9</v>
      </c>
      <c r="N4296">
        <v>0</v>
      </c>
      <c r="O4296">
        <v>0</v>
      </c>
    </row>
    <row r="4297" spans="1:15" x14ac:dyDescent="0.3">
      <c r="A4297" t="s">
        <v>4310</v>
      </c>
      <c r="B4297">
        <v>7</v>
      </c>
      <c r="C4297">
        <v>39</v>
      </c>
      <c r="D4297" t="s">
        <v>5015</v>
      </c>
      <c r="E4297" t="s">
        <v>5019</v>
      </c>
      <c r="F4297" t="s">
        <v>5024</v>
      </c>
      <c r="G4297">
        <v>21.36</v>
      </c>
      <c r="H4297">
        <v>4</v>
      </c>
      <c r="I4297">
        <v>1.3</v>
      </c>
      <c r="J4297">
        <v>6.05</v>
      </c>
      <c r="K4297">
        <v>21.4</v>
      </c>
      <c r="L4297" t="s">
        <v>5025</v>
      </c>
      <c r="M4297">
        <v>4</v>
      </c>
      <c r="N4297">
        <v>1</v>
      </c>
      <c r="O4297">
        <v>0</v>
      </c>
    </row>
    <row r="4298" spans="1:15" x14ac:dyDescent="0.3">
      <c r="A4298" t="s">
        <v>4311</v>
      </c>
      <c r="B4298">
        <v>11</v>
      </c>
      <c r="C4298">
        <v>40</v>
      </c>
      <c r="D4298" t="s">
        <v>5015</v>
      </c>
      <c r="E4298" t="s">
        <v>5019</v>
      </c>
      <c r="F4298" t="s">
        <v>5020</v>
      </c>
      <c r="G4298">
        <v>5.28</v>
      </c>
      <c r="H4298">
        <v>5</v>
      </c>
      <c r="I4298">
        <v>7.1</v>
      </c>
      <c r="J4298">
        <v>10.57</v>
      </c>
      <c r="K4298">
        <v>73</v>
      </c>
      <c r="L4298" t="s">
        <v>5027</v>
      </c>
      <c r="M4298">
        <v>2</v>
      </c>
      <c r="N4298">
        <v>4</v>
      </c>
      <c r="O4298">
        <v>0</v>
      </c>
    </row>
    <row r="4299" spans="1:15" x14ac:dyDescent="0.3">
      <c r="A4299" t="s">
        <v>4312</v>
      </c>
      <c r="B4299">
        <v>2</v>
      </c>
      <c r="C4299">
        <v>47</v>
      </c>
      <c r="D4299" t="s">
        <v>5015</v>
      </c>
      <c r="E4299" t="s">
        <v>5018</v>
      </c>
      <c r="F4299" t="s">
        <v>5021</v>
      </c>
      <c r="G4299">
        <v>22.96</v>
      </c>
      <c r="H4299">
        <v>4</v>
      </c>
      <c r="I4299">
        <v>7.5</v>
      </c>
      <c r="J4299">
        <v>4.22</v>
      </c>
      <c r="K4299">
        <v>57.5</v>
      </c>
      <c r="L4299" t="s">
        <v>5029</v>
      </c>
      <c r="M4299">
        <v>7</v>
      </c>
      <c r="N4299">
        <v>1</v>
      </c>
      <c r="O4299">
        <v>0</v>
      </c>
    </row>
    <row r="4300" spans="1:15" x14ac:dyDescent="0.3">
      <c r="A4300" t="s">
        <v>4313</v>
      </c>
      <c r="B4300">
        <v>3</v>
      </c>
      <c r="C4300">
        <v>22</v>
      </c>
      <c r="D4300" t="s">
        <v>5016</v>
      </c>
      <c r="E4300" t="s">
        <v>5017</v>
      </c>
      <c r="F4300" t="s">
        <v>5023</v>
      </c>
      <c r="G4300">
        <v>13.26</v>
      </c>
      <c r="H4300">
        <v>5</v>
      </c>
      <c r="I4300">
        <v>8.6</v>
      </c>
      <c r="J4300">
        <v>11.95</v>
      </c>
      <c r="K4300">
        <v>35.4</v>
      </c>
      <c r="L4300" t="s">
        <v>5029</v>
      </c>
      <c r="M4300">
        <v>11</v>
      </c>
      <c r="N4300">
        <v>4</v>
      </c>
      <c r="O4300">
        <v>0</v>
      </c>
    </row>
    <row r="4301" spans="1:15" x14ac:dyDescent="0.3">
      <c r="A4301" t="s">
        <v>4314</v>
      </c>
      <c r="B4301">
        <v>1</v>
      </c>
      <c r="C4301">
        <v>26</v>
      </c>
      <c r="D4301" t="s">
        <v>5015</v>
      </c>
      <c r="E4301" t="s">
        <v>5018</v>
      </c>
      <c r="F4301" t="s">
        <v>5020</v>
      </c>
      <c r="G4301">
        <v>9.61</v>
      </c>
      <c r="H4301">
        <v>1</v>
      </c>
      <c r="I4301">
        <v>4.5999999999999996</v>
      </c>
      <c r="J4301">
        <v>8.2200000000000006</v>
      </c>
      <c r="K4301">
        <v>26.2</v>
      </c>
      <c r="L4301" t="s">
        <v>5025</v>
      </c>
      <c r="M4301">
        <v>2</v>
      </c>
      <c r="N4301">
        <v>4</v>
      </c>
      <c r="O4301">
        <v>0</v>
      </c>
    </row>
    <row r="4302" spans="1:15" x14ac:dyDescent="0.3">
      <c r="A4302" t="s">
        <v>4315</v>
      </c>
      <c r="B4302">
        <v>9</v>
      </c>
      <c r="C4302">
        <v>38</v>
      </c>
      <c r="D4302" t="s">
        <v>5016</v>
      </c>
      <c r="E4302" t="s">
        <v>5018</v>
      </c>
      <c r="F4302" t="s">
        <v>5021</v>
      </c>
      <c r="G4302">
        <v>15.17</v>
      </c>
      <c r="H4302">
        <v>1</v>
      </c>
      <c r="I4302">
        <v>4.5</v>
      </c>
      <c r="J4302">
        <v>15.58</v>
      </c>
      <c r="K4302">
        <v>67.8</v>
      </c>
      <c r="L4302" t="s">
        <v>5026</v>
      </c>
      <c r="M4302">
        <v>7</v>
      </c>
      <c r="N4302">
        <v>3</v>
      </c>
      <c r="O4302">
        <v>1</v>
      </c>
    </row>
    <row r="4303" spans="1:15" x14ac:dyDescent="0.3">
      <c r="A4303" t="s">
        <v>4316</v>
      </c>
      <c r="B4303">
        <v>7</v>
      </c>
      <c r="C4303">
        <v>28</v>
      </c>
      <c r="D4303" t="s">
        <v>5015</v>
      </c>
      <c r="E4303" t="s">
        <v>5019</v>
      </c>
      <c r="F4303" t="s">
        <v>5022</v>
      </c>
      <c r="G4303">
        <v>18.190000000000001</v>
      </c>
      <c r="H4303">
        <v>5</v>
      </c>
      <c r="I4303">
        <v>6</v>
      </c>
      <c r="J4303">
        <v>20.23</v>
      </c>
      <c r="K4303">
        <v>28.5</v>
      </c>
      <c r="L4303" t="s">
        <v>5026</v>
      </c>
      <c r="M4303">
        <v>8</v>
      </c>
      <c r="N4303">
        <v>4</v>
      </c>
      <c r="O4303">
        <v>1</v>
      </c>
    </row>
    <row r="4304" spans="1:15" x14ac:dyDescent="0.3">
      <c r="A4304" t="s">
        <v>4317</v>
      </c>
      <c r="B4304">
        <v>1</v>
      </c>
      <c r="C4304">
        <v>22</v>
      </c>
      <c r="D4304" t="s">
        <v>5015</v>
      </c>
      <c r="E4304" t="s">
        <v>5019</v>
      </c>
      <c r="F4304" t="s">
        <v>5020</v>
      </c>
      <c r="G4304">
        <v>5.9</v>
      </c>
      <c r="H4304">
        <v>3</v>
      </c>
      <c r="I4304">
        <v>7.8</v>
      </c>
      <c r="J4304">
        <v>13.7</v>
      </c>
      <c r="K4304">
        <v>98.6</v>
      </c>
      <c r="L4304" t="s">
        <v>5028</v>
      </c>
      <c r="M4304">
        <v>9</v>
      </c>
      <c r="N4304">
        <v>1</v>
      </c>
      <c r="O4304">
        <v>1</v>
      </c>
    </row>
    <row r="4305" spans="1:15" x14ac:dyDescent="0.3">
      <c r="A4305" t="s">
        <v>4318</v>
      </c>
      <c r="B4305">
        <v>3</v>
      </c>
      <c r="C4305">
        <v>52</v>
      </c>
      <c r="D4305" t="s">
        <v>5015</v>
      </c>
      <c r="E4305" t="s">
        <v>5018</v>
      </c>
      <c r="F4305" t="s">
        <v>5023</v>
      </c>
      <c r="G4305">
        <v>19.32</v>
      </c>
      <c r="H4305">
        <v>4</v>
      </c>
      <c r="I4305">
        <v>6.8</v>
      </c>
      <c r="J4305">
        <v>10.34</v>
      </c>
      <c r="K4305">
        <v>88.2</v>
      </c>
      <c r="L4305" t="s">
        <v>5028</v>
      </c>
      <c r="M4305">
        <v>11</v>
      </c>
      <c r="N4305">
        <v>1</v>
      </c>
      <c r="O4305">
        <v>0</v>
      </c>
    </row>
    <row r="4306" spans="1:15" x14ac:dyDescent="0.3">
      <c r="A4306" t="s">
        <v>4319</v>
      </c>
      <c r="B4306">
        <v>4</v>
      </c>
      <c r="C4306">
        <v>44</v>
      </c>
      <c r="D4306" t="s">
        <v>5015</v>
      </c>
      <c r="E4306" t="s">
        <v>5018</v>
      </c>
      <c r="F4306" t="s">
        <v>5020</v>
      </c>
      <c r="G4306">
        <v>20.22</v>
      </c>
      <c r="H4306">
        <v>1</v>
      </c>
      <c r="I4306">
        <v>3.9</v>
      </c>
      <c r="J4306">
        <v>6.36</v>
      </c>
      <c r="K4306">
        <v>21.9</v>
      </c>
      <c r="L4306" t="s">
        <v>5027</v>
      </c>
      <c r="M4306">
        <v>1</v>
      </c>
      <c r="N4306">
        <v>2</v>
      </c>
      <c r="O4306">
        <v>0</v>
      </c>
    </row>
    <row r="4307" spans="1:15" x14ac:dyDescent="0.3">
      <c r="A4307" t="s">
        <v>4320</v>
      </c>
      <c r="B4307">
        <v>4</v>
      </c>
      <c r="C4307">
        <v>66</v>
      </c>
      <c r="D4307" t="s">
        <v>5016</v>
      </c>
      <c r="E4307" t="s">
        <v>5017</v>
      </c>
      <c r="F4307" t="s">
        <v>5020</v>
      </c>
      <c r="G4307">
        <v>8.32</v>
      </c>
      <c r="H4307">
        <v>4</v>
      </c>
      <c r="I4307">
        <v>4.0999999999999996</v>
      </c>
      <c r="J4307">
        <v>3.59</v>
      </c>
      <c r="K4307">
        <v>87.3</v>
      </c>
      <c r="L4307" t="s">
        <v>5025</v>
      </c>
      <c r="M4307">
        <v>2</v>
      </c>
      <c r="N4307">
        <v>0</v>
      </c>
      <c r="O4307">
        <v>0</v>
      </c>
    </row>
    <row r="4308" spans="1:15" x14ac:dyDescent="0.3">
      <c r="A4308" t="s">
        <v>4321</v>
      </c>
      <c r="B4308">
        <v>5</v>
      </c>
      <c r="C4308">
        <v>19</v>
      </c>
      <c r="D4308" t="s">
        <v>5015</v>
      </c>
      <c r="E4308" t="s">
        <v>5017</v>
      </c>
      <c r="F4308" t="s">
        <v>5021</v>
      </c>
      <c r="G4308">
        <v>8.36</v>
      </c>
      <c r="H4308">
        <v>3</v>
      </c>
      <c r="I4308">
        <v>7.9</v>
      </c>
      <c r="J4308">
        <v>17.91</v>
      </c>
      <c r="K4308">
        <v>41.1</v>
      </c>
      <c r="L4308" t="s">
        <v>5026</v>
      </c>
      <c r="M4308">
        <v>2</v>
      </c>
      <c r="N4308">
        <v>3</v>
      </c>
      <c r="O4308">
        <v>0</v>
      </c>
    </row>
    <row r="4309" spans="1:15" x14ac:dyDescent="0.3">
      <c r="A4309" t="s">
        <v>4322</v>
      </c>
      <c r="B4309">
        <v>3</v>
      </c>
      <c r="C4309">
        <v>41</v>
      </c>
      <c r="D4309" t="s">
        <v>5016</v>
      </c>
      <c r="E4309" t="s">
        <v>5018</v>
      </c>
      <c r="F4309" t="s">
        <v>5024</v>
      </c>
      <c r="G4309">
        <v>9.08</v>
      </c>
      <c r="H4309">
        <v>4</v>
      </c>
      <c r="I4309">
        <v>5.8</v>
      </c>
      <c r="J4309">
        <v>3.67</v>
      </c>
      <c r="K4309">
        <v>54.1</v>
      </c>
      <c r="L4309" t="s">
        <v>5028</v>
      </c>
      <c r="M4309">
        <v>7</v>
      </c>
      <c r="N4309">
        <v>0</v>
      </c>
      <c r="O4309">
        <v>1</v>
      </c>
    </row>
    <row r="4310" spans="1:15" x14ac:dyDescent="0.3">
      <c r="A4310" t="s">
        <v>4323</v>
      </c>
      <c r="B4310">
        <v>3</v>
      </c>
      <c r="C4310">
        <v>48</v>
      </c>
      <c r="D4310" t="s">
        <v>5015</v>
      </c>
      <c r="E4310" t="s">
        <v>5018</v>
      </c>
      <c r="F4310" t="s">
        <v>5024</v>
      </c>
      <c r="G4310">
        <v>20.93</v>
      </c>
      <c r="H4310">
        <v>3</v>
      </c>
      <c r="I4310">
        <v>1.9</v>
      </c>
      <c r="J4310">
        <v>23.26</v>
      </c>
      <c r="K4310">
        <v>22.9</v>
      </c>
      <c r="L4310" t="s">
        <v>5025</v>
      </c>
      <c r="M4310">
        <v>6</v>
      </c>
      <c r="N4310">
        <v>1</v>
      </c>
      <c r="O4310">
        <v>1</v>
      </c>
    </row>
    <row r="4311" spans="1:15" x14ac:dyDescent="0.3">
      <c r="A4311" t="s">
        <v>4324</v>
      </c>
      <c r="B4311">
        <v>1</v>
      </c>
      <c r="C4311">
        <v>50</v>
      </c>
      <c r="D4311" t="s">
        <v>5016</v>
      </c>
      <c r="E4311" t="s">
        <v>5019</v>
      </c>
      <c r="F4311" t="s">
        <v>5020</v>
      </c>
      <c r="G4311">
        <v>10.44</v>
      </c>
      <c r="H4311">
        <v>2</v>
      </c>
      <c r="I4311">
        <v>2.4</v>
      </c>
      <c r="J4311">
        <v>16.07</v>
      </c>
      <c r="K4311">
        <v>20.7</v>
      </c>
      <c r="L4311" t="s">
        <v>5025</v>
      </c>
      <c r="M4311">
        <v>11</v>
      </c>
      <c r="N4311">
        <v>3</v>
      </c>
      <c r="O4311">
        <v>0</v>
      </c>
    </row>
    <row r="4312" spans="1:15" x14ac:dyDescent="0.3">
      <c r="A4312" t="s">
        <v>4325</v>
      </c>
      <c r="B4312">
        <v>7</v>
      </c>
      <c r="C4312">
        <v>56</v>
      </c>
      <c r="D4312" t="s">
        <v>5015</v>
      </c>
      <c r="E4312" t="s">
        <v>5018</v>
      </c>
      <c r="F4312" t="s">
        <v>5023</v>
      </c>
      <c r="G4312">
        <v>20.92</v>
      </c>
      <c r="H4312">
        <v>3</v>
      </c>
      <c r="I4312">
        <v>8.6999999999999993</v>
      </c>
      <c r="J4312">
        <v>10.77</v>
      </c>
      <c r="K4312">
        <v>87.9</v>
      </c>
      <c r="L4312" t="s">
        <v>5026</v>
      </c>
      <c r="M4312">
        <v>9</v>
      </c>
      <c r="N4312">
        <v>4</v>
      </c>
      <c r="O4312">
        <v>0</v>
      </c>
    </row>
    <row r="4313" spans="1:15" x14ac:dyDescent="0.3">
      <c r="A4313" t="s">
        <v>4326</v>
      </c>
      <c r="B4313">
        <v>11</v>
      </c>
      <c r="C4313">
        <v>47</v>
      </c>
      <c r="D4313" t="s">
        <v>5015</v>
      </c>
      <c r="E4313" t="s">
        <v>5019</v>
      </c>
      <c r="F4313" t="s">
        <v>5023</v>
      </c>
      <c r="G4313">
        <v>15.81</v>
      </c>
      <c r="H4313">
        <v>1</v>
      </c>
      <c r="I4313">
        <v>10</v>
      </c>
      <c r="J4313">
        <v>3.92</v>
      </c>
      <c r="K4313">
        <v>66.7</v>
      </c>
      <c r="L4313" t="s">
        <v>5025</v>
      </c>
      <c r="M4313">
        <v>3</v>
      </c>
      <c r="N4313">
        <v>1</v>
      </c>
      <c r="O4313">
        <v>0</v>
      </c>
    </row>
    <row r="4314" spans="1:15" x14ac:dyDescent="0.3">
      <c r="A4314" t="s">
        <v>4327</v>
      </c>
      <c r="B4314">
        <v>10</v>
      </c>
      <c r="C4314">
        <v>63</v>
      </c>
      <c r="D4314" t="s">
        <v>5016</v>
      </c>
      <c r="E4314" t="s">
        <v>5018</v>
      </c>
      <c r="F4314" t="s">
        <v>5021</v>
      </c>
      <c r="G4314">
        <v>20.34</v>
      </c>
      <c r="H4314">
        <v>5</v>
      </c>
      <c r="I4314">
        <v>4</v>
      </c>
      <c r="J4314">
        <v>12.1</v>
      </c>
      <c r="K4314">
        <v>51.4</v>
      </c>
      <c r="L4314" t="s">
        <v>5029</v>
      </c>
      <c r="M4314">
        <v>8</v>
      </c>
      <c r="N4314">
        <v>1</v>
      </c>
      <c r="O4314">
        <v>0</v>
      </c>
    </row>
    <row r="4315" spans="1:15" x14ac:dyDescent="0.3">
      <c r="A4315" t="s">
        <v>4328</v>
      </c>
      <c r="B4315">
        <v>1</v>
      </c>
      <c r="C4315">
        <v>54</v>
      </c>
      <c r="D4315" t="s">
        <v>5016</v>
      </c>
      <c r="E4315" t="s">
        <v>5019</v>
      </c>
      <c r="F4315" t="s">
        <v>5020</v>
      </c>
      <c r="G4315">
        <v>16.07</v>
      </c>
      <c r="H4315">
        <v>5</v>
      </c>
      <c r="I4315">
        <v>4.5</v>
      </c>
      <c r="J4315">
        <v>22.08</v>
      </c>
      <c r="K4315">
        <v>13.3</v>
      </c>
      <c r="L4315" t="s">
        <v>5028</v>
      </c>
      <c r="M4315">
        <v>5</v>
      </c>
      <c r="N4315">
        <v>1</v>
      </c>
      <c r="O4315">
        <v>0</v>
      </c>
    </row>
    <row r="4316" spans="1:15" x14ac:dyDescent="0.3">
      <c r="A4316" t="s">
        <v>4329</v>
      </c>
      <c r="B4316">
        <v>2</v>
      </c>
      <c r="C4316">
        <v>68</v>
      </c>
      <c r="D4316" t="s">
        <v>5016</v>
      </c>
      <c r="E4316" t="s">
        <v>5017</v>
      </c>
      <c r="F4316" t="s">
        <v>5020</v>
      </c>
      <c r="G4316">
        <v>11.72</v>
      </c>
      <c r="H4316">
        <v>4</v>
      </c>
      <c r="I4316">
        <v>2.4</v>
      </c>
      <c r="J4316">
        <v>24.34</v>
      </c>
      <c r="K4316">
        <v>93</v>
      </c>
      <c r="L4316" t="s">
        <v>5027</v>
      </c>
      <c r="M4316">
        <v>5</v>
      </c>
      <c r="N4316">
        <v>1</v>
      </c>
      <c r="O4316">
        <v>1</v>
      </c>
    </row>
    <row r="4317" spans="1:15" x14ac:dyDescent="0.3">
      <c r="A4317" t="s">
        <v>4330</v>
      </c>
      <c r="B4317">
        <v>4</v>
      </c>
      <c r="C4317">
        <v>45</v>
      </c>
      <c r="D4317" t="s">
        <v>5016</v>
      </c>
      <c r="E4317" t="s">
        <v>5019</v>
      </c>
      <c r="F4317" t="s">
        <v>5024</v>
      </c>
      <c r="G4317">
        <v>23.21</v>
      </c>
      <c r="H4317">
        <v>2</v>
      </c>
      <c r="I4317">
        <v>3.1</v>
      </c>
      <c r="J4317">
        <v>4.87</v>
      </c>
      <c r="K4317">
        <v>43.8</v>
      </c>
      <c r="L4317" t="s">
        <v>5028</v>
      </c>
      <c r="M4317">
        <v>10</v>
      </c>
      <c r="N4317">
        <v>3</v>
      </c>
      <c r="O4317">
        <v>0</v>
      </c>
    </row>
    <row r="4318" spans="1:15" x14ac:dyDescent="0.3">
      <c r="A4318" t="s">
        <v>4331</v>
      </c>
      <c r="B4318">
        <v>4</v>
      </c>
      <c r="C4318">
        <v>48</v>
      </c>
      <c r="D4318" t="s">
        <v>5015</v>
      </c>
      <c r="E4318" t="s">
        <v>5018</v>
      </c>
      <c r="F4318" t="s">
        <v>5021</v>
      </c>
      <c r="G4318">
        <v>19.309999999999999</v>
      </c>
      <c r="H4318">
        <v>4</v>
      </c>
      <c r="I4318">
        <v>4.8</v>
      </c>
      <c r="J4318">
        <v>20.100000000000001</v>
      </c>
      <c r="K4318">
        <v>47.5</v>
      </c>
      <c r="L4318" t="s">
        <v>5025</v>
      </c>
      <c r="M4318">
        <v>11</v>
      </c>
      <c r="N4318">
        <v>0</v>
      </c>
      <c r="O4318">
        <v>1</v>
      </c>
    </row>
    <row r="4319" spans="1:15" x14ac:dyDescent="0.3">
      <c r="A4319" t="s">
        <v>4332</v>
      </c>
      <c r="B4319">
        <v>5</v>
      </c>
      <c r="C4319">
        <v>28</v>
      </c>
      <c r="D4319" t="s">
        <v>5016</v>
      </c>
      <c r="E4319" t="s">
        <v>5017</v>
      </c>
      <c r="F4319" t="s">
        <v>5022</v>
      </c>
      <c r="G4319">
        <v>14.68</v>
      </c>
      <c r="H4319">
        <v>3</v>
      </c>
      <c r="I4319">
        <v>3.6</v>
      </c>
      <c r="J4319">
        <v>8.68</v>
      </c>
      <c r="K4319">
        <v>36.1</v>
      </c>
      <c r="L4319" t="s">
        <v>5029</v>
      </c>
      <c r="M4319">
        <v>5</v>
      </c>
      <c r="N4319">
        <v>0</v>
      </c>
      <c r="O4319">
        <v>0</v>
      </c>
    </row>
    <row r="4320" spans="1:15" x14ac:dyDescent="0.3">
      <c r="A4320" t="s">
        <v>4333</v>
      </c>
      <c r="B4320">
        <v>11</v>
      </c>
      <c r="C4320">
        <v>40</v>
      </c>
      <c r="D4320" t="s">
        <v>5016</v>
      </c>
      <c r="E4320" t="s">
        <v>5017</v>
      </c>
      <c r="F4320" t="s">
        <v>5023</v>
      </c>
      <c r="G4320">
        <v>17.75</v>
      </c>
      <c r="H4320">
        <v>5</v>
      </c>
      <c r="I4320">
        <v>7.3</v>
      </c>
      <c r="J4320">
        <v>11.35</v>
      </c>
      <c r="K4320">
        <v>90.2</v>
      </c>
      <c r="L4320" t="s">
        <v>5028</v>
      </c>
      <c r="M4320">
        <v>8</v>
      </c>
      <c r="N4320">
        <v>4</v>
      </c>
      <c r="O4320">
        <v>0</v>
      </c>
    </row>
    <row r="4321" spans="1:15" x14ac:dyDescent="0.3">
      <c r="A4321" t="s">
        <v>4334</v>
      </c>
      <c r="B4321">
        <v>2</v>
      </c>
      <c r="C4321">
        <v>19</v>
      </c>
      <c r="D4321" t="s">
        <v>5016</v>
      </c>
      <c r="E4321" t="s">
        <v>5019</v>
      </c>
      <c r="F4321" t="s">
        <v>5023</v>
      </c>
      <c r="G4321">
        <v>17.32</v>
      </c>
      <c r="H4321">
        <v>3</v>
      </c>
      <c r="I4321">
        <v>5.8</v>
      </c>
      <c r="J4321">
        <v>15.05</v>
      </c>
      <c r="K4321">
        <v>41</v>
      </c>
      <c r="L4321" t="s">
        <v>5026</v>
      </c>
      <c r="M4321">
        <v>7</v>
      </c>
      <c r="N4321">
        <v>1</v>
      </c>
      <c r="O4321">
        <v>0</v>
      </c>
    </row>
    <row r="4322" spans="1:15" x14ac:dyDescent="0.3">
      <c r="A4322" t="s">
        <v>4335</v>
      </c>
      <c r="B4322">
        <v>4</v>
      </c>
      <c r="C4322">
        <v>57</v>
      </c>
      <c r="D4322" t="s">
        <v>5015</v>
      </c>
      <c r="E4322" t="s">
        <v>5017</v>
      </c>
      <c r="F4322" t="s">
        <v>5020</v>
      </c>
      <c r="G4322">
        <v>12.16</v>
      </c>
      <c r="H4322">
        <v>5</v>
      </c>
      <c r="I4322">
        <v>8.4</v>
      </c>
      <c r="J4322">
        <v>24.88</v>
      </c>
      <c r="K4322">
        <v>25.7</v>
      </c>
      <c r="L4322" t="s">
        <v>5029</v>
      </c>
      <c r="M4322">
        <v>11</v>
      </c>
      <c r="N4322">
        <v>1</v>
      </c>
      <c r="O4322">
        <v>1</v>
      </c>
    </row>
    <row r="4323" spans="1:15" x14ac:dyDescent="0.3">
      <c r="A4323" t="s">
        <v>4336</v>
      </c>
      <c r="B4323">
        <v>1</v>
      </c>
      <c r="C4323">
        <v>58</v>
      </c>
      <c r="D4323" t="s">
        <v>5015</v>
      </c>
      <c r="E4323" t="s">
        <v>5018</v>
      </c>
      <c r="F4323" t="s">
        <v>5021</v>
      </c>
      <c r="G4323">
        <v>13.48</v>
      </c>
      <c r="H4323">
        <v>5</v>
      </c>
      <c r="I4323">
        <v>7.5</v>
      </c>
      <c r="J4323">
        <v>7.59</v>
      </c>
      <c r="K4323">
        <v>55.1</v>
      </c>
      <c r="L4323" t="s">
        <v>5028</v>
      </c>
      <c r="M4323">
        <v>7</v>
      </c>
      <c r="N4323">
        <v>0</v>
      </c>
      <c r="O4323">
        <v>0</v>
      </c>
    </row>
    <row r="4324" spans="1:15" x14ac:dyDescent="0.3">
      <c r="A4324" t="s">
        <v>4337</v>
      </c>
      <c r="B4324">
        <v>2</v>
      </c>
      <c r="C4324">
        <v>44</v>
      </c>
      <c r="D4324" t="s">
        <v>5015</v>
      </c>
      <c r="E4324" t="s">
        <v>5018</v>
      </c>
      <c r="F4324" t="s">
        <v>5022</v>
      </c>
      <c r="G4324">
        <v>11.37</v>
      </c>
      <c r="H4324">
        <v>5</v>
      </c>
      <c r="I4324">
        <v>2.2000000000000002</v>
      </c>
      <c r="J4324">
        <v>5.87</v>
      </c>
      <c r="K4324">
        <v>80.3</v>
      </c>
      <c r="L4324" t="s">
        <v>5025</v>
      </c>
      <c r="M4324">
        <v>4</v>
      </c>
      <c r="N4324">
        <v>4</v>
      </c>
      <c r="O4324">
        <v>1</v>
      </c>
    </row>
    <row r="4325" spans="1:15" x14ac:dyDescent="0.3">
      <c r="A4325" t="s">
        <v>4338</v>
      </c>
      <c r="B4325">
        <v>1</v>
      </c>
      <c r="C4325">
        <v>52</v>
      </c>
      <c r="D4325" t="s">
        <v>5015</v>
      </c>
      <c r="E4325" t="s">
        <v>5018</v>
      </c>
      <c r="F4325" t="s">
        <v>5023</v>
      </c>
      <c r="G4325">
        <v>24.99</v>
      </c>
      <c r="H4325">
        <v>1</v>
      </c>
      <c r="I4325">
        <v>2.1</v>
      </c>
      <c r="J4325">
        <v>16.09</v>
      </c>
      <c r="K4325">
        <v>43.4</v>
      </c>
      <c r="L4325" t="s">
        <v>5026</v>
      </c>
      <c r="M4325">
        <v>6</v>
      </c>
      <c r="N4325">
        <v>2</v>
      </c>
      <c r="O4325">
        <v>0</v>
      </c>
    </row>
    <row r="4326" spans="1:15" x14ac:dyDescent="0.3">
      <c r="A4326" t="s">
        <v>4339</v>
      </c>
      <c r="B4326">
        <v>10</v>
      </c>
      <c r="C4326">
        <v>19</v>
      </c>
      <c r="D4326" t="s">
        <v>5016</v>
      </c>
      <c r="E4326" t="s">
        <v>5019</v>
      </c>
      <c r="F4326" t="s">
        <v>5021</v>
      </c>
      <c r="G4326">
        <v>16.600000000000001</v>
      </c>
      <c r="H4326">
        <v>3</v>
      </c>
      <c r="I4326">
        <v>9.1</v>
      </c>
      <c r="J4326">
        <v>21.77</v>
      </c>
      <c r="K4326">
        <v>68.7</v>
      </c>
      <c r="L4326" t="s">
        <v>5025</v>
      </c>
      <c r="M4326">
        <v>1</v>
      </c>
      <c r="N4326">
        <v>3</v>
      </c>
      <c r="O4326">
        <v>1</v>
      </c>
    </row>
    <row r="4327" spans="1:15" x14ac:dyDescent="0.3">
      <c r="A4327" t="s">
        <v>4340</v>
      </c>
      <c r="B4327">
        <v>10</v>
      </c>
      <c r="C4327">
        <v>56</v>
      </c>
      <c r="D4327" t="s">
        <v>5015</v>
      </c>
      <c r="E4327" t="s">
        <v>5018</v>
      </c>
      <c r="F4327" t="s">
        <v>5022</v>
      </c>
      <c r="G4327">
        <v>6.84</v>
      </c>
      <c r="H4327">
        <v>4</v>
      </c>
      <c r="I4327">
        <v>8.4</v>
      </c>
      <c r="J4327">
        <v>17.260000000000002</v>
      </c>
      <c r="K4327">
        <v>37.4</v>
      </c>
      <c r="L4327" t="s">
        <v>5025</v>
      </c>
      <c r="M4327">
        <v>6</v>
      </c>
      <c r="N4327">
        <v>0</v>
      </c>
      <c r="O4327">
        <v>0</v>
      </c>
    </row>
    <row r="4328" spans="1:15" x14ac:dyDescent="0.3">
      <c r="A4328" t="s">
        <v>4341</v>
      </c>
      <c r="B4328">
        <v>4</v>
      </c>
      <c r="C4328">
        <v>54</v>
      </c>
      <c r="D4328" t="s">
        <v>5016</v>
      </c>
      <c r="E4328" t="s">
        <v>5018</v>
      </c>
      <c r="F4328" t="s">
        <v>5020</v>
      </c>
      <c r="G4328">
        <v>15.38</v>
      </c>
      <c r="H4328">
        <v>2</v>
      </c>
      <c r="I4328">
        <v>5.2</v>
      </c>
      <c r="J4328">
        <v>10.65</v>
      </c>
      <c r="K4328">
        <v>74.8</v>
      </c>
      <c r="L4328" t="s">
        <v>5026</v>
      </c>
      <c r="M4328">
        <v>5</v>
      </c>
      <c r="N4328">
        <v>3</v>
      </c>
      <c r="O4328">
        <v>0</v>
      </c>
    </row>
    <row r="4329" spans="1:15" x14ac:dyDescent="0.3">
      <c r="A4329" t="s">
        <v>4342</v>
      </c>
      <c r="B4329">
        <v>4</v>
      </c>
      <c r="C4329">
        <v>38</v>
      </c>
      <c r="D4329" t="s">
        <v>5015</v>
      </c>
      <c r="E4329" t="s">
        <v>5019</v>
      </c>
      <c r="F4329" t="s">
        <v>5024</v>
      </c>
      <c r="G4329">
        <v>6</v>
      </c>
      <c r="H4329">
        <v>4</v>
      </c>
      <c r="I4329">
        <v>2.2000000000000002</v>
      </c>
      <c r="J4329">
        <v>24.49</v>
      </c>
      <c r="K4329">
        <v>70.2</v>
      </c>
      <c r="L4329" t="s">
        <v>5029</v>
      </c>
      <c r="M4329">
        <v>1</v>
      </c>
      <c r="N4329">
        <v>0</v>
      </c>
      <c r="O4329">
        <v>0</v>
      </c>
    </row>
    <row r="4330" spans="1:15" x14ac:dyDescent="0.3">
      <c r="A4330" t="s">
        <v>4343</v>
      </c>
      <c r="B4330">
        <v>7</v>
      </c>
      <c r="C4330">
        <v>22</v>
      </c>
      <c r="D4330" t="s">
        <v>5016</v>
      </c>
      <c r="E4330" t="s">
        <v>5019</v>
      </c>
      <c r="F4330" t="s">
        <v>5023</v>
      </c>
      <c r="G4330">
        <v>10.77</v>
      </c>
      <c r="H4330">
        <v>3</v>
      </c>
      <c r="I4330">
        <v>9.1</v>
      </c>
      <c r="J4330">
        <v>24.89</v>
      </c>
      <c r="K4330">
        <v>71.3</v>
      </c>
      <c r="L4330" t="s">
        <v>5028</v>
      </c>
      <c r="M4330">
        <v>11</v>
      </c>
      <c r="N4330">
        <v>4</v>
      </c>
      <c r="O4330">
        <v>0</v>
      </c>
    </row>
    <row r="4331" spans="1:15" x14ac:dyDescent="0.3">
      <c r="A4331" t="s">
        <v>4344</v>
      </c>
      <c r="B4331">
        <v>10</v>
      </c>
      <c r="C4331">
        <v>69</v>
      </c>
      <c r="D4331" t="s">
        <v>5016</v>
      </c>
      <c r="E4331" t="s">
        <v>5019</v>
      </c>
      <c r="F4331" t="s">
        <v>5023</v>
      </c>
      <c r="G4331">
        <v>13.92</v>
      </c>
      <c r="H4331">
        <v>2</v>
      </c>
      <c r="I4331">
        <v>3.1</v>
      </c>
      <c r="J4331">
        <v>19.95</v>
      </c>
      <c r="K4331">
        <v>68.099999999999994</v>
      </c>
      <c r="L4331" t="s">
        <v>5029</v>
      </c>
      <c r="M4331">
        <v>1</v>
      </c>
      <c r="N4331">
        <v>1</v>
      </c>
      <c r="O4331">
        <v>0</v>
      </c>
    </row>
    <row r="4332" spans="1:15" x14ac:dyDescent="0.3">
      <c r="A4332" t="s">
        <v>4345</v>
      </c>
      <c r="B4332">
        <v>11</v>
      </c>
      <c r="C4332">
        <v>62</v>
      </c>
      <c r="D4332" t="s">
        <v>5016</v>
      </c>
      <c r="E4332" t="s">
        <v>5018</v>
      </c>
      <c r="F4332" t="s">
        <v>5022</v>
      </c>
      <c r="G4332">
        <v>15.69</v>
      </c>
      <c r="H4332">
        <v>4</v>
      </c>
      <c r="I4332">
        <v>1.3</v>
      </c>
      <c r="J4332">
        <v>20.65</v>
      </c>
      <c r="K4332">
        <v>24.1</v>
      </c>
      <c r="L4332" t="s">
        <v>5026</v>
      </c>
      <c r="M4332">
        <v>3</v>
      </c>
      <c r="N4332">
        <v>2</v>
      </c>
      <c r="O4332">
        <v>0</v>
      </c>
    </row>
    <row r="4333" spans="1:15" x14ac:dyDescent="0.3">
      <c r="A4333" t="s">
        <v>4346</v>
      </c>
      <c r="B4333">
        <v>11</v>
      </c>
      <c r="C4333">
        <v>38</v>
      </c>
      <c r="D4333" t="s">
        <v>5016</v>
      </c>
      <c r="E4333" t="s">
        <v>5017</v>
      </c>
      <c r="F4333" t="s">
        <v>5024</v>
      </c>
      <c r="G4333">
        <v>24.52</v>
      </c>
      <c r="H4333">
        <v>2</v>
      </c>
      <c r="I4333">
        <v>9.3000000000000007</v>
      </c>
      <c r="J4333">
        <v>19.739999999999998</v>
      </c>
      <c r="K4333">
        <v>89.9</v>
      </c>
      <c r="L4333" t="s">
        <v>5028</v>
      </c>
      <c r="M4333">
        <v>4</v>
      </c>
      <c r="N4333">
        <v>3</v>
      </c>
      <c r="O4333">
        <v>1</v>
      </c>
    </row>
    <row r="4334" spans="1:15" x14ac:dyDescent="0.3">
      <c r="A4334" t="s">
        <v>4347</v>
      </c>
      <c r="B4334">
        <v>9</v>
      </c>
      <c r="C4334">
        <v>46</v>
      </c>
      <c r="D4334" t="s">
        <v>5016</v>
      </c>
      <c r="E4334" t="s">
        <v>5018</v>
      </c>
      <c r="F4334" t="s">
        <v>5021</v>
      </c>
      <c r="G4334">
        <v>24.64</v>
      </c>
      <c r="H4334">
        <v>3</v>
      </c>
      <c r="I4334">
        <v>8.3000000000000007</v>
      </c>
      <c r="J4334">
        <v>8.67</v>
      </c>
      <c r="K4334">
        <v>62.7</v>
      </c>
      <c r="L4334" t="s">
        <v>5026</v>
      </c>
      <c r="M4334">
        <v>1</v>
      </c>
      <c r="N4334">
        <v>2</v>
      </c>
      <c r="O4334">
        <v>0</v>
      </c>
    </row>
    <row r="4335" spans="1:15" x14ac:dyDescent="0.3">
      <c r="A4335" t="s">
        <v>4348</v>
      </c>
      <c r="B4335">
        <v>9</v>
      </c>
      <c r="C4335">
        <v>37</v>
      </c>
      <c r="D4335" t="s">
        <v>5015</v>
      </c>
      <c r="E4335" t="s">
        <v>5019</v>
      </c>
      <c r="F4335" t="s">
        <v>5020</v>
      </c>
      <c r="G4335">
        <v>6.96</v>
      </c>
      <c r="H4335">
        <v>5</v>
      </c>
      <c r="I4335">
        <v>7.2</v>
      </c>
      <c r="J4335">
        <v>6.31</v>
      </c>
      <c r="K4335">
        <v>44.4</v>
      </c>
      <c r="L4335" t="s">
        <v>5027</v>
      </c>
      <c r="M4335">
        <v>10</v>
      </c>
      <c r="N4335">
        <v>1</v>
      </c>
      <c r="O4335">
        <v>0</v>
      </c>
    </row>
    <row r="4336" spans="1:15" x14ac:dyDescent="0.3">
      <c r="A4336" t="s">
        <v>4349</v>
      </c>
      <c r="B4336">
        <v>5</v>
      </c>
      <c r="C4336">
        <v>55</v>
      </c>
      <c r="D4336" t="s">
        <v>5016</v>
      </c>
      <c r="E4336" t="s">
        <v>5017</v>
      </c>
      <c r="F4336" t="s">
        <v>5021</v>
      </c>
      <c r="G4336">
        <v>15.76</v>
      </c>
      <c r="H4336">
        <v>3</v>
      </c>
      <c r="I4336">
        <v>1.3</v>
      </c>
      <c r="J4336">
        <v>15.2</v>
      </c>
      <c r="K4336">
        <v>25.5</v>
      </c>
      <c r="L4336" t="s">
        <v>5027</v>
      </c>
      <c r="M4336">
        <v>7</v>
      </c>
      <c r="N4336">
        <v>0</v>
      </c>
      <c r="O4336">
        <v>1</v>
      </c>
    </row>
    <row r="4337" spans="1:15" x14ac:dyDescent="0.3">
      <c r="A4337" t="s">
        <v>4350</v>
      </c>
      <c r="B4337">
        <v>10</v>
      </c>
      <c r="C4337">
        <v>37</v>
      </c>
      <c r="D4337" t="s">
        <v>5016</v>
      </c>
      <c r="E4337" t="s">
        <v>5017</v>
      </c>
      <c r="F4337" t="s">
        <v>5022</v>
      </c>
      <c r="G4337">
        <v>21.34</v>
      </c>
      <c r="H4337">
        <v>1</v>
      </c>
      <c r="I4337">
        <v>5.8</v>
      </c>
      <c r="J4337">
        <v>23.99</v>
      </c>
      <c r="K4337">
        <v>80.5</v>
      </c>
      <c r="L4337" t="s">
        <v>5029</v>
      </c>
      <c r="M4337">
        <v>2</v>
      </c>
      <c r="N4337">
        <v>4</v>
      </c>
      <c r="O4337">
        <v>1</v>
      </c>
    </row>
    <row r="4338" spans="1:15" x14ac:dyDescent="0.3">
      <c r="A4338" t="s">
        <v>4351</v>
      </c>
      <c r="B4338">
        <v>1</v>
      </c>
      <c r="C4338">
        <v>67</v>
      </c>
      <c r="D4338" t="s">
        <v>5016</v>
      </c>
      <c r="E4338" t="s">
        <v>5017</v>
      </c>
      <c r="F4338" t="s">
        <v>5023</v>
      </c>
      <c r="G4338">
        <v>9.75</v>
      </c>
      <c r="H4338">
        <v>2</v>
      </c>
      <c r="I4338">
        <v>6.9</v>
      </c>
      <c r="J4338">
        <v>22.32</v>
      </c>
      <c r="K4338">
        <v>55.8</v>
      </c>
      <c r="L4338" t="s">
        <v>5026</v>
      </c>
      <c r="M4338">
        <v>11</v>
      </c>
      <c r="N4338">
        <v>1</v>
      </c>
      <c r="O4338">
        <v>1</v>
      </c>
    </row>
    <row r="4339" spans="1:15" x14ac:dyDescent="0.3">
      <c r="A4339" t="s">
        <v>4352</v>
      </c>
      <c r="B4339">
        <v>1</v>
      </c>
      <c r="C4339">
        <v>42</v>
      </c>
      <c r="D4339" t="s">
        <v>5016</v>
      </c>
      <c r="E4339" t="s">
        <v>5018</v>
      </c>
      <c r="F4339" t="s">
        <v>5023</v>
      </c>
      <c r="G4339">
        <v>20.010000000000002</v>
      </c>
      <c r="H4339">
        <v>3</v>
      </c>
      <c r="I4339">
        <v>7.8</v>
      </c>
      <c r="J4339">
        <v>5.35</v>
      </c>
      <c r="K4339">
        <v>23.3</v>
      </c>
      <c r="L4339" t="s">
        <v>5028</v>
      </c>
      <c r="M4339">
        <v>4</v>
      </c>
      <c r="N4339">
        <v>2</v>
      </c>
      <c r="O4339">
        <v>0</v>
      </c>
    </row>
    <row r="4340" spans="1:15" x14ac:dyDescent="0.3">
      <c r="A4340" t="s">
        <v>4353</v>
      </c>
      <c r="B4340">
        <v>6</v>
      </c>
      <c r="C4340">
        <v>19</v>
      </c>
      <c r="D4340" t="s">
        <v>5015</v>
      </c>
      <c r="E4340" t="s">
        <v>5019</v>
      </c>
      <c r="F4340" t="s">
        <v>5021</v>
      </c>
      <c r="G4340">
        <v>22.57</v>
      </c>
      <c r="H4340">
        <v>5</v>
      </c>
      <c r="I4340">
        <v>5.2</v>
      </c>
      <c r="J4340">
        <v>4.25</v>
      </c>
      <c r="K4340">
        <v>92.9</v>
      </c>
      <c r="L4340" t="s">
        <v>5029</v>
      </c>
      <c r="M4340">
        <v>9</v>
      </c>
      <c r="N4340">
        <v>2</v>
      </c>
      <c r="O4340">
        <v>0</v>
      </c>
    </row>
    <row r="4341" spans="1:15" x14ac:dyDescent="0.3">
      <c r="A4341" t="s">
        <v>4354</v>
      </c>
      <c r="B4341">
        <v>2</v>
      </c>
      <c r="C4341">
        <v>49</v>
      </c>
      <c r="D4341" t="s">
        <v>5015</v>
      </c>
      <c r="E4341" t="s">
        <v>5017</v>
      </c>
      <c r="F4341" t="s">
        <v>5020</v>
      </c>
      <c r="G4341">
        <v>18.25</v>
      </c>
      <c r="H4341">
        <v>5</v>
      </c>
      <c r="I4341">
        <v>9.6</v>
      </c>
      <c r="J4341">
        <v>22.22</v>
      </c>
      <c r="K4341">
        <v>19.5</v>
      </c>
      <c r="L4341" t="s">
        <v>5027</v>
      </c>
      <c r="M4341">
        <v>8</v>
      </c>
      <c r="N4341">
        <v>2</v>
      </c>
      <c r="O4341">
        <v>0</v>
      </c>
    </row>
    <row r="4342" spans="1:15" x14ac:dyDescent="0.3">
      <c r="A4342" t="s">
        <v>4355</v>
      </c>
      <c r="B4342">
        <v>8</v>
      </c>
      <c r="C4342">
        <v>43</v>
      </c>
      <c r="D4342" t="s">
        <v>5016</v>
      </c>
      <c r="E4342" t="s">
        <v>5018</v>
      </c>
      <c r="F4342" t="s">
        <v>5022</v>
      </c>
      <c r="G4342">
        <v>11.55</v>
      </c>
      <c r="H4342">
        <v>3</v>
      </c>
      <c r="I4342">
        <v>3.2</v>
      </c>
      <c r="J4342">
        <v>16.489999999999998</v>
      </c>
      <c r="K4342">
        <v>57.2</v>
      </c>
      <c r="L4342" t="s">
        <v>5027</v>
      </c>
      <c r="M4342">
        <v>2</v>
      </c>
      <c r="N4342">
        <v>0</v>
      </c>
      <c r="O4342">
        <v>0</v>
      </c>
    </row>
    <row r="4343" spans="1:15" x14ac:dyDescent="0.3">
      <c r="A4343" t="s">
        <v>4356</v>
      </c>
      <c r="B4343">
        <v>9</v>
      </c>
      <c r="C4343">
        <v>23</v>
      </c>
      <c r="D4343" t="s">
        <v>5016</v>
      </c>
      <c r="E4343" t="s">
        <v>5019</v>
      </c>
      <c r="F4343" t="s">
        <v>5020</v>
      </c>
      <c r="G4343">
        <v>23.46</v>
      </c>
      <c r="H4343">
        <v>4</v>
      </c>
      <c r="I4343">
        <v>1.6</v>
      </c>
      <c r="J4343">
        <v>9.6999999999999993</v>
      </c>
      <c r="K4343">
        <v>65</v>
      </c>
      <c r="L4343" t="s">
        <v>5027</v>
      </c>
      <c r="M4343">
        <v>11</v>
      </c>
      <c r="N4343">
        <v>2</v>
      </c>
      <c r="O4343">
        <v>0</v>
      </c>
    </row>
    <row r="4344" spans="1:15" x14ac:dyDescent="0.3">
      <c r="A4344" t="s">
        <v>4357</v>
      </c>
      <c r="B4344">
        <v>4</v>
      </c>
      <c r="C4344">
        <v>58</v>
      </c>
      <c r="D4344" t="s">
        <v>5016</v>
      </c>
      <c r="E4344" t="s">
        <v>5017</v>
      </c>
      <c r="F4344" t="s">
        <v>5022</v>
      </c>
      <c r="G4344">
        <v>22.67</v>
      </c>
      <c r="H4344">
        <v>3</v>
      </c>
      <c r="I4344">
        <v>4</v>
      </c>
      <c r="J4344">
        <v>15.36</v>
      </c>
      <c r="K4344">
        <v>99.9</v>
      </c>
      <c r="L4344" t="s">
        <v>5029</v>
      </c>
      <c r="M4344">
        <v>11</v>
      </c>
      <c r="N4344">
        <v>0</v>
      </c>
      <c r="O4344">
        <v>0</v>
      </c>
    </row>
    <row r="4345" spans="1:15" x14ac:dyDescent="0.3">
      <c r="A4345" t="s">
        <v>4358</v>
      </c>
      <c r="B4345">
        <v>5</v>
      </c>
      <c r="C4345">
        <v>20</v>
      </c>
      <c r="D4345" t="s">
        <v>5016</v>
      </c>
      <c r="E4345" t="s">
        <v>5018</v>
      </c>
      <c r="F4345" t="s">
        <v>5020</v>
      </c>
      <c r="G4345">
        <v>19.32</v>
      </c>
      <c r="H4345">
        <v>5</v>
      </c>
      <c r="I4345">
        <v>7</v>
      </c>
      <c r="J4345">
        <v>7.88</v>
      </c>
      <c r="K4345">
        <v>22.7</v>
      </c>
      <c r="L4345" t="s">
        <v>5028</v>
      </c>
      <c r="M4345">
        <v>9</v>
      </c>
      <c r="N4345">
        <v>2</v>
      </c>
      <c r="O4345">
        <v>0</v>
      </c>
    </row>
    <row r="4346" spans="1:15" x14ac:dyDescent="0.3">
      <c r="A4346" t="s">
        <v>4359</v>
      </c>
      <c r="B4346">
        <v>11</v>
      </c>
      <c r="C4346">
        <v>50</v>
      </c>
      <c r="D4346" t="s">
        <v>5015</v>
      </c>
      <c r="E4346" t="s">
        <v>5019</v>
      </c>
      <c r="F4346" t="s">
        <v>5021</v>
      </c>
      <c r="G4346">
        <v>12.27</v>
      </c>
      <c r="H4346">
        <v>3</v>
      </c>
      <c r="I4346">
        <v>7.6</v>
      </c>
      <c r="J4346">
        <v>23.83</v>
      </c>
      <c r="K4346">
        <v>65.2</v>
      </c>
      <c r="L4346" t="s">
        <v>5027</v>
      </c>
      <c r="M4346">
        <v>1</v>
      </c>
      <c r="N4346">
        <v>3</v>
      </c>
      <c r="O4346">
        <v>0</v>
      </c>
    </row>
    <row r="4347" spans="1:15" x14ac:dyDescent="0.3">
      <c r="A4347" t="s">
        <v>4360</v>
      </c>
      <c r="B4347">
        <v>8</v>
      </c>
      <c r="C4347">
        <v>18</v>
      </c>
      <c r="D4347" t="s">
        <v>5015</v>
      </c>
      <c r="E4347" t="s">
        <v>5019</v>
      </c>
      <c r="F4347" t="s">
        <v>5024</v>
      </c>
      <c r="G4347">
        <v>20.84</v>
      </c>
      <c r="H4347">
        <v>1</v>
      </c>
      <c r="I4347">
        <v>7.6</v>
      </c>
      <c r="J4347">
        <v>21.2</v>
      </c>
      <c r="K4347">
        <v>52.9</v>
      </c>
      <c r="L4347" t="s">
        <v>5029</v>
      </c>
      <c r="M4347">
        <v>6</v>
      </c>
      <c r="N4347">
        <v>3</v>
      </c>
      <c r="O4347">
        <v>0</v>
      </c>
    </row>
    <row r="4348" spans="1:15" x14ac:dyDescent="0.3">
      <c r="A4348" t="s">
        <v>4361</v>
      </c>
      <c r="B4348">
        <v>3</v>
      </c>
      <c r="C4348">
        <v>68</v>
      </c>
      <c r="D4348" t="s">
        <v>5016</v>
      </c>
      <c r="E4348" t="s">
        <v>5017</v>
      </c>
      <c r="F4348" t="s">
        <v>5022</v>
      </c>
      <c r="G4348">
        <v>11.32</v>
      </c>
      <c r="H4348">
        <v>4</v>
      </c>
      <c r="I4348">
        <v>2</v>
      </c>
      <c r="J4348">
        <v>24.17</v>
      </c>
      <c r="K4348">
        <v>33.1</v>
      </c>
      <c r="L4348" t="s">
        <v>5029</v>
      </c>
      <c r="M4348">
        <v>3</v>
      </c>
      <c r="N4348">
        <v>1</v>
      </c>
      <c r="O4348">
        <v>0</v>
      </c>
    </row>
    <row r="4349" spans="1:15" x14ac:dyDescent="0.3">
      <c r="A4349" t="s">
        <v>4362</v>
      </c>
      <c r="B4349">
        <v>5</v>
      </c>
      <c r="C4349">
        <v>22</v>
      </c>
      <c r="D4349" t="s">
        <v>5016</v>
      </c>
      <c r="E4349" t="s">
        <v>5017</v>
      </c>
      <c r="F4349" t="s">
        <v>5021</v>
      </c>
      <c r="G4349">
        <v>10.06</v>
      </c>
      <c r="H4349">
        <v>3</v>
      </c>
      <c r="I4349">
        <v>9</v>
      </c>
      <c r="J4349">
        <v>7.12</v>
      </c>
      <c r="K4349">
        <v>94.8</v>
      </c>
      <c r="L4349" t="s">
        <v>5025</v>
      </c>
      <c r="M4349">
        <v>1</v>
      </c>
      <c r="N4349">
        <v>1</v>
      </c>
      <c r="O4349">
        <v>0</v>
      </c>
    </row>
    <row r="4350" spans="1:15" x14ac:dyDescent="0.3">
      <c r="A4350" t="s">
        <v>4363</v>
      </c>
      <c r="B4350">
        <v>3</v>
      </c>
      <c r="C4350">
        <v>30</v>
      </c>
      <c r="D4350" t="s">
        <v>5016</v>
      </c>
      <c r="E4350" t="s">
        <v>5017</v>
      </c>
      <c r="F4350" t="s">
        <v>5023</v>
      </c>
      <c r="G4350">
        <v>15.3</v>
      </c>
      <c r="H4350">
        <v>5</v>
      </c>
      <c r="I4350">
        <v>3.5</v>
      </c>
      <c r="J4350">
        <v>21.56</v>
      </c>
      <c r="K4350">
        <v>81.2</v>
      </c>
      <c r="L4350" t="s">
        <v>5025</v>
      </c>
      <c r="M4350">
        <v>8</v>
      </c>
      <c r="N4350">
        <v>4</v>
      </c>
      <c r="O4350">
        <v>0</v>
      </c>
    </row>
    <row r="4351" spans="1:15" x14ac:dyDescent="0.3">
      <c r="A4351" t="s">
        <v>4364</v>
      </c>
      <c r="B4351">
        <v>12</v>
      </c>
      <c r="C4351">
        <v>36</v>
      </c>
      <c r="D4351" t="s">
        <v>5016</v>
      </c>
      <c r="E4351" t="s">
        <v>5019</v>
      </c>
      <c r="F4351" t="s">
        <v>5023</v>
      </c>
      <c r="G4351">
        <v>24.94</v>
      </c>
      <c r="H4351">
        <v>3</v>
      </c>
      <c r="I4351">
        <v>2.9</v>
      </c>
      <c r="J4351">
        <v>15.33</v>
      </c>
      <c r="K4351">
        <v>79.900000000000006</v>
      </c>
      <c r="L4351" t="s">
        <v>5028</v>
      </c>
      <c r="M4351">
        <v>6</v>
      </c>
      <c r="N4351">
        <v>2</v>
      </c>
      <c r="O4351">
        <v>0</v>
      </c>
    </row>
    <row r="4352" spans="1:15" x14ac:dyDescent="0.3">
      <c r="A4352" t="s">
        <v>4365</v>
      </c>
      <c r="B4352">
        <v>10</v>
      </c>
      <c r="C4352">
        <v>29</v>
      </c>
      <c r="D4352" t="s">
        <v>5016</v>
      </c>
      <c r="E4352" t="s">
        <v>5019</v>
      </c>
      <c r="F4352" t="s">
        <v>5020</v>
      </c>
      <c r="G4352">
        <v>21.09</v>
      </c>
      <c r="H4352">
        <v>3</v>
      </c>
      <c r="I4352">
        <v>6.5</v>
      </c>
      <c r="J4352">
        <v>10.15</v>
      </c>
      <c r="K4352">
        <v>90.9</v>
      </c>
      <c r="L4352" t="s">
        <v>5027</v>
      </c>
      <c r="M4352">
        <v>4</v>
      </c>
      <c r="N4352">
        <v>2</v>
      </c>
      <c r="O4352">
        <v>0</v>
      </c>
    </row>
    <row r="4353" spans="1:15" x14ac:dyDescent="0.3">
      <c r="A4353" t="s">
        <v>4366</v>
      </c>
      <c r="B4353">
        <v>3</v>
      </c>
      <c r="C4353">
        <v>65</v>
      </c>
      <c r="D4353" t="s">
        <v>5015</v>
      </c>
      <c r="E4353" t="s">
        <v>5018</v>
      </c>
      <c r="F4353" t="s">
        <v>5023</v>
      </c>
      <c r="G4353">
        <v>19.600000000000001</v>
      </c>
      <c r="H4353">
        <v>2</v>
      </c>
      <c r="I4353">
        <v>2.9</v>
      </c>
      <c r="J4353">
        <v>13.55</v>
      </c>
      <c r="K4353">
        <v>75.3</v>
      </c>
      <c r="L4353" t="s">
        <v>5025</v>
      </c>
      <c r="M4353">
        <v>3</v>
      </c>
      <c r="N4353">
        <v>0</v>
      </c>
      <c r="O4353">
        <v>1</v>
      </c>
    </row>
    <row r="4354" spans="1:15" x14ac:dyDescent="0.3">
      <c r="A4354" t="s">
        <v>4367</v>
      </c>
      <c r="B4354">
        <v>3</v>
      </c>
      <c r="C4354">
        <v>42</v>
      </c>
      <c r="D4354" t="s">
        <v>5015</v>
      </c>
      <c r="E4354" t="s">
        <v>5018</v>
      </c>
      <c r="F4354" t="s">
        <v>5024</v>
      </c>
      <c r="G4354">
        <v>14.04</v>
      </c>
      <c r="H4354">
        <v>3</v>
      </c>
      <c r="I4354">
        <v>5.6</v>
      </c>
      <c r="J4354">
        <v>23.78</v>
      </c>
      <c r="K4354">
        <v>55.6</v>
      </c>
      <c r="L4354" t="s">
        <v>5028</v>
      </c>
      <c r="M4354">
        <v>10</v>
      </c>
      <c r="N4354">
        <v>1</v>
      </c>
      <c r="O4354">
        <v>0</v>
      </c>
    </row>
    <row r="4355" spans="1:15" x14ac:dyDescent="0.3">
      <c r="A4355" t="s">
        <v>4368</v>
      </c>
      <c r="B4355">
        <v>12</v>
      </c>
      <c r="C4355">
        <v>68</v>
      </c>
      <c r="D4355" t="s">
        <v>5016</v>
      </c>
      <c r="E4355" t="s">
        <v>5017</v>
      </c>
      <c r="F4355" t="s">
        <v>5022</v>
      </c>
      <c r="G4355">
        <v>11.24</v>
      </c>
      <c r="H4355">
        <v>1</v>
      </c>
      <c r="I4355">
        <v>4.7</v>
      </c>
      <c r="J4355">
        <v>18.21</v>
      </c>
      <c r="K4355">
        <v>45.2</v>
      </c>
      <c r="L4355" t="s">
        <v>5025</v>
      </c>
      <c r="M4355">
        <v>2</v>
      </c>
      <c r="N4355">
        <v>3</v>
      </c>
      <c r="O4355">
        <v>0</v>
      </c>
    </row>
    <row r="4356" spans="1:15" x14ac:dyDescent="0.3">
      <c r="A4356" t="s">
        <v>4369</v>
      </c>
      <c r="B4356">
        <v>7</v>
      </c>
      <c r="C4356">
        <v>52</v>
      </c>
      <c r="D4356" t="s">
        <v>5015</v>
      </c>
      <c r="E4356" t="s">
        <v>5018</v>
      </c>
      <c r="F4356" t="s">
        <v>5020</v>
      </c>
      <c r="G4356">
        <v>22.12</v>
      </c>
      <c r="H4356">
        <v>5</v>
      </c>
      <c r="I4356">
        <v>3.1</v>
      </c>
      <c r="J4356">
        <v>10.92</v>
      </c>
      <c r="K4356">
        <v>73.400000000000006</v>
      </c>
      <c r="L4356" t="s">
        <v>5027</v>
      </c>
      <c r="M4356">
        <v>5</v>
      </c>
      <c r="N4356">
        <v>0</v>
      </c>
      <c r="O4356">
        <v>1</v>
      </c>
    </row>
    <row r="4357" spans="1:15" x14ac:dyDescent="0.3">
      <c r="A4357" t="s">
        <v>4370</v>
      </c>
      <c r="B4357">
        <v>7</v>
      </c>
      <c r="C4357">
        <v>29</v>
      </c>
      <c r="D4357" t="s">
        <v>5015</v>
      </c>
      <c r="E4357" t="s">
        <v>5018</v>
      </c>
      <c r="F4357" t="s">
        <v>5022</v>
      </c>
      <c r="G4357">
        <v>16.350000000000001</v>
      </c>
      <c r="H4357">
        <v>2</v>
      </c>
      <c r="I4357">
        <v>3.6</v>
      </c>
      <c r="J4357">
        <v>25</v>
      </c>
      <c r="K4357">
        <v>64.3</v>
      </c>
      <c r="L4357" t="s">
        <v>5029</v>
      </c>
      <c r="M4357">
        <v>8</v>
      </c>
      <c r="N4357">
        <v>3</v>
      </c>
      <c r="O4357">
        <v>0</v>
      </c>
    </row>
    <row r="4358" spans="1:15" x14ac:dyDescent="0.3">
      <c r="A4358" t="s">
        <v>4371</v>
      </c>
      <c r="B4358">
        <v>7</v>
      </c>
      <c r="C4358">
        <v>47</v>
      </c>
      <c r="D4358" t="s">
        <v>5015</v>
      </c>
      <c r="E4358" t="s">
        <v>5019</v>
      </c>
      <c r="F4358" t="s">
        <v>5022</v>
      </c>
      <c r="G4358">
        <v>21.27</v>
      </c>
      <c r="H4358">
        <v>3</v>
      </c>
      <c r="I4358">
        <v>4.8</v>
      </c>
      <c r="J4358">
        <v>10.61</v>
      </c>
      <c r="K4358">
        <v>58.9</v>
      </c>
      <c r="L4358" t="s">
        <v>5027</v>
      </c>
      <c r="M4358">
        <v>8</v>
      </c>
      <c r="N4358">
        <v>0</v>
      </c>
      <c r="O4358">
        <v>0</v>
      </c>
    </row>
    <row r="4359" spans="1:15" x14ac:dyDescent="0.3">
      <c r="A4359" t="s">
        <v>4372</v>
      </c>
      <c r="B4359">
        <v>10</v>
      </c>
      <c r="C4359">
        <v>22</v>
      </c>
      <c r="D4359" t="s">
        <v>5016</v>
      </c>
      <c r="E4359" t="s">
        <v>5018</v>
      </c>
      <c r="F4359" t="s">
        <v>5021</v>
      </c>
      <c r="G4359">
        <v>14.76</v>
      </c>
      <c r="H4359">
        <v>4</v>
      </c>
      <c r="I4359">
        <v>4.0999999999999996</v>
      </c>
      <c r="J4359">
        <v>20.9</v>
      </c>
      <c r="K4359">
        <v>63</v>
      </c>
      <c r="L4359" t="s">
        <v>5025</v>
      </c>
      <c r="M4359">
        <v>3</v>
      </c>
      <c r="N4359">
        <v>1</v>
      </c>
      <c r="O4359">
        <v>0</v>
      </c>
    </row>
    <row r="4360" spans="1:15" x14ac:dyDescent="0.3">
      <c r="A4360" t="s">
        <v>4373</v>
      </c>
      <c r="B4360">
        <v>8</v>
      </c>
      <c r="C4360">
        <v>51</v>
      </c>
      <c r="D4360" t="s">
        <v>5015</v>
      </c>
      <c r="E4360" t="s">
        <v>5018</v>
      </c>
      <c r="F4360" t="s">
        <v>5023</v>
      </c>
      <c r="G4360">
        <v>20.079999999999998</v>
      </c>
      <c r="H4360">
        <v>1</v>
      </c>
      <c r="I4360">
        <v>4.4000000000000004</v>
      </c>
      <c r="J4360">
        <v>20.260000000000002</v>
      </c>
      <c r="K4360">
        <v>69</v>
      </c>
      <c r="L4360" t="s">
        <v>5027</v>
      </c>
      <c r="M4360">
        <v>9</v>
      </c>
      <c r="N4360">
        <v>2</v>
      </c>
      <c r="O4360">
        <v>0</v>
      </c>
    </row>
    <row r="4361" spans="1:15" x14ac:dyDescent="0.3">
      <c r="A4361" t="s">
        <v>4374</v>
      </c>
      <c r="B4361">
        <v>5</v>
      </c>
      <c r="C4361">
        <v>39</v>
      </c>
      <c r="D4361" t="s">
        <v>5015</v>
      </c>
      <c r="E4361" t="s">
        <v>5017</v>
      </c>
      <c r="F4361" t="s">
        <v>5022</v>
      </c>
      <c r="G4361">
        <v>22.35</v>
      </c>
      <c r="H4361">
        <v>1</v>
      </c>
      <c r="I4361">
        <v>7.6</v>
      </c>
      <c r="J4361">
        <v>18.899999999999999</v>
      </c>
      <c r="K4361">
        <v>97.2</v>
      </c>
      <c r="L4361" t="s">
        <v>5029</v>
      </c>
      <c r="M4361">
        <v>10</v>
      </c>
      <c r="N4361">
        <v>2</v>
      </c>
      <c r="O4361">
        <v>0</v>
      </c>
    </row>
    <row r="4362" spans="1:15" x14ac:dyDescent="0.3">
      <c r="A4362" t="s">
        <v>4375</v>
      </c>
      <c r="B4362">
        <v>5</v>
      </c>
      <c r="C4362">
        <v>56</v>
      </c>
      <c r="D4362" t="s">
        <v>5016</v>
      </c>
      <c r="E4362" t="s">
        <v>5017</v>
      </c>
      <c r="F4362" t="s">
        <v>5024</v>
      </c>
      <c r="G4362">
        <v>12.83</v>
      </c>
      <c r="H4362">
        <v>1</v>
      </c>
      <c r="I4362">
        <v>2.5</v>
      </c>
      <c r="J4362">
        <v>17.73</v>
      </c>
      <c r="K4362">
        <v>77.8</v>
      </c>
      <c r="L4362" t="s">
        <v>5026</v>
      </c>
      <c r="M4362">
        <v>5</v>
      </c>
      <c r="N4362">
        <v>1</v>
      </c>
      <c r="O4362">
        <v>0</v>
      </c>
    </row>
    <row r="4363" spans="1:15" x14ac:dyDescent="0.3">
      <c r="A4363" t="s">
        <v>4376</v>
      </c>
      <c r="B4363">
        <v>4</v>
      </c>
      <c r="C4363">
        <v>30</v>
      </c>
      <c r="D4363" t="s">
        <v>5015</v>
      </c>
      <c r="E4363" t="s">
        <v>5017</v>
      </c>
      <c r="F4363" t="s">
        <v>5024</v>
      </c>
      <c r="G4363">
        <v>5.27</v>
      </c>
      <c r="H4363">
        <v>2</v>
      </c>
      <c r="I4363">
        <v>6.6</v>
      </c>
      <c r="J4363">
        <v>5.39</v>
      </c>
      <c r="K4363">
        <v>25.9</v>
      </c>
      <c r="L4363" t="s">
        <v>5029</v>
      </c>
      <c r="M4363">
        <v>7</v>
      </c>
      <c r="N4363">
        <v>3</v>
      </c>
      <c r="O4363">
        <v>0</v>
      </c>
    </row>
    <row r="4364" spans="1:15" x14ac:dyDescent="0.3">
      <c r="A4364" t="s">
        <v>4377</v>
      </c>
      <c r="B4364">
        <v>7</v>
      </c>
      <c r="C4364">
        <v>64</v>
      </c>
      <c r="D4364" t="s">
        <v>5016</v>
      </c>
      <c r="E4364" t="s">
        <v>5017</v>
      </c>
      <c r="F4364" t="s">
        <v>5023</v>
      </c>
      <c r="G4364">
        <v>10.1</v>
      </c>
      <c r="H4364">
        <v>3</v>
      </c>
      <c r="I4364">
        <v>7.1</v>
      </c>
      <c r="J4364">
        <v>24.89</v>
      </c>
      <c r="K4364">
        <v>52</v>
      </c>
      <c r="L4364" t="s">
        <v>5025</v>
      </c>
      <c r="M4364">
        <v>11</v>
      </c>
      <c r="N4364">
        <v>4</v>
      </c>
      <c r="O4364">
        <v>0</v>
      </c>
    </row>
    <row r="4365" spans="1:15" x14ac:dyDescent="0.3">
      <c r="A4365" t="s">
        <v>4378</v>
      </c>
      <c r="B4365">
        <v>10</v>
      </c>
      <c r="C4365">
        <v>20</v>
      </c>
      <c r="D4365" t="s">
        <v>5015</v>
      </c>
      <c r="E4365" t="s">
        <v>5018</v>
      </c>
      <c r="F4365" t="s">
        <v>5023</v>
      </c>
      <c r="G4365">
        <v>23.3</v>
      </c>
      <c r="H4365">
        <v>1</v>
      </c>
      <c r="I4365">
        <v>8.1999999999999993</v>
      </c>
      <c r="J4365">
        <v>6.54</v>
      </c>
      <c r="K4365">
        <v>71</v>
      </c>
      <c r="L4365" t="s">
        <v>5029</v>
      </c>
      <c r="M4365">
        <v>9</v>
      </c>
      <c r="N4365">
        <v>4</v>
      </c>
      <c r="O4365">
        <v>0</v>
      </c>
    </row>
    <row r="4366" spans="1:15" x14ac:dyDescent="0.3">
      <c r="A4366" t="s">
        <v>4379</v>
      </c>
      <c r="B4366">
        <v>4</v>
      </c>
      <c r="C4366">
        <v>37</v>
      </c>
      <c r="D4366" t="s">
        <v>5016</v>
      </c>
      <c r="E4366" t="s">
        <v>5017</v>
      </c>
      <c r="F4366" t="s">
        <v>5020</v>
      </c>
      <c r="G4366">
        <v>18.75</v>
      </c>
      <c r="H4366">
        <v>3</v>
      </c>
      <c r="I4366">
        <v>8.6</v>
      </c>
      <c r="J4366">
        <v>16.11</v>
      </c>
      <c r="K4366">
        <v>25.8</v>
      </c>
      <c r="L4366" t="s">
        <v>5028</v>
      </c>
      <c r="M4366">
        <v>7</v>
      </c>
      <c r="N4366">
        <v>1</v>
      </c>
      <c r="O4366">
        <v>1</v>
      </c>
    </row>
    <row r="4367" spans="1:15" x14ac:dyDescent="0.3">
      <c r="A4367" t="s">
        <v>4380</v>
      </c>
      <c r="B4367">
        <v>2</v>
      </c>
      <c r="C4367">
        <v>48</v>
      </c>
      <c r="D4367" t="s">
        <v>5016</v>
      </c>
      <c r="E4367" t="s">
        <v>5017</v>
      </c>
      <c r="F4367" t="s">
        <v>5020</v>
      </c>
      <c r="G4367">
        <v>19.739999999999998</v>
      </c>
      <c r="H4367">
        <v>4</v>
      </c>
      <c r="I4367">
        <v>2.4</v>
      </c>
      <c r="J4367">
        <v>8.48</v>
      </c>
      <c r="K4367">
        <v>93.9</v>
      </c>
      <c r="L4367" t="s">
        <v>5027</v>
      </c>
      <c r="M4367">
        <v>10</v>
      </c>
      <c r="N4367">
        <v>0</v>
      </c>
      <c r="O4367">
        <v>0</v>
      </c>
    </row>
    <row r="4368" spans="1:15" x14ac:dyDescent="0.3">
      <c r="A4368" t="s">
        <v>4381</v>
      </c>
      <c r="B4368">
        <v>4</v>
      </c>
      <c r="C4368">
        <v>22</v>
      </c>
      <c r="D4368" t="s">
        <v>5015</v>
      </c>
      <c r="E4368" t="s">
        <v>5019</v>
      </c>
      <c r="F4368" t="s">
        <v>5020</v>
      </c>
      <c r="G4368">
        <v>11.51</v>
      </c>
      <c r="H4368">
        <v>3</v>
      </c>
      <c r="I4368">
        <v>2.2000000000000002</v>
      </c>
      <c r="J4368">
        <v>6.71</v>
      </c>
      <c r="K4368">
        <v>16.899999999999999</v>
      </c>
      <c r="L4368" t="s">
        <v>5026</v>
      </c>
      <c r="M4368">
        <v>3</v>
      </c>
      <c r="N4368">
        <v>2</v>
      </c>
      <c r="O4368">
        <v>0</v>
      </c>
    </row>
    <row r="4369" spans="1:15" x14ac:dyDescent="0.3">
      <c r="A4369" t="s">
        <v>4382</v>
      </c>
      <c r="B4369">
        <v>8</v>
      </c>
      <c r="C4369">
        <v>41</v>
      </c>
      <c r="D4369" t="s">
        <v>5015</v>
      </c>
      <c r="E4369" t="s">
        <v>5018</v>
      </c>
      <c r="F4369" t="s">
        <v>5023</v>
      </c>
      <c r="G4369">
        <v>19.03</v>
      </c>
      <c r="H4369">
        <v>3</v>
      </c>
      <c r="I4369">
        <v>6.5</v>
      </c>
      <c r="J4369">
        <v>15.31</v>
      </c>
      <c r="K4369">
        <v>65</v>
      </c>
      <c r="L4369" t="s">
        <v>5026</v>
      </c>
      <c r="M4369">
        <v>2</v>
      </c>
      <c r="N4369">
        <v>3</v>
      </c>
      <c r="O4369">
        <v>1</v>
      </c>
    </row>
    <row r="4370" spans="1:15" x14ac:dyDescent="0.3">
      <c r="A4370" t="s">
        <v>4383</v>
      </c>
      <c r="B4370">
        <v>9</v>
      </c>
      <c r="C4370">
        <v>57</v>
      </c>
      <c r="D4370" t="s">
        <v>5016</v>
      </c>
      <c r="E4370" t="s">
        <v>5018</v>
      </c>
      <c r="F4370" t="s">
        <v>5022</v>
      </c>
      <c r="G4370">
        <v>17.93</v>
      </c>
      <c r="H4370">
        <v>3</v>
      </c>
      <c r="I4370">
        <v>7.8</v>
      </c>
      <c r="J4370">
        <v>21.4</v>
      </c>
      <c r="K4370">
        <v>97.8</v>
      </c>
      <c r="L4370" t="s">
        <v>5027</v>
      </c>
      <c r="M4370">
        <v>7</v>
      </c>
      <c r="N4370">
        <v>4</v>
      </c>
      <c r="O4370">
        <v>0</v>
      </c>
    </row>
    <row r="4371" spans="1:15" x14ac:dyDescent="0.3">
      <c r="A4371" t="s">
        <v>4384</v>
      </c>
      <c r="B4371">
        <v>3</v>
      </c>
      <c r="C4371">
        <v>50</v>
      </c>
      <c r="D4371" t="s">
        <v>5016</v>
      </c>
      <c r="E4371" t="s">
        <v>5019</v>
      </c>
      <c r="F4371" t="s">
        <v>5021</v>
      </c>
      <c r="G4371">
        <v>8.57</v>
      </c>
      <c r="H4371">
        <v>5</v>
      </c>
      <c r="I4371">
        <v>3.5</v>
      </c>
      <c r="J4371">
        <v>11.29</v>
      </c>
      <c r="K4371">
        <v>75.5</v>
      </c>
      <c r="L4371" t="s">
        <v>5027</v>
      </c>
      <c r="M4371">
        <v>10</v>
      </c>
      <c r="N4371">
        <v>2</v>
      </c>
      <c r="O4371">
        <v>0</v>
      </c>
    </row>
    <row r="4372" spans="1:15" x14ac:dyDescent="0.3">
      <c r="A4372" t="s">
        <v>4385</v>
      </c>
      <c r="B4372">
        <v>7</v>
      </c>
      <c r="C4372">
        <v>25</v>
      </c>
      <c r="D4372" t="s">
        <v>5015</v>
      </c>
      <c r="E4372" t="s">
        <v>5018</v>
      </c>
      <c r="F4372" t="s">
        <v>5020</v>
      </c>
      <c r="G4372">
        <v>24.37</v>
      </c>
      <c r="H4372">
        <v>2</v>
      </c>
      <c r="I4372">
        <v>5.7</v>
      </c>
      <c r="J4372">
        <v>4.7</v>
      </c>
      <c r="K4372">
        <v>71</v>
      </c>
      <c r="L4372" t="s">
        <v>5028</v>
      </c>
      <c r="M4372">
        <v>8</v>
      </c>
      <c r="N4372">
        <v>1</v>
      </c>
      <c r="O4372">
        <v>0</v>
      </c>
    </row>
    <row r="4373" spans="1:15" x14ac:dyDescent="0.3">
      <c r="A4373" t="s">
        <v>4386</v>
      </c>
      <c r="B4373">
        <v>12</v>
      </c>
      <c r="C4373">
        <v>41</v>
      </c>
      <c r="D4373" t="s">
        <v>5015</v>
      </c>
      <c r="E4373" t="s">
        <v>5019</v>
      </c>
      <c r="F4373" t="s">
        <v>5021</v>
      </c>
      <c r="G4373">
        <v>12.08</v>
      </c>
      <c r="H4373">
        <v>3</v>
      </c>
      <c r="I4373">
        <v>8</v>
      </c>
      <c r="J4373">
        <v>16.72</v>
      </c>
      <c r="K4373">
        <v>99.8</v>
      </c>
      <c r="L4373" t="s">
        <v>5029</v>
      </c>
      <c r="M4373">
        <v>4</v>
      </c>
      <c r="N4373">
        <v>2</v>
      </c>
      <c r="O4373">
        <v>0</v>
      </c>
    </row>
    <row r="4374" spans="1:15" x14ac:dyDescent="0.3">
      <c r="A4374" t="s">
        <v>4387</v>
      </c>
      <c r="B4374">
        <v>9</v>
      </c>
      <c r="C4374">
        <v>67</v>
      </c>
      <c r="D4374" t="s">
        <v>5015</v>
      </c>
      <c r="E4374" t="s">
        <v>5017</v>
      </c>
      <c r="F4374" t="s">
        <v>5024</v>
      </c>
      <c r="G4374">
        <v>11.59</v>
      </c>
      <c r="H4374">
        <v>1</v>
      </c>
      <c r="I4374">
        <v>7.9</v>
      </c>
      <c r="J4374">
        <v>19.86</v>
      </c>
      <c r="K4374">
        <v>81.3</v>
      </c>
      <c r="L4374" t="s">
        <v>5026</v>
      </c>
      <c r="M4374">
        <v>1</v>
      </c>
      <c r="N4374">
        <v>4</v>
      </c>
      <c r="O4374">
        <v>0</v>
      </c>
    </row>
    <row r="4375" spans="1:15" x14ac:dyDescent="0.3">
      <c r="A4375" t="s">
        <v>4388</v>
      </c>
      <c r="B4375">
        <v>11</v>
      </c>
      <c r="C4375">
        <v>37</v>
      </c>
      <c r="D4375" t="s">
        <v>5015</v>
      </c>
      <c r="E4375" t="s">
        <v>5019</v>
      </c>
      <c r="F4375" t="s">
        <v>5023</v>
      </c>
      <c r="G4375">
        <v>12.38</v>
      </c>
      <c r="H4375">
        <v>5</v>
      </c>
      <c r="I4375">
        <v>6.9</v>
      </c>
      <c r="J4375">
        <v>9.51</v>
      </c>
      <c r="K4375">
        <v>97.3</v>
      </c>
      <c r="L4375" t="s">
        <v>5025</v>
      </c>
      <c r="M4375">
        <v>6</v>
      </c>
      <c r="N4375">
        <v>3</v>
      </c>
      <c r="O4375">
        <v>0</v>
      </c>
    </row>
    <row r="4376" spans="1:15" x14ac:dyDescent="0.3">
      <c r="A4376" t="s">
        <v>4389</v>
      </c>
      <c r="B4376">
        <v>4</v>
      </c>
      <c r="C4376">
        <v>33</v>
      </c>
      <c r="D4376" t="s">
        <v>5016</v>
      </c>
      <c r="E4376" t="s">
        <v>5019</v>
      </c>
      <c r="F4376" t="s">
        <v>5024</v>
      </c>
      <c r="G4376">
        <v>6.83</v>
      </c>
      <c r="H4376">
        <v>3</v>
      </c>
      <c r="I4376">
        <v>1.7</v>
      </c>
      <c r="J4376">
        <v>18.190000000000001</v>
      </c>
      <c r="K4376">
        <v>72.900000000000006</v>
      </c>
      <c r="L4376" t="s">
        <v>5027</v>
      </c>
      <c r="M4376">
        <v>9</v>
      </c>
      <c r="N4376">
        <v>0</v>
      </c>
      <c r="O4376">
        <v>0</v>
      </c>
    </row>
    <row r="4377" spans="1:15" x14ac:dyDescent="0.3">
      <c r="A4377" t="s">
        <v>4390</v>
      </c>
      <c r="B4377">
        <v>10</v>
      </c>
      <c r="C4377">
        <v>67</v>
      </c>
      <c r="D4377" t="s">
        <v>5016</v>
      </c>
      <c r="E4377" t="s">
        <v>5019</v>
      </c>
      <c r="F4377" t="s">
        <v>5020</v>
      </c>
      <c r="G4377">
        <v>17.5</v>
      </c>
      <c r="H4377">
        <v>5</v>
      </c>
      <c r="I4377">
        <v>1.5</v>
      </c>
      <c r="J4377">
        <v>4.67</v>
      </c>
      <c r="K4377">
        <v>69.900000000000006</v>
      </c>
      <c r="L4377" t="s">
        <v>5027</v>
      </c>
      <c r="M4377">
        <v>4</v>
      </c>
      <c r="N4377">
        <v>0</v>
      </c>
      <c r="O4377">
        <v>1</v>
      </c>
    </row>
    <row r="4378" spans="1:15" x14ac:dyDescent="0.3">
      <c r="A4378" t="s">
        <v>4391</v>
      </c>
      <c r="B4378">
        <v>3</v>
      </c>
      <c r="C4378">
        <v>69</v>
      </c>
      <c r="D4378" t="s">
        <v>5016</v>
      </c>
      <c r="E4378" t="s">
        <v>5017</v>
      </c>
      <c r="F4378" t="s">
        <v>5022</v>
      </c>
      <c r="G4378">
        <v>9.77</v>
      </c>
      <c r="H4378">
        <v>2</v>
      </c>
      <c r="I4378">
        <v>4.5</v>
      </c>
      <c r="J4378">
        <v>10.95</v>
      </c>
      <c r="K4378">
        <v>78.599999999999994</v>
      </c>
      <c r="L4378" t="s">
        <v>5026</v>
      </c>
      <c r="M4378">
        <v>3</v>
      </c>
      <c r="N4378">
        <v>2</v>
      </c>
      <c r="O4378">
        <v>0</v>
      </c>
    </row>
    <row r="4379" spans="1:15" x14ac:dyDescent="0.3">
      <c r="A4379" t="s">
        <v>4392</v>
      </c>
      <c r="B4379">
        <v>5</v>
      </c>
      <c r="C4379">
        <v>29</v>
      </c>
      <c r="D4379" t="s">
        <v>5015</v>
      </c>
      <c r="E4379" t="s">
        <v>5018</v>
      </c>
      <c r="F4379" t="s">
        <v>5020</v>
      </c>
      <c r="G4379">
        <v>21.07</v>
      </c>
      <c r="H4379">
        <v>5</v>
      </c>
      <c r="I4379">
        <v>1.2</v>
      </c>
      <c r="J4379">
        <v>13.43</v>
      </c>
      <c r="K4379">
        <v>27</v>
      </c>
      <c r="L4379" t="s">
        <v>5027</v>
      </c>
      <c r="M4379">
        <v>6</v>
      </c>
      <c r="N4379">
        <v>0</v>
      </c>
      <c r="O4379">
        <v>0</v>
      </c>
    </row>
    <row r="4380" spans="1:15" x14ac:dyDescent="0.3">
      <c r="A4380" t="s">
        <v>4393</v>
      </c>
      <c r="B4380">
        <v>1</v>
      </c>
      <c r="C4380">
        <v>30</v>
      </c>
      <c r="D4380" t="s">
        <v>5015</v>
      </c>
      <c r="E4380" t="s">
        <v>5017</v>
      </c>
      <c r="F4380" t="s">
        <v>5021</v>
      </c>
      <c r="G4380">
        <v>12.88</v>
      </c>
      <c r="H4380">
        <v>1</v>
      </c>
      <c r="I4380">
        <v>9.1</v>
      </c>
      <c r="J4380">
        <v>20.2</v>
      </c>
      <c r="K4380">
        <v>82.5</v>
      </c>
      <c r="L4380" t="s">
        <v>5026</v>
      </c>
      <c r="M4380">
        <v>6</v>
      </c>
      <c r="N4380">
        <v>4</v>
      </c>
      <c r="O4380">
        <v>1</v>
      </c>
    </row>
    <row r="4381" spans="1:15" x14ac:dyDescent="0.3">
      <c r="A4381" t="s">
        <v>4394</v>
      </c>
      <c r="B4381">
        <v>3</v>
      </c>
      <c r="C4381">
        <v>62</v>
      </c>
      <c r="D4381" t="s">
        <v>5016</v>
      </c>
      <c r="E4381" t="s">
        <v>5018</v>
      </c>
      <c r="F4381" t="s">
        <v>5020</v>
      </c>
      <c r="G4381">
        <v>14.17</v>
      </c>
      <c r="H4381">
        <v>3</v>
      </c>
      <c r="I4381">
        <v>1.2</v>
      </c>
      <c r="J4381">
        <v>10.44</v>
      </c>
      <c r="K4381">
        <v>97.3</v>
      </c>
      <c r="L4381" t="s">
        <v>5025</v>
      </c>
      <c r="M4381">
        <v>4</v>
      </c>
      <c r="N4381">
        <v>3</v>
      </c>
      <c r="O4381">
        <v>0</v>
      </c>
    </row>
    <row r="4382" spans="1:15" x14ac:dyDescent="0.3">
      <c r="A4382" t="s">
        <v>4395</v>
      </c>
      <c r="B4382">
        <v>8</v>
      </c>
      <c r="C4382">
        <v>59</v>
      </c>
      <c r="D4382" t="s">
        <v>5016</v>
      </c>
      <c r="E4382" t="s">
        <v>5019</v>
      </c>
      <c r="F4382" t="s">
        <v>5022</v>
      </c>
      <c r="G4382">
        <v>17.93</v>
      </c>
      <c r="H4382">
        <v>1</v>
      </c>
      <c r="I4382">
        <v>1.3</v>
      </c>
      <c r="J4382">
        <v>12.98</v>
      </c>
      <c r="K4382">
        <v>65</v>
      </c>
      <c r="L4382" t="s">
        <v>5025</v>
      </c>
      <c r="M4382">
        <v>7</v>
      </c>
      <c r="N4382">
        <v>0</v>
      </c>
      <c r="O4382">
        <v>0</v>
      </c>
    </row>
    <row r="4383" spans="1:15" x14ac:dyDescent="0.3">
      <c r="A4383" t="s">
        <v>4396</v>
      </c>
      <c r="B4383">
        <v>11</v>
      </c>
      <c r="C4383">
        <v>56</v>
      </c>
      <c r="D4383" t="s">
        <v>5016</v>
      </c>
      <c r="E4383" t="s">
        <v>5018</v>
      </c>
      <c r="F4383" t="s">
        <v>5022</v>
      </c>
      <c r="G4383">
        <v>20.239999999999998</v>
      </c>
      <c r="H4383">
        <v>4</v>
      </c>
      <c r="I4383">
        <v>2.5</v>
      </c>
      <c r="J4383">
        <v>16.82</v>
      </c>
      <c r="K4383">
        <v>11.1</v>
      </c>
      <c r="L4383" t="s">
        <v>5026</v>
      </c>
      <c r="M4383">
        <v>11</v>
      </c>
      <c r="N4383">
        <v>0</v>
      </c>
      <c r="O4383">
        <v>1</v>
      </c>
    </row>
    <row r="4384" spans="1:15" x14ac:dyDescent="0.3">
      <c r="A4384" t="s">
        <v>4397</v>
      </c>
      <c r="B4384">
        <v>8</v>
      </c>
      <c r="C4384">
        <v>42</v>
      </c>
      <c r="D4384" t="s">
        <v>5016</v>
      </c>
      <c r="E4384" t="s">
        <v>5018</v>
      </c>
      <c r="F4384" t="s">
        <v>5023</v>
      </c>
      <c r="G4384">
        <v>9.6199999999999992</v>
      </c>
      <c r="H4384">
        <v>5</v>
      </c>
      <c r="I4384">
        <v>6.6</v>
      </c>
      <c r="J4384">
        <v>16.73</v>
      </c>
      <c r="K4384">
        <v>16.5</v>
      </c>
      <c r="L4384" t="s">
        <v>5027</v>
      </c>
      <c r="M4384">
        <v>2</v>
      </c>
      <c r="N4384">
        <v>1</v>
      </c>
      <c r="O4384">
        <v>0</v>
      </c>
    </row>
    <row r="4385" spans="1:15" x14ac:dyDescent="0.3">
      <c r="A4385" t="s">
        <v>4398</v>
      </c>
      <c r="B4385">
        <v>4</v>
      </c>
      <c r="C4385">
        <v>63</v>
      </c>
      <c r="D4385" t="s">
        <v>5016</v>
      </c>
      <c r="E4385" t="s">
        <v>5018</v>
      </c>
      <c r="F4385" t="s">
        <v>5023</v>
      </c>
      <c r="G4385">
        <v>24.33</v>
      </c>
      <c r="H4385">
        <v>5</v>
      </c>
      <c r="I4385">
        <v>5.9</v>
      </c>
      <c r="J4385">
        <v>14.39</v>
      </c>
      <c r="K4385">
        <v>31.1</v>
      </c>
      <c r="L4385" t="s">
        <v>5028</v>
      </c>
      <c r="M4385">
        <v>1</v>
      </c>
      <c r="N4385">
        <v>0</v>
      </c>
      <c r="O4385">
        <v>0</v>
      </c>
    </row>
    <row r="4386" spans="1:15" x14ac:dyDescent="0.3">
      <c r="A4386" t="s">
        <v>4399</v>
      </c>
      <c r="B4386">
        <v>2</v>
      </c>
      <c r="C4386">
        <v>49</v>
      </c>
      <c r="D4386" t="s">
        <v>5016</v>
      </c>
      <c r="E4386" t="s">
        <v>5018</v>
      </c>
      <c r="F4386" t="s">
        <v>5022</v>
      </c>
      <c r="G4386">
        <v>17.45</v>
      </c>
      <c r="H4386">
        <v>5</v>
      </c>
      <c r="I4386">
        <v>6.9</v>
      </c>
      <c r="J4386">
        <v>10.23</v>
      </c>
      <c r="K4386">
        <v>54.2</v>
      </c>
      <c r="L4386" t="s">
        <v>5028</v>
      </c>
      <c r="M4386">
        <v>11</v>
      </c>
      <c r="N4386">
        <v>0</v>
      </c>
      <c r="O4386">
        <v>0</v>
      </c>
    </row>
    <row r="4387" spans="1:15" x14ac:dyDescent="0.3">
      <c r="A4387" t="s">
        <v>4400</v>
      </c>
      <c r="B4387">
        <v>8</v>
      </c>
      <c r="C4387">
        <v>41</v>
      </c>
      <c r="D4387" t="s">
        <v>5015</v>
      </c>
      <c r="E4387" t="s">
        <v>5019</v>
      </c>
      <c r="F4387" t="s">
        <v>5022</v>
      </c>
      <c r="G4387">
        <v>5.1100000000000003</v>
      </c>
      <c r="H4387">
        <v>2</v>
      </c>
      <c r="I4387">
        <v>9</v>
      </c>
      <c r="J4387">
        <v>17.739999999999998</v>
      </c>
      <c r="K4387">
        <v>47.2</v>
      </c>
      <c r="L4387" t="s">
        <v>5029</v>
      </c>
      <c r="M4387">
        <v>6</v>
      </c>
      <c r="N4387">
        <v>4</v>
      </c>
      <c r="O4387">
        <v>1</v>
      </c>
    </row>
    <row r="4388" spans="1:15" x14ac:dyDescent="0.3">
      <c r="A4388" t="s">
        <v>4401</v>
      </c>
      <c r="B4388">
        <v>8</v>
      </c>
      <c r="C4388">
        <v>65</v>
      </c>
      <c r="D4388" t="s">
        <v>5016</v>
      </c>
      <c r="E4388" t="s">
        <v>5019</v>
      </c>
      <c r="F4388" t="s">
        <v>5021</v>
      </c>
      <c r="G4388">
        <v>13.31</v>
      </c>
      <c r="H4388">
        <v>1</v>
      </c>
      <c r="I4388">
        <v>5.0999999999999996</v>
      </c>
      <c r="J4388">
        <v>21.42</v>
      </c>
      <c r="K4388">
        <v>98.1</v>
      </c>
      <c r="L4388" t="s">
        <v>5028</v>
      </c>
      <c r="M4388">
        <v>3</v>
      </c>
      <c r="N4388">
        <v>0</v>
      </c>
      <c r="O4388">
        <v>0</v>
      </c>
    </row>
    <row r="4389" spans="1:15" x14ac:dyDescent="0.3">
      <c r="A4389" t="s">
        <v>4402</v>
      </c>
      <c r="B4389">
        <v>10</v>
      </c>
      <c r="C4389">
        <v>64</v>
      </c>
      <c r="D4389" t="s">
        <v>5016</v>
      </c>
      <c r="E4389" t="s">
        <v>5017</v>
      </c>
      <c r="F4389" t="s">
        <v>5020</v>
      </c>
      <c r="G4389">
        <v>13.74</v>
      </c>
      <c r="H4389">
        <v>4</v>
      </c>
      <c r="I4389">
        <v>1.4</v>
      </c>
      <c r="J4389">
        <v>6.38</v>
      </c>
      <c r="K4389">
        <v>95.1</v>
      </c>
      <c r="L4389" t="s">
        <v>5027</v>
      </c>
      <c r="M4389">
        <v>3</v>
      </c>
      <c r="N4389">
        <v>1</v>
      </c>
      <c r="O4389">
        <v>0</v>
      </c>
    </row>
    <row r="4390" spans="1:15" x14ac:dyDescent="0.3">
      <c r="A4390" t="s">
        <v>4403</v>
      </c>
      <c r="B4390">
        <v>4</v>
      </c>
      <c r="C4390">
        <v>61</v>
      </c>
      <c r="D4390" t="s">
        <v>5016</v>
      </c>
      <c r="E4390" t="s">
        <v>5018</v>
      </c>
      <c r="F4390" t="s">
        <v>5023</v>
      </c>
      <c r="G4390">
        <v>21.18</v>
      </c>
      <c r="H4390">
        <v>2</v>
      </c>
      <c r="I4390">
        <v>7.9</v>
      </c>
      <c r="J4390">
        <v>10.49</v>
      </c>
      <c r="K4390">
        <v>45.3</v>
      </c>
      <c r="L4390" t="s">
        <v>5028</v>
      </c>
      <c r="M4390">
        <v>1</v>
      </c>
      <c r="N4390">
        <v>1</v>
      </c>
      <c r="O4390">
        <v>0</v>
      </c>
    </row>
    <row r="4391" spans="1:15" x14ac:dyDescent="0.3">
      <c r="A4391" t="s">
        <v>4404</v>
      </c>
      <c r="B4391">
        <v>3</v>
      </c>
      <c r="C4391">
        <v>26</v>
      </c>
      <c r="D4391" t="s">
        <v>5016</v>
      </c>
      <c r="E4391" t="s">
        <v>5017</v>
      </c>
      <c r="F4391" t="s">
        <v>5021</v>
      </c>
      <c r="G4391">
        <v>11.1</v>
      </c>
      <c r="H4391">
        <v>2</v>
      </c>
      <c r="I4391">
        <v>8.3000000000000007</v>
      </c>
      <c r="J4391">
        <v>17.71</v>
      </c>
      <c r="K4391">
        <v>81.5</v>
      </c>
      <c r="L4391" t="s">
        <v>5029</v>
      </c>
      <c r="M4391">
        <v>2</v>
      </c>
      <c r="N4391">
        <v>1</v>
      </c>
      <c r="O4391">
        <v>0</v>
      </c>
    </row>
    <row r="4392" spans="1:15" x14ac:dyDescent="0.3">
      <c r="A4392" t="s">
        <v>4405</v>
      </c>
      <c r="B4392">
        <v>2</v>
      </c>
      <c r="C4392">
        <v>57</v>
      </c>
      <c r="D4392" t="s">
        <v>5016</v>
      </c>
      <c r="E4392" t="s">
        <v>5018</v>
      </c>
      <c r="F4392" t="s">
        <v>5020</v>
      </c>
      <c r="G4392">
        <v>11.62</v>
      </c>
      <c r="H4392">
        <v>3</v>
      </c>
      <c r="I4392">
        <v>1.4</v>
      </c>
      <c r="J4392">
        <v>19.63</v>
      </c>
      <c r="K4392">
        <v>67.3</v>
      </c>
      <c r="L4392" t="s">
        <v>5025</v>
      </c>
      <c r="M4392">
        <v>3</v>
      </c>
      <c r="N4392">
        <v>0</v>
      </c>
      <c r="O4392">
        <v>0</v>
      </c>
    </row>
    <row r="4393" spans="1:15" x14ac:dyDescent="0.3">
      <c r="A4393" t="s">
        <v>4406</v>
      </c>
      <c r="B4393">
        <v>9</v>
      </c>
      <c r="C4393">
        <v>67</v>
      </c>
      <c r="D4393" t="s">
        <v>5016</v>
      </c>
      <c r="E4393" t="s">
        <v>5019</v>
      </c>
      <c r="F4393" t="s">
        <v>5023</v>
      </c>
      <c r="G4393">
        <v>6.41</v>
      </c>
      <c r="H4393">
        <v>4</v>
      </c>
      <c r="I4393">
        <v>3.2</v>
      </c>
      <c r="J4393">
        <v>20.190000000000001</v>
      </c>
      <c r="K4393">
        <v>31.9</v>
      </c>
      <c r="L4393" t="s">
        <v>5026</v>
      </c>
      <c r="M4393">
        <v>1</v>
      </c>
      <c r="N4393">
        <v>2</v>
      </c>
      <c r="O4393">
        <v>0</v>
      </c>
    </row>
    <row r="4394" spans="1:15" x14ac:dyDescent="0.3">
      <c r="A4394" t="s">
        <v>4407</v>
      </c>
      <c r="B4394">
        <v>1</v>
      </c>
      <c r="C4394">
        <v>40</v>
      </c>
      <c r="D4394" t="s">
        <v>5016</v>
      </c>
      <c r="E4394" t="s">
        <v>5019</v>
      </c>
      <c r="F4394" t="s">
        <v>5021</v>
      </c>
      <c r="G4394">
        <v>10.67</v>
      </c>
      <c r="H4394">
        <v>5</v>
      </c>
      <c r="I4394">
        <v>7.9</v>
      </c>
      <c r="J4394">
        <v>17.37</v>
      </c>
      <c r="K4394">
        <v>93.8</v>
      </c>
      <c r="L4394" t="s">
        <v>5028</v>
      </c>
      <c r="M4394">
        <v>8</v>
      </c>
      <c r="N4394">
        <v>2</v>
      </c>
      <c r="O4394">
        <v>0</v>
      </c>
    </row>
    <row r="4395" spans="1:15" x14ac:dyDescent="0.3">
      <c r="A4395" t="s">
        <v>4408</v>
      </c>
      <c r="B4395">
        <v>7</v>
      </c>
      <c r="C4395">
        <v>67</v>
      </c>
      <c r="D4395" t="s">
        <v>5015</v>
      </c>
      <c r="E4395" t="s">
        <v>5018</v>
      </c>
      <c r="F4395" t="s">
        <v>5024</v>
      </c>
      <c r="G4395">
        <v>19.34</v>
      </c>
      <c r="H4395">
        <v>5</v>
      </c>
      <c r="I4395">
        <v>4.4000000000000004</v>
      </c>
      <c r="J4395">
        <v>13.52</v>
      </c>
      <c r="K4395">
        <v>33.4</v>
      </c>
      <c r="L4395" t="s">
        <v>5026</v>
      </c>
      <c r="M4395">
        <v>6</v>
      </c>
      <c r="N4395">
        <v>4</v>
      </c>
      <c r="O4395">
        <v>0</v>
      </c>
    </row>
    <row r="4396" spans="1:15" x14ac:dyDescent="0.3">
      <c r="A4396" t="s">
        <v>4409</v>
      </c>
      <c r="B4396">
        <v>5</v>
      </c>
      <c r="C4396">
        <v>30</v>
      </c>
      <c r="D4396" t="s">
        <v>5016</v>
      </c>
      <c r="E4396" t="s">
        <v>5017</v>
      </c>
      <c r="F4396" t="s">
        <v>5024</v>
      </c>
      <c r="G4396">
        <v>17.7</v>
      </c>
      <c r="H4396">
        <v>3</v>
      </c>
      <c r="I4396">
        <v>5.3</v>
      </c>
      <c r="J4396">
        <v>17.21</v>
      </c>
      <c r="K4396">
        <v>88.3</v>
      </c>
      <c r="L4396" t="s">
        <v>5026</v>
      </c>
      <c r="M4396">
        <v>9</v>
      </c>
      <c r="N4396">
        <v>2</v>
      </c>
      <c r="O4396">
        <v>0</v>
      </c>
    </row>
    <row r="4397" spans="1:15" x14ac:dyDescent="0.3">
      <c r="A4397" t="s">
        <v>4410</v>
      </c>
      <c r="B4397">
        <v>8</v>
      </c>
      <c r="C4397">
        <v>49</v>
      </c>
      <c r="D4397" t="s">
        <v>5015</v>
      </c>
      <c r="E4397" t="s">
        <v>5017</v>
      </c>
      <c r="F4397" t="s">
        <v>5023</v>
      </c>
      <c r="G4397">
        <v>6.63</v>
      </c>
      <c r="H4397">
        <v>5</v>
      </c>
      <c r="I4397">
        <v>8.4</v>
      </c>
      <c r="J4397">
        <v>5.97</v>
      </c>
      <c r="K4397">
        <v>67.400000000000006</v>
      </c>
      <c r="L4397" t="s">
        <v>5025</v>
      </c>
      <c r="M4397">
        <v>1</v>
      </c>
      <c r="N4397">
        <v>4</v>
      </c>
      <c r="O4397">
        <v>0</v>
      </c>
    </row>
    <row r="4398" spans="1:15" x14ac:dyDescent="0.3">
      <c r="A4398" t="s">
        <v>4411</v>
      </c>
      <c r="B4398">
        <v>4</v>
      </c>
      <c r="C4398">
        <v>67</v>
      </c>
      <c r="D4398" t="s">
        <v>5015</v>
      </c>
      <c r="E4398" t="s">
        <v>5018</v>
      </c>
      <c r="F4398" t="s">
        <v>5021</v>
      </c>
      <c r="G4398">
        <v>7.29</v>
      </c>
      <c r="H4398">
        <v>1</v>
      </c>
      <c r="I4398">
        <v>1.9</v>
      </c>
      <c r="J4398">
        <v>7.57</v>
      </c>
      <c r="K4398">
        <v>65.900000000000006</v>
      </c>
      <c r="L4398" t="s">
        <v>5029</v>
      </c>
      <c r="M4398">
        <v>11</v>
      </c>
      <c r="N4398">
        <v>4</v>
      </c>
      <c r="O4398">
        <v>0</v>
      </c>
    </row>
    <row r="4399" spans="1:15" x14ac:dyDescent="0.3">
      <c r="A4399" t="s">
        <v>4412</v>
      </c>
      <c r="B4399">
        <v>7</v>
      </c>
      <c r="C4399">
        <v>32</v>
      </c>
      <c r="D4399" t="s">
        <v>5015</v>
      </c>
      <c r="E4399" t="s">
        <v>5017</v>
      </c>
      <c r="F4399" t="s">
        <v>5020</v>
      </c>
      <c r="G4399">
        <v>12.54</v>
      </c>
      <c r="H4399">
        <v>5</v>
      </c>
      <c r="I4399">
        <v>7.1</v>
      </c>
      <c r="J4399">
        <v>23.41</v>
      </c>
      <c r="K4399">
        <v>85.5</v>
      </c>
      <c r="L4399" t="s">
        <v>5027</v>
      </c>
      <c r="M4399">
        <v>4</v>
      </c>
      <c r="N4399">
        <v>1</v>
      </c>
      <c r="O4399">
        <v>0</v>
      </c>
    </row>
    <row r="4400" spans="1:15" x14ac:dyDescent="0.3">
      <c r="A4400" t="s">
        <v>4413</v>
      </c>
      <c r="B4400">
        <v>5</v>
      </c>
      <c r="C4400">
        <v>53</v>
      </c>
      <c r="D4400" t="s">
        <v>5016</v>
      </c>
      <c r="E4400" t="s">
        <v>5018</v>
      </c>
      <c r="F4400" t="s">
        <v>5020</v>
      </c>
      <c r="G4400">
        <v>19.88</v>
      </c>
      <c r="H4400">
        <v>1</v>
      </c>
      <c r="I4400">
        <v>2.9</v>
      </c>
      <c r="J4400">
        <v>23.29</v>
      </c>
      <c r="K4400">
        <v>54.5</v>
      </c>
      <c r="L4400" t="s">
        <v>5027</v>
      </c>
      <c r="M4400">
        <v>4</v>
      </c>
      <c r="N4400">
        <v>3</v>
      </c>
      <c r="O4400">
        <v>1</v>
      </c>
    </row>
    <row r="4401" spans="1:15" x14ac:dyDescent="0.3">
      <c r="A4401" t="s">
        <v>4414</v>
      </c>
      <c r="B4401">
        <v>5</v>
      </c>
      <c r="C4401">
        <v>66</v>
      </c>
      <c r="D4401" t="s">
        <v>5016</v>
      </c>
      <c r="E4401" t="s">
        <v>5017</v>
      </c>
      <c r="F4401" t="s">
        <v>5021</v>
      </c>
      <c r="G4401">
        <v>21.66</v>
      </c>
      <c r="H4401">
        <v>3</v>
      </c>
      <c r="I4401">
        <v>1.6</v>
      </c>
      <c r="J4401">
        <v>18.93</v>
      </c>
      <c r="K4401">
        <v>86.8</v>
      </c>
      <c r="L4401" t="s">
        <v>5027</v>
      </c>
      <c r="M4401">
        <v>5</v>
      </c>
      <c r="N4401">
        <v>4</v>
      </c>
      <c r="O4401">
        <v>0</v>
      </c>
    </row>
    <row r="4402" spans="1:15" x14ac:dyDescent="0.3">
      <c r="A4402" t="s">
        <v>4415</v>
      </c>
      <c r="B4402">
        <v>9</v>
      </c>
      <c r="C4402">
        <v>22</v>
      </c>
      <c r="D4402" t="s">
        <v>5016</v>
      </c>
      <c r="E4402" t="s">
        <v>5018</v>
      </c>
      <c r="F4402" t="s">
        <v>5024</v>
      </c>
      <c r="G4402">
        <v>5.29</v>
      </c>
      <c r="H4402">
        <v>3</v>
      </c>
      <c r="I4402">
        <v>7</v>
      </c>
      <c r="J4402">
        <v>10.199999999999999</v>
      </c>
      <c r="K4402">
        <v>59.5</v>
      </c>
      <c r="L4402" t="s">
        <v>5029</v>
      </c>
      <c r="M4402">
        <v>11</v>
      </c>
      <c r="N4402">
        <v>0</v>
      </c>
      <c r="O4402">
        <v>0</v>
      </c>
    </row>
    <row r="4403" spans="1:15" x14ac:dyDescent="0.3">
      <c r="A4403" t="s">
        <v>4416</v>
      </c>
      <c r="B4403">
        <v>9</v>
      </c>
      <c r="C4403">
        <v>39</v>
      </c>
      <c r="D4403" t="s">
        <v>5016</v>
      </c>
      <c r="E4403" t="s">
        <v>5017</v>
      </c>
      <c r="F4403" t="s">
        <v>5021</v>
      </c>
      <c r="G4403">
        <v>11.58</v>
      </c>
      <c r="H4403">
        <v>1</v>
      </c>
      <c r="I4403">
        <v>2.1</v>
      </c>
      <c r="J4403">
        <v>17.27</v>
      </c>
      <c r="K4403">
        <v>98.6</v>
      </c>
      <c r="L4403" t="s">
        <v>5029</v>
      </c>
      <c r="M4403">
        <v>2</v>
      </c>
      <c r="N4403">
        <v>1</v>
      </c>
      <c r="O4403">
        <v>0</v>
      </c>
    </row>
    <row r="4404" spans="1:15" x14ac:dyDescent="0.3">
      <c r="A4404" t="s">
        <v>4417</v>
      </c>
      <c r="B4404">
        <v>9</v>
      </c>
      <c r="C4404">
        <v>33</v>
      </c>
      <c r="D4404" t="s">
        <v>5016</v>
      </c>
      <c r="E4404" t="s">
        <v>5019</v>
      </c>
      <c r="F4404" t="s">
        <v>5024</v>
      </c>
      <c r="G4404">
        <v>13.49</v>
      </c>
      <c r="H4404">
        <v>5</v>
      </c>
      <c r="I4404">
        <v>7.7</v>
      </c>
      <c r="J4404">
        <v>18.13</v>
      </c>
      <c r="K4404">
        <v>69.400000000000006</v>
      </c>
      <c r="L4404" t="s">
        <v>5029</v>
      </c>
      <c r="M4404">
        <v>1</v>
      </c>
      <c r="N4404">
        <v>0</v>
      </c>
      <c r="O4404">
        <v>0</v>
      </c>
    </row>
    <row r="4405" spans="1:15" x14ac:dyDescent="0.3">
      <c r="A4405" t="s">
        <v>4418</v>
      </c>
      <c r="B4405">
        <v>12</v>
      </c>
      <c r="C4405">
        <v>58</v>
      </c>
      <c r="D4405" t="s">
        <v>5016</v>
      </c>
      <c r="E4405" t="s">
        <v>5019</v>
      </c>
      <c r="F4405" t="s">
        <v>5024</v>
      </c>
      <c r="G4405">
        <v>23.22</v>
      </c>
      <c r="H4405">
        <v>3</v>
      </c>
      <c r="I4405">
        <v>2.8</v>
      </c>
      <c r="J4405">
        <v>14.33</v>
      </c>
      <c r="K4405">
        <v>43.7</v>
      </c>
      <c r="L4405" t="s">
        <v>5028</v>
      </c>
      <c r="M4405">
        <v>9</v>
      </c>
      <c r="N4405">
        <v>0</v>
      </c>
      <c r="O4405">
        <v>1</v>
      </c>
    </row>
    <row r="4406" spans="1:15" x14ac:dyDescent="0.3">
      <c r="A4406" t="s">
        <v>4419</v>
      </c>
      <c r="B4406">
        <v>6</v>
      </c>
      <c r="C4406">
        <v>27</v>
      </c>
      <c r="D4406" t="s">
        <v>5016</v>
      </c>
      <c r="E4406" t="s">
        <v>5018</v>
      </c>
      <c r="F4406" t="s">
        <v>5020</v>
      </c>
      <c r="G4406">
        <v>15.03</v>
      </c>
      <c r="H4406">
        <v>3</v>
      </c>
      <c r="I4406">
        <v>1.4</v>
      </c>
      <c r="J4406">
        <v>19.47</v>
      </c>
      <c r="K4406">
        <v>78.7</v>
      </c>
      <c r="L4406" t="s">
        <v>5026</v>
      </c>
      <c r="M4406">
        <v>5</v>
      </c>
      <c r="N4406">
        <v>2</v>
      </c>
      <c r="O4406">
        <v>0</v>
      </c>
    </row>
    <row r="4407" spans="1:15" x14ac:dyDescent="0.3">
      <c r="A4407" t="s">
        <v>4420</v>
      </c>
      <c r="B4407">
        <v>6</v>
      </c>
      <c r="C4407">
        <v>41</v>
      </c>
      <c r="D4407" t="s">
        <v>5016</v>
      </c>
      <c r="E4407" t="s">
        <v>5017</v>
      </c>
      <c r="F4407" t="s">
        <v>5023</v>
      </c>
      <c r="G4407">
        <v>10.39</v>
      </c>
      <c r="H4407">
        <v>1</v>
      </c>
      <c r="I4407">
        <v>1.9</v>
      </c>
      <c r="J4407">
        <v>3.65</v>
      </c>
      <c r="K4407">
        <v>55.9</v>
      </c>
      <c r="L4407" t="s">
        <v>5029</v>
      </c>
      <c r="M4407">
        <v>8</v>
      </c>
      <c r="N4407">
        <v>0</v>
      </c>
      <c r="O4407">
        <v>0</v>
      </c>
    </row>
    <row r="4408" spans="1:15" x14ac:dyDescent="0.3">
      <c r="A4408" t="s">
        <v>4421</v>
      </c>
      <c r="B4408">
        <v>5</v>
      </c>
      <c r="C4408">
        <v>35</v>
      </c>
      <c r="D4408" t="s">
        <v>5016</v>
      </c>
      <c r="E4408" t="s">
        <v>5018</v>
      </c>
      <c r="F4408" t="s">
        <v>5022</v>
      </c>
      <c r="G4408">
        <v>12.8</v>
      </c>
      <c r="H4408">
        <v>3</v>
      </c>
      <c r="I4408">
        <v>8.6</v>
      </c>
      <c r="J4408">
        <v>8.64</v>
      </c>
      <c r="K4408">
        <v>82.5</v>
      </c>
      <c r="L4408" t="s">
        <v>5029</v>
      </c>
      <c r="M4408">
        <v>3</v>
      </c>
      <c r="N4408">
        <v>4</v>
      </c>
      <c r="O4408">
        <v>0</v>
      </c>
    </row>
    <row r="4409" spans="1:15" x14ac:dyDescent="0.3">
      <c r="A4409" t="s">
        <v>4422</v>
      </c>
      <c r="B4409">
        <v>9</v>
      </c>
      <c r="C4409">
        <v>66</v>
      </c>
      <c r="D4409" t="s">
        <v>5016</v>
      </c>
      <c r="E4409" t="s">
        <v>5017</v>
      </c>
      <c r="F4409" t="s">
        <v>5021</v>
      </c>
      <c r="G4409">
        <v>13.73</v>
      </c>
      <c r="H4409">
        <v>5</v>
      </c>
      <c r="I4409">
        <v>4.3</v>
      </c>
      <c r="J4409">
        <v>20.48</v>
      </c>
      <c r="K4409">
        <v>85</v>
      </c>
      <c r="L4409" t="s">
        <v>5028</v>
      </c>
      <c r="M4409">
        <v>4</v>
      </c>
      <c r="N4409">
        <v>0</v>
      </c>
      <c r="O4409">
        <v>1</v>
      </c>
    </row>
    <row r="4410" spans="1:15" x14ac:dyDescent="0.3">
      <c r="A4410" t="s">
        <v>4423</v>
      </c>
      <c r="B4410">
        <v>10</v>
      </c>
      <c r="C4410">
        <v>35</v>
      </c>
      <c r="D4410" t="s">
        <v>5015</v>
      </c>
      <c r="E4410" t="s">
        <v>5018</v>
      </c>
      <c r="F4410" t="s">
        <v>5024</v>
      </c>
      <c r="G4410">
        <v>18.399999999999999</v>
      </c>
      <c r="H4410">
        <v>3</v>
      </c>
      <c r="I4410">
        <v>3.7</v>
      </c>
      <c r="J4410">
        <v>23.65</v>
      </c>
      <c r="K4410">
        <v>65.5</v>
      </c>
      <c r="L4410" t="s">
        <v>5026</v>
      </c>
      <c r="M4410">
        <v>4</v>
      </c>
      <c r="N4410">
        <v>0</v>
      </c>
      <c r="O4410">
        <v>0</v>
      </c>
    </row>
    <row r="4411" spans="1:15" x14ac:dyDescent="0.3">
      <c r="A4411" t="s">
        <v>4424</v>
      </c>
      <c r="B4411">
        <v>8</v>
      </c>
      <c r="C4411">
        <v>24</v>
      </c>
      <c r="D4411" t="s">
        <v>5016</v>
      </c>
      <c r="E4411" t="s">
        <v>5019</v>
      </c>
      <c r="F4411" t="s">
        <v>5021</v>
      </c>
      <c r="G4411">
        <v>5.82</v>
      </c>
      <c r="H4411">
        <v>1</v>
      </c>
      <c r="I4411">
        <v>5.4</v>
      </c>
      <c r="J4411">
        <v>22.27</v>
      </c>
      <c r="K4411">
        <v>88.5</v>
      </c>
      <c r="L4411" t="s">
        <v>5027</v>
      </c>
      <c r="M4411">
        <v>6</v>
      </c>
      <c r="N4411">
        <v>2</v>
      </c>
      <c r="O4411">
        <v>1</v>
      </c>
    </row>
    <row r="4412" spans="1:15" x14ac:dyDescent="0.3">
      <c r="A4412" t="s">
        <v>4425</v>
      </c>
      <c r="B4412">
        <v>7</v>
      </c>
      <c r="C4412">
        <v>21</v>
      </c>
      <c r="D4412" t="s">
        <v>5016</v>
      </c>
      <c r="E4412" t="s">
        <v>5018</v>
      </c>
      <c r="F4412" t="s">
        <v>5023</v>
      </c>
      <c r="G4412">
        <v>12.79</v>
      </c>
      <c r="H4412">
        <v>5</v>
      </c>
      <c r="I4412">
        <v>6.7</v>
      </c>
      <c r="J4412">
        <v>18.760000000000002</v>
      </c>
      <c r="K4412">
        <v>46.3</v>
      </c>
      <c r="L4412" t="s">
        <v>5025</v>
      </c>
      <c r="M4412">
        <v>4</v>
      </c>
      <c r="N4412">
        <v>0</v>
      </c>
      <c r="O4412">
        <v>0</v>
      </c>
    </row>
    <row r="4413" spans="1:15" x14ac:dyDescent="0.3">
      <c r="A4413" t="s">
        <v>4426</v>
      </c>
      <c r="B4413">
        <v>7</v>
      </c>
      <c r="C4413">
        <v>43</v>
      </c>
      <c r="D4413" t="s">
        <v>5016</v>
      </c>
      <c r="E4413" t="s">
        <v>5018</v>
      </c>
      <c r="F4413" t="s">
        <v>5023</v>
      </c>
      <c r="G4413">
        <v>17.93</v>
      </c>
      <c r="H4413">
        <v>4</v>
      </c>
      <c r="I4413">
        <v>1.3</v>
      </c>
      <c r="J4413">
        <v>6.64</v>
      </c>
      <c r="K4413">
        <v>15.2</v>
      </c>
      <c r="L4413" t="s">
        <v>5029</v>
      </c>
      <c r="M4413">
        <v>5</v>
      </c>
      <c r="N4413">
        <v>4</v>
      </c>
      <c r="O4413">
        <v>0</v>
      </c>
    </row>
    <row r="4414" spans="1:15" x14ac:dyDescent="0.3">
      <c r="A4414" t="s">
        <v>4427</v>
      </c>
      <c r="B4414">
        <v>6</v>
      </c>
      <c r="C4414">
        <v>22</v>
      </c>
      <c r="D4414" t="s">
        <v>5015</v>
      </c>
      <c r="E4414" t="s">
        <v>5018</v>
      </c>
      <c r="F4414" t="s">
        <v>5022</v>
      </c>
      <c r="G4414">
        <v>10.67</v>
      </c>
      <c r="H4414">
        <v>1</v>
      </c>
      <c r="I4414">
        <v>9.1</v>
      </c>
      <c r="J4414">
        <v>11.11</v>
      </c>
      <c r="K4414">
        <v>69.599999999999994</v>
      </c>
      <c r="L4414" t="s">
        <v>5029</v>
      </c>
      <c r="M4414">
        <v>5</v>
      </c>
      <c r="N4414">
        <v>4</v>
      </c>
      <c r="O4414">
        <v>0</v>
      </c>
    </row>
    <row r="4415" spans="1:15" x14ac:dyDescent="0.3">
      <c r="A4415" t="s">
        <v>4428</v>
      </c>
      <c r="B4415">
        <v>5</v>
      </c>
      <c r="C4415">
        <v>33</v>
      </c>
      <c r="D4415" t="s">
        <v>5016</v>
      </c>
      <c r="E4415" t="s">
        <v>5019</v>
      </c>
      <c r="F4415" t="s">
        <v>5022</v>
      </c>
      <c r="G4415">
        <v>16.84</v>
      </c>
      <c r="H4415">
        <v>4</v>
      </c>
      <c r="I4415">
        <v>9.6</v>
      </c>
      <c r="J4415">
        <v>4.0999999999999996</v>
      </c>
      <c r="K4415">
        <v>78.8</v>
      </c>
      <c r="L4415" t="s">
        <v>5025</v>
      </c>
      <c r="M4415">
        <v>8</v>
      </c>
      <c r="N4415">
        <v>0</v>
      </c>
      <c r="O4415">
        <v>1</v>
      </c>
    </row>
    <row r="4416" spans="1:15" x14ac:dyDescent="0.3">
      <c r="A4416" t="s">
        <v>4429</v>
      </c>
      <c r="B4416">
        <v>4</v>
      </c>
      <c r="C4416">
        <v>52</v>
      </c>
      <c r="D4416" t="s">
        <v>5016</v>
      </c>
      <c r="E4416" t="s">
        <v>5019</v>
      </c>
      <c r="F4416" t="s">
        <v>5024</v>
      </c>
      <c r="G4416">
        <v>12.15</v>
      </c>
      <c r="H4416">
        <v>3</v>
      </c>
      <c r="I4416">
        <v>4.8</v>
      </c>
      <c r="J4416">
        <v>17.079999999999998</v>
      </c>
      <c r="K4416">
        <v>16.600000000000001</v>
      </c>
      <c r="L4416" t="s">
        <v>5029</v>
      </c>
      <c r="M4416">
        <v>9</v>
      </c>
      <c r="N4416">
        <v>4</v>
      </c>
      <c r="O4416">
        <v>0</v>
      </c>
    </row>
    <row r="4417" spans="1:15" x14ac:dyDescent="0.3">
      <c r="A4417" t="s">
        <v>4430</v>
      </c>
      <c r="B4417">
        <v>3</v>
      </c>
      <c r="C4417">
        <v>43</v>
      </c>
      <c r="D4417" t="s">
        <v>5015</v>
      </c>
      <c r="E4417" t="s">
        <v>5018</v>
      </c>
      <c r="F4417" t="s">
        <v>5022</v>
      </c>
      <c r="G4417">
        <v>20.170000000000002</v>
      </c>
      <c r="H4417">
        <v>5</v>
      </c>
      <c r="I4417">
        <v>4.7</v>
      </c>
      <c r="J4417">
        <v>12.9</v>
      </c>
      <c r="K4417">
        <v>79.400000000000006</v>
      </c>
      <c r="L4417" t="s">
        <v>5029</v>
      </c>
      <c r="M4417">
        <v>11</v>
      </c>
      <c r="N4417">
        <v>4</v>
      </c>
      <c r="O4417">
        <v>0</v>
      </c>
    </row>
    <row r="4418" spans="1:15" x14ac:dyDescent="0.3">
      <c r="A4418" t="s">
        <v>4431</v>
      </c>
      <c r="B4418">
        <v>3</v>
      </c>
      <c r="C4418">
        <v>35</v>
      </c>
      <c r="D4418" t="s">
        <v>5016</v>
      </c>
      <c r="E4418" t="s">
        <v>5018</v>
      </c>
      <c r="F4418" t="s">
        <v>5024</v>
      </c>
      <c r="G4418">
        <v>6.21</v>
      </c>
      <c r="H4418">
        <v>3</v>
      </c>
      <c r="I4418">
        <v>8.9</v>
      </c>
      <c r="J4418">
        <v>15.61</v>
      </c>
      <c r="K4418">
        <v>67.5</v>
      </c>
      <c r="L4418" t="s">
        <v>5029</v>
      </c>
      <c r="M4418">
        <v>8</v>
      </c>
      <c r="N4418">
        <v>2</v>
      </c>
      <c r="O4418">
        <v>0</v>
      </c>
    </row>
    <row r="4419" spans="1:15" x14ac:dyDescent="0.3">
      <c r="A4419" t="s">
        <v>4432</v>
      </c>
      <c r="B4419">
        <v>6</v>
      </c>
      <c r="C4419">
        <v>46</v>
      </c>
      <c r="D4419" t="s">
        <v>5015</v>
      </c>
      <c r="E4419" t="s">
        <v>5018</v>
      </c>
      <c r="F4419" t="s">
        <v>5020</v>
      </c>
      <c r="G4419">
        <v>23.36</v>
      </c>
      <c r="H4419">
        <v>5</v>
      </c>
      <c r="I4419">
        <v>4.9000000000000004</v>
      </c>
      <c r="J4419">
        <v>24.55</v>
      </c>
      <c r="K4419">
        <v>20.5</v>
      </c>
      <c r="L4419" t="s">
        <v>5025</v>
      </c>
      <c r="M4419">
        <v>5</v>
      </c>
      <c r="N4419">
        <v>1</v>
      </c>
      <c r="O4419">
        <v>1</v>
      </c>
    </row>
    <row r="4420" spans="1:15" x14ac:dyDescent="0.3">
      <c r="A4420" t="s">
        <v>4433</v>
      </c>
      <c r="B4420">
        <v>4</v>
      </c>
      <c r="C4420">
        <v>40</v>
      </c>
      <c r="D4420" t="s">
        <v>5015</v>
      </c>
      <c r="E4420" t="s">
        <v>5017</v>
      </c>
      <c r="F4420" t="s">
        <v>5024</v>
      </c>
      <c r="G4420">
        <v>8.43</v>
      </c>
      <c r="H4420">
        <v>2</v>
      </c>
      <c r="I4420">
        <v>8.6999999999999993</v>
      </c>
      <c r="J4420">
        <v>11.85</v>
      </c>
      <c r="K4420">
        <v>58.6</v>
      </c>
      <c r="L4420" t="s">
        <v>5028</v>
      </c>
      <c r="M4420">
        <v>6</v>
      </c>
      <c r="N4420">
        <v>1</v>
      </c>
      <c r="O4420">
        <v>0</v>
      </c>
    </row>
    <row r="4421" spans="1:15" x14ac:dyDescent="0.3">
      <c r="A4421" t="s">
        <v>4434</v>
      </c>
      <c r="B4421">
        <v>12</v>
      </c>
      <c r="C4421">
        <v>31</v>
      </c>
      <c r="D4421" t="s">
        <v>5015</v>
      </c>
      <c r="E4421" t="s">
        <v>5018</v>
      </c>
      <c r="F4421" t="s">
        <v>5022</v>
      </c>
      <c r="G4421">
        <v>8.17</v>
      </c>
      <c r="H4421">
        <v>3</v>
      </c>
      <c r="I4421">
        <v>1.3</v>
      </c>
      <c r="J4421">
        <v>9.75</v>
      </c>
      <c r="K4421">
        <v>19.8</v>
      </c>
      <c r="L4421" t="s">
        <v>5028</v>
      </c>
      <c r="M4421">
        <v>4</v>
      </c>
      <c r="N4421">
        <v>3</v>
      </c>
      <c r="O4421">
        <v>1</v>
      </c>
    </row>
    <row r="4422" spans="1:15" x14ac:dyDescent="0.3">
      <c r="A4422" t="s">
        <v>4435</v>
      </c>
      <c r="B4422">
        <v>12</v>
      </c>
      <c r="C4422">
        <v>32</v>
      </c>
      <c r="D4422" t="s">
        <v>5015</v>
      </c>
      <c r="E4422" t="s">
        <v>5018</v>
      </c>
      <c r="F4422" t="s">
        <v>5021</v>
      </c>
      <c r="G4422">
        <v>21.81</v>
      </c>
      <c r="H4422">
        <v>3</v>
      </c>
      <c r="I4422">
        <v>5.4</v>
      </c>
      <c r="J4422">
        <v>6.31</v>
      </c>
      <c r="K4422">
        <v>38.9</v>
      </c>
      <c r="L4422" t="s">
        <v>5025</v>
      </c>
      <c r="M4422">
        <v>2</v>
      </c>
      <c r="N4422">
        <v>1</v>
      </c>
      <c r="O4422">
        <v>0</v>
      </c>
    </row>
    <row r="4423" spans="1:15" x14ac:dyDescent="0.3">
      <c r="A4423" t="s">
        <v>4436</v>
      </c>
      <c r="B4423">
        <v>6</v>
      </c>
      <c r="C4423">
        <v>66</v>
      </c>
      <c r="D4423" t="s">
        <v>5016</v>
      </c>
      <c r="E4423" t="s">
        <v>5017</v>
      </c>
      <c r="F4423" t="s">
        <v>5022</v>
      </c>
      <c r="G4423">
        <v>22.39</v>
      </c>
      <c r="H4423">
        <v>3</v>
      </c>
      <c r="I4423">
        <v>9.6</v>
      </c>
      <c r="J4423">
        <v>6.16</v>
      </c>
      <c r="K4423">
        <v>82.4</v>
      </c>
      <c r="L4423" t="s">
        <v>5028</v>
      </c>
      <c r="M4423">
        <v>11</v>
      </c>
      <c r="N4423">
        <v>0</v>
      </c>
      <c r="O4423">
        <v>0</v>
      </c>
    </row>
    <row r="4424" spans="1:15" x14ac:dyDescent="0.3">
      <c r="A4424" t="s">
        <v>4437</v>
      </c>
      <c r="B4424">
        <v>3</v>
      </c>
      <c r="C4424">
        <v>50</v>
      </c>
      <c r="D4424" t="s">
        <v>5015</v>
      </c>
      <c r="E4424" t="s">
        <v>5017</v>
      </c>
      <c r="F4424" t="s">
        <v>5023</v>
      </c>
      <c r="G4424">
        <v>6.86</v>
      </c>
      <c r="H4424">
        <v>1</v>
      </c>
      <c r="I4424">
        <v>3.3</v>
      </c>
      <c r="J4424">
        <v>14.41</v>
      </c>
      <c r="K4424">
        <v>19.100000000000001</v>
      </c>
      <c r="L4424" t="s">
        <v>5027</v>
      </c>
      <c r="M4424">
        <v>11</v>
      </c>
      <c r="N4424">
        <v>4</v>
      </c>
      <c r="O4424">
        <v>0</v>
      </c>
    </row>
    <row r="4425" spans="1:15" x14ac:dyDescent="0.3">
      <c r="A4425" t="s">
        <v>4438</v>
      </c>
      <c r="B4425">
        <v>4</v>
      </c>
      <c r="C4425">
        <v>42</v>
      </c>
      <c r="D4425" t="s">
        <v>5015</v>
      </c>
      <c r="E4425" t="s">
        <v>5018</v>
      </c>
      <c r="F4425" t="s">
        <v>5022</v>
      </c>
      <c r="G4425">
        <v>23.17</v>
      </c>
      <c r="H4425">
        <v>5</v>
      </c>
      <c r="I4425">
        <v>3.4</v>
      </c>
      <c r="J4425">
        <v>19.48</v>
      </c>
      <c r="K4425">
        <v>51.3</v>
      </c>
      <c r="L4425" t="s">
        <v>5027</v>
      </c>
      <c r="M4425">
        <v>5</v>
      </c>
      <c r="N4425">
        <v>1</v>
      </c>
      <c r="O4425">
        <v>0</v>
      </c>
    </row>
    <row r="4426" spans="1:15" x14ac:dyDescent="0.3">
      <c r="A4426" t="s">
        <v>4439</v>
      </c>
      <c r="B4426">
        <v>9</v>
      </c>
      <c r="C4426">
        <v>38</v>
      </c>
      <c r="D4426" t="s">
        <v>5016</v>
      </c>
      <c r="E4426" t="s">
        <v>5019</v>
      </c>
      <c r="F4426" t="s">
        <v>5020</v>
      </c>
      <c r="G4426">
        <v>10.47</v>
      </c>
      <c r="H4426">
        <v>5</v>
      </c>
      <c r="I4426">
        <v>6.7</v>
      </c>
      <c r="J4426">
        <v>15.42</v>
      </c>
      <c r="K4426">
        <v>64.5</v>
      </c>
      <c r="L4426" t="s">
        <v>5025</v>
      </c>
      <c r="M4426">
        <v>1</v>
      </c>
      <c r="N4426">
        <v>2</v>
      </c>
      <c r="O4426">
        <v>0</v>
      </c>
    </row>
    <row r="4427" spans="1:15" x14ac:dyDescent="0.3">
      <c r="A4427" t="s">
        <v>4440</v>
      </c>
      <c r="B4427">
        <v>5</v>
      </c>
      <c r="C4427">
        <v>34</v>
      </c>
      <c r="D4427" t="s">
        <v>5016</v>
      </c>
      <c r="E4427" t="s">
        <v>5018</v>
      </c>
      <c r="F4427" t="s">
        <v>5024</v>
      </c>
      <c r="G4427">
        <v>17.37</v>
      </c>
      <c r="H4427">
        <v>5</v>
      </c>
      <c r="I4427">
        <v>9.3000000000000007</v>
      </c>
      <c r="J4427">
        <v>22.21</v>
      </c>
      <c r="K4427">
        <v>94.6</v>
      </c>
      <c r="L4427" t="s">
        <v>5026</v>
      </c>
      <c r="M4427">
        <v>1</v>
      </c>
      <c r="N4427">
        <v>3</v>
      </c>
      <c r="O4427">
        <v>0</v>
      </c>
    </row>
    <row r="4428" spans="1:15" x14ac:dyDescent="0.3">
      <c r="A4428" t="s">
        <v>4441</v>
      </c>
      <c r="B4428">
        <v>7</v>
      </c>
      <c r="C4428">
        <v>40</v>
      </c>
      <c r="D4428" t="s">
        <v>5016</v>
      </c>
      <c r="E4428" t="s">
        <v>5018</v>
      </c>
      <c r="F4428" t="s">
        <v>5023</v>
      </c>
      <c r="G4428">
        <v>6.37</v>
      </c>
      <c r="H4428">
        <v>1</v>
      </c>
      <c r="I4428">
        <v>2.8</v>
      </c>
      <c r="J4428">
        <v>9.9499999999999993</v>
      </c>
      <c r="K4428">
        <v>76.400000000000006</v>
      </c>
      <c r="L4428" t="s">
        <v>5029</v>
      </c>
      <c r="M4428">
        <v>1</v>
      </c>
      <c r="N4428">
        <v>0</v>
      </c>
      <c r="O4428">
        <v>0</v>
      </c>
    </row>
    <row r="4429" spans="1:15" x14ac:dyDescent="0.3">
      <c r="A4429" t="s">
        <v>4442</v>
      </c>
      <c r="B4429">
        <v>10</v>
      </c>
      <c r="C4429">
        <v>60</v>
      </c>
      <c r="D4429" t="s">
        <v>5015</v>
      </c>
      <c r="E4429" t="s">
        <v>5018</v>
      </c>
      <c r="F4429" t="s">
        <v>5024</v>
      </c>
      <c r="G4429">
        <v>12.61</v>
      </c>
      <c r="H4429">
        <v>5</v>
      </c>
      <c r="I4429">
        <v>9.3000000000000007</v>
      </c>
      <c r="J4429">
        <v>16.09</v>
      </c>
      <c r="K4429">
        <v>22.5</v>
      </c>
      <c r="L4429" t="s">
        <v>5026</v>
      </c>
      <c r="M4429">
        <v>4</v>
      </c>
      <c r="N4429">
        <v>1</v>
      </c>
      <c r="O4429">
        <v>0</v>
      </c>
    </row>
    <row r="4430" spans="1:15" x14ac:dyDescent="0.3">
      <c r="A4430" t="s">
        <v>4443</v>
      </c>
      <c r="B4430">
        <v>2</v>
      </c>
      <c r="C4430">
        <v>34</v>
      </c>
      <c r="D4430" t="s">
        <v>5016</v>
      </c>
      <c r="E4430" t="s">
        <v>5018</v>
      </c>
      <c r="F4430" t="s">
        <v>5024</v>
      </c>
      <c r="G4430">
        <v>14.01</v>
      </c>
      <c r="H4430">
        <v>3</v>
      </c>
      <c r="I4430">
        <v>7</v>
      </c>
      <c r="J4430">
        <v>17.55</v>
      </c>
      <c r="K4430">
        <v>97.2</v>
      </c>
      <c r="L4430" t="s">
        <v>5029</v>
      </c>
      <c r="M4430">
        <v>5</v>
      </c>
      <c r="N4430">
        <v>4</v>
      </c>
      <c r="O4430">
        <v>0</v>
      </c>
    </row>
    <row r="4431" spans="1:15" x14ac:dyDescent="0.3">
      <c r="A4431" t="s">
        <v>4444</v>
      </c>
      <c r="B4431">
        <v>5</v>
      </c>
      <c r="C4431">
        <v>31</v>
      </c>
      <c r="D4431" t="s">
        <v>5015</v>
      </c>
      <c r="E4431" t="s">
        <v>5018</v>
      </c>
      <c r="F4431" t="s">
        <v>5022</v>
      </c>
      <c r="G4431">
        <v>17</v>
      </c>
      <c r="H4431">
        <v>4</v>
      </c>
      <c r="I4431">
        <v>9.9</v>
      </c>
      <c r="J4431">
        <v>9.18</v>
      </c>
      <c r="K4431">
        <v>53</v>
      </c>
      <c r="L4431" t="s">
        <v>5028</v>
      </c>
      <c r="M4431">
        <v>4</v>
      </c>
      <c r="N4431">
        <v>2</v>
      </c>
      <c r="O4431">
        <v>0</v>
      </c>
    </row>
    <row r="4432" spans="1:15" x14ac:dyDescent="0.3">
      <c r="A4432" t="s">
        <v>4445</v>
      </c>
      <c r="B4432">
        <v>9</v>
      </c>
      <c r="C4432">
        <v>46</v>
      </c>
      <c r="D4432" t="s">
        <v>5015</v>
      </c>
      <c r="E4432" t="s">
        <v>5018</v>
      </c>
      <c r="F4432" t="s">
        <v>5021</v>
      </c>
      <c r="G4432">
        <v>15.51</v>
      </c>
      <c r="H4432">
        <v>2</v>
      </c>
      <c r="I4432">
        <v>7.6</v>
      </c>
      <c r="J4432">
        <v>11.72</v>
      </c>
      <c r="K4432">
        <v>43.3</v>
      </c>
      <c r="L4432" t="s">
        <v>5028</v>
      </c>
      <c r="M4432">
        <v>6</v>
      </c>
      <c r="N4432">
        <v>1</v>
      </c>
      <c r="O4432">
        <v>0</v>
      </c>
    </row>
    <row r="4433" spans="1:15" x14ac:dyDescent="0.3">
      <c r="A4433" t="s">
        <v>4446</v>
      </c>
      <c r="B4433">
        <v>11</v>
      </c>
      <c r="C4433">
        <v>37</v>
      </c>
      <c r="D4433" t="s">
        <v>5016</v>
      </c>
      <c r="E4433" t="s">
        <v>5017</v>
      </c>
      <c r="F4433" t="s">
        <v>5023</v>
      </c>
      <c r="G4433">
        <v>14.23</v>
      </c>
      <c r="H4433">
        <v>5</v>
      </c>
      <c r="I4433">
        <v>7</v>
      </c>
      <c r="J4433">
        <v>16</v>
      </c>
      <c r="K4433">
        <v>21.6</v>
      </c>
      <c r="L4433" t="s">
        <v>5027</v>
      </c>
      <c r="M4433">
        <v>2</v>
      </c>
      <c r="N4433">
        <v>4</v>
      </c>
      <c r="O4433">
        <v>0</v>
      </c>
    </row>
    <row r="4434" spans="1:15" x14ac:dyDescent="0.3">
      <c r="A4434" t="s">
        <v>4447</v>
      </c>
      <c r="B4434">
        <v>3</v>
      </c>
      <c r="C4434">
        <v>47</v>
      </c>
      <c r="D4434" t="s">
        <v>5016</v>
      </c>
      <c r="E4434" t="s">
        <v>5018</v>
      </c>
      <c r="F4434" t="s">
        <v>5020</v>
      </c>
      <c r="G4434">
        <v>24.19</v>
      </c>
      <c r="H4434">
        <v>1</v>
      </c>
      <c r="I4434">
        <v>8.3000000000000007</v>
      </c>
      <c r="J4434">
        <v>3.46</v>
      </c>
      <c r="K4434">
        <v>94</v>
      </c>
      <c r="L4434" t="s">
        <v>5026</v>
      </c>
      <c r="M4434">
        <v>5</v>
      </c>
      <c r="N4434">
        <v>1</v>
      </c>
      <c r="O4434">
        <v>1</v>
      </c>
    </row>
    <row r="4435" spans="1:15" x14ac:dyDescent="0.3">
      <c r="A4435" t="s">
        <v>4448</v>
      </c>
      <c r="B4435">
        <v>9</v>
      </c>
      <c r="C4435">
        <v>36</v>
      </c>
      <c r="D4435" t="s">
        <v>5016</v>
      </c>
      <c r="E4435" t="s">
        <v>5017</v>
      </c>
      <c r="F4435" t="s">
        <v>5020</v>
      </c>
      <c r="G4435">
        <v>8.6999999999999993</v>
      </c>
      <c r="H4435">
        <v>1</v>
      </c>
      <c r="I4435">
        <v>2.6</v>
      </c>
      <c r="J4435">
        <v>22.51</v>
      </c>
      <c r="K4435">
        <v>62.8</v>
      </c>
      <c r="L4435" t="s">
        <v>5025</v>
      </c>
      <c r="M4435">
        <v>6</v>
      </c>
      <c r="N4435">
        <v>0</v>
      </c>
      <c r="O4435">
        <v>1</v>
      </c>
    </row>
    <row r="4436" spans="1:15" x14ac:dyDescent="0.3">
      <c r="A4436" t="s">
        <v>4449</v>
      </c>
      <c r="B4436">
        <v>11</v>
      </c>
      <c r="C4436">
        <v>56</v>
      </c>
      <c r="D4436" t="s">
        <v>5016</v>
      </c>
      <c r="E4436" t="s">
        <v>5018</v>
      </c>
      <c r="F4436" t="s">
        <v>5021</v>
      </c>
      <c r="G4436">
        <v>8.16</v>
      </c>
      <c r="H4436">
        <v>5</v>
      </c>
      <c r="I4436">
        <v>9.5</v>
      </c>
      <c r="J4436">
        <v>5.44</v>
      </c>
      <c r="K4436">
        <v>98.9</v>
      </c>
      <c r="L4436" t="s">
        <v>5029</v>
      </c>
      <c r="M4436">
        <v>5</v>
      </c>
      <c r="N4436">
        <v>3</v>
      </c>
      <c r="O4436">
        <v>0</v>
      </c>
    </row>
    <row r="4437" spans="1:15" x14ac:dyDescent="0.3">
      <c r="A4437" t="s">
        <v>4450</v>
      </c>
      <c r="B4437">
        <v>6</v>
      </c>
      <c r="C4437">
        <v>30</v>
      </c>
      <c r="D4437" t="s">
        <v>5016</v>
      </c>
      <c r="E4437" t="s">
        <v>5019</v>
      </c>
      <c r="F4437" t="s">
        <v>5021</v>
      </c>
      <c r="G4437">
        <v>19.27</v>
      </c>
      <c r="H4437">
        <v>4</v>
      </c>
      <c r="I4437">
        <v>2.5</v>
      </c>
      <c r="J4437">
        <v>4.05</v>
      </c>
      <c r="K4437">
        <v>25.6</v>
      </c>
      <c r="L4437" t="s">
        <v>5028</v>
      </c>
      <c r="M4437">
        <v>6</v>
      </c>
      <c r="N4437">
        <v>4</v>
      </c>
      <c r="O4437">
        <v>0</v>
      </c>
    </row>
    <row r="4438" spans="1:15" x14ac:dyDescent="0.3">
      <c r="A4438" t="s">
        <v>4451</v>
      </c>
      <c r="B4438">
        <v>4</v>
      </c>
      <c r="C4438">
        <v>35</v>
      </c>
      <c r="D4438" t="s">
        <v>5016</v>
      </c>
      <c r="E4438" t="s">
        <v>5017</v>
      </c>
      <c r="F4438" t="s">
        <v>5022</v>
      </c>
      <c r="G4438">
        <v>6.49</v>
      </c>
      <c r="H4438">
        <v>5</v>
      </c>
      <c r="I4438">
        <v>1.2</v>
      </c>
      <c r="J4438">
        <v>7.73</v>
      </c>
      <c r="K4438">
        <v>59.1</v>
      </c>
      <c r="L4438" t="s">
        <v>5029</v>
      </c>
      <c r="M4438">
        <v>8</v>
      </c>
      <c r="N4438">
        <v>3</v>
      </c>
      <c r="O4438">
        <v>0</v>
      </c>
    </row>
    <row r="4439" spans="1:15" x14ac:dyDescent="0.3">
      <c r="A4439" t="s">
        <v>4452</v>
      </c>
      <c r="B4439">
        <v>7</v>
      </c>
      <c r="C4439">
        <v>40</v>
      </c>
      <c r="D4439" t="s">
        <v>5015</v>
      </c>
      <c r="E4439" t="s">
        <v>5018</v>
      </c>
      <c r="F4439" t="s">
        <v>5020</v>
      </c>
      <c r="G4439">
        <v>14.66</v>
      </c>
      <c r="H4439">
        <v>1</v>
      </c>
      <c r="I4439">
        <v>7.3</v>
      </c>
      <c r="J4439">
        <v>14.05</v>
      </c>
      <c r="K4439">
        <v>19.899999999999999</v>
      </c>
      <c r="L4439" t="s">
        <v>5025</v>
      </c>
      <c r="M4439">
        <v>2</v>
      </c>
      <c r="N4439">
        <v>3</v>
      </c>
      <c r="O4439">
        <v>0</v>
      </c>
    </row>
    <row r="4440" spans="1:15" x14ac:dyDescent="0.3">
      <c r="A4440" t="s">
        <v>4453</v>
      </c>
      <c r="B4440">
        <v>8</v>
      </c>
      <c r="C4440">
        <v>63</v>
      </c>
      <c r="D4440" t="s">
        <v>5015</v>
      </c>
      <c r="E4440" t="s">
        <v>5018</v>
      </c>
      <c r="F4440" t="s">
        <v>5023</v>
      </c>
      <c r="G4440">
        <v>14.68</v>
      </c>
      <c r="H4440">
        <v>2</v>
      </c>
      <c r="I4440">
        <v>2.7</v>
      </c>
      <c r="J4440">
        <v>10.23</v>
      </c>
      <c r="K4440">
        <v>57.2</v>
      </c>
      <c r="L4440" t="s">
        <v>5029</v>
      </c>
      <c r="M4440">
        <v>7</v>
      </c>
      <c r="N4440">
        <v>2</v>
      </c>
      <c r="O4440">
        <v>0</v>
      </c>
    </row>
    <row r="4441" spans="1:15" x14ac:dyDescent="0.3">
      <c r="A4441" t="s">
        <v>4454</v>
      </c>
      <c r="B4441">
        <v>6</v>
      </c>
      <c r="C4441">
        <v>50</v>
      </c>
      <c r="D4441" t="s">
        <v>5016</v>
      </c>
      <c r="E4441" t="s">
        <v>5019</v>
      </c>
      <c r="F4441" t="s">
        <v>5021</v>
      </c>
      <c r="G4441">
        <v>11.2</v>
      </c>
      <c r="H4441">
        <v>4</v>
      </c>
      <c r="I4441">
        <v>7.8</v>
      </c>
      <c r="J4441">
        <v>12.68</v>
      </c>
      <c r="K4441">
        <v>90.1</v>
      </c>
      <c r="L4441" t="s">
        <v>5027</v>
      </c>
      <c r="M4441">
        <v>6</v>
      </c>
      <c r="N4441">
        <v>4</v>
      </c>
      <c r="O4441">
        <v>0</v>
      </c>
    </row>
    <row r="4442" spans="1:15" x14ac:dyDescent="0.3">
      <c r="A4442" t="s">
        <v>4455</v>
      </c>
      <c r="B4442">
        <v>5</v>
      </c>
      <c r="C4442">
        <v>56</v>
      </c>
      <c r="D4442" t="s">
        <v>5015</v>
      </c>
      <c r="E4442" t="s">
        <v>5018</v>
      </c>
      <c r="F4442" t="s">
        <v>5021</v>
      </c>
      <c r="G4442">
        <v>23.61</v>
      </c>
      <c r="H4442">
        <v>5</v>
      </c>
      <c r="I4442">
        <v>8.1999999999999993</v>
      </c>
      <c r="J4442">
        <v>4.8499999999999996</v>
      </c>
      <c r="K4442">
        <v>19.8</v>
      </c>
      <c r="L4442" t="s">
        <v>5025</v>
      </c>
      <c r="M4442">
        <v>10</v>
      </c>
      <c r="N4442">
        <v>2</v>
      </c>
      <c r="O4442">
        <v>1</v>
      </c>
    </row>
    <row r="4443" spans="1:15" x14ac:dyDescent="0.3">
      <c r="A4443" t="s">
        <v>4456</v>
      </c>
      <c r="B4443">
        <v>6</v>
      </c>
      <c r="C4443">
        <v>57</v>
      </c>
      <c r="D4443" t="s">
        <v>5015</v>
      </c>
      <c r="E4443" t="s">
        <v>5019</v>
      </c>
      <c r="F4443" t="s">
        <v>5021</v>
      </c>
      <c r="G4443">
        <v>10.65</v>
      </c>
      <c r="H4443">
        <v>2</v>
      </c>
      <c r="I4443">
        <v>3.1</v>
      </c>
      <c r="J4443">
        <v>8.1300000000000008</v>
      </c>
      <c r="K4443">
        <v>34.299999999999997</v>
      </c>
      <c r="L4443" t="s">
        <v>5025</v>
      </c>
      <c r="M4443">
        <v>8</v>
      </c>
      <c r="N4443">
        <v>3</v>
      </c>
      <c r="O4443">
        <v>0</v>
      </c>
    </row>
    <row r="4444" spans="1:15" x14ac:dyDescent="0.3">
      <c r="A4444" t="s">
        <v>4457</v>
      </c>
      <c r="B4444">
        <v>5</v>
      </c>
      <c r="C4444">
        <v>35</v>
      </c>
      <c r="D4444" t="s">
        <v>5015</v>
      </c>
      <c r="E4444" t="s">
        <v>5019</v>
      </c>
      <c r="F4444" t="s">
        <v>5023</v>
      </c>
      <c r="G4444">
        <v>10.77</v>
      </c>
      <c r="H4444">
        <v>5</v>
      </c>
      <c r="I4444">
        <v>1.8</v>
      </c>
      <c r="J4444">
        <v>5.15</v>
      </c>
      <c r="K4444">
        <v>71.400000000000006</v>
      </c>
      <c r="L4444" t="s">
        <v>5029</v>
      </c>
      <c r="M4444">
        <v>9</v>
      </c>
      <c r="N4444">
        <v>0</v>
      </c>
      <c r="O4444">
        <v>0</v>
      </c>
    </row>
    <row r="4445" spans="1:15" x14ac:dyDescent="0.3">
      <c r="A4445" t="s">
        <v>4458</v>
      </c>
      <c r="B4445">
        <v>8</v>
      </c>
      <c r="C4445">
        <v>26</v>
      </c>
      <c r="D4445" t="s">
        <v>5015</v>
      </c>
      <c r="E4445" t="s">
        <v>5018</v>
      </c>
      <c r="F4445" t="s">
        <v>5020</v>
      </c>
      <c r="G4445">
        <v>9.69</v>
      </c>
      <c r="H4445">
        <v>4</v>
      </c>
      <c r="I4445">
        <v>5.5</v>
      </c>
      <c r="J4445">
        <v>8.0500000000000007</v>
      </c>
      <c r="K4445">
        <v>16.899999999999999</v>
      </c>
      <c r="L4445" t="s">
        <v>5029</v>
      </c>
      <c r="M4445">
        <v>8</v>
      </c>
      <c r="N4445">
        <v>0</v>
      </c>
      <c r="O4445">
        <v>0</v>
      </c>
    </row>
    <row r="4446" spans="1:15" x14ac:dyDescent="0.3">
      <c r="A4446" t="s">
        <v>4459</v>
      </c>
      <c r="B4446">
        <v>1</v>
      </c>
      <c r="C4446">
        <v>50</v>
      </c>
      <c r="D4446" t="s">
        <v>5015</v>
      </c>
      <c r="E4446" t="s">
        <v>5018</v>
      </c>
      <c r="F4446" t="s">
        <v>5023</v>
      </c>
      <c r="G4446">
        <v>7.92</v>
      </c>
      <c r="H4446">
        <v>1</v>
      </c>
      <c r="I4446">
        <v>9</v>
      </c>
      <c r="J4446">
        <v>18.47</v>
      </c>
      <c r="K4446">
        <v>50.9</v>
      </c>
      <c r="L4446" t="s">
        <v>5028</v>
      </c>
      <c r="M4446">
        <v>5</v>
      </c>
      <c r="N4446">
        <v>1</v>
      </c>
      <c r="O4446">
        <v>0</v>
      </c>
    </row>
    <row r="4447" spans="1:15" x14ac:dyDescent="0.3">
      <c r="A4447" t="s">
        <v>4460</v>
      </c>
      <c r="B4447">
        <v>11</v>
      </c>
      <c r="C4447">
        <v>49</v>
      </c>
      <c r="D4447" t="s">
        <v>5015</v>
      </c>
      <c r="E4447" t="s">
        <v>5018</v>
      </c>
      <c r="F4447" t="s">
        <v>5023</v>
      </c>
      <c r="G4447">
        <v>12.28</v>
      </c>
      <c r="H4447">
        <v>4</v>
      </c>
      <c r="I4447">
        <v>8.6</v>
      </c>
      <c r="J4447">
        <v>15.66</v>
      </c>
      <c r="K4447">
        <v>40</v>
      </c>
      <c r="L4447" t="s">
        <v>5029</v>
      </c>
      <c r="M4447">
        <v>4</v>
      </c>
      <c r="N4447">
        <v>1</v>
      </c>
      <c r="O4447">
        <v>0</v>
      </c>
    </row>
    <row r="4448" spans="1:15" x14ac:dyDescent="0.3">
      <c r="A4448" t="s">
        <v>4461</v>
      </c>
      <c r="B4448">
        <v>7</v>
      </c>
      <c r="C4448">
        <v>34</v>
      </c>
      <c r="D4448" t="s">
        <v>5016</v>
      </c>
      <c r="E4448" t="s">
        <v>5019</v>
      </c>
      <c r="F4448" t="s">
        <v>5022</v>
      </c>
      <c r="G4448">
        <v>18.62</v>
      </c>
      <c r="H4448">
        <v>3</v>
      </c>
      <c r="I4448">
        <v>2.1</v>
      </c>
      <c r="J4448">
        <v>10.35</v>
      </c>
      <c r="K4448">
        <v>85.4</v>
      </c>
      <c r="L4448" t="s">
        <v>5025</v>
      </c>
      <c r="M4448">
        <v>3</v>
      </c>
      <c r="N4448">
        <v>4</v>
      </c>
      <c r="O4448">
        <v>0</v>
      </c>
    </row>
    <row r="4449" spans="1:15" x14ac:dyDescent="0.3">
      <c r="A4449" t="s">
        <v>4462</v>
      </c>
      <c r="B4449">
        <v>10</v>
      </c>
      <c r="C4449">
        <v>36</v>
      </c>
      <c r="D4449" t="s">
        <v>5016</v>
      </c>
      <c r="E4449" t="s">
        <v>5017</v>
      </c>
      <c r="F4449" t="s">
        <v>5021</v>
      </c>
      <c r="G4449">
        <v>19.84</v>
      </c>
      <c r="H4449">
        <v>5</v>
      </c>
      <c r="I4449">
        <v>9.6999999999999993</v>
      </c>
      <c r="J4449">
        <v>8.75</v>
      </c>
      <c r="K4449">
        <v>14.4</v>
      </c>
      <c r="L4449" t="s">
        <v>5029</v>
      </c>
      <c r="M4449">
        <v>10</v>
      </c>
      <c r="N4449">
        <v>0</v>
      </c>
      <c r="O4449">
        <v>0</v>
      </c>
    </row>
    <row r="4450" spans="1:15" x14ac:dyDescent="0.3">
      <c r="A4450" t="s">
        <v>4463</v>
      </c>
      <c r="B4450">
        <v>10</v>
      </c>
      <c r="C4450">
        <v>44</v>
      </c>
      <c r="D4450" t="s">
        <v>5016</v>
      </c>
      <c r="E4450" t="s">
        <v>5018</v>
      </c>
      <c r="F4450" t="s">
        <v>5020</v>
      </c>
      <c r="G4450">
        <v>21.27</v>
      </c>
      <c r="H4450">
        <v>2</v>
      </c>
      <c r="I4450">
        <v>3.4</v>
      </c>
      <c r="J4450">
        <v>24.95</v>
      </c>
      <c r="K4450">
        <v>87.7</v>
      </c>
      <c r="L4450" t="s">
        <v>5028</v>
      </c>
      <c r="M4450">
        <v>9</v>
      </c>
      <c r="N4450">
        <v>3</v>
      </c>
      <c r="O4450">
        <v>1</v>
      </c>
    </row>
    <row r="4451" spans="1:15" x14ac:dyDescent="0.3">
      <c r="A4451" t="s">
        <v>4464</v>
      </c>
      <c r="B4451">
        <v>11</v>
      </c>
      <c r="C4451">
        <v>23</v>
      </c>
      <c r="D4451" t="s">
        <v>5015</v>
      </c>
      <c r="E4451" t="s">
        <v>5018</v>
      </c>
      <c r="F4451" t="s">
        <v>5022</v>
      </c>
      <c r="G4451">
        <v>8.9499999999999993</v>
      </c>
      <c r="H4451">
        <v>2</v>
      </c>
      <c r="I4451">
        <v>4.0999999999999996</v>
      </c>
      <c r="J4451">
        <v>19.89</v>
      </c>
      <c r="K4451">
        <v>73.3</v>
      </c>
      <c r="L4451" t="s">
        <v>5026</v>
      </c>
      <c r="M4451">
        <v>7</v>
      </c>
      <c r="N4451">
        <v>0</v>
      </c>
      <c r="O4451">
        <v>0</v>
      </c>
    </row>
    <row r="4452" spans="1:15" x14ac:dyDescent="0.3">
      <c r="A4452" t="s">
        <v>4465</v>
      </c>
      <c r="B4452">
        <v>2</v>
      </c>
      <c r="C4452">
        <v>52</v>
      </c>
      <c r="D4452" t="s">
        <v>5016</v>
      </c>
      <c r="E4452" t="s">
        <v>5018</v>
      </c>
      <c r="F4452" t="s">
        <v>5022</v>
      </c>
      <c r="G4452">
        <v>5.71</v>
      </c>
      <c r="H4452">
        <v>4</v>
      </c>
      <c r="I4452">
        <v>2.2999999999999998</v>
      </c>
      <c r="J4452">
        <v>21.08</v>
      </c>
      <c r="K4452">
        <v>36.700000000000003</v>
      </c>
      <c r="L4452" t="s">
        <v>5027</v>
      </c>
      <c r="M4452">
        <v>1</v>
      </c>
      <c r="N4452">
        <v>4</v>
      </c>
      <c r="O4452">
        <v>1</v>
      </c>
    </row>
    <row r="4453" spans="1:15" x14ac:dyDescent="0.3">
      <c r="A4453" t="s">
        <v>4466</v>
      </c>
      <c r="B4453">
        <v>9</v>
      </c>
      <c r="C4453">
        <v>54</v>
      </c>
      <c r="D4453" t="s">
        <v>5016</v>
      </c>
      <c r="E4453" t="s">
        <v>5018</v>
      </c>
      <c r="F4453" t="s">
        <v>5024</v>
      </c>
      <c r="G4453">
        <v>24.49</v>
      </c>
      <c r="H4453">
        <v>4</v>
      </c>
      <c r="I4453">
        <v>4.4000000000000004</v>
      </c>
      <c r="J4453">
        <v>3.58</v>
      </c>
      <c r="K4453">
        <v>27.8</v>
      </c>
      <c r="L4453" t="s">
        <v>5025</v>
      </c>
      <c r="M4453">
        <v>3</v>
      </c>
      <c r="N4453">
        <v>1</v>
      </c>
      <c r="O4453">
        <v>0</v>
      </c>
    </row>
    <row r="4454" spans="1:15" x14ac:dyDescent="0.3">
      <c r="A4454" t="s">
        <v>4467</v>
      </c>
      <c r="B4454">
        <v>1</v>
      </c>
      <c r="C4454">
        <v>51</v>
      </c>
      <c r="D4454" t="s">
        <v>5016</v>
      </c>
      <c r="E4454" t="s">
        <v>5018</v>
      </c>
      <c r="F4454" t="s">
        <v>5021</v>
      </c>
      <c r="G4454">
        <v>5.29</v>
      </c>
      <c r="H4454">
        <v>4</v>
      </c>
      <c r="I4454">
        <v>6.7</v>
      </c>
      <c r="J4454">
        <v>4.3099999999999996</v>
      </c>
      <c r="K4454">
        <v>95.5</v>
      </c>
      <c r="L4454" t="s">
        <v>5028</v>
      </c>
      <c r="M4454">
        <v>3</v>
      </c>
      <c r="N4454">
        <v>1</v>
      </c>
      <c r="O4454">
        <v>1</v>
      </c>
    </row>
    <row r="4455" spans="1:15" x14ac:dyDescent="0.3">
      <c r="A4455" t="s">
        <v>4468</v>
      </c>
      <c r="B4455">
        <v>11</v>
      </c>
      <c r="C4455">
        <v>37</v>
      </c>
      <c r="D4455" t="s">
        <v>5015</v>
      </c>
      <c r="E4455" t="s">
        <v>5017</v>
      </c>
      <c r="F4455" t="s">
        <v>5020</v>
      </c>
      <c r="G4455">
        <v>24.21</v>
      </c>
      <c r="H4455">
        <v>2</v>
      </c>
      <c r="I4455">
        <v>5.6</v>
      </c>
      <c r="J4455">
        <v>18.68</v>
      </c>
      <c r="K4455">
        <v>59.9</v>
      </c>
      <c r="L4455" t="s">
        <v>5027</v>
      </c>
      <c r="M4455">
        <v>6</v>
      </c>
      <c r="N4455">
        <v>2</v>
      </c>
      <c r="O4455">
        <v>0</v>
      </c>
    </row>
    <row r="4456" spans="1:15" x14ac:dyDescent="0.3">
      <c r="A4456" t="s">
        <v>4469</v>
      </c>
      <c r="B4456">
        <v>10</v>
      </c>
      <c r="C4456">
        <v>42</v>
      </c>
      <c r="D4456" t="s">
        <v>5016</v>
      </c>
      <c r="E4456" t="s">
        <v>5018</v>
      </c>
      <c r="F4456" t="s">
        <v>5020</v>
      </c>
      <c r="G4456">
        <v>21.58</v>
      </c>
      <c r="H4456">
        <v>1</v>
      </c>
      <c r="I4456">
        <v>8.4</v>
      </c>
      <c r="J4456">
        <v>7.22</v>
      </c>
      <c r="K4456">
        <v>41</v>
      </c>
      <c r="L4456" t="s">
        <v>5029</v>
      </c>
      <c r="M4456">
        <v>2</v>
      </c>
      <c r="N4456">
        <v>1</v>
      </c>
      <c r="O4456">
        <v>1</v>
      </c>
    </row>
    <row r="4457" spans="1:15" x14ac:dyDescent="0.3">
      <c r="A4457" t="s">
        <v>4470</v>
      </c>
      <c r="B4457">
        <v>6</v>
      </c>
      <c r="C4457">
        <v>21</v>
      </c>
      <c r="D4457" t="s">
        <v>5015</v>
      </c>
      <c r="E4457" t="s">
        <v>5018</v>
      </c>
      <c r="F4457" t="s">
        <v>5020</v>
      </c>
      <c r="G4457">
        <v>23.24</v>
      </c>
      <c r="H4457">
        <v>2</v>
      </c>
      <c r="I4457">
        <v>6.8</v>
      </c>
      <c r="J4457">
        <v>12.36</v>
      </c>
      <c r="K4457">
        <v>14</v>
      </c>
      <c r="L4457" t="s">
        <v>5029</v>
      </c>
      <c r="M4457">
        <v>4</v>
      </c>
      <c r="N4457">
        <v>3</v>
      </c>
      <c r="O4457">
        <v>1</v>
      </c>
    </row>
    <row r="4458" spans="1:15" x14ac:dyDescent="0.3">
      <c r="A4458" t="s">
        <v>4471</v>
      </c>
      <c r="B4458">
        <v>9</v>
      </c>
      <c r="C4458">
        <v>27</v>
      </c>
      <c r="D4458" t="s">
        <v>5016</v>
      </c>
      <c r="E4458" t="s">
        <v>5019</v>
      </c>
      <c r="F4458" t="s">
        <v>5021</v>
      </c>
      <c r="G4458">
        <v>12.74</v>
      </c>
      <c r="H4458">
        <v>1</v>
      </c>
      <c r="I4458">
        <v>3.4</v>
      </c>
      <c r="J4458">
        <v>7.05</v>
      </c>
      <c r="K4458">
        <v>24.9</v>
      </c>
      <c r="L4458" t="s">
        <v>5026</v>
      </c>
      <c r="M4458">
        <v>2</v>
      </c>
      <c r="N4458">
        <v>4</v>
      </c>
      <c r="O4458">
        <v>0</v>
      </c>
    </row>
    <row r="4459" spans="1:15" x14ac:dyDescent="0.3">
      <c r="A4459" t="s">
        <v>4472</v>
      </c>
      <c r="B4459">
        <v>1</v>
      </c>
      <c r="C4459">
        <v>27</v>
      </c>
      <c r="D4459" t="s">
        <v>5016</v>
      </c>
      <c r="E4459" t="s">
        <v>5017</v>
      </c>
      <c r="F4459" t="s">
        <v>5020</v>
      </c>
      <c r="G4459">
        <v>8.94</v>
      </c>
      <c r="H4459">
        <v>4</v>
      </c>
      <c r="I4459">
        <v>6</v>
      </c>
      <c r="J4459">
        <v>6.9</v>
      </c>
      <c r="K4459">
        <v>63.8</v>
      </c>
      <c r="L4459" t="s">
        <v>5029</v>
      </c>
      <c r="M4459">
        <v>5</v>
      </c>
      <c r="N4459">
        <v>1</v>
      </c>
      <c r="O4459">
        <v>0</v>
      </c>
    </row>
    <row r="4460" spans="1:15" x14ac:dyDescent="0.3">
      <c r="A4460" t="s">
        <v>4473</v>
      </c>
      <c r="B4460">
        <v>4</v>
      </c>
      <c r="C4460">
        <v>41</v>
      </c>
      <c r="D4460" t="s">
        <v>5016</v>
      </c>
      <c r="E4460" t="s">
        <v>5019</v>
      </c>
      <c r="F4460" t="s">
        <v>5023</v>
      </c>
      <c r="G4460">
        <v>17.13</v>
      </c>
      <c r="H4460">
        <v>3</v>
      </c>
      <c r="I4460">
        <v>1.6</v>
      </c>
      <c r="J4460">
        <v>5.4</v>
      </c>
      <c r="K4460">
        <v>56.2</v>
      </c>
      <c r="L4460" t="s">
        <v>5027</v>
      </c>
      <c r="M4460">
        <v>4</v>
      </c>
      <c r="N4460">
        <v>1</v>
      </c>
      <c r="O4460">
        <v>1</v>
      </c>
    </row>
    <row r="4461" spans="1:15" x14ac:dyDescent="0.3">
      <c r="A4461" t="s">
        <v>4474</v>
      </c>
      <c r="B4461">
        <v>4</v>
      </c>
      <c r="C4461">
        <v>38</v>
      </c>
      <c r="D4461" t="s">
        <v>5015</v>
      </c>
      <c r="E4461" t="s">
        <v>5018</v>
      </c>
      <c r="F4461" t="s">
        <v>5023</v>
      </c>
      <c r="G4461">
        <v>19.829999999999998</v>
      </c>
      <c r="H4461">
        <v>2</v>
      </c>
      <c r="I4461">
        <v>6.2</v>
      </c>
      <c r="J4461">
        <v>16.07</v>
      </c>
      <c r="K4461">
        <v>78.2</v>
      </c>
      <c r="L4461" t="s">
        <v>5028</v>
      </c>
      <c r="M4461">
        <v>4</v>
      </c>
      <c r="N4461">
        <v>3</v>
      </c>
      <c r="O4461">
        <v>0</v>
      </c>
    </row>
    <row r="4462" spans="1:15" x14ac:dyDescent="0.3">
      <c r="A4462" t="s">
        <v>4475</v>
      </c>
      <c r="B4462">
        <v>9</v>
      </c>
      <c r="C4462">
        <v>28</v>
      </c>
      <c r="D4462" t="s">
        <v>5015</v>
      </c>
      <c r="E4462" t="s">
        <v>5017</v>
      </c>
      <c r="F4462" t="s">
        <v>5021</v>
      </c>
      <c r="G4462">
        <v>7.62</v>
      </c>
      <c r="H4462">
        <v>4</v>
      </c>
      <c r="I4462">
        <v>4.5</v>
      </c>
      <c r="J4462">
        <v>19.260000000000002</v>
      </c>
      <c r="K4462">
        <v>85.1</v>
      </c>
      <c r="L4462" t="s">
        <v>5026</v>
      </c>
      <c r="M4462">
        <v>4</v>
      </c>
      <c r="N4462">
        <v>1</v>
      </c>
      <c r="O4462">
        <v>0</v>
      </c>
    </row>
    <row r="4463" spans="1:15" x14ac:dyDescent="0.3">
      <c r="A4463" t="s">
        <v>4476</v>
      </c>
      <c r="B4463">
        <v>11</v>
      </c>
      <c r="C4463">
        <v>44</v>
      </c>
      <c r="D4463" t="s">
        <v>5015</v>
      </c>
      <c r="E4463" t="s">
        <v>5019</v>
      </c>
      <c r="F4463" t="s">
        <v>5020</v>
      </c>
      <c r="G4463">
        <v>20.95</v>
      </c>
      <c r="H4463">
        <v>2</v>
      </c>
      <c r="I4463">
        <v>1.9</v>
      </c>
      <c r="J4463">
        <v>4.25</v>
      </c>
      <c r="K4463">
        <v>45.7</v>
      </c>
      <c r="L4463" t="s">
        <v>5027</v>
      </c>
      <c r="M4463">
        <v>4</v>
      </c>
      <c r="N4463">
        <v>3</v>
      </c>
      <c r="O4463">
        <v>1</v>
      </c>
    </row>
    <row r="4464" spans="1:15" x14ac:dyDescent="0.3">
      <c r="A4464" t="s">
        <v>4477</v>
      </c>
      <c r="B4464">
        <v>5</v>
      </c>
      <c r="C4464">
        <v>33</v>
      </c>
      <c r="D4464" t="s">
        <v>5015</v>
      </c>
      <c r="E4464" t="s">
        <v>5017</v>
      </c>
      <c r="F4464" t="s">
        <v>5024</v>
      </c>
      <c r="G4464">
        <v>9.17</v>
      </c>
      <c r="H4464">
        <v>4</v>
      </c>
      <c r="I4464">
        <v>3.8</v>
      </c>
      <c r="J4464">
        <v>9.06</v>
      </c>
      <c r="K4464">
        <v>19.100000000000001</v>
      </c>
      <c r="L4464" t="s">
        <v>5028</v>
      </c>
      <c r="M4464">
        <v>5</v>
      </c>
      <c r="N4464">
        <v>1</v>
      </c>
      <c r="O4464">
        <v>0</v>
      </c>
    </row>
    <row r="4465" spans="1:15" x14ac:dyDescent="0.3">
      <c r="A4465" t="s">
        <v>4478</v>
      </c>
      <c r="B4465">
        <v>5</v>
      </c>
      <c r="C4465">
        <v>43</v>
      </c>
      <c r="D4465" t="s">
        <v>5015</v>
      </c>
      <c r="E4465" t="s">
        <v>5019</v>
      </c>
      <c r="F4465" t="s">
        <v>5024</v>
      </c>
      <c r="G4465">
        <v>14.83</v>
      </c>
      <c r="H4465">
        <v>2</v>
      </c>
      <c r="I4465">
        <v>9.1</v>
      </c>
      <c r="J4465">
        <v>17.48</v>
      </c>
      <c r="K4465">
        <v>81.2</v>
      </c>
      <c r="L4465" t="s">
        <v>5027</v>
      </c>
      <c r="M4465">
        <v>2</v>
      </c>
      <c r="N4465">
        <v>3</v>
      </c>
      <c r="O4465">
        <v>0</v>
      </c>
    </row>
    <row r="4466" spans="1:15" x14ac:dyDescent="0.3">
      <c r="A4466" t="s">
        <v>4479</v>
      </c>
      <c r="B4466">
        <v>6</v>
      </c>
      <c r="C4466">
        <v>47</v>
      </c>
      <c r="D4466" t="s">
        <v>5016</v>
      </c>
      <c r="E4466" t="s">
        <v>5019</v>
      </c>
      <c r="F4466" t="s">
        <v>5024</v>
      </c>
      <c r="G4466">
        <v>22.13</v>
      </c>
      <c r="H4466">
        <v>5</v>
      </c>
      <c r="I4466">
        <v>6.3</v>
      </c>
      <c r="J4466">
        <v>11.63</v>
      </c>
      <c r="K4466">
        <v>59.8</v>
      </c>
      <c r="L4466" t="s">
        <v>5029</v>
      </c>
      <c r="M4466">
        <v>6</v>
      </c>
      <c r="N4466">
        <v>1</v>
      </c>
      <c r="O4466">
        <v>0</v>
      </c>
    </row>
    <row r="4467" spans="1:15" x14ac:dyDescent="0.3">
      <c r="A4467" t="s">
        <v>4480</v>
      </c>
      <c r="B4467">
        <v>1</v>
      </c>
      <c r="C4467">
        <v>66</v>
      </c>
      <c r="D4467" t="s">
        <v>5016</v>
      </c>
      <c r="E4467" t="s">
        <v>5017</v>
      </c>
      <c r="F4467" t="s">
        <v>5023</v>
      </c>
      <c r="G4467">
        <v>8.8699999999999992</v>
      </c>
      <c r="H4467">
        <v>2</v>
      </c>
      <c r="I4467">
        <v>9.1</v>
      </c>
      <c r="J4467">
        <v>18.5</v>
      </c>
      <c r="K4467">
        <v>98.2</v>
      </c>
      <c r="L4467" t="s">
        <v>5027</v>
      </c>
      <c r="M4467">
        <v>1</v>
      </c>
      <c r="N4467">
        <v>4</v>
      </c>
      <c r="O4467">
        <v>1</v>
      </c>
    </row>
    <row r="4468" spans="1:15" x14ac:dyDescent="0.3">
      <c r="A4468" t="s">
        <v>4481</v>
      </c>
      <c r="B4468">
        <v>1</v>
      </c>
      <c r="C4468">
        <v>33</v>
      </c>
      <c r="D4468" t="s">
        <v>5015</v>
      </c>
      <c r="E4468" t="s">
        <v>5017</v>
      </c>
      <c r="F4468" t="s">
        <v>5024</v>
      </c>
      <c r="G4468">
        <v>9.84</v>
      </c>
      <c r="H4468">
        <v>5</v>
      </c>
      <c r="I4468">
        <v>4.7</v>
      </c>
      <c r="J4468">
        <v>19.7</v>
      </c>
      <c r="K4468">
        <v>81.7</v>
      </c>
      <c r="L4468" t="s">
        <v>5026</v>
      </c>
      <c r="M4468">
        <v>10</v>
      </c>
      <c r="N4468">
        <v>2</v>
      </c>
      <c r="O4468">
        <v>1</v>
      </c>
    </row>
    <row r="4469" spans="1:15" x14ac:dyDescent="0.3">
      <c r="A4469" t="s">
        <v>4482</v>
      </c>
      <c r="B4469">
        <v>9</v>
      </c>
      <c r="C4469">
        <v>24</v>
      </c>
      <c r="D4469" t="s">
        <v>5015</v>
      </c>
      <c r="E4469" t="s">
        <v>5018</v>
      </c>
      <c r="F4469" t="s">
        <v>5020</v>
      </c>
      <c r="G4469">
        <v>6.26</v>
      </c>
      <c r="H4469">
        <v>1</v>
      </c>
      <c r="I4469">
        <v>9.8000000000000007</v>
      </c>
      <c r="J4469">
        <v>3.71</v>
      </c>
      <c r="K4469">
        <v>39.6</v>
      </c>
      <c r="L4469" t="s">
        <v>5027</v>
      </c>
      <c r="M4469">
        <v>2</v>
      </c>
      <c r="N4469">
        <v>2</v>
      </c>
      <c r="O4469">
        <v>0</v>
      </c>
    </row>
    <row r="4470" spans="1:15" x14ac:dyDescent="0.3">
      <c r="A4470" t="s">
        <v>4483</v>
      </c>
      <c r="B4470">
        <v>3</v>
      </c>
      <c r="C4470">
        <v>33</v>
      </c>
      <c r="D4470" t="s">
        <v>5016</v>
      </c>
      <c r="E4470" t="s">
        <v>5018</v>
      </c>
      <c r="F4470" t="s">
        <v>5020</v>
      </c>
      <c r="G4470">
        <v>7.93</v>
      </c>
      <c r="H4470">
        <v>2</v>
      </c>
      <c r="I4470">
        <v>4.2</v>
      </c>
      <c r="J4470">
        <v>11.38</v>
      </c>
      <c r="K4470">
        <v>48.6</v>
      </c>
      <c r="L4470" t="s">
        <v>5025</v>
      </c>
      <c r="M4470">
        <v>3</v>
      </c>
      <c r="N4470">
        <v>0</v>
      </c>
      <c r="O4470">
        <v>0</v>
      </c>
    </row>
    <row r="4471" spans="1:15" x14ac:dyDescent="0.3">
      <c r="A4471" t="s">
        <v>4484</v>
      </c>
      <c r="B4471">
        <v>4</v>
      </c>
      <c r="C4471">
        <v>52</v>
      </c>
      <c r="D4471" t="s">
        <v>5015</v>
      </c>
      <c r="E4471" t="s">
        <v>5018</v>
      </c>
      <c r="F4471" t="s">
        <v>5024</v>
      </c>
      <c r="G4471">
        <v>7.93</v>
      </c>
      <c r="H4471">
        <v>1</v>
      </c>
      <c r="I4471">
        <v>7.8</v>
      </c>
      <c r="J4471">
        <v>19.04</v>
      </c>
      <c r="K4471">
        <v>31.2</v>
      </c>
      <c r="L4471" t="s">
        <v>5029</v>
      </c>
      <c r="M4471">
        <v>2</v>
      </c>
      <c r="N4471">
        <v>2</v>
      </c>
      <c r="O4471">
        <v>0</v>
      </c>
    </row>
    <row r="4472" spans="1:15" x14ac:dyDescent="0.3">
      <c r="A4472" t="s">
        <v>4485</v>
      </c>
      <c r="B4472">
        <v>1</v>
      </c>
      <c r="C4472">
        <v>33</v>
      </c>
      <c r="D4472" t="s">
        <v>5016</v>
      </c>
      <c r="E4472" t="s">
        <v>5018</v>
      </c>
      <c r="F4472" t="s">
        <v>5022</v>
      </c>
      <c r="G4472">
        <v>9.07</v>
      </c>
      <c r="H4472">
        <v>3</v>
      </c>
      <c r="I4472">
        <v>3.7</v>
      </c>
      <c r="J4472">
        <v>11.33</v>
      </c>
      <c r="K4472">
        <v>56.1</v>
      </c>
      <c r="L4472" t="s">
        <v>5027</v>
      </c>
      <c r="M4472">
        <v>3</v>
      </c>
      <c r="N4472">
        <v>3</v>
      </c>
      <c r="O4472">
        <v>0</v>
      </c>
    </row>
    <row r="4473" spans="1:15" x14ac:dyDescent="0.3">
      <c r="A4473" t="s">
        <v>4486</v>
      </c>
      <c r="B4473">
        <v>9</v>
      </c>
      <c r="C4473">
        <v>57</v>
      </c>
      <c r="D4473" t="s">
        <v>5015</v>
      </c>
      <c r="E4473" t="s">
        <v>5018</v>
      </c>
      <c r="F4473" t="s">
        <v>5024</v>
      </c>
      <c r="G4473">
        <v>10.72</v>
      </c>
      <c r="H4473">
        <v>5</v>
      </c>
      <c r="I4473">
        <v>2</v>
      </c>
      <c r="J4473">
        <v>3.13</v>
      </c>
      <c r="K4473">
        <v>74</v>
      </c>
      <c r="L4473" t="s">
        <v>5028</v>
      </c>
      <c r="M4473">
        <v>8</v>
      </c>
      <c r="N4473">
        <v>3</v>
      </c>
      <c r="O4473">
        <v>0</v>
      </c>
    </row>
    <row r="4474" spans="1:15" x14ac:dyDescent="0.3">
      <c r="A4474" t="s">
        <v>4487</v>
      </c>
      <c r="B4474">
        <v>8</v>
      </c>
      <c r="C4474">
        <v>29</v>
      </c>
      <c r="D4474" t="s">
        <v>5016</v>
      </c>
      <c r="E4474" t="s">
        <v>5017</v>
      </c>
      <c r="F4474" t="s">
        <v>5022</v>
      </c>
      <c r="G4474">
        <v>21.3</v>
      </c>
      <c r="H4474">
        <v>2</v>
      </c>
      <c r="I4474">
        <v>8.5</v>
      </c>
      <c r="J4474">
        <v>10.4</v>
      </c>
      <c r="K4474">
        <v>65.099999999999994</v>
      </c>
      <c r="L4474" t="s">
        <v>5029</v>
      </c>
      <c r="M4474">
        <v>3</v>
      </c>
      <c r="N4474">
        <v>2</v>
      </c>
      <c r="O4474">
        <v>1</v>
      </c>
    </row>
    <row r="4475" spans="1:15" x14ac:dyDescent="0.3">
      <c r="A4475" t="s">
        <v>4488</v>
      </c>
      <c r="B4475">
        <v>2</v>
      </c>
      <c r="C4475">
        <v>52</v>
      </c>
      <c r="D4475" t="s">
        <v>5015</v>
      </c>
      <c r="E4475" t="s">
        <v>5019</v>
      </c>
      <c r="F4475" t="s">
        <v>5021</v>
      </c>
      <c r="G4475">
        <v>23.32</v>
      </c>
      <c r="H4475">
        <v>1</v>
      </c>
      <c r="I4475">
        <v>7.9</v>
      </c>
      <c r="J4475">
        <v>22.2</v>
      </c>
      <c r="K4475">
        <v>40.799999999999997</v>
      </c>
      <c r="L4475" t="s">
        <v>5028</v>
      </c>
      <c r="M4475">
        <v>11</v>
      </c>
      <c r="N4475">
        <v>3</v>
      </c>
      <c r="O4475">
        <v>0</v>
      </c>
    </row>
    <row r="4476" spans="1:15" x14ac:dyDescent="0.3">
      <c r="A4476" t="s">
        <v>4489</v>
      </c>
      <c r="B4476">
        <v>8</v>
      </c>
      <c r="C4476">
        <v>66</v>
      </c>
      <c r="D4476" t="s">
        <v>5015</v>
      </c>
      <c r="E4476" t="s">
        <v>5019</v>
      </c>
      <c r="F4476" t="s">
        <v>5021</v>
      </c>
      <c r="G4476">
        <v>13.13</v>
      </c>
      <c r="H4476">
        <v>4</v>
      </c>
      <c r="I4476">
        <v>8.4</v>
      </c>
      <c r="J4476">
        <v>23.94</v>
      </c>
      <c r="K4476">
        <v>84.1</v>
      </c>
      <c r="L4476" t="s">
        <v>5026</v>
      </c>
      <c r="M4476">
        <v>10</v>
      </c>
      <c r="N4476">
        <v>4</v>
      </c>
      <c r="O4476">
        <v>0</v>
      </c>
    </row>
    <row r="4477" spans="1:15" x14ac:dyDescent="0.3">
      <c r="A4477" t="s">
        <v>4490</v>
      </c>
      <c r="B4477">
        <v>7</v>
      </c>
      <c r="C4477">
        <v>38</v>
      </c>
      <c r="D4477" t="s">
        <v>5016</v>
      </c>
      <c r="E4477" t="s">
        <v>5018</v>
      </c>
      <c r="F4477" t="s">
        <v>5020</v>
      </c>
      <c r="G4477">
        <v>7.56</v>
      </c>
      <c r="H4477">
        <v>1</v>
      </c>
      <c r="I4477">
        <v>3.7</v>
      </c>
      <c r="J4477">
        <v>15.33</v>
      </c>
      <c r="K4477">
        <v>19.5</v>
      </c>
      <c r="L4477" t="s">
        <v>5025</v>
      </c>
      <c r="M4477">
        <v>1</v>
      </c>
      <c r="N4477">
        <v>3</v>
      </c>
      <c r="O4477">
        <v>0</v>
      </c>
    </row>
    <row r="4478" spans="1:15" x14ac:dyDescent="0.3">
      <c r="A4478" t="s">
        <v>4491</v>
      </c>
      <c r="B4478">
        <v>11</v>
      </c>
      <c r="C4478">
        <v>67</v>
      </c>
      <c r="D4478" t="s">
        <v>5016</v>
      </c>
      <c r="E4478" t="s">
        <v>5019</v>
      </c>
      <c r="F4478" t="s">
        <v>5023</v>
      </c>
      <c r="G4478">
        <v>9.48</v>
      </c>
      <c r="H4478">
        <v>2</v>
      </c>
      <c r="I4478">
        <v>7.3</v>
      </c>
      <c r="J4478">
        <v>9.74</v>
      </c>
      <c r="K4478">
        <v>22.8</v>
      </c>
      <c r="L4478" t="s">
        <v>5027</v>
      </c>
      <c r="M4478">
        <v>11</v>
      </c>
      <c r="N4478">
        <v>4</v>
      </c>
      <c r="O4478">
        <v>1</v>
      </c>
    </row>
    <row r="4479" spans="1:15" x14ac:dyDescent="0.3">
      <c r="A4479" t="s">
        <v>4492</v>
      </c>
      <c r="B4479">
        <v>6</v>
      </c>
      <c r="C4479">
        <v>60</v>
      </c>
      <c r="D4479" t="s">
        <v>5015</v>
      </c>
      <c r="E4479" t="s">
        <v>5017</v>
      </c>
      <c r="F4479" t="s">
        <v>5020</v>
      </c>
      <c r="G4479">
        <v>19.72</v>
      </c>
      <c r="H4479">
        <v>3</v>
      </c>
      <c r="I4479">
        <v>3</v>
      </c>
      <c r="J4479">
        <v>13.25</v>
      </c>
      <c r="K4479">
        <v>46.4</v>
      </c>
      <c r="L4479" t="s">
        <v>5029</v>
      </c>
      <c r="M4479">
        <v>8</v>
      </c>
      <c r="N4479">
        <v>4</v>
      </c>
      <c r="O4479">
        <v>0</v>
      </c>
    </row>
    <row r="4480" spans="1:15" x14ac:dyDescent="0.3">
      <c r="A4480" t="s">
        <v>4493</v>
      </c>
      <c r="B4480">
        <v>1</v>
      </c>
      <c r="C4480">
        <v>53</v>
      </c>
      <c r="D4480" t="s">
        <v>5015</v>
      </c>
      <c r="E4480" t="s">
        <v>5017</v>
      </c>
      <c r="F4480" t="s">
        <v>5020</v>
      </c>
      <c r="G4480">
        <v>18.55</v>
      </c>
      <c r="H4480">
        <v>5</v>
      </c>
      <c r="I4480">
        <v>1.1000000000000001</v>
      </c>
      <c r="J4480">
        <v>8.1999999999999993</v>
      </c>
      <c r="K4480">
        <v>73.2</v>
      </c>
      <c r="L4480" t="s">
        <v>5027</v>
      </c>
      <c r="M4480">
        <v>8</v>
      </c>
      <c r="N4480">
        <v>4</v>
      </c>
      <c r="O4480">
        <v>0</v>
      </c>
    </row>
    <row r="4481" spans="1:15" x14ac:dyDescent="0.3">
      <c r="A4481" t="s">
        <v>4494</v>
      </c>
      <c r="B4481">
        <v>7</v>
      </c>
      <c r="C4481">
        <v>65</v>
      </c>
      <c r="D4481" t="s">
        <v>5016</v>
      </c>
      <c r="E4481" t="s">
        <v>5018</v>
      </c>
      <c r="F4481" t="s">
        <v>5023</v>
      </c>
      <c r="G4481">
        <v>24.34</v>
      </c>
      <c r="H4481">
        <v>4</v>
      </c>
      <c r="I4481">
        <v>8.8000000000000007</v>
      </c>
      <c r="J4481">
        <v>6.7</v>
      </c>
      <c r="K4481">
        <v>72.5</v>
      </c>
      <c r="L4481" t="s">
        <v>5027</v>
      </c>
      <c r="M4481">
        <v>7</v>
      </c>
      <c r="N4481">
        <v>1</v>
      </c>
      <c r="O4481">
        <v>1</v>
      </c>
    </row>
    <row r="4482" spans="1:15" x14ac:dyDescent="0.3">
      <c r="A4482" t="s">
        <v>4495</v>
      </c>
      <c r="B4482">
        <v>10</v>
      </c>
      <c r="C4482">
        <v>34</v>
      </c>
      <c r="D4482" t="s">
        <v>5015</v>
      </c>
      <c r="E4482" t="s">
        <v>5018</v>
      </c>
      <c r="F4482" t="s">
        <v>5020</v>
      </c>
      <c r="G4482">
        <v>5.29</v>
      </c>
      <c r="H4482">
        <v>1</v>
      </c>
      <c r="I4482">
        <v>5.7</v>
      </c>
      <c r="J4482">
        <v>13.86</v>
      </c>
      <c r="K4482">
        <v>43</v>
      </c>
      <c r="L4482" t="s">
        <v>5029</v>
      </c>
      <c r="M4482">
        <v>4</v>
      </c>
      <c r="N4482">
        <v>0</v>
      </c>
      <c r="O4482">
        <v>0</v>
      </c>
    </row>
    <row r="4483" spans="1:15" x14ac:dyDescent="0.3">
      <c r="A4483" t="s">
        <v>4496</v>
      </c>
      <c r="B4483">
        <v>7</v>
      </c>
      <c r="C4483">
        <v>49</v>
      </c>
      <c r="D4483" t="s">
        <v>5016</v>
      </c>
      <c r="E4483" t="s">
        <v>5018</v>
      </c>
      <c r="F4483" t="s">
        <v>5023</v>
      </c>
      <c r="G4483">
        <v>20.02</v>
      </c>
      <c r="H4483">
        <v>2</v>
      </c>
      <c r="I4483">
        <v>9.9</v>
      </c>
      <c r="J4483">
        <v>19.21</v>
      </c>
      <c r="K4483">
        <v>72.7</v>
      </c>
      <c r="L4483" t="s">
        <v>5025</v>
      </c>
      <c r="M4483">
        <v>5</v>
      </c>
      <c r="N4483">
        <v>3</v>
      </c>
      <c r="O4483">
        <v>0</v>
      </c>
    </row>
    <row r="4484" spans="1:15" x14ac:dyDescent="0.3">
      <c r="A4484" t="s">
        <v>4497</v>
      </c>
      <c r="B4484">
        <v>9</v>
      </c>
      <c r="C4484">
        <v>58</v>
      </c>
      <c r="D4484" t="s">
        <v>5016</v>
      </c>
      <c r="E4484" t="s">
        <v>5019</v>
      </c>
      <c r="F4484" t="s">
        <v>5020</v>
      </c>
      <c r="G4484">
        <v>15.12</v>
      </c>
      <c r="H4484">
        <v>2</v>
      </c>
      <c r="I4484">
        <v>4.5</v>
      </c>
      <c r="J4484">
        <v>7.89</v>
      </c>
      <c r="K4484">
        <v>15.5</v>
      </c>
      <c r="L4484" t="s">
        <v>5025</v>
      </c>
      <c r="M4484">
        <v>11</v>
      </c>
      <c r="N4484">
        <v>1</v>
      </c>
      <c r="O4484">
        <v>0</v>
      </c>
    </row>
    <row r="4485" spans="1:15" x14ac:dyDescent="0.3">
      <c r="A4485" t="s">
        <v>4498</v>
      </c>
      <c r="B4485">
        <v>1</v>
      </c>
      <c r="C4485">
        <v>23</v>
      </c>
      <c r="D4485" t="s">
        <v>5015</v>
      </c>
      <c r="E4485" t="s">
        <v>5019</v>
      </c>
      <c r="F4485" t="s">
        <v>5021</v>
      </c>
      <c r="G4485">
        <v>23.05</v>
      </c>
      <c r="H4485">
        <v>5</v>
      </c>
      <c r="I4485">
        <v>9.6</v>
      </c>
      <c r="J4485">
        <v>23.01</v>
      </c>
      <c r="K4485">
        <v>36.1</v>
      </c>
      <c r="L4485" t="s">
        <v>5026</v>
      </c>
      <c r="M4485">
        <v>10</v>
      </c>
      <c r="N4485">
        <v>0</v>
      </c>
      <c r="O4485">
        <v>0</v>
      </c>
    </row>
    <row r="4486" spans="1:15" x14ac:dyDescent="0.3">
      <c r="A4486" t="s">
        <v>4499</v>
      </c>
      <c r="B4486">
        <v>2</v>
      </c>
      <c r="C4486">
        <v>41</v>
      </c>
      <c r="D4486" t="s">
        <v>5016</v>
      </c>
      <c r="E4486" t="s">
        <v>5018</v>
      </c>
      <c r="F4486" t="s">
        <v>5022</v>
      </c>
      <c r="G4486">
        <v>16.52</v>
      </c>
      <c r="H4486">
        <v>4</v>
      </c>
      <c r="I4486">
        <v>6.5</v>
      </c>
      <c r="J4486">
        <v>6.7</v>
      </c>
      <c r="K4486">
        <v>72.400000000000006</v>
      </c>
      <c r="L4486" t="s">
        <v>5029</v>
      </c>
      <c r="M4486">
        <v>6</v>
      </c>
      <c r="N4486">
        <v>1</v>
      </c>
      <c r="O4486">
        <v>0</v>
      </c>
    </row>
    <row r="4487" spans="1:15" x14ac:dyDescent="0.3">
      <c r="A4487" t="s">
        <v>4500</v>
      </c>
      <c r="B4487">
        <v>11</v>
      </c>
      <c r="C4487">
        <v>44</v>
      </c>
      <c r="D4487" t="s">
        <v>5016</v>
      </c>
      <c r="E4487" t="s">
        <v>5019</v>
      </c>
      <c r="F4487" t="s">
        <v>5020</v>
      </c>
      <c r="G4487">
        <v>13.93</v>
      </c>
      <c r="H4487">
        <v>1</v>
      </c>
      <c r="I4487">
        <v>5.6</v>
      </c>
      <c r="J4487">
        <v>15.29</v>
      </c>
      <c r="K4487">
        <v>26.6</v>
      </c>
      <c r="L4487" t="s">
        <v>5029</v>
      </c>
      <c r="M4487">
        <v>6</v>
      </c>
      <c r="N4487">
        <v>3</v>
      </c>
      <c r="O4487">
        <v>0</v>
      </c>
    </row>
    <row r="4488" spans="1:15" x14ac:dyDescent="0.3">
      <c r="A4488" t="s">
        <v>4501</v>
      </c>
      <c r="B4488">
        <v>9</v>
      </c>
      <c r="C4488">
        <v>37</v>
      </c>
      <c r="D4488" t="s">
        <v>5015</v>
      </c>
      <c r="E4488" t="s">
        <v>5017</v>
      </c>
      <c r="F4488" t="s">
        <v>5022</v>
      </c>
      <c r="G4488">
        <v>18.32</v>
      </c>
      <c r="H4488">
        <v>1</v>
      </c>
      <c r="I4488">
        <v>3.7</v>
      </c>
      <c r="J4488">
        <v>20.079999999999998</v>
      </c>
      <c r="K4488">
        <v>29.1</v>
      </c>
      <c r="L4488" t="s">
        <v>5028</v>
      </c>
      <c r="M4488">
        <v>7</v>
      </c>
      <c r="N4488">
        <v>4</v>
      </c>
      <c r="O4488">
        <v>0</v>
      </c>
    </row>
    <row r="4489" spans="1:15" x14ac:dyDescent="0.3">
      <c r="A4489" t="s">
        <v>4502</v>
      </c>
      <c r="B4489">
        <v>9</v>
      </c>
      <c r="C4489">
        <v>42</v>
      </c>
      <c r="D4489" t="s">
        <v>5016</v>
      </c>
      <c r="E4489" t="s">
        <v>5017</v>
      </c>
      <c r="F4489" t="s">
        <v>5024</v>
      </c>
      <c r="G4489">
        <v>21.67</v>
      </c>
      <c r="H4489">
        <v>1</v>
      </c>
      <c r="I4489">
        <v>8.4</v>
      </c>
      <c r="J4489">
        <v>7.69</v>
      </c>
      <c r="K4489">
        <v>17.8</v>
      </c>
      <c r="L4489" t="s">
        <v>5028</v>
      </c>
      <c r="M4489">
        <v>4</v>
      </c>
      <c r="N4489">
        <v>1</v>
      </c>
      <c r="O4489">
        <v>0</v>
      </c>
    </row>
    <row r="4490" spans="1:15" x14ac:dyDescent="0.3">
      <c r="A4490" t="s">
        <v>4503</v>
      </c>
      <c r="B4490">
        <v>6</v>
      </c>
      <c r="C4490">
        <v>19</v>
      </c>
      <c r="D4490" t="s">
        <v>5016</v>
      </c>
      <c r="E4490" t="s">
        <v>5019</v>
      </c>
      <c r="F4490" t="s">
        <v>5020</v>
      </c>
      <c r="G4490">
        <v>10.65</v>
      </c>
      <c r="H4490">
        <v>5</v>
      </c>
      <c r="I4490">
        <v>8.5</v>
      </c>
      <c r="J4490">
        <v>9.52</v>
      </c>
      <c r="K4490">
        <v>42.8</v>
      </c>
      <c r="L4490" t="s">
        <v>5028</v>
      </c>
      <c r="M4490">
        <v>8</v>
      </c>
      <c r="N4490">
        <v>0</v>
      </c>
      <c r="O4490">
        <v>1</v>
      </c>
    </row>
    <row r="4491" spans="1:15" x14ac:dyDescent="0.3">
      <c r="A4491" t="s">
        <v>4504</v>
      </c>
      <c r="B4491">
        <v>6</v>
      </c>
      <c r="C4491">
        <v>26</v>
      </c>
      <c r="D4491" t="s">
        <v>5016</v>
      </c>
      <c r="E4491" t="s">
        <v>5018</v>
      </c>
      <c r="F4491" t="s">
        <v>5021</v>
      </c>
      <c r="G4491">
        <v>7.15</v>
      </c>
      <c r="H4491">
        <v>5</v>
      </c>
      <c r="I4491">
        <v>4.8</v>
      </c>
      <c r="J4491">
        <v>4.13</v>
      </c>
      <c r="K4491">
        <v>84.2</v>
      </c>
      <c r="L4491" t="s">
        <v>5025</v>
      </c>
      <c r="M4491">
        <v>2</v>
      </c>
      <c r="N4491">
        <v>0</v>
      </c>
      <c r="O4491">
        <v>1</v>
      </c>
    </row>
    <row r="4492" spans="1:15" x14ac:dyDescent="0.3">
      <c r="A4492" t="s">
        <v>4505</v>
      </c>
      <c r="B4492">
        <v>4</v>
      </c>
      <c r="C4492">
        <v>45</v>
      </c>
      <c r="D4492" t="s">
        <v>5016</v>
      </c>
      <c r="E4492" t="s">
        <v>5018</v>
      </c>
      <c r="F4492" t="s">
        <v>5023</v>
      </c>
      <c r="G4492">
        <v>13.66</v>
      </c>
      <c r="H4492">
        <v>4</v>
      </c>
      <c r="I4492">
        <v>7.5</v>
      </c>
      <c r="J4492">
        <v>23.77</v>
      </c>
      <c r="K4492">
        <v>85.3</v>
      </c>
      <c r="L4492" t="s">
        <v>5026</v>
      </c>
      <c r="M4492">
        <v>9</v>
      </c>
      <c r="N4492">
        <v>0</v>
      </c>
      <c r="O4492">
        <v>0</v>
      </c>
    </row>
    <row r="4493" spans="1:15" x14ac:dyDescent="0.3">
      <c r="A4493" t="s">
        <v>4506</v>
      </c>
      <c r="B4493">
        <v>4</v>
      </c>
      <c r="C4493">
        <v>55</v>
      </c>
      <c r="D4493" t="s">
        <v>5015</v>
      </c>
      <c r="E4493" t="s">
        <v>5018</v>
      </c>
      <c r="F4493" t="s">
        <v>5021</v>
      </c>
      <c r="G4493">
        <v>9.2899999999999991</v>
      </c>
      <c r="H4493">
        <v>1</v>
      </c>
      <c r="I4493">
        <v>5</v>
      </c>
      <c r="J4493">
        <v>13.71</v>
      </c>
      <c r="K4493">
        <v>87.6</v>
      </c>
      <c r="L4493" t="s">
        <v>5026</v>
      </c>
      <c r="M4493">
        <v>6</v>
      </c>
      <c r="N4493">
        <v>1</v>
      </c>
      <c r="O4493">
        <v>1</v>
      </c>
    </row>
    <row r="4494" spans="1:15" x14ac:dyDescent="0.3">
      <c r="A4494" t="s">
        <v>4507</v>
      </c>
      <c r="B4494">
        <v>5</v>
      </c>
      <c r="C4494">
        <v>20</v>
      </c>
      <c r="D4494" t="s">
        <v>5016</v>
      </c>
      <c r="E4494" t="s">
        <v>5018</v>
      </c>
      <c r="F4494" t="s">
        <v>5022</v>
      </c>
      <c r="G4494">
        <v>13.59</v>
      </c>
      <c r="H4494">
        <v>1</v>
      </c>
      <c r="I4494">
        <v>7.7</v>
      </c>
      <c r="J4494">
        <v>4.41</v>
      </c>
      <c r="K4494">
        <v>13.3</v>
      </c>
      <c r="L4494" t="s">
        <v>5027</v>
      </c>
      <c r="M4494">
        <v>1</v>
      </c>
      <c r="N4494">
        <v>0</v>
      </c>
      <c r="O4494">
        <v>1</v>
      </c>
    </row>
    <row r="4495" spans="1:15" x14ac:dyDescent="0.3">
      <c r="A4495" t="s">
        <v>4508</v>
      </c>
      <c r="B4495">
        <v>3</v>
      </c>
      <c r="C4495">
        <v>37</v>
      </c>
      <c r="D4495" t="s">
        <v>5015</v>
      </c>
      <c r="E4495" t="s">
        <v>5017</v>
      </c>
      <c r="F4495" t="s">
        <v>5023</v>
      </c>
      <c r="G4495">
        <v>24.82</v>
      </c>
      <c r="H4495">
        <v>4</v>
      </c>
      <c r="I4495">
        <v>9.9</v>
      </c>
      <c r="J4495">
        <v>21.26</v>
      </c>
      <c r="K4495">
        <v>99.4</v>
      </c>
      <c r="L4495" t="s">
        <v>5026</v>
      </c>
      <c r="M4495">
        <v>1</v>
      </c>
      <c r="N4495">
        <v>2</v>
      </c>
      <c r="O4495">
        <v>0</v>
      </c>
    </row>
    <row r="4496" spans="1:15" x14ac:dyDescent="0.3">
      <c r="A4496" t="s">
        <v>4509</v>
      </c>
      <c r="B4496">
        <v>1</v>
      </c>
      <c r="C4496">
        <v>23</v>
      </c>
      <c r="D4496" t="s">
        <v>5016</v>
      </c>
      <c r="E4496" t="s">
        <v>5018</v>
      </c>
      <c r="F4496" t="s">
        <v>5021</v>
      </c>
      <c r="G4496">
        <v>16.48</v>
      </c>
      <c r="H4496">
        <v>4</v>
      </c>
      <c r="I4496">
        <v>3.4</v>
      </c>
      <c r="J4496">
        <v>15.53</v>
      </c>
      <c r="K4496">
        <v>55.2</v>
      </c>
      <c r="L4496" t="s">
        <v>5028</v>
      </c>
      <c r="M4496">
        <v>8</v>
      </c>
      <c r="N4496">
        <v>0</v>
      </c>
      <c r="O4496">
        <v>0</v>
      </c>
    </row>
    <row r="4497" spans="1:15" x14ac:dyDescent="0.3">
      <c r="A4497" t="s">
        <v>4510</v>
      </c>
      <c r="B4497">
        <v>1</v>
      </c>
      <c r="C4497">
        <v>56</v>
      </c>
      <c r="D4497" t="s">
        <v>5015</v>
      </c>
      <c r="E4497" t="s">
        <v>5017</v>
      </c>
      <c r="F4497" t="s">
        <v>5021</v>
      </c>
      <c r="G4497">
        <v>18.87</v>
      </c>
      <c r="H4497">
        <v>4</v>
      </c>
      <c r="I4497">
        <v>6.7</v>
      </c>
      <c r="J4497">
        <v>4.22</v>
      </c>
      <c r="K4497">
        <v>88.5</v>
      </c>
      <c r="L4497" t="s">
        <v>5029</v>
      </c>
      <c r="M4497">
        <v>10</v>
      </c>
      <c r="N4497">
        <v>0</v>
      </c>
      <c r="O4497">
        <v>1</v>
      </c>
    </row>
    <row r="4498" spans="1:15" x14ac:dyDescent="0.3">
      <c r="A4498" t="s">
        <v>4511</v>
      </c>
      <c r="B4498">
        <v>12</v>
      </c>
      <c r="C4498">
        <v>50</v>
      </c>
      <c r="D4498" t="s">
        <v>5016</v>
      </c>
      <c r="E4498" t="s">
        <v>5017</v>
      </c>
      <c r="F4498" t="s">
        <v>5021</v>
      </c>
      <c r="G4498">
        <v>18.559999999999999</v>
      </c>
      <c r="H4498">
        <v>2</v>
      </c>
      <c r="I4498">
        <v>4.4000000000000004</v>
      </c>
      <c r="J4498">
        <v>12.92</v>
      </c>
      <c r="K4498">
        <v>91.5</v>
      </c>
      <c r="L4498" t="s">
        <v>5027</v>
      </c>
      <c r="M4498">
        <v>10</v>
      </c>
      <c r="N4498">
        <v>1</v>
      </c>
      <c r="O4498">
        <v>1</v>
      </c>
    </row>
    <row r="4499" spans="1:15" x14ac:dyDescent="0.3">
      <c r="A4499" t="s">
        <v>4512</v>
      </c>
      <c r="B4499">
        <v>7</v>
      </c>
      <c r="C4499">
        <v>18</v>
      </c>
      <c r="D4499" t="s">
        <v>5015</v>
      </c>
      <c r="E4499" t="s">
        <v>5018</v>
      </c>
      <c r="F4499" t="s">
        <v>5023</v>
      </c>
      <c r="G4499">
        <v>21.41</v>
      </c>
      <c r="H4499">
        <v>4</v>
      </c>
      <c r="I4499">
        <v>5.9</v>
      </c>
      <c r="J4499">
        <v>12.56</v>
      </c>
      <c r="K4499">
        <v>56.3</v>
      </c>
      <c r="L4499" t="s">
        <v>5025</v>
      </c>
      <c r="M4499">
        <v>7</v>
      </c>
      <c r="N4499">
        <v>3</v>
      </c>
      <c r="O4499">
        <v>0</v>
      </c>
    </row>
    <row r="4500" spans="1:15" x14ac:dyDescent="0.3">
      <c r="A4500" t="s">
        <v>4513</v>
      </c>
      <c r="B4500">
        <v>1</v>
      </c>
      <c r="C4500">
        <v>54</v>
      </c>
      <c r="D4500" t="s">
        <v>5016</v>
      </c>
      <c r="E4500" t="s">
        <v>5017</v>
      </c>
      <c r="F4500" t="s">
        <v>5021</v>
      </c>
      <c r="G4500">
        <v>23.88</v>
      </c>
      <c r="H4500">
        <v>3</v>
      </c>
      <c r="I4500">
        <v>8.9</v>
      </c>
      <c r="J4500">
        <v>6.21</v>
      </c>
      <c r="K4500">
        <v>14.6</v>
      </c>
      <c r="L4500" t="s">
        <v>5026</v>
      </c>
      <c r="M4500">
        <v>3</v>
      </c>
      <c r="N4500">
        <v>1</v>
      </c>
      <c r="O4500">
        <v>1</v>
      </c>
    </row>
    <row r="4501" spans="1:15" x14ac:dyDescent="0.3">
      <c r="A4501" t="s">
        <v>4514</v>
      </c>
      <c r="B4501">
        <v>1</v>
      </c>
      <c r="C4501">
        <v>23</v>
      </c>
      <c r="D4501" t="s">
        <v>5016</v>
      </c>
      <c r="E4501" t="s">
        <v>5019</v>
      </c>
      <c r="F4501" t="s">
        <v>5021</v>
      </c>
      <c r="G4501">
        <v>18.18</v>
      </c>
      <c r="H4501">
        <v>5</v>
      </c>
      <c r="I4501">
        <v>4.0999999999999996</v>
      </c>
      <c r="J4501">
        <v>12.25</v>
      </c>
      <c r="K4501">
        <v>63.8</v>
      </c>
      <c r="L4501" t="s">
        <v>5029</v>
      </c>
      <c r="M4501">
        <v>8</v>
      </c>
      <c r="N4501">
        <v>1</v>
      </c>
      <c r="O4501">
        <v>0</v>
      </c>
    </row>
    <row r="4502" spans="1:15" x14ac:dyDescent="0.3">
      <c r="A4502" t="s">
        <v>4515</v>
      </c>
      <c r="B4502">
        <v>3</v>
      </c>
      <c r="C4502">
        <v>62</v>
      </c>
      <c r="D4502" t="s">
        <v>5016</v>
      </c>
      <c r="E4502" t="s">
        <v>5017</v>
      </c>
      <c r="F4502" t="s">
        <v>5022</v>
      </c>
      <c r="G4502">
        <v>14.52</v>
      </c>
      <c r="H4502">
        <v>4</v>
      </c>
      <c r="I4502">
        <v>1.7</v>
      </c>
      <c r="J4502">
        <v>9.2200000000000006</v>
      </c>
      <c r="K4502">
        <v>40.1</v>
      </c>
      <c r="L4502" t="s">
        <v>5028</v>
      </c>
      <c r="M4502">
        <v>8</v>
      </c>
      <c r="N4502">
        <v>2</v>
      </c>
      <c r="O4502">
        <v>0</v>
      </c>
    </row>
    <row r="4503" spans="1:15" x14ac:dyDescent="0.3">
      <c r="A4503" t="s">
        <v>4516</v>
      </c>
      <c r="B4503">
        <v>10</v>
      </c>
      <c r="C4503">
        <v>51</v>
      </c>
      <c r="D4503" t="s">
        <v>5016</v>
      </c>
      <c r="E4503" t="s">
        <v>5017</v>
      </c>
      <c r="F4503" t="s">
        <v>5021</v>
      </c>
      <c r="G4503">
        <v>11.36</v>
      </c>
      <c r="H4503">
        <v>2</v>
      </c>
      <c r="I4503">
        <v>8.1999999999999993</v>
      </c>
      <c r="J4503">
        <v>18.399999999999999</v>
      </c>
      <c r="K4503">
        <v>28.6</v>
      </c>
      <c r="L4503" t="s">
        <v>5025</v>
      </c>
      <c r="M4503">
        <v>7</v>
      </c>
      <c r="N4503">
        <v>3</v>
      </c>
      <c r="O4503">
        <v>0</v>
      </c>
    </row>
    <row r="4504" spans="1:15" x14ac:dyDescent="0.3">
      <c r="A4504" t="s">
        <v>4517</v>
      </c>
      <c r="B4504">
        <v>4</v>
      </c>
      <c r="C4504">
        <v>64</v>
      </c>
      <c r="D4504" t="s">
        <v>5015</v>
      </c>
      <c r="E4504" t="s">
        <v>5018</v>
      </c>
      <c r="F4504" t="s">
        <v>5021</v>
      </c>
      <c r="G4504">
        <v>12.21</v>
      </c>
      <c r="H4504">
        <v>3</v>
      </c>
      <c r="I4504">
        <v>6</v>
      </c>
      <c r="J4504">
        <v>3.12</v>
      </c>
      <c r="K4504">
        <v>26.4</v>
      </c>
      <c r="L4504" t="s">
        <v>5025</v>
      </c>
      <c r="M4504">
        <v>5</v>
      </c>
      <c r="N4504">
        <v>1</v>
      </c>
      <c r="O4504">
        <v>0</v>
      </c>
    </row>
    <row r="4505" spans="1:15" x14ac:dyDescent="0.3">
      <c r="A4505" t="s">
        <v>4518</v>
      </c>
      <c r="B4505">
        <v>4</v>
      </c>
      <c r="C4505">
        <v>32</v>
      </c>
      <c r="D4505" t="s">
        <v>5015</v>
      </c>
      <c r="E4505" t="s">
        <v>5018</v>
      </c>
      <c r="F4505" t="s">
        <v>5024</v>
      </c>
      <c r="G4505">
        <v>11.69</v>
      </c>
      <c r="H4505">
        <v>2</v>
      </c>
      <c r="I4505">
        <v>5</v>
      </c>
      <c r="J4505">
        <v>5.34</v>
      </c>
      <c r="K4505">
        <v>60.3</v>
      </c>
      <c r="L4505" t="s">
        <v>5026</v>
      </c>
      <c r="M4505">
        <v>8</v>
      </c>
      <c r="N4505">
        <v>2</v>
      </c>
      <c r="O4505">
        <v>0</v>
      </c>
    </row>
    <row r="4506" spans="1:15" x14ac:dyDescent="0.3">
      <c r="A4506" t="s">
        <v>4519</v>
      </c>
      <c r="B4506">
        <v>2</v>
      </c>
      <c r="C4506">
        <v>62</v>
      </c>
      <c r="D4506" t="s">
        <v>5016</v>
      </c>
      <c r="E4506" t="s">
        <v>5017</v>
      </c>
      <c r="F4506" t="s">
        <v>5023</v>
      </c>
      <c r="G4506">
        <v>11.49</v>
      </c>
      <c r="H4506">
        <v>2</v>
      </c>
      <c r="I4506">
        <v>2.6</v>
      </c>
      <c r="J4506">
        <v>23.21</v>
      </c>
      <c r="K4506">
        <v>19.399999999999999</v>
      </c>
      <c r="L4506" t="s">
        <v>5029</v>
      </c>
      <c r="M4506">
        <v>5</v>
      </c>
      <c r="N4506">
        <v>1</v>
      </c>
      <c r="O4506">
        <v>0</v>
      </c>
    </row>
    <row r="4507" spans="1:15" x14ac:dyDescent="0.3">
      <c r="A4507" t="s">
        <v>4520</v>
      </c>
      <c r="B4507">
        <v>1</v>
      </c>
      <c r="C4507">
        <v>43</v>
      </c>
      <c r="D4507" t="s">
        <v>5015</v>
      </c>
      <c r="E4507" t="s">
        <v>5017</v>
      </c>
      <c r="F4507" t="s">
        <v>5024</v>
      </c>
      <c r="G4507">
        <v>18.89</v>
      </c>
      <c r="H4507">
        <v>2</v>
      </c>
      <c r="I4507">
        <v>1.8</v>
      </c>
      <c r="J4507">
        <v>12.53</v>
      </c>
      <c r="K4507">
        <v>83.9</v>
      </c>
      <c r="L4507" t="s">
        <v>5028</v>
      </c>
      <c r="M4507">
        <v>1</v>
      </c>
      <c r="N4507">
        <v>2</v>
      </c>
      <c r="O4507">
        <v>0</v>
      </c>
    </row>
    <row r="4508" spans="1:15" x14ac:dyDescent="0.3">
      <c r="A4508" t="s">
        <v>4521</v>
      </c>
      <c r="B4508">
        <v>3</v>
      </c>
      <c r="C4508">
        <v>31</v>
      </c>
      <c r="D4508" t="s">
        <v>5016</v>
      </c>
      <c r="E4508" t="s">
        <v>5019</v>
      </c>
      <c r="F4508" t="s">
        <v>5022</v>
      </c>
      <c r="G4508">
        <v>16.75</v>
      </c>
      <c r="H4508">
        <v>2</v>
      </c>
      <c r="I4508">
        <v>3.5</v>
      </c>
      <c r="J4508">
        <v>6.88</v>
      </c>
      <c r="K4508">
        <v>30.5</v>
      </c>
      <c r="L4508" t="s">
        <v>5028</v>
      </c>
      <c r="M4508">
        <v>8</v>
      </c>
      <c r="N4508">
        <v>4</v>
      </c>
      <c r="O4508">
        <v>0</v>
      </c>
    </row>
    <row r="4509" spans="1:15" x14ac:dyDescent="0.3">
      <c r="A4509" t="s">
        <v>4522</v>
      </c>
      <c r="B4509">
        <v>11</v>
      </c>
      <c r="C4509">
        <v>24</v>
      </c>
      <c r="D4509" t="s">
        <v>5016</v>
      </c>
      <c r="E4509" t="s">
        <v>5018</v>
      </c>
      <c r="F4509" t="s">
        <v>5024</v>
      </c>
      <c r="G4509">
        <v>9.0399999999999991</v>
      </c>
      <c r="H4509">
        <v>1</v>
      </c>
      <c r="I4509">
        <v>7.5</v>
      </c>
      <c r="J4509">
        <v>20.45</v>
      </c>
      <c r="K4509">
        <v>59.4</v>
      </c>
      <c r="L4509" t="s">
        <v>5028</v>
      </c>
      <c r="M4509">
        <v>7</v>
      </c>
      <c r="N4509">
        <v>0</v>
      </c>
      <c r="O4509">
        <v>0</v>
      </c>
    </row>
    <row r="4510" spans="1:15" x14ac:dyDescent="0.3">
      <c r="A4510" t="s">
        <v>4523</v>
      </c>
      <c r="B4510">
        <v>4</v>
      </c>
      <c r="C4510">
        <v>63</v>
      </c>
      <c r="D4510" t="s">
        <v>5015</v>
      </c>
      <c r="E4510" t="s">
        <v>5018</v>
      </c>
      <c r="F4510" t="s">
        <v>5020</v>
      </c>
      <c r="G4510">
        <v>24.39</v>
      </c>
      <c r="H4510">
        <v>5</v>
      </c>
      <c r="I4510">
        <v>4.7</v>
      </c>
      <c r="J4510">
        <v>21.74</v>
      </c>
      <c r="K4510">
        <v>21.3</v>
      </c>
      <c r="L4510" t="s">
        <v>5028</v>
      </c>
      <c r="M4510">
        <v>7</v>
      </c>
      <c r="N4510">
        <v>0</v>
      </c>
      <c r="O4510">
        <v>0</v>
      </c>
    </row>
    <row r="4511" spans="1:15" x14ac:dyDescent="0.3">
      <c r="A4511" t="s">
        <v>4524</v>
      </c>
      <c r="B4511">
        <v>3</v>
      </c>
      <c r="C4511">
        <v>48</v>
      </c>
      <c r="D4511" t="s">
        <v>5015</v>
      </c>
      <c r="E4511" t="s">
        <v>5018</v>
      </c>
      <c r="F4511" t="s">
        <v>5023</v>
      </c>
      <c r="G4511">
        <v>13.55</v>
      </c>
      <c r="H4511">
        <v>1</v>
      </c>
      <c r="I4511">
        <v>6.1</v>
      </c>
      <c r="J4511">
        <v>7.65</v>
      </c>
      <c r="K4511">
        <v>87.4</v>
      </c>
      <c r="L4511" t="s">
        <v>5026</v>
      </c>
      <c r="M4511">
        <v>2</v>
      </c>
      <c r="N4511">
        <v>1</v>
      </c>
      <c r="O4511">
        <v>1</v>
      </c>
    </row>
    <row r="4512" spans="1:15" x14ac:dyDescent="0.3">
      <c r="A4512" t="s">
        <v>4525</v>
      </c>
      <c r="B4512">
        <v>8</v>
      </c>
      <c r="C4512">
        <v>41</v>
      </c>
      <c r="D4512" t="s">
        <v>5015</v>
      </c>
      <c r="E4512" t="s">
        <v>5017</v>
      </c>
      <c r="F4512" t="s">
        <v>5021</v>
      </c>
      <c r="G4512">
        <v>16.32</v>
      </c>
      <c r="H4512">
        <v>3</v>
      </c>
      <c r="I4512">
        <v>1.7</v>
      </c>
      <c r="J4512">
        <v>18.7</v>
      </c>
      <c r="K4512">
        <v>72.3</v>
      </c>
      <c r="L4512" t="s">
        <v>5026</v>
      </c>
      <c r="M4512">
        <v>11</v>
      </c>
      <c r="N4512">
        <v>2</v>
      </c>
      <c r="O4512">
        <v>0</v>
      </c>
    </row>
    <row r="4513" spans="1:15" x14ac:dyDescent="0.3">
      <c r="A4513" t="s">
        <v>4526</v>
      </c>
      <c r="B4513">
        <v>10</v>
      </c>
      <c r="C4513">
        <v>48</v>
      </c>
      <c r="D4513" t="s">
        <v>5016</v>
      </c>
      <c r="E4513" t="s">
        <v>5018</v>
      </c>
      <c r="F4513" t="s">
        <v>5024</v>
      </c>
      <c r="G4513">
        <v>19.05</v>
      </c>
      <c r="H4513">
        <v>1</v>
      </c>
      <c r="I4513">
        <v>2.1</v>
      </c>
      <c r="J4513">
        <v>16.53</v>
      </c>
      <c r="K4513">
        <v>28.6</v>
      </c>
      <c r="L4513" t="s">
        <v>5029</v>
      </c>
      <c r="M4513">
        <v>3</v>
      </c>
      <c r="N4513">
        <v>4</v>
      </c>
      <c r="O4513">
        <v>0</v>
      </c>
    </row>
    <row r="4514" spans="1:15" x14ac:dyDescent="0.3">
      <c r="A4514" t="s">
        <v>4527</v>
      </c>
      <c r="B4514">
        <v>1</v>
      </c>
      <c r="C4514">
        <v>46</v>
      </c>
      <c r="D4514" t="s">
        <v>5016</v>
      </c>
      <c r="E4514" t="s">
        <v>5018</v>
      </c>
      <c r="F4514" t="s">
        <v>5024</v>
      </c>
      <c r="G4514">
        <v>17.27</v>
      </c>
      <c r="H4514">
        <v>3</v>
      </c>
      <c r="I4514">
        <v>1.1000000000000001</v>
      </c>
      <c r="J4514">
        <v>19.39</v>
      </c>
      <c r="K4514">
        <v>74.400000000000006</v>
      </c>
      <c r="L4514" t="s">
        <v>5027</v>
      </c>
      <c r="M4514">
        <v>3</v>
      </c>
      <c r="N4514">
        <v>0</v>
      </c>
      <c r="O4514">
        <v>0</v>
      </c>
    </row>
    <row r="4515" spans="1:15" x14ac:dyDescent="0.3">
      <c r="A4515" t="s">
        <v>4528</v>
      </c>
      <c r="B4515">
        <v>2</v>
      </c>
      <c r="C4515">
        <v>59</v>
      </c>
      <c r="D4515" t="s">
        <v>5015</v>
      </c>
      <c r="E4515" t="s">
        <v>5019</v>
      </c>
      <c r="F4515" t="s">
        <v>5021</v>
      </c>
      <c r="G4515">
        <v>11.22</v>
      </c>
      <c r="H4515">
        <v>4</v>
      </c>
      <c r="I4515">
        <v>7.1</v>
      </c>
      <c r="J4515">
        <v>20.329999999999998</v>
      </c>
      <c r="K4515">
        <v>17.5</v>
      </c>
      <c r="L4515" t="s">
        <v>5026</v>
      </c>
      <c r="M4515">
        <v>11</v>
      </c>
      <c r="N4515">
        <v>1</v>
      </c>
      <c r="O4515">
        <v>1</v>
      </c>
    </row>
    <row r="4516" spans="1:15" x14ac:dyDescent="0.3">
      <c r="A4516" t="s">
        <v>4529</v>
      </c>
      <c r="B4516">
        <v>7</v>
      </c>
      <c r="C4516">
        <v>49</v>
      </c>
      <c r="D4516" t="s">
        <v>5016</v>
      </c>
      <c r="E4516" t="s">
        <v>5017</v>
      </c>
      <c r="F4516" t="s">
        <v>5021</v>
      </c>
      <c r="G4516">
        <v>20.95</v>
      </c>
      <c r="H4516">
        <v>3</v>
      </c>
      <c r="I4516">
        <v>3.4</v>
      </c>
      <c r="J4516">
        <v>17.54</v>
      </c>
      <c r="K4516">
        <v>79.5</v>
      </c>
      <c r="L4516" t="s">
        <v>5028</v>
      </c>
      <c r="M4516">
        <v>10</v>
      </c>
      <c r="N4516">
        <v>1</v>
      </c>
      <c r="O4516">
        <v>0</v>
      </c>
    </row>
    <row r="4517" spans="1:15" x14ac:dyDescent="0.3">
      <c r="A4517" t="s">
        <v>4530</v>
      </c>
      <c r="B4517">
        <v>4</v>
      </c>
      <c r="C4517">
        <v>34</v>
      </c>
      <c r="D4517" t="s">
        <v>5015</v>
      </c>
      <c r="E4517" t="s">
        <v>5019</v>
      </c>
      <c r="F4517" t="s">
        <v>5022</v>
      </c>
      <c r="G4517">
        <v>7.2</v>
      </c>
      <c r="H4517">
        <v>1</v>
      </c>
      <c r="I4517">
        <v>9.6999999999999993</v>
      </c>
      <c r="J4517">
        <v>24.04</v>
      </c>
      <c r="K4517">
        <v>54.1</v>
      </c>
      <c r="L4517" t="s">
        <v>5029</v>
      </c>
      <c r="M4517">
        <v>6</v>
      </c>
      <c r="N4517">
        <v>2</v>
      </c>
      <c r="O4517">
        <v>0</v>
      </c>
    </row>
    <row r="4518" spans="1:15" x14ac:dyDescent="0.3">
      <c r="A4518" t="s">
        <v>4531</v>
      </c>
      <c r="B4518">
        <v>8</v>
      </c>
      <c r="C4518">
        <v>31</v>
      </c>
      <c r="D4518" t="s">
        <v>5015</v>
      </c>
      <c r="E4518" t="s">
        <v>5017</v>
      </c>
      <c r="F4518" t="s">
        <v>5024</v>
      </c>
      <c r="G4518">
        <v>16.38</v>
      </c>
      <c r="H4518">
        <v>1</v>
      </c>
      <c r="I4518">
        <v>3.8</v>
      </c>
      <c r="J4518">
        <v>22.01</v>
      </c>
      <c r="K4518">
        <v>20.8</v>
      </c>
      <c r="L4518" t="s">
        <v>5028</v>
      </c>
      <c r="M4518">
        <v>6</v>
      </c>
      <c r="N4518">
        <v>3</v>
      </c>
      <c r="O4518">
        <v>1</v>
      </c>
    </row>
    <row r="4519" spans="1:15" x14ac:dyDescent="0.3">
      <c r="A4519" t="s">
        <v>4532</v>
      </c>
      <c r="B4519">
        <v>11</v>
      </c>
      <c r="C4519">
        <v>57</v>
      </c>
      <c r="D4519" t="s">
        <v>5015</v>
      </c>
      <c r="E4519" t="s">
        <v>5017</v>
      </c>
      <c r="F4519" t="s">
        <v>5024</v>
      </c>
      <c r="G4519">
        <v>10.47</v>
      </c>
      <c r="H4519">
        <v>3</v>
      </c>
      <c r="I4519">
        <v>4.3</v>
      </c>
      <c r="J4519">
        <v>8.0399999999999991</v>
      </c>
      <c r="K4519">
        <v>59.5</v>
      </c>
      <c r="L4519" t="s">
        <v>5026</v>
      </c>
      <c r="M4519">
        <v>3</v>
      </c>
      <c r="N4519">
        <v>1</v>
      </c>
      <c r="O4519">
        <v>0</v>
      </c>
    </row>
    <row r="4520" spans="1:15" x14ac:dyDescent="0.3">
      <c r="A4520" t="s">
        <v>4533</v>
      </c>
      <c r="B4520">
        <v>3</v>
      </c>
      <c r="C4520">
        <v>53</v>
      </c>
      <c r="D4520" t="s">
        <v>5015</v>
      </c>
      <c r="E4520" t="s">
        <v>5017</v>
      </c>
      <c r="F4520" t="s">
        <v>5020</v>
      </c>
      <c r="G4520">
        <v>17.32</v>
      </c>
      <c r="H4520">
        <v>1</v>
      </c>
      <c r="I4520">
        <v>5.2</v>
      </c>
      <c r="J4520">
        <v>23.1</v>
      </c>
      <c r="K4520">
        <v>28.1</v>
      </c>
      <c r="L4520" t="s">
        <v>5029</v>
      </c>
      <c r="M4520">
        <v>11</v>
      </c>
      <c r="N4520">
        <v>4</v>
      </c>
      <c r="O4520">
        <v>0</v>
      </c>
    </row>
    <row r="4521" spans="1:15" x14ac:dyDescent="0.3">
      <c r="A4521" t="s">
        <v>4534</v>
      </c>
      <c r="B4521">
        <v>6</v>
      </c>
      <c r="C4521">
        <v>65</v>
      </c>
      <c r="D4521" t="s">
        <v>5015</v>
      </c>
      <c r="E4521" t="s">
        <v>5017</v>
      </c>
      <c r="F4521" t="s">
        <v>5020</v>
      </c>
      <c r="G4521">
        <v>9.36</v>
      </c>
      <c r="H4521">
        <v>3</v>
      </c>
      <c r="I4521">
        <v>3.9</v>
      </c>
      <c r="J4521">
        <v>10.91</v>
      </c>
      <c r="K4521">
        <v>70.5</v>
      </c>
      <c r="L4521" t="s">
        <v>5028</v>
      </c>
      <c r="M4521">
        <v>5</v>
      </c>
      <c r="N4521">
        <v>4</v>
      </c>
      <c r="O4521">
        <v>0</v>
      </c>
    </row>
    <row r="4522" spans="1:15" x14ac:dyDescent="0.3">
      <c r="A4522" t="s">
        <v>4535</v>
      </c>
      <c r="B4522">
        <v>9</v>
      </c>
      <c r="C4522">
        <v>41</v>
      </c>
      <c r="D4522" t="s">
        <v>5015</v>
      </c>
      <c r="E4522" t="s">
        <v>5019</v>
      </c>
      <c r="F4522" t="s">
        <v>5024</v>
      </c>
      <c r="G4522">
        <v>20.440000000000001</v>
      </c>
      <c r="H4522">
        <v>2</v>
      </c>
      <c r="I4522">
        <v>8.4</v>
      </c>
      <c r="J4522">
        <v>18.98</v>
      </c>
      <c r="K4522">
        <v>73.8</v>
      </c>
      <c r="L4522" t="s">
        <v>5027</v>
      </c>
      <c r="M4522">
        <v>9</v>
      </c>
      <c r="N4522">
        <v>3</v>
      </c>
      <c r="O4522">
        <v>0</v>
      </c>
    </row>
    <row r="4523" spans="1:15" x14ac:dyDescent="0.3">
      <c r="A4523" t="s">
        <v>4536</v>
      </c>
      <c r="B4523">
        <v>1</v>
      </c>
      <c r="C4523">
        <v>62</v>
      </c>
      <c r="D4523" t="s">
        <v>5016</v>
      </c>
      <c r="E4523" t="s">
        <v>5018</v>
      </c>
      <c r="F4523" t="s">
        <v>5020</v>
      </c>
      <c r="G4523">
        <v>9.5500000000000007</v>
      </c>
      <c r="H4523">
        <v>5</v>
      </c>
      <c r="I4523">
        <v>8.9</v>
      </c>
      <c r="J4523">
        <v>21.66</v>
      </c>
      <c r="K4523">
        <v>78.5</v>
      </c>
      <c r="L4523" t="s">
        <v>5025</v>
      </c>
      <c r="M4523">
        <v>7</v>
      </c>
      <c r="N4523">
        <v>4</v>
      </c>
      <c r="O4523">
        <v>0</v>
      </c>
    </row>
    <row r="4524" spans="1:15" x14ac:dyDescent="0.3">
      <c r="A4524" t="s">
        <v>4537</v>
      </c>
      <c r="B4524">
        <v>1</v>
      </c>
      <c r="C4524">
        <v>44</v>
      </c>
      <c r="D4524" t="s">
        <v>5016</v>
      </c>
      <c r="E4524" t="s">
        <v>5017</v>
      </c>
      <c r="F4524" t="s">
        <v>5024</v>
      </c>
      <c r="G4524">
        <v>22.81</v>
      </c>
      <c r="H4524">
        <v>3</v>
      </c>
      <c r="I4524">
        <v>1.1000000000000001</v>
      </c>
      <c r="J4524">
        <v>12.6</v>
      </c>
      <c r="K4524">
        <v>90.5</v>
      </c>
      <c r="L4524" t="s">
        <v>5025</v>
      </c>
      <c r="M4524">
        <v>9</v>
      </c>
      <c r="N4524">
        <v>2</v>
      </c>
      <c r="O4524">
        <v>0</v>
      </c>
    </row>
    <row r="4525" spans="1:15" x14ac:dyDescent="0.3">
      <c r="A4525" t="s">
        <v>4538</v>
      </c>
      <c r="B4525">
        <v>8</v>
      </c>
      <c r="C4525">
        <v>42</v>
      </c>
      <c r="D4525" t="s">
        <v>5015</v>
      </c>
      <c r="E4525" t="s">
        <v>5019</v>
      </c>
      <c r="F4525" t="s">
        <v>5023</v>
      </c>
      <c r="G4525">
        <v>22.23</v>
      </c>
      <c r="H4525">
        <v>2</v>
      </c>
      <c r="I4525">
        <v>6.9</v>
      </c>
      <c r="J4525">
        <v>4.13</v>
      </c>
      <c r="K4525">
        <v>68.900000000000006</v>
      </c>
      <c r="L4525" t="s">
        <v>5028</v>
      </c>
      <c r="M4525">
        <v>2</v>
      </c>
      <c r="N4525">
        <v>1</v>
      </c>
      <c r="O4525">
        <v>1</v>
      </c>
    </row>
    <row r="4526" spans="1:15" x14ac:dyDescent="0.3">
      <c r="A4526" t="s">
        <v>4539</v>
      </c>
      <c r="B4526">
        <v>3</v>
      </c>
      <c r="C4526">
        <v>49</v>
      </c>
      <c r="D4526" t="s">
        <v>5015</v>
      </c>
      <c r="E4526" t="s">
        <v>5019</v>
      </c>
      <c r="F4526" t="s">
        <v>5022</v>
      </c>
      <c r="G4526">
        <v>12.25</v>
      </c>
      <c r="H4526">
        <v>2</v>
      </c>
      <c r="I4526">
        <v>7.2</v>
      </c>
      <c r="J4526">
        <v>23.89</v>
      </c>
      <c r="K4526">
        <v>54.3</v>
      </c>
      <c r="L4526" t="s">
        <v>5025</v>
      </c>
      <c r="M4526">
        <v>10</v>
      </c>
      <c r="N4526">
        <v>2</v>
      </c>
      <c r="O4526">
        <v>1</v>
      </c>
    </row>
    <row r="4527" spans="1:15" x14ac:dyDescent="0.3">
      <c r="A4527" t="s">
        <v>4540</v>
      </c>
      <c r="B4527">
        <v>5</v>
      </c>
      <c r="C4527">
        <v>69</v>
      </c>
      <c r="D4527" t="s">
        <v>5015</v>
      </c>
      <c r="E4527" t="s">
        <v>5019</v>
      </c>
      <c r="F4527" t="s">
        <v>5020</v>
      </c>
      <c r="G4527">
        <v>12.72</v>
      </c>
      <c r="H4527">
        <v>2</v>
      </c>
      <c r="I4527">
        <v>9.6999999999999993</v>
      </c>
      <c r="J4527">
        <v>4.59</v>
      </c>
      <c r="K4527">
        <v>86.9</v>
      </c>
      <c r="L4527" t="s">
        <v>5027</v>
      </c>
      <c r="M4527">
        <v>10</v>
      </c>
      <c r="N4527">
        <v>3</v>
      </c>
      <c r="O4527">
        <v>1</v>
      </c>
    </row>
    <row r="4528" spans="1:15" x14ac:dyDescent="0.3">
      <c r="A4528" t="s">
        <v>4541</v>
      </c>
      <c r="B4528">
        <v>1</v>
      </c>
      <c r="C4528">
        <v>35</v>
      </c>
      <c r="D4528" t="s">
        <v>5016</v>
      </c>
      <c r="E4528" t="s">
        <v>5019</v>
      </c>
      <c r="F4528" t="s">
        <v>5024</v>
      </c>
      <c r="G4528">
        <v>19.03</v>
      </c>
      <c r="H4528">
        <v>2</v>
      </c>
      <c r="I4528">
        <v>4.3</v>
      </c>
      <c r="J4528">
        <v>10.66</v>
      </c>
      <c r="K4528">
        <v>91</v>
      </c>
      <c r="L4528" t="s">
        <v>5027</v>
      </c>
      <c r="M4528">
        <v>1</v>
      </c>
      <c r="N4528">
        <v>3</v>
      </c>
      <c r="O4528">
        <v>0</v>
      </c>
    </row>
    <row r="4529" spans="1:15" x14ac:dyDescent="0.3">
      <c r="A4529" t="s">
        <v>4542</v>
      </c>
      <c r="B4529">
        <v>5</v>
      </c>
      <c r="C4529">
        <v>63</v>
      </c>
      <c r="D4529" t="s">
        <v>5015</v>
      </c>
      <c r="E4529" t="s">
        <v>5017</v>
      </c>
      <c r="F4529" t="s">
        <v>5020</v>
      </c>
      <c r="G4529">
        <v>6.81</v>
      </c>
      <c r="H4529">
        <v>3</v>
      </c>
      <c r="I4529">
        <v>2.8</v>
      </c>
      <c r="J4529">
        <v>16.12</v>
      </c>
      <c r="K4529">
        <v>80.400000000000006</v>
      </c>
      <c r="L4529" t="s">
        <v>5028</v>
      </c>
      <c r="M4529">
        <v>2</v>
      </c>
      <c r="N4529">
        <v>2</v>
      </c>
      <c r="O4529">
        <v>0</v>
      </c>
    </row>
    <row r="4530" spans="1:15" x14ac:dyDescent="0.3">
      <c r="A4530" t="s">
        <v>4543</v>
      </c>
      <c r="B4530">
        <v>11</v>
      </c>
      <c r="C4530">
        <v>35</v>
      </c>
      <c r="D4530" t="s">
        <v>5015</v>
      </c>
      <c r="E4530" t="s">
        <v>5019</v>
      </c>
      <c r="F4530" t="s">
        <v>5022</v>
      </c>
      <c r="G4530">
        <v>6.62</v>
      </c>
      <c r="H4530">
        <v>1</v>
      </c>
      <c r="I4530">
        <v>5.7</v>
      </c>
      <c r="J4530">
        <v>5.59</v>
      </c>
      <c r="K4530">
        <v>94.8</v>
      </c>
      <c r="L4530" t="s">
        <v>5027</v>
      </c>
      <c r="M4530">
        <v>6</v>
      </c>
      <c r="N4530">
        <v>0</v>
      </c>
      <c r="O4530">
        <v>0</v>
      </c>
    </row>
    <row r="4531" spans="1:15" x14ac:dyDescent="0.3">
      <c r="A4531" t="s">
        <v>4544</v>
      </c>
      <c r="B4531">
        <v>6</v>
      </c>
      <c r="C4531">
        <v>54</v>
      </c>
      <c r="D4531" t="s">
        <v>5015</v>
      </c>
      <c r="E4531" t="s">
        <v>5018</v>
      </c>
      <c r="F4531" t="s">
        <v>5023</v>
      </c>
      <c r="G4531">
        <v>7.73</v>
      </c>
      <c r="H4531">
        <v>2</v>
      </c>
      <c r="I4531">
        <v>5</v>
      </c>
      <c r="J4531">
        <v>21.44</v>
      </c>
      <c r="K4531">
        <v>98.1</v>
      </c>
      <c r="L4531" t="s">
        <v>5025</v>
      </c>
      <c r="M4531">
        <v>10</v>
      </c>
      <c r="N4531">
        <v>3</v>
      </c>
      <c r="O4531">
        <v>0</v>
      </c>
    </row>
    <row r="4532" spans="1:15" x14ac:dyDescent="0.3">
      <c r="A4532" t="s">
        <v>4545</v>
      </c>
      <c r="B4532">
        <v>8</v>
      </c>
      <c r="C4532">
        <v>43</v>
      </c>
      <c r="D4532" t="s">
        <v>5016</v>
      </c>
      <c r="E4532" t="s">
        <v>5019</v>
      </c>
      <c r="F4532" t="s">
        <v>5021</v>
      </c>
      <c r="G4532">
        <v>16.25</v>
      </c>
      <c r="H4532">
        <v>4</v>
      </c>
      <c r="I4532">
        <v>8.1</v>
      </c>
      <c r="J4532">
        <v>7.48</v>
      </c>
      <c r="K4532">
        <v>32.6</v>
      </c>
      <c r="L4532" t="s">
        <v>5028</v>
      </c>
      <c r="M4532">
        <v>7</v>
      </c>
      <c r="N4532">
        <v>1</v>
      </c>
      <c r="O4532">
        <v>0</v>
      </c>
    </row>
    <row r="4533" spans="1:15" x14ac:dyDescent="0.3">
      <c r="A4533" t="s">
        <v>4546</v>
      </c>
      <c r="B4533">
        <v>3</v>
      </c>
      <c r="C4533">
        <v>26</v>
      </c>
      <c r="D4533" t="s">
        <v>5015</v>
      </c>
      <c r="E4533" t="s">
        <v>5019</v>
      </c>
      <c r="F4533" t="s">
        <v>5021</v>
      </c>
      <c r="G4533">
        <v>7.98</v>
      </c>
      <c r="H4533">
        <v>2</v>
      </c>
      <c r="I4533">
        <v>9.1</v>
      </c>
      <c r="J4533">
        <v>24.69</v>
      </c>
      <c r="K4533">
        <v>26.5</v>
      </c>
      <c r="L4533" t="s">
        <v>5025</v>
      </c>
      <c r="M4533">
        <v>8</v>
      </c>
      <c r="N4533">
        <v>3</v>
      </c>
      <c r="O4533">
        <v>0</v>
      </c>
    </row>
    <row r="4534" spans="1:15" x14ac:dyDescent="0.3">
      <c r="A4534" t="s">
        <v>4547</v>
      </c>
      <c r="B4534">
        <v>3</v>
      </c>
      <c r="C4534">
        <v>52</v>
      </c>
      <c r="D4534" t="s">
        <v>5016</v>
      </c>
      <c r="E4534" t="s">
        <v>5018</v>
      </c>
      <c r="F4534" t="s">
        <v>5020</v>
      </c>
      <c r="G4534">
        <v>10.55</v>
      </c>
      <c r="H4534">
        <v>1</v>
      </c>
      <c r="I4534">
        <v>1.8</v>
      </c>
      <c r="J4534">
        <v>23.16</v>
      </c>
      <c r="K4534">
        <v>50.4</v>
      </c>
      <c r="L4534" t="s">
        <v>5027</v>
      </c>
      <c r="M4534">
        <v>11</v>
      </c>
      <c r="N4534">
        <v>2</v>
      </c>
      <c r="O4534">
        <v>0</v>
      </c>
    </row>
    <row r="4535" spans="1:15" x14ac:dyDescent="0.3">
      <c r="A4535" t="s">
        <v>4548</v>
      </c>
      <c r="B4535">
        <v>12</v>
      </c>
      <c r="C4535">
        <v>25</v>
      </c>
      <c r="D4535" t="s">
        <v>5016</v>
      </c>
      <c r="E4535" t="s">
        <v>5019</v>
      </c>
      <c r="F4535" t="s">
        <v>5024</v>
      </c>
      <c r="G4535">
        <v>17.940000000000001</v>
      </c>
      <c r="H4535">
        <v>1</v>
      </c>
      <c r="I4535">
        <v>8.6</v>
      </c>
      <c r="J4535">
        <v>16.3</v>
      </c>
      <c r="K4535">
        <v>99.7</v>
      </c>
      <c r="L4535" t="s">
        <v>5027</v>
      </c>
      <c r="M4535">
        <v>6</v>
      </c>
      <c r="N4535">
        <v>2</v>
      </c>
      <c r="O4535">
        <v>1</v>
      </c>
    </row>
    <row r="4536" spans="1:15" x14ac:dyDescent="0.3">
      <c r="A4536" t="s">
        <v>4549</v>
      </c>
      <c r="B4536">
        <v>11</v>
      </c>
      <c r="C4536">
        <v>37</v>
      </c>
      <c r="D4536" t="s">
        <v>5015</v>
      </c>
      <c r="E4536" t="s">
        <v>5017</v>
      </c>
      <c r="F4536" t="s">
        <v>5022</v>
      </c>
      <c r="G4536">
        <v>5.31</v>
      </c>
      <c r="H4536">
        <v>5</v>
      </c>
      <c r="I4536">
        <v>9.1999999999999993</v>
      </c>
      <c r="J4536">
        <v>17.52</v>
      </c>
      <c r="K4536">
        <v>18</v>
      </c>
      <c r="L4536" t="s">
        <v>5029</v>
      </c>
      <c r="M4536">
        <v>6</v>
      </c>
      <c r="N4536">
        <v>4</v>
      </c>
      <c r="O4536">
        <v>0</v>
      </c>
    </row>
    <row r="4537" spans="1:15" x14ac:dyDescent="0.3">
      <c r="A4537" t="s">
        <v>4550</v>
      </c>
      <c r="B4537">
        <v>11</v>
      </c>
      <c r="C4537">
        <v>59</v>
      </c>
      <c r="D4537" t="s">
        <v>5016</v>
      </c>
      <c r="E4537" t="s">
        <v>5018</v>
      </c>
      <c r="F4537" t="s">
        <v>5023</v>
      </c>
      <c r="G4537">
        <v>8.6</v>
      </c>
      <c r="H4537">
        <v>5</v>
      </c>
      <c r="I4537">
        <v>9.3000000000000007</v>
      </c>
      <c r="J4537">
        <v>14.74</v>
      </c>
      <c r="K4537">
        <v>74.099999999999994</v>
      </c>
      <c r="L4537" t="s">
        <v>5026</v>
      </c>
      <c r="M4537">
        <v>3</v>
      </c>
      <c r="N4537">
        <v>0</v>
      </c>
      <c r="O4537">
        <v>0</v>
      </c>
    </row>
    <row r="4538" spans="1:15" x14ac:dyDescent="0.3">
      <c r="A4538" t="s">
        <v>4551</v>
      </c>
      <c r="B4538">
        <v>10</v>
      </c>
      <c r="C4538">
        <v>39</v>
      </c>
      <c r="D4538" t="s">
        <v>5016</v>
      </c>
      <c r="E4538" t="s">
        <v>5017</v>
      </c>
      <c r="F4538" t="s">
        <v>5023</v>
      </c>
      <c r="G4538">
        <v>23.6</v>
      </c>
      <c r="H4538">
        <v>2</v>
      </c>
      <c r="I4538">
        <v>7.9</v>
      </c>
      <c r="J4538">
        <v>11.6</v>
      </c>
      <c r="K4538">
        <v>86.6</v>
      </c>
      <c r="L4538" t="s">
        <v>5026</v>
      </c>
      <c r="M4538">
        <v>9</v>
      </c>
      <c r="N4538">
        <v>2</v>
      </c>
      <c r="O4538">
        <v>0</v>
      </c>
    </row>
    <row r="4539" spans="1:15" x14ac:dyDescent="0.3">
      <c r="A4539" t="s">
        <v>4552</v>
      </c>
      <c r="B4539">
        <v>9</v>
      </c>
      <c r="C4539">
        <v>36</v>
      </c>
      <c r="D4539" t="s">
        <v>5016</v>
      </c>
      <c r="E4539" t="s">
        <v>5019</v>
      </c>
      <c r="F4539" t="s">
        <v>5023</v>
      </c>
      <c r="G4539">
        <v>18.27</v>
      </c>
      <c r="H4539">
        <v>2</v>
      </c>
      <c r="I4539">
        <v>7.7</v>
      </c>
      <c r="J4539">
        <v>10.74</v>
      </c>
      <c r="K4539">
        <v>99.7</v>
      </c>
      <c r="L4539" t="s">
        <v>5028</v>
      </c>
      <c r="M4539">
        <v>11</v>
      </c>
      <c r="N4539">
        <v>4</v>
      </c>
      <c r="O4539">
        <v>0</v>
      </c>
    </row>
    <row r="4540" spans="1:15" x14ac:dyDescent="0.3">
      <c r="A4540" t="s">
        <v>4553</v>
      </c>
      <c r="B4540">
        <v>4</v>
      </c>
      <c r="C4540">
        <v>47</v>
      </c>
      <c r="D4540" t="s">
        <v>5015</v>
      </c>
      <c r="E4540" t="s">
        <v>5017</v>
      </c>
      <c r="F4540" t="s">
        <v>5021</v>
      </c>
      <c r="G4540">
        <v>11.11</v>
      </c>
      <c r="H4540">
        <v>5</v>
      </c>
      <c r="I4540">
        <v>1.1000000000000001</v>
      </c>
      <c r="J4540">
        <v>22.62</v>
      </c>
      <c r="K4540">
        <v>65.8</v>
      </c>
      <c r="L4540" t="s">
        <v>5025</v>
      </c>
      <c r="M4540">
        <v>2</v>
      </c>
      <c r="N4540">
        <v>4</v>
      </c>
      <c r="O4540">
        <v>0</v>
      </c>
    </row>
    <row r="4541" spans="1:15" x14ac:dyDescent="0.3">
      <c r="A4541" t="s">
        <v>4554</v>
      </c>
      <c r="B4541">
        <v>4</v>
      </c>
      <c r="C4541">
        <v>45</v>
      </c>
      <c r="D4541" t="s">
        <v>5016</v>
      </c>
      <c r="E4541" t="s">
        <v>5018</v>
      </c>
      <c r="F4541" t="s">
        <v>5022</v>
      </c>
      <c r="G4541">
        <v>5.91</v>
      </c>
      <c r="H4541">
        <v>2</v>
      </c>
      <c r="I4541">
        <v>9.3000000000000007</v>
      </c>
      <c r="J4541">
        <v>15.69</v>
      </c>
      <c r="K4541">
        <v>44.2</v>
      </c>
      <c r="L4541" t="s">
        <v>5026</v>
      </c>
      <c r="M4541">
        <v>11</v>
      </c>
      <c r="N4541">
        <v>1</v>
      </c>
      <c r="O4541">
        <v>0</v>
      </c>
    </row>
    <row r="4542" spans="1:15" x14ac:dyDescent="0.3">
      <c r="A4542" t="s">
        <v>4555</v>
      </c>
      <c r="B4542">
        <v>12</v>
      </c>
      <c r="C4542">
        <v>52</v>
      </c>
      <c r="D4542" t="s">
        <v>5015</v>
      </c>
      <c r="E4542" t="s">
        <v>5018</v>
      </c>
      <c r="F4542" t="s">
        <v>5021</v>
      </c>
      <c r="G4542">
        <v>16.72</v>
      </c>
      <c r="H4542">
        <v>4</v>
      </c>
      <c r="I4542">
        <v>4.2</v>
      </c>
      <c r="J4542">
        <v>21.11</v>
      </c>
      <c r="K4542">
        <v>25</v>
      </c>
      <c r="L4542" t="s">
        <v>5028</v>
      </c>
      <c r="M4542">
        <v>5</v>
      </c>
      <c r="N4542">
        <v>4</v>
      </c>
      <c r="O4542">
        <v>0</v>
      </c>
    </row>
    <row r="4543" spans="1:15" x14ac:dyDescent="0.3">
      <c r="A4543" t="s">
        <v>4556</v>
      </c>
      <c r="B4543">
        <v>7</v>
      </c>
      <c r="C4543">
        <v>60</v>
      </c>
      <c r="D4543" t="s">
        <v>5015</v>
      </c>
      <c r="E4543" t="s">
        <v>5019</v>
      </c>
      <c r="F4543" t="s">
        <v>5020</v>
      </c>
      <c r="G4543">
        <v>9.4600000000000009</v>
      </c>
      <c r="H4543">
        <v>3</v>
      </c>
      <c r="I4543">
        <v>1.4</v>
      </c>
      <c r="J4543">
        <v>14.31</v>
      </c>
      <c r="K4543">
        <v>98.4</v>
      </c>
      <c r="L4543" t="s">
        <v>5027</v>
      </c>
      <c r="M4543">
        <v>3</v>
      </c>
      <c r="N4543">
        <v>0</v>
      </c>
      <c r="O4543">
        <v>0</v>
      </c>
    </row>
    <row r="4544" spans="1:15" x14ac:dyDescent="0.3">
      <c r="A4544" t="s">
        <v>4557</v>
      </c>
      <c r="B4544">
        <v>2</v>
      </c>
      <c r="C4544">
        <v>28</v>
      </c>
      <c r="D4544" t="s">
        <v>5015</v>
      </c>
      <c r="E4544" t="s">
        <v>5018</v>
      </c>
      <c r="F4544" t="s">
        <v>5023</v>
      </c>
      <c r="G4544">
        <v>24.2</v>
      </c>
      <c r="H4544">
        <v>5</v>
      </c>
      <c r="I4544">
        <v>4.7</v>
      </c>
      <c r="J4544">
        <v>9.75</v>
      </c>
      <c r="K4544">
        <v>93.2</v>
      </c>
      <c r="L4544" t="s">
        <v>5026</v>
      </c>
      <c r="M4544">
        <v>1</v>
      </c>
      <c r="N4544">
        <v>1</v>
      </c>
      <c r="O4544">
        <v>1</v>
      </c>
    </row>
    <row r="4545" spans="1:15" x14ac:dyDescent="0.3">
      <c r="A4545" t="s">
        <v>4558</v>
      </c>
      <c r="B4545">
        <v>8</v>
      </c>
      <c r="C4545">
        <v>48</v>
      </c>
      <c r="D4545" t="s">
        <v>5016</v>
      </c>
      <c r="E4545" t="s">
        <v>5019</v>
      </c>
      <c r="F4545" t="s">
        <v>5022</v>
      </c>
      <c r="G4545">
        <v>18.739999999999998</v>
      </c>
      <c r="H4545">
        <v>5</v>
      </c>
      <c r="I4545">
        <v>7.6</v>
      </c>
      <c r="J4545">
        <v>5.0199999999999996</v>
      </c>
      <c r="K4545">
        <v>82.4</v>
      </c>
      <c r="L4545" t="s">
        <v>5025</v>
      </c>
      <c r="M4545">
        <v>2</v>
      </c>
      <c r="N4545">
        <v>2</v>
      </c>
      <c r="O4545">
        <v>0</v>
      </c>
    </row>
    <row r="4546" spans="1:15" x14ac:dyDescent="0.3">
      <c r="A4546" t="s">
        <v>4559</v>
      </c>
      <c r="B4546">
        <v>6</v>
      </c>
      <c r="C4546">
        <v>66</v>
      </c>
      <c r="D4546" t="s">
        <v>5015</v>
      </c>
      <c r="E4546" t="s">
        <v>5019</v>
      </c>
      <c r="F4546" t="s">
        <v>5023</v>
      </c>
      <c r="G4546">
        <v>24.48</v>
      </c>
      <c r="H4546">
        <v>1</v>
      </c>
      <c r="I4546">
        <v>5</v>
      </c>
      <c r="J4546">
        <v>10.119999999999999</v>
      </c>
      <c r="K4546">
        <v>94.9</v>
      </c>
      <c r="L4546" t="s">
        <v>5029</v>
      </c>
      <c r="M4546">
        <v>6</v>
      </c>
      <c r="N4546">
        <v>2</v>
      </c>
      <c r="O4546">
        <v>1</v>
      </c>
    </row>
    <row r="4547" spans="1:15" x14ac:dyDescent="0.3">
      <c r="A4547" t="s">
        <v>4560</v>
      </c>
      <c r="B4547">
        <v>3</v>
      </c>
      <c r="C4547">
        <v>65</v>
      </c>
      <c r="D4547" t="s">
        <v>5016</v>
      </c>
      <c r="E4547" t="s">
        <v>5018</v>
      </c>
      <c r="F4547" t="s">
        <v>5021</v>
      </c>
      <c r="G4547">
        <v>21.98</v>
      </c>
      <c r="H4547">
        <v>2</v>
      </c>
      <c r="I4547">
        <v>7.8</v>
      </c>
      <c r="J4547">
        <v>22.36</v>
      </c>
      <c r="K4547">
        <v>15.5</v>
      </c>
      <c r="L4547" t="s">
        <v>5029</v>
      </c>
      <c r="M4547">
        <v>10</v>
      </c>
      <c r="N4547">
        <v>4</v>
      </c>
      <c r="O4547">
        <v>1</v>
      </c>
    </row>
    <row r="4548" spans="1:15" x14ac:dyDescent="0.3">
      <c r="A4548" t="s">
        <v>4561</v>
      </c>
      <c r="B4548">
        <v>9</v>
      </c>
      <c r="C4548">
        <v>56</v>
      </c>
      <c r="D4548" t="s">
        <v>5016</v>
      </c>
      <c r="E4548" t="s">
        <v>5018</v>
      </c>
      <c r="F4548" t="s">
        <v>5021</v>
      </c>
      <c r="G4548">
        <v>14.66</v>
      </c>
      <c r="H4548">
        <v>5</v>
      </c>
      <c r="I4548">
        <v>5.6</v>
      </c>
      <c r="J4548">
        <v>18.66</v>
      </c>
      <c r="K4548">
        <v>66.8</v>
      </c>
      <c r="L4548" t="s">
        <v>5026</v>
      </c>
      <c r="M4548">
        <v>1</v>
      </c>
      <c r="N4548">
        <v>3</v>
      </c>
      <c r="O4548">
        <v>0</v>
      </c>
    </row>
    <row r="4549" spans="1:15" x14ac:dyDescent="0.3">
      <c r="A4549" t="s">
        <v>4562</v>
      </c>
      <c r="B4549">
        <v>5</v>
      </c>
      <c r="C4549">
        <v>53</v>
      </c>
      <c r="D4549" t="s">
        <v>5016</v>
      </c>
      <c r="E4549" t="s">
        <v>5019</v>
      </c>
      <c r="F4549" t="s">
        <v>5021</v>
      </c>
      <c r="G4549">
        <v>18.39</v>
      </c>
      <c r="H4549">
        <v>5</v>
      </c>
      <c r="I4549">
        <v>3.7</v>
      </c>
      <c r="J4549">
        <v>20.29</v>
      </c>
      <c r="K4549">
        <v>34.700000000000003</v>
      </c>
      <c r="L4549" t="s">
        <v>5029</v>
      </c>
      <c r="M4549">
        <v>11</v>
      </c>
      <c r="N4549">
        <v>0</v>
      </c>
      <c r="O4549">
        <v>0</v>
      </c>
    </row>
    <row r="4550" spans="1:15" x14ac:dyDescent="0.3">
      <c r="A4550" t="s">
        <v>4563</v>
      </c>
      <c r="B4550">
        <v>8</v>
      </c>
      <c r="C4550">
        <v>47</v>
      </c>
      <c r="D4550" t="s">
        <v>5016</v>
      </c>
      <c r="E4550" t="s">
        <v>5019</v>
      </c>
      <c r="F4550" t="s">
        <v>5023</v>
      </c>
      <c r="G4550">
        <v>21.24</v>
      </c>
      <c r="H4550">
        <v>4</v>
      </c>
      <c r="I4550">
        <v>2.8</v>
      </c>
      <c r="J4550">
        <v>20.02</v>
      </c>
      <c r="K4550">
        <v>78.900000000000006</v>
      </c>
      <c r="L4550" t="s">
        <v>5028</v>
      </c>
      <c r="M4550">
        <v>2</v>
      </c>
      <c r="N4550">
        <v>0</v>
      </c>
      <c r="O4550">
        <v>0</v>
      </c>
    </row>
    <row r="4551" spans="1:15" x14ac:dyDescent="0.3">
      <c r="A4551" t="s">
        <v>4564</v>
      </c>
      <c r="B4551">
        <v>7</v>
      </c>
      <c r="C4551">
        <v>40</v>
      </c>
      <c r="D4551" t="s">
        <v>5015</v>
      </c>
      <c r="E4551" t="s">
        <v>5019</v>
      </c>
      <c r="F4551" t="s">
        <v>5022</v>
      </c>
      <c r="G4551">
        <v>16.559999999999999</v>
      </c>
      <c r="H4551">
        <v>2</v>
      </c>
      <c r="I4551">
        <v>4.8</v>
      </c>
      <c r="J4551">
        <v>5.64</v>
      </c>
      <c r="K4551">
        <v>18.600000000000001</v>
      </c>
      <c r="L4551" t="s">
        <v>5025</v>
      </c>
      <c r="M4551">
        <v>10</v>
      </c>
      <c r="N4551">
        <v>4</v>
      </c>
      <c r="O4551">
        <v>0</v>
      </c>
    </row>
    <row r="4552" spans="1:15" x14ac:dyDescent="0.3">
      <c r="A4552" t="s">
        <v>4565</v>
      </c>
      <c r="B4552">
        <v>8</v>
      </c>
      <c r="C4552">
        <v>36</v>
      </c>
      <c r="D4552" t="s">
        <v>5015</v>
      </c>
      <c r="E4552" t="s">
        <v>5017</v>
      </c>
      <c r="F4552" t="s">
        <v>5022</v>
      </c>
      <c r="G4552">
        <v>6.23</v>
      </c>
      <c r="H4552">
        <v>3</v>
      </c>
      <c r="I4552">
        <v>1.3</v>
      </c>
      <c r="J4552">
        <v>6.49</v>
      </c>
      <c r="K4552">
        <v>33.299999999999997</v>
      </c>
      <c r="L4552" t="s">
        <v>5027</v>
      </c>
      <c r="M4552">
        <v>5</v>
      </c>
      <c r="N4552">
        <v>0</v>
      </c>
      <c r="O4552">
        <v>0</v>
      </c>
    </row>
    <row r="4553" spans="1:15" x14ac:dyDescent="0.3">
      <c r="A4553" t="s">
        <v>4566</v>
      </c>
      <c r="B4553">
        <v>7</v>
      </c>
      <c r="C4553">
        <v>29</v>
      </c>
      <c r="D4553" t="s">
        <v>5016</v>
      </c>
      <c r="E4553" t="s">
        <v>5019</v>
      </c>
      <c r="F4553" t="s">
        <v>5020</v>
      </c>
      <c r="G4553">
        <v>14.41</v>
      </c>
      <c r="H4553">
        <v>4</v>
      </c>
      <c r="I4553">
        <v>4.8</v>
      </c>
      <c r="J4553">
        <v>9.98</v>
      </c>
      <c r="K4553">
        <v>86.5</v>
      </c>
      <c r="L4553" t="s">
        <v>5025</v>
      </c>
      <c r="M4553">
        <v>1</v>
      </c>
      <c r="N4553">
        <v>1</v>
      </c>
      <c r="O4553">
        <v>0</v>
      </c>
    </row>
    <row r="4554" spans="1:15" x14ac:dyDescent="0.3">
      <c r="A4554" t="s">
        <v>4567</v>
      </c>
      <c r="B4554">
        <v>3</v>
      </c>
      <c r="C4554">
        <v>32</v>
      </c>
      <c r="D4554" t="s">
        <v>5015</v>
      </c>
      <c r="E4554" t="s">
        <v>5018</v>
      </c>
      <c r="F4554" t="s">
        <v>5023</v>
      </c>
      <c r="G4554">
        <v>7.61</v>
      </c>
      <c r="H4554">
        <v>3</v>
      </c>
      <c r="I4554">
        <v>1.6</v>
      </c>
      <c r="J4554">
        <v>9.6199999999999992</v>
      </c>
      <c r="K4554">
        <v>77.5</v>
      </c>
      <c r="L4554" t="s">
        <v>5027</v>
      </c>
      <c r="M4554">
        <v>11</v>
      </c>
      <c r="N4554">
        <v>4</v>
      </c>
      <c r="O4554">
        <v>0</v>
      </c>
    </row>
    <row r="4555" spans="1:15" x14ac:dyDescent="0.3">
      <c r="A4555" t="s">
        <v>4568</v>
      </c>
      <c r="B4555">
        <v>2</v>
      </c>
      <c r="C4555">
        <v>48</v>
      </c>
      <c r="D4555" t="s">
        <v>5015</v>
      </c>
      <c r="E4555" t="s">
        <v>5018</v>
      </c>
      <c r="F4555" t="s">
        <v>5020</v>
      </c>
      <c r="G4555">
        <v>19.3</v>
      </c>
      <c r="H4555">
        <v>1</v>
      </c>
      <c r="I4555">
        <v>8.9</v>
      </c>
      <c r="J4555">
        <v>4.45</v>
      </c>
      <c r="K4555">
        <v>99.3</v>
      </c>
      <c r="L4555" t="s">
        <v>5029</v>
      </c>
      <c r="M4555">
        <v>11</v>
      </c>
      <c r="N4555">
        <v>3</v>
      </c>
      <c r="O4555">
        <v>0</v>
      </c>
    </row>
    <row r="4556" spans="1:15" x14ac:dyDescent="0.3">
      <c r="A4556" t="s">
        <v>4569</v>
      </c>
      <c r="B4556">
        <v>7</v>
      </c>
      <c r="C4556">
        <v>60</v>
      </c>
      <c r="D4556" t="s">
        <v>5015</v>
      </c>
      <c r="E4556" t="s">
        <v>5019</v>
      </c>
      <c r="F4556" t="s">
        <v>5020</v>
      </c>
      <c r="G4556">
        <v>18.61</v>
      </c>
      <c r="H4556">
        <v>5</v>
      </c>
      <c r="I4556">
        <v>6.2</v>
      </c>
      <c r="J4556">
        <v>6.38</v>
      </c>
      <c r="K4556">
        <v>68</v>
      </c>
      <c r="L4556" t="s">
        <v>5028</v>
      </c>
      <c r="M4556">
        <v>10</v>
      </c>
      <c r="N4556">
        <v>2</v>
      </c>
      <c r="O4556">
        <v>0</v>
      </c>
    </row>
    <row r="4557" spans="1:15" x14ac:dyDescent="0.3">
      <c r="A4557" t="s">
        <v>4570</v>
      </c>
      <c r="B4557">
        <v>3</v>
      </c>
      <c r="C4557">
        <v>54</v>
      </c>
      <c r="D4557" t="s">
        <v>5016</v>
      </c>
      <c r="E4557" t="s">
        <v>5017</v>
      </c>
      <c r="F4557" t="s">
        <v>5020</v>
      </c>
      <c r="G4557">
        <v>24.86</v>
      </c>
      <c r="H4557">
        <v>4</v>
      </c>
      <c r="I4557">
        <v>6.8</v>
      </c>
      <c r="J4557">
        <v>21.84</v>
      </c>
      <c r="K4557">
        <v>37.299999999999997</v>
      </c>
      <c r="L4557" t="s">
        <v>5027</v>
      </c>
      <c r="M4557">
        <v>4</v>
      </c>
      <c r="N4557">
        <v>0</v>
      </c>
      <c r="O4557">
        <v>1</v>
      </c>
    </row>
    <row r="4558" spans="1:15" x14ac:dyDescent="0.3">
      <c r="A4558" t="s">
        <v>4571</v>
      </c>
      <c r="B4558">
        <v>3</v>
      </c>
      <c r="C4558">
        <v>54</v>
      </c>
      <c r="D4558" t="s">
        <v>5015</v>
      </c>
      <c r="E4558" t="s">
        <v>5019</v>
      </c>
      <c r="F4558" t="s">
        <v>5020</v>
      </c>
      <c r="G4558">
        <v>17.579999999999998</v>
      </c>
      <c r="H4558">
        <v>3</v>
      </c>
      <c r="I4558">
        <v>3.6</v>
      </c>
      <c r="J4558">
        <v>15.96</v>
      </c>
      <c r="K4558">
        <v>59.3</v>
      </c>
      <c r="L4558" t="s">
        <v>5029</v>
      </c>
      <c r="M4558">
        <v>5</v>
      </c>
      <c r="N4558">
        <v>2</v>
      </c>
      <c r="O4558">
        <v>0</v>
      </c>
    </row>
    <row r="4559" spans="1:15" x14ac:dyDescent="0.3">
      <c r="A4559" t="s">
        <v>4572</v>
      </c>
      <c r="B4559">
        <v>2</v>
      </c>
      <c r="C4559">
        <v>32</v>
      </c>
      <c r="D4559" t="s">
        <v>5016</v>
      </c>
      <c r="E4559" t="s">
        <v>5018</v>
      </c>
      <c r="F4559" t="s">
        <v>5021</v>
      </c>
      <c r="G4559">
        <v>21</v>
      </c>
      <c r="H4559">
        <v>2</v>
      </c>
      <c r="I4559">
        <v>3</v>
      </c>
      <c r="J4559">
        <v>10.53</v>
      </c>
      <c r="K4559">
        <v>95</v>
      </c>
      <c r="L4559" t="s">
        <v>5027</v>
      </c>
      <c r="M4559">
        <v>5</v>
      </c>
      <c r="N4559">
        <v>3</v>
      </c>
      <c r="O4559">
        <v>0</v>
      </c>
    </row>
    <row r="4560" spans="1:15" x14ac:dyDescent="0.3">
      <c r="A4560" t="s">
        <v>4573</v>
      </c>
      <c r="B4560">
        <v>4</v>
      </c>
      <c r="C4560">
        <v>46</v>
      </c>
      <c r="D4560" t="s">
        <v>5015</v>
      </c>
      <c r="E4560" t="s">
        <v>5019</v>
      </c>
      <c r="F4560" t="s">
        <v>5020</v>
      </c>
      <c r="G4560">
        <v>10.37</v>
      </c>
      <c r="H4560">
        <v>1</v>
      </c>
      <c r="I4560">
        <v>7.4</v>
      </c>
      <c r="J4560">
        <v>14.58</v>
      </c>
      <c r="K4560">
        <v>68.7</v>
      </c>
      <c r="L4560" t="s">
        <v>5026</v>
      </c>
      <c r="M4560">
        <v>5</v>
      </c>
      <c r="N4560">
        <v>3</v>
      </c>
      <c r="O4560">
        <v>0</v>
      </c>
    </row>
    <row r="4561" spans="1:15" x14ac:dyDescent="0.3">
      <c r="A4561" t="s">
        <v>4574</v>
      </c>
      <c r="B4561">
        <v>8</v>
      </c>
      <c r="C4561">
        <v>67</v>
      </c>
      <c r="D4561" t="s">
        <v>5016</v>
      </c>
      <c r="E4561" t="s">
        <v>5017</v>
      </c>
      <c r="F4561" t="s">
        <v>5022</v>
      </c>
      <c r="G4561">
        <v>11.8</v>
      </c>
      <c r="H4561">
        <v>1</v>
      </c>
      <c r="I4561">
        <v>7</v>
      </c>
      <c r="J4561">
        <v>8.75</v>
      </c>
      <c r="K4561">
        <v>89.3</v>
      </c>
      <c r="L4561" t="s">
        <v>5025</v>
      </c>
      <c r="M4561">
        <v>10</v>
      </c>
      <c r="N4561">
        <v>1</v>
      </c>
      <c r="O4561">
        <v>1</v>
      </c>
    </row>
    <row r="4562" spans="1:15" x14ac:dyDescent="0.3">
      <c r="A4562" t="s">
        <v>4575</v>
      </c>
      <c r="B4562">
        <v>12</v>
      </c>
      <c r="C4562">
        <v>60</v>
      </c>
      <c r="D4562" t="s">
        <v>5016</v>
      </c>
      <c r="E4562" t="s">
        <v>5018</v>
      </c>
      <c r="F4562" t="s">
        <v>5020</v>
      </c>
      <c r="G4562">
        <v>23.34</v>
      </c>
      <c r="H4562">
        <v>5</v>
      </c>
      <c r="I4562">
        <v>2.1</v>
      </c>
      <c r="J4562">
        <v>15.84</v>
      </c>
      <c r="K4562">
        <v>12.1</v>
      </c>
      <c r="L4562" t="s">
        <v>5028</v>
      </c>
      <c r="M4562">
        <v>9</v>
      </c>
      <c r="N4562">
        <v>3</v>
      </c>
      <c r="O4562">
        <v>1</v>
      </c>
    </row>
    <row r="4563" spans="1:15" x14ac:dyDescent="0.3">
      <c r="A4563" t="s">
        <v>4576</v>
      </c>
      <c r="B4563">
        <v>1</v>
      </c>
      <c r="C4563">
        <v>43</v>
      </c>
      <c r="D4563" t="s">
        <v>5016</v>
      </c>
      <c r="E4563" t="s">
        <v>5019</v>
      </c>
      <c r="F4563" t="s">
        <v>5021</v>
      </c>
      <c r="G4563">
        <v>20.100000000000001</v>
      </c>
      <c r="H4563">
        <v>5</v>
      </c>
      <c r="I4563">
        <v>3.1</v>
      </c>
      <c r="J4563">
        <v>4.6399999999999997</v>
      </c>
      <c r="K4563">
        <v>43.3</v>
      </c>
      <c r="L4563" t="s">
        <v>5029</v>
      </c>
      <c r="M4563">
        <v>9</v>
      </c>
      <c r="N4563">
        <v>3</v>
      </c>
      <c r="O4563">
        <v>0</v>
      </c>
    </row>
    <row r="4564" spans="1:15" x14ac:dyDescent="0.3">
      <c r="A4564" t="s">
        <v>4577</v>
      </c>
      <c r="B4564">
        <v>1</v>
      </c>
      <c r="C4564">
        <v>61</v>
      </c>
      <c r="D4564" t="s">
        <v>5015</v>
      </c>
      <c r="E4564" t="s">
        <v>5017</v>
      </c>
      <c r="F4564" t="s">
        <v>5024</v>
      </c>
      <c r="G4564">
        <v>18.11</v>
      </c>
      <c r="H4564">
        <v>3</v>
      </c>
      <c r="I4564">
        <v>9.5</v>
      </c>
      <c r="J4564">
        <v>22.86</v>
      </c>
      <c r="K4564">
        <v>94.2</v>
      </c>
      <c r="L4564" t="s">
        <v>5028</v>
      </c>
      <c r="M4564">
        <v>5</v>
      </c>
      <c r="N4564">
        <v>0</v>
      </c>
      <c r="O4564">
        <v>0</v>
      </c>
    </row>
    <row r="4565" spans="1:15" x14ac:dyDescent="0.3">
      <c r="A4565" t="s">
        <v>4578</v>
      </c>
      <c r="B4565">
        <v>12</v>
      </c>
      <c r="C4565">
        <v>19</v>
      </c>
      <c r="D4565" t="s">
        <v>5016</v>
      </c>
      <c r="E4565" t="s">
        <v>5017</v>
      </c>
      <c r="F4565" t="s">
        <v>5024</v>
      </c>
      <c r="G4565">
        <v>10.08</v>
      </c>
      <c r="H4565">
        <v>3</v>
      </c>
      <c r="I4565">
        <v>3.7</v>
      </c>
      <c r="J4565">
        <v>8.2899999999999991</v>
      </c>
      <c r="K4565">
        <v>13.5</v>
      </c>
      <c r="L4565" t="s">
        <v>5025</v>
      </c>
      <c r="M4565">
        <v>6</v>
      </c>
      <c r="N4565">
        <v>2</v>
      </c>
      <c r="O4565">
        <v>0</v>
      </c>
    </row>
    <row r="4566" spans="1:15" x14ac:dyDescent="0.3">
      <c r="A4566" t="s">
        <v>4579</v>
      </c>
      <c r="B4566">
        <v>5</v>
      </c>
      <c r="C4566">
        <v>37</v>
      </c>
      <c r="D4566" t="s">
        <v>5015</v>
      </c>
      <c r="E4566" t="s">
        <v>5019</v>
      </c>
      <c r="F4566" t="s">
        <v>5024</v>
      </c>
      <c r="G4566">
        <v>18.97</v>
      </c>
      <c r="H4566">
        <v>1</v>
      </c>
      <c r="I4566">
        <v>1.2</v>
      </c>
      <c r="J4566">
        <v>21.02</v>
      </c>
      <c r="K4566">
        <v>56.7</v>
      </c>
      <c r="L4566" t="s">
        <v>5027</v>
      </c>
      <c r="M4566">
        <v>8</v>
      </c>
      <c r="N4566">
        <v>0</v>
      </c>
      <c r="O4566">
        <v>0</v>
      </c>
    </row>
    <row r="4567" spans="1:15" x14ac:dyDescent="0.3">
      <c r="A4567" t="s">
        <v>4580</v>
      </c>
      <c r="B4567">
        <v>11</v>
      </c>
      <c r="C4567">
        <v>32</v>
      </c>
      <c r="D4567" t="s">
        <v>5016</v>
      </c>
      <c r="E4567" t="s">
        <v>5017</v>
      </c>
      <c r="F4567" t="s">
        <v>5023</v>
      </c>
      <c r="G4567">
        <v>22.74</v>
      </c>
      <c r="H4567">
        <v>3</v>
      </c>
      <c r="I4567">
        <v>1.6</v>
      </c>
      <c r="J4567">
        <v>17.52</v>
      </c>
      <c r="K4567">
        <v>41.2</v>
      </c>
      <c r="L4567" t="s">
        <v>5027</v>
      </c>
      <c r="M4567">
        <v>7</v>
      </c>
      <c r="N4567">
        <v>0</v>
      </c>
      <c r="O4567">
        <v>0</v>
      </c>
    </row>
    <row r="4568" spans="1:15" x14ac:dyDescent="0.3">
      <c r="A4568" t="s">
        <v>4581</v>
      </c>
      <c r="B4568">
        <v>5</v>
      </c>
      <c r="C4568">
        <v>69</v>
      </c>
      <c r="D4568" t="s">
        <v>5015</v>
      </c>
      <c r="E4568" t="s">
        <v>5019</v>
      </c>
      <c r="F4568" t="s">
        <v>5022</v>
      </c>
      <c r="G4568">
        <v>9.6199999999999992</v>
      </c>
      <c r="H4568">
        <v>5</v>
      </c>
      <c r="I4568">
        <v>8</v>
      </c>
      <c r="J4568">
        <v>14.51</v>
      </c>
      <c r="K4568">
        <v>68.2</v>
      </c>
      <c r="L4568" t="s">
        <v>5028</v>
      </c>
      <c r="M4568">
        <v>6</v>
      </c>
      <c r="N4568">
        <v>4</v>
      </c>
      <c r="O4568">
        <v>0</v>
      </c>
    </row>
    <row r="4569" spans="1:15" x14ac:dyDescent="0.3">
      <c r="A4569" t="s">
        <v>4582</v>
      </c>
      <c r="B4569">
        <v>11</v>
      </c>
      <c r="C4569">
        <v>21</v>
      </c>
      <c r="D4569" t="s">
        <v>5016</v>
      </c>
      <c r="E4569" t="s">
        <v>5017</v>
      </c>
      <c r="F4569" t="s">
        <v>5021</v>
      </c>
      <c r="G4569">
        <v>19.12</v>
      </c>
      <c r="H4569">
        <v>1</v>
      </c>
      <c r="I4569">
        <v>7.8</v>
      </c>
      <c r="J4569">
        <v>23.46</v>
      </c>
      <c r="K4569">
        <v>24.6</v>
      </c>
      <c r="L4569" t="s">
        <v>5027</v>
      </c>
      <c r="M4569">
        <v>4</v>
      </c>
      <c r="N4569">
        <v>4</v>
      </c>
      <c r="O4569">
        <v>0</v>
      </c>
    </row>
    <row r="4570" spans="1:15" x14ac:dyDescent="0.3">
      <c r="A4570" t="s">
        <v>4583</v>
      </c>
      <c r="B4570">
        <v>12</v>
      </c>
      <c r="C4570">
        <v>39</v>
      </c>
      <c r="D4570" t="s">
        <v>5015</v>
      </c>
      <c r="E4570" t="s">
        <v>5018</v>
      </c>
      <c r="F4570" t="s">
        <v>5024</v>
      </c>
      <c r="G4570">
        <v>12.87</v>
      </c>
      <c r="H4570">
        <v>1</v>
      </c>
      <c r="I4570">
        <v>4.4000000000000004</v>
      </c>
      <c r="J4570">
        <v>6.45</v>
      </c>
      <c r="K4570">
        <v>68.8</v>
      </c>
      <c r="L4570" t="s">
        <v>5027</v>
      </c>
      <c r="M4570">
        <v>3</v>
      </c>
      <c r="N4570">
        <v>1</v>
      </c>
      <c r="O4570">
        <v>1</v>
      </c>
    </row>
    <row r="4571" spans="1:15" x14ac:dyDescent="0.3">
      <c r="A4571" t="s">
        <v>4584</v>
      </c>
      <c r="B4571">
        <v>1</v>
      </c>
      <c r="C4571">
        <v>67</v>
      </c>
      <c r="D4571" t="s">
        <v>5016</v>
      </c>
      <c r="E4571" t="s">
        <v>5019</v>
      </c>
      <c r="F4571" t="s">
        <v>5021</v>
      </c>
      <c r="G4571">
        <v>7.38</v>
      </c>
      <c r="H4571">
        <v>2</v>
      </c>
      <c r="I4571">
        <v>2.4</v>
      </c>
      <c r="J4571">
        <v>5.62</v>
      </c>
      <c r="K4571">
        <v>99.3</v>
      </c>
      <c r="L4571" t="s">
        <v>5027</v>
      </c>
      <c r="M4571">
        <v>4</v>
      </c>
      <c r="N4571">
        <v>1</v>
      </c>
      <c r="O4571">
        <v>1</v>
      </c>
    </row>
    <row r="4572" spans="1:15" x14ac:dyDescent="0.3">
      <c r="A4572" t="s">
        <v>4585</v>
      </c>
      <c r="B4572">
        <v>6</v>
      </c>
      <c r="C4572">
        <v>55</v>
      </c>
      <c r="D4572" t="s">
        <v>5016</v>
      </c>
      <c r="E4572" t="s">
        <v>5018</v>
      </c>
      <c r="F4572" t="s">
        <v>5021</v>
      </c>
      <c r="G4572">
        <v>20.27</v>
      </c>
      <c r="H4572">
        <v>2</v>
      </c>
      <c r="I4572">
        <v>5.5</v>
      </c>
      <c r="J4572">
        <v>10.08</v>
      </c>
      <c r="K4572">
        <v>34.4</v>
      </c>
      <c r="L4572" t="s">
        <v>5026</v>
      </c>
      <c r="M4572">
        <v>3</v>
      </c>
      <c r="N4572">
        <v>3</v>
      </c>
      <c r="O4572">
        <v>0</v>
      </c>
    </row>
    <row r="4573" spans="1:15" x14ac:dyDescent="0.3">
      <c r="A4573" t="s">
        <v>4586</v>
      </c>
      <c r="B4573">
        <v>1</v>
      </c>
      <c r="C4573">
        <v>40</v>
      </c>
      <c r="D4573" t="s">
        <v>5016</v>
      </c>
      <c r="E4573" t="s">
        <v>5018</v>
      </c>
      <c r="F4573" t="s">
        <v>5023</v>
      </c>
      <c r="G4573">
        <v>8.34</v>
      </c>
      <c r="H4573">
        <v>3</v>
      </c>
      <c r="I4573">
        <v>4</v>
      </c>
      <c r="J4573">
        <v>21.26</v>
      </c>
      <c r="K4573">
        <v>51.5</v>
      </c>
      <c r="L4573" t="s">
        <v>5029</v>
      </c>
      <c r="M4573">
        <v>8</v>
      </c>
      <c r="N4573">
        <v>1</v>
      </c>
      <c r="O4573">
        <v>1</v>
      </c>
    </row>
    <row r="4574" spans="1:15" x14ac:dyDescent="0.3">
      <c r="A4574" t="s">
        <v>4587</v>
      </c>
      <c r="B4574">
        <v>5</v>
      </c>
      <c r="C4574">
        <v>43</v>
      </c>
      <c r="D4574" t="s">
        <v>5015</v>
      </c>
      <c r="E4574" t="s">
        <v>5018</v>
      </c>
      <c r="F4574" t="s">
        <v>5024</v>
      </c>
      <c r="G4574">
        <v>10.06</v>
      </c>
      <c r="H4574">
        <v>3</v>
      </c>
      <c r="I4574">
        <v>4.4000000000000004</v>
      </c>
      <c r="J4574">
        <v>3.77</v>
      </c>
      <c r="K4574">
        <v>12.7</v>
      </c>
      <c r="L4574" t="s">
        <v>5029</v>
      </c>
      <c r="M4574">
        <v>6</v>
      </c>
      <c r="N4574">
        <v>1</v>
      </c>
      <c r="O4574">
        <v>0</v>
      </c>
    </row>
    <row r="4575" spans="1:15" x14ac:dyDescent="0.3">
      <c r="A4575" t="s">
        <v>4588</v>
      </c>
      <c r="B4575">
        <v>9</v>
      </c>
      <c r="C4575">
        <v>68</v>
      </c>
      <c r="D4575" t="s">
        <v>5016</v>
      </c>
      <c r="E4575" t="s">
        <v>5019</v>
      </c>
      <c r="F4575" t="s">
        <v>5020</v>
      </c>
      <c r="G4575">
        <v>20.66</v>
      </c>
      <c r="H4575">
        <v>5</v>
      </c>
      <c r="I4575">
        <v>3.3</v>
      </c>
      <c r="J4575">
        <v>8.27</v>
      </c>
      <c r="K4575">
        <v>49.1</v>
      </c>
      <c r="L4575" t="s">
        <v>5025</v>
      </c>
      <c r="M4575">
        <v>6</v>
      </c>
      <c r="N4575">
        <v>3</v>
      </c>
      <c r="O4575">
        <v>0</v>
      </c>
    </row>
    <row r="4576" spans="1:15" x14ac:dyDescent="0.3">
      <c r="A4576" t="s">
        <v>4589</v>
      </c>
      <c r="B4576">
        <v>12</v>
      </c>
      <c r="C4576">
        <v>28</v>
      </c>
      <c r="D4576" t="s">
        <v>5016</v>
      </c>
      <c r="E4576" t="s">
        <v>5017</v>
      </c>
      <c r="F4576" t="s">
        <v>5021</v>
      </c>
      <c r="G4576">
        <v>19.84</v>
      </c>
      <c r="H4576">
        <v>5</v>
      </c>
      <c r="I4576">
        <v>1.6</v>
      </c>
      <c r="J4576">
        <v>12.34</v>
      </c>
      <c r="K4576">
        <v>46.5</v>
      </c>
      <c r="L4576" t="s">
        <v>5027</v>
      </c>
      <c r="M4576">
        <v>1</v>
      </c>
      <c r="N4576">
        <v>2</v>
      </c>
      <c r="O4576">
        <v>1</v>
      </c>
    </row>
    <row r="4577" spans="1:15" x14ac:dyDescent="0.3">
      <c r="A4577" t="s">
        <v>4590</v>
      </c>
      <c r="B4577">
        <v>5</v>
      </c>
      <c r="C4577">
        <v>45</v>
      </c>
      <c r="D4577" t="s">
        <v>5016</v>
      </c>
      <c r="E4577" t="s">
        <v>5018</v>
      </c>
      <c r="F4577" t="s">
        <v>5024</v>
      </c>
      <c r="G4577">
        <v>10.08</v>
      </c>
      <c r="H4577">
        <v>2</v>
      </c>
      <c r="I4577">
        <v>8.1</v>
      </c>
      <c r="J4577">
        <v>18.68</v>
      </c>
      <c r="K4577">
        <v>60.8</v>
      </c>
      <c r="L4577" t="s">
        <v>5028</v>
      </c>
      <c r="M4577">
        <v>5</v>
      </c>
      <c r="N4577">
        <v>3</v>
      </c>
      <c r="O4577">
        <v>0</v>
      </c>
    </row>
    <row r="4578" spans="1:15" x14ac:dyDescent="0.3">
      <c r="A4578" t="s">
        <v>4591</v>
      </c>
      <c r="B4578">
        <v>6</v>
      </c>
      <c r="C4578">
        <v>19</v>
      </c>
      <c r="D4578" t="s">
        <v>5016</v>
      </c>
      <c r="E4578" t="s">
        <v>5017</v>
      </c>
      <c r="F4578" t="s">
        <v>5021</v>
      </c>
      <c r="G4578">
        <v>23.82</v>
      </c>
      <c r="H4578">
        <v>1</v>
      </c>
      <c r="I4578">
        <v>6.6</v>
      </c>
      <c r="J4578">
        <v>9.58</v>
      </c>
      <c r="K4578">
        <v>33.1</v>
      </c>
      <c r="L4578" t="s">
        <v>5027</v>
      </c>
      <c r="M4578">
        <v>8</v>
      </c>
      <c r="N4578">
        <v>3</v>
      </c>
      <c r="O4578">
        <v>1</v>
      </c>
    </row>
    <row r="4579" spans="1:15" x14ac:dyDescent="0.3">
      <c r="A4579" t="s">
        <v>4592</v>
      </c>
      <c r="B4579">
        <v>8</v>
      </c>
      <c r="C4579">
        <v>25</v>
      </c>
      <c r="D4579" t="s">
        <v>5015</v>
      </c>
      <c r="E4579" t="s">
        <v>5018</v>
      </c>
      <c r="F4579" t="s">
        <v>5023</v>
      </c>
      <c r="G4579">
        <v>9.31</v>
      </c>
      <c r="H4579">
        <v>4</v>
      </c>
      <c r="I4579">
        <v>8.5</v>
      </c>
      <c r="J4579">
        <v>12.86</v>
      </c>
      <c r="K4579">
        <v>39.6</v>
      </c>
      <c r="L4579" t="s">
        <v>5025</v>
      </c>
      <c r="M4579">
        <v>11</v>
      </c>
      <c r="N4579">
        <v>2</v>
      </c>
      <c r="O4579">
        <v>0</v>
      </c>
    </row>
    <row r="4580" spans="1:15" x14ac:dyDescent="0.3">
      <c r="A4580" t="s">
        <v>4593</v>
      </c>
      <c r="B4580">
        <v>11</v>
      </c>
      <c r="C4580">
        <v>46</v>
      </c>
      <c r="D4580" t="s">
        <v>5016</v>
      </c>
      <c r="E4580" t="s">
        <v>5017</v>
      </c>
      <c r="F4580" t="s">
        <v>5023</v>
      </c>
      <c r="G4580">
        <v>24.87</v>
      </c>
      <c r="H4580">
        <v>4</v>
      </c>
      <c r="I4580">
        <v>5.5</v>
      </c>
      <c r="J4580">
        <v>10.41</v>
      </c>
      <c r="K4580">
        <v>64.900000000000006</v>
      </c>
      <c r="L4580" t="s">
        <v>5027</v>
      </c>
      <c r="M4580">
        <v>2</v>
      </c>
      <c r="N4580">
        <v>3</v>
      </c>
      <c r="O4580">
        <v>1</v>
      </c>
    </row>
    <row r="4581" spans="1:15" x14ac:dyDescent="0.3">
      <c r="A4581" t="s">
        <v>4594</v>
      </c>
      <c r="B4581">
        <v>1</v>
      </c>
      <c r="C4581">
        <v>28</v>
      </c>
      <c r="D4581" t="s">
        <v>5016</v>
      </c>
      <c r="E4581" t="s">
        <v>5018</v>
      </c>
      <c r="F4581" t="s">
        <v>5020</v>
      </c>
      <c r="G4581">
        <v>19.760000000000002</v>
      </c>
      <c r="H4581">
        <v>3</v>
      </c>
      <c r="I4581">
        <v>9.9</v>
      </c>
      <c r="J4581">
        <v>5.03</v>
      </c>
      <c r="K4581">
        <v>91.8</v>
      </c>
      <c r="L4581" t="s">
        <v>5026</v>
      </c>
      <c r="M4581">
        <v>3</v>
      </c>
      <c r="N4581">
        <v>4</v>
      </c>
      <c r="O4581">
        <v>1</v>
      </c>
    </row>
    <row r="4582" spans="1:15" x14ac:dyDescent="0.3">
      <c r="A4582" t="s">
        <v>4595</v>
      </c>
      <c r="B4582">
        <v>2</v>
      </c>
      <c r="C4582">
        <v>54</v>
      </c>
      <c r="D4582" t="s">
        <v>5015</v>
      </c>
      <c r="E4582" t="s">
        <v>5018</v>
      </c>
      <c r="F4582" t="s">
        <v>5023</v>
      </c>
      <c r="G4582">
        <v>12.85</v>
      </c>
      <c r="H4582">
        <v>4</v>
      </c>
      <c r="I4582">
        <v>9.6999999999999993</v>
      </c>
      <c r="J4582">
        <v>19.25</v>
      </c>
      <c r="K4582">
        <v>31.2</v>
      </c>
      <c r="L4582" t="s">
        <v>5025</v>
      </c>
      <c r="M4582">
        <v>9</v>
      </c>
      <c r="N4582">
        <v>1</v>
      </c>
      <c r="O4582">
        <v>0</v>
      </c>
    </row>
    <row r="4583" spans="1:15" x14ac:dyDescent="0.3">
      <c r="A4583" t="s">
        <v>4596</v>
      </c>
      <c r="B4583">
        <v>9</v>
      </c>
      <c r="C4583">
        <v>35</v>
      </c>
      <c r="D4583" t="s">
        <v>5015</v>
      </c>
      <c r="E4583" t="s">
        <v>5017</v>
      </c>
      <c r="F4583" t="s">
        <v>5024</v>
      </c>
      <c r="G4583">
        <v>7.61</v>
      </c>
      <c r="H4583">
        <v>4</v>
      </c>
      <c r="I4583">
        <v>3.4</v>
      </c>
      <c r="J4583">
        <v>13.15</v>
      </c>
      <c r="K4583">
        <v>71</v>
      </c>
      <c r="L4583" t="s">
        <v>5029</v>
      </c>
      <c r="M4583">
        <v>4</v>
      </c>
      <c r="N4583">
        <v>3</v>
      </c>
      <c r="O4583">
        <v>0</v>
      </c>
    </row>
    <row r="4584" spans="1:15" x14ac:dyDescent="0.3">
      <c r="A4584" t="s">
        <v>4597</v>
      </c>
      <c r="B4584">
        <v>3</v>
      </c>
      <c r="C4584">
        <v>67</v>
      </c>
      <c r="D4584" t="s">
        <v>5015</v>
      </c>
      <c r="E4584" t="s">
        <v>5017</v>
      </c>
      <c r="F4584" t="s">
        <v>5023</v>
      </c>
      <c r="G4584">
        <v>11.41</v>
      </c>
      <c r="H4584">
        <v>2</v>
      </c>
      <c r="I4584">
        <v>4.5</v>
      </c>
      <c r="J4584">
        <v>20.88</v>
      </c>
      <c r="K4584">
        <v>57.1</v>
      </c>
      <c r="L4584" t="s">
        <v>5029</v>
      </c>
      <c r="M4584">
        <v>11</v>
      </c>
      <c r="N4584">
        <v>0</v>
      </c>
      <c r="O4584">
        <v>1</v>
      </c>
    </row>
    <row r="4585" spans="1:15" x14ac:dyDescent="0.3">
      <c r="A4585" t="s">
        <v>4598</v>
      </c>
      <c r="B4585">
        <v>6</v>
      </c>
      <c r="C4585">
        <v>31</v>
      </c>
      <c r="D4585" t="s">
        <v>5016</v>
      </c>
      <c r="E4585" t="s">
        <v>5018</v>
      </c>
      <c r="F4585" t="s">
        <v>5020</v>
      </c>
      <c r="G4585">
        <v>8.8699999999999992</v>
      </c>
      <c r="H4585">
        <v>1</v>
      </c>
      <c r="I4585">
        <v>7.8</v>
      </c>
      <c r="J4585">
        <v>18.28</v>
      </c>
      <c r="K4585">
        <v>19.399999999999999</v>
      </c>
      <c r="L4585" t="s">
        <v>5026</v>
      </c>
      <c r="M4585">
        <v>10</v>
      </c>
      <c r="N4585">
        <v>1</v>
      </c>
      <c r="O4585">
        <v>0</v>
      </c>
    </row>
    <row r="4586" spans="1:15" x14ac:dyDescent="0.3">
      <c r="A4586" t="s">
        <v>4599</v>
      </c>
      <c r="B4586">
        <v>5</v>
      </c>
      <c r="C4586">
        <v>27</v>
      </c>
      <c r="D4586" t="s">
        <v>5015</v>
      </c>
      <c r="E4586" t="s">
        <v>5018</v>
      </c>
      <c r="F4586" t="s">
        <v>5022</v>
      </c>
      <c r="G4586">
        <v>17.440000000000001</v>
      </c>
      <c r="H4586">
        <v>5</v>
      </c>
      <c r="I4586">
        <v>8</v>
      </c>
      <c r="J4586">
        <v>4.2699999999999996</v>
      </c>
      <c r="K4586">
        <v>60.9</v>
      </c>
      <c r="L4586" t="s">
        <v>5029</v>
      </c>
      <c r="M4586">
        <v>5</v>
      </c>
      <c r="N4586">
        <v>4</v>
      </c>
      <c r="O4586">
        <v>0</v>
      </c>
    </row>
    <row r="4587" spans="1:15" x14ac:dyDescent="0.3">
      <c r="A4587" t="s">
        <v>4600</v>
      </c>
      <c r="B4587">
        <v>11</v>
      </c>
      <c r="C4587">
        <v>52</v>
      </c>
      <c r="D4587" t="s">
        <v>5015</v>
      </c>
      <c r="E4587" t="s">
        <v>5019</v>
      </c>
      <c r="F4587" t="s">
        <v>5021</v>
      </c>
      <c r="G4587">
        <v>12.14</v>
      </c>
      <c r="H4587">
        <v>2</v>
      </c>
      <c r="I4587">
        <v>9.1999999999999993</v>
      </c>
      <c r="J4587">
        <v>14</v>
      </c>
      <c r="K4587">
        <v>73.8</v>
      </c>
      <c r="L4587" t="s">
        <v>5026</v>
      </c>
      <c r="M4587">
        <v>11</v>
      </c>
      <c r="N4587">
        <v>4</v>
      </c>
      <c r="O4587">
        <v>0</v>
      </c>
    </row>
    <row r="4588" spans="1:15" x14ac:dyDescent="0.3">
      <c r="A4588" t="s">
        <v>4601</v>
      </c>
      <c r="B4588">
        <v>2</v>
      </c>
      <c r="C4588">
        <v>26</v>
      </c>
      <c r="D4588" t="s">
        <v>5015</v>
      </c>
      <c r="E4588" t="s">
        <v>5018</v>
      </c>
      <c r="F4588" t="s">
        <v>5021</v>
      </c>
      <c r="G4588">
        <v>10.9</v>
      </c>
      <c r="H4588">
        <v>5</v>
      </c>
      <c r="I4588">
        <v>6.9</v>
      </c>
      <c r="J4588">
        <v>24.8</v>
      </c>
      <c r="K4588">
        <v>63.8</v>
      </c>
      <c r="L4588" t="s">
        <v>5029</v>
      </c>
      <c r="M4588">
        <v>7</v>
      </c>
      <c r="N4588">
        <v>3</v>
      </c>
      <c r="O4588">
        <v>0</v>
      </c>
    </row>
    <row r="4589" spans="1:15" x14ac:dyDescent="0.3">
      <c r="A4589" t="s">
        <v>4602</v>
      </c>
      <c r="B4589">
        <v>7</v>
      </c>
      <c r="C4589">
        <v>52</v>
      </c>
      <c r="D4589" t="s">
        <v>5016</v>
      </c>
      <c r="E4589" t="s">
        <v>5017</v>
      </c>
      <c r="F4589" t="s">
        <v>5024</v>
      </c>
      <c r="G4589">
        <v>20.14</v>
      </c>
      <c r="H4589">
        <v>2</v>
      </c>
      <c r="I4589">
        <v>5.3</v>
      </c>
      <c r="J4589">
        <v>9.77</v>
      </c>
      <c r="K4589">
        <v>19.399999999999999</v>
      </c>
      <c r="L4589" t="s">
        <v>5029</v>
      </c>
      <c r="M4589">
        <v>5</v>
      </c>
      <c r="N4589">
        <v>2</v>
      </c>
      <c r="O4589">
        <v>1</v>
      </c>
    </row>
    <row r="4590" spans="1:15" x14ac:dyDescent="0.3">
      <c r="A4590" t="s">
        <v>4603</v>
      </c>
      <c r="B4590">
        <v>4</v>
      </c>
      <c r="C4590">
        <v>28</v>
      </c>
      <c r="D4590" t="s">
        <v>5016</v>
      </c>
      <c r="E4590" t="s">
        <v>5018</v>
      </c>
      <c r="F4590" t="s">
        <v>5020</v>
      </c>
      <c r="G4590">
        <v>9.61</v>
      </c>
      <c r="H4590">
        <v>2</v>
      </c>
      <c r="I4590">
        <v>4.4000000000000004</v>
      </c>
      <c r="J4590">
        <v>13.85</v>
      </c>
      <c r="K4590">
        <v>86.9</v>
      </c>
      <c r="L4590" t="s">
        <v>5027</v>
      </c>
      <c r="M4590">
        <v>2</v>
      </c>
      <c r="N4590">
        <v>0</v>
      </c>
      <c r="O4590">
        <v>0</v>
      </c>
    </row>
    <row r="4591" spans="1:15" x14ac:dyDescent="0.3">
      <c r="A4591" t="s">
        <v>4604</v>
      </c>
      <c r="B4591">
        <v>1</v>
      </c>
      <c r="C4591">
        <v>61</v>
      </c>
      <c r="D4591" t="s">
        <v>5016</v>
      </c>
      <c r="E4591" t="s">
        <v>5017</v>
      </c>
      <c r="F4591" t="s">
        <v>5020</v>
      </c>
      <c r="G4591">
        <v>16.739999999999998</v>
      </c>
      <c r="H4591">
        <v>4</v>
      </c>
      <c r="I4591">
        <v>4.8</v>
      </c>
      <c r="J4591">
        <v>17.34</v>
      </c>
      <c r="K4591">
        <v>13.7</v>
      </c>
      <c r="L4591" t="s">
        <v>5025</v>
      </c>
      <c r="M4591">
        <v>7</v>
      </c>
      <c r="N4591">
        <v>3</v>
      </c>
      <c r="O4591">
        <v>0</v>
      </c>
    </row>
    <row r="4592" spans="1:15" x14ac:dyDescent="0.3">
      <c r="A4592" t="s">
        <v>4605</v>
      </c>
      <c r="B4592">
        <v>4</v>
      </c>
      <c r="C4592">
        <v>29</v>
      </c>
      <c r="D4592" t="s">
        <v>5015</v>
      </c>
      <c r="E4592" t="s">
        <v>5019</v>
      </c>
      <c r="F4592" t="s">
        <v>5020</v>
      </c>
      <c r="G4592">
        <v>8.89</v>
      </c>
      <c r="H4592">
        <v>5</v>
      </c>
      <c r="I4592">
        <v>8.6999999999999993</v>
      </c>
      <c r="J4592">
        <v>7.45</v>
      </c>
      <c r="K4592">
        <v>31.2</v>
      </c>
      <c r="L4592" t="s">
        <v>5029</v>
      </c>
      <c r="M4592">
        <v>11</v>
      </c>
      <c r="N4592">
        <v>2</v>
      </c>
      <c r="O4592">
        <v>0</v>
      </c>
    </row>
    <row r="4593" spans="1:15" x14ac:dyDescent="0.3">
      <c r="A4593" t="s">
        <v>4606</v>
      </c>
      <c r="B4593">
        <v>6</v>
      </c>
      <c r="C4593">
        <v>20</v>
      </c>
      <c r="D4593" t="s">
        <v>5016</v>
      </c>
      <c r="E4593" t="s">
        <v>5019</v>
      </c>
      <c r="F4593" t="s">
        <v>5021</v>
      </c>
      <c r="G4593">
        <v>19.3</v>
      </c>
      <c r="H4593">
        <v>2</v>
      </c>
      <c r="I4593">
        <v>9.8000000000000007</v>
      </c>
      <c r="J4593">
        <v>18.46</v>
      </c>
      <c r="K4593">
        <v>65.400000000000006</v>
      </c>
      <c r="L4593" t="s">
        <v>5025</v>
      </c>
      <c r="M4593">
        <v>6</v>
      </c>
      <c r="N4593">
        <v>4</v>
      </c>
      <c r="O4593">
        <v>0</v>
      </c>
    </row>
    <row r="4594" spans="1:15" x14ac:dyDescent="0.3">
      <c r="A4594" t="s">
        <v>4607</v>
      </c>
      <c r="B4594">
        <v>7</v>
      </c>
      <c r="C4594">
        <v>56</v>
      </c>
      <c r="D4594" t="s">
        <v>5015</v>
      </c>
      <c r="E4594" t="s">
        <v>5018</v>
      </c>
      <c r="F4594" t="s">
        <v>5023</v>
      </c>
      <c r="G4594">
        <v>17.5</v>
      </c>
      <c r="H4594">
        <v>4</v>
      </c>
      <c r="I4594">
        <v>1.5</v>
      </c>
      <c r="J4594">
        <v>17.52</v>
      </c>
      <c r="K4594">
        <v>29.6</v>
      </c>
      <c r="L4594" t="s">
        <v>5025</v>
      </c>
      <c r="M4594">
        <v>11</v>
      </c>
      <c r="N4594">
        <v>1</v>
      </c>
      <c r="O4594">
        <v>0</v>
      </c>
    </row>
    <row r="4595" spans="1:15" x14ac:dyDescent="0.3">
      <c r="A4595" t="s">
        <v>4608</v>
      </c>
      <c r="B4595">
        <v>7</v>
      </c>
      <c r="C4595">
        <v>31</v>
      </c>
      <c r="D4595" t="s">
        <v>5015</v>
      </c>
      <c r="E4595" t="s">
        <v>5018</v>
      </c>
      <c r="F4595" t="s">
        <v>5021</v>
      </c>
      <c r="G4595">
        <v>20.96</v>
      </c>
      <c r="H4595">
        <v>3</v>
      </c>
      <c r="I4595">
        <v>6.2</v>
      </c>
      <c r="J4595">
        <v>11.25</v>
      </c>
      <c r="K4595">
        <v>19.2</v>
      </c>
      <c r="L4595" t="s">
        <v>5029</v>
      </c>
      <c r="M4595">
        <v>9</v>
      </c>
      <c r="N4595">
        <v>4</v>
      </c>
      <c r="O4595">
        <v>0</v>
      </c>
    </row>
    <row r="4596" spans="1:15" x14ac:dyDescent="0.3">
      <c r="A4596" t="s">
        <v>4609</v>
      </c>
      <c r="B4596">
        <v>7</v>
      </c>
      <c r="C4596">
        <v>45</v>
      </c>
      <c r="D4596" t="s">
        <v>5015</v>
      </c>
      <c r="E4596" t="s">
        <v>5017</v>
      </c>
      <c r="F4596" t="s">
        <v>5021</v>
      </c>
      <c r="G4596">
        <v>6.37</v>
      </c>
      <c r="H4596">
        <v>5</v>
      </c>
      <c r="I4596">
        <v>5.7</v>
      </c>
      <c r="J4596">
        <v>9.26</v>
      </c>
      <c r="K4596">
        <v>56.1</v>
      </c>
      <c r="L4596" t="s">
        <v>5025</v>
      </c>
      <c r="M4596">
        <v>2</v>
      </c>
      <c r="N4596">
        <v>3</v>
      </c>
      <c r="O4596">
        <v>1</v>
      </c>
    </row>
    <row r="4597" spans="1:15" x14ac:dyDescent="0.3">
      <c r="A4597" t="s">
        <v>4610</v>
      </c>
      <c r="B4597">
        <v>3</v>
      </c>
      <c r="C4597">
        <v>28</v>
      </c>
      <c r="D4597" t="s">
        <v>5016</v>
      </c>
      <c r="E4597" t="s">
        <v>5018</v>
      </c>
      <c r="F4597" t="s">
        <v>5021</v>
      </c>
      <c r="G4597">
        <v>9.1999999999999993</v>
      </c>
      <c r="H4597">
        <v>2</v>
      </c>
      <c r="I4597">
        <v>4.4000000000000004</v>
      </c>
      <c r="J4597">
        <v>23.22</v>
      </c>
      <c r="K4597">
        <v>75</v>
      </c>
      <c r="L4597" t="s">
        <v>5026</v>
      </c>
      <c r="M4597">
        <v>2</v>
      </c>
      <c r="N4597">
        <v>2</v>
      </c>
      <c r="O4597">
        <v>0</v>
      </c>
    </row>
    <row r="4598" spans="1:15" x14ac:dyDescent="0.3">
      <c r="A4598" t="s">
        <v>4611</v>
      </c>
      <c r="B4598">
        <v>6</v>
      </c>
      <c r="C4598">
        <v>56</v>
      </c>
      <c r="D4598" t="s">
        <v>5015</v>
      </c>
      <c r="E4598" t="s">
        <v>5019</v>
      </c>
      <c r="F4598" t="s">
        <v>5023</v>
      </c>
      <c r="G4598">
        <v>8.09</v>
      </c>
      <c r="H4598">
        <v>3</v>
      </c>
      <c r="I4598">
        <v>8.6999999999999993</v>
      </c>
      <c r="J4598">
        <v>5.79</v>
      </c>
      <c r="K4598">
        <v>47</v>
      </c>
      <c r="L4598" t="s">
        <v>5028</v>
      </c>
      <c r="M4598">
        <v>8</v>
      </c>
      <c r="N4598">
        <v>3</v>
      </c>
      <c r="O4598">
        <v>0</v>
      </c>
    </row>
    <row r="4599" spans="1:15" x14ac:dyDescent="0.3">
      <c r="A4599" t="s">
        <v>4612</v>
      </c>
      <c r="B4599">
        <v>8</v>
      </c>
      <c r="C4599">
        <v>42</v>
      </c>
      <c r="D4599" t="s">
        <v>5015</v>
      </c>
      <c r="E4599" t="s">
        <v>5017</v>
      </c>
      <c r="F4599" t="s">
        <v>5022</v>
      </c>
      <c r="G4599">
        <v>8.81</v>
      </c>
      <c r="H4599">
        <v>4</v>
      </c>
      <c r="I4599">
        <v>6.2</v>
      </c>
      <c r="J4599">
        <v>12.5</v>
      </c>
      <c r="K4599">
        <v>72.900000000000006</v>
      </c>
      <c r="L4599" t="s">
        <v>5026</v>
      </c>
      <c r="M4599">
        <v>10</v>
      </c>
      <c r="N4599">
        <v>4</v>
      </c>
      <c r="O4599">
        <v>0</v>
      </c>
    </row>
    <row r="4600" spans="1:15" x14ac:dyDescent="0.3">
      <c r="A4600" t="s">
        <v>4613</v>
      </c>
      <c r="B4600">
        <v>4</v>
      </c>
      <c r="C4600">
        <v>38</v>
      </c>
      <c r="D4600" t="s">
        <v>5016</v>
      </c>
      <c r="E4600" t="s">
        <v>5017</v>
      </c>
      <c r="F4600" t="s">
        <v>5024</v>
      </c>
      <c r="G4600">
        <v>7.06</v>
      </c>
      <c r="H4600">
        <v>2</v>
      </c>
      <c r="I4600">
        <v>3.8</v>
      </c>
      <c r="J4600">
        <v>19.87</v>
      </c>
      <c r="K4600">
        <v>87.5</v>
      </c>
      <c r="L4600" t="s">
        <v>5029</v>
      </c>
      <c r="M4600">
        <v>11</v>
      </c>
      <c r="N4600">
        <v>0</v>
      </c>
      <c r="O4600">
        <v>0</v>
      </c>
    </row>
    <row r="4601" spans="1:15" x14ac:dyDescent="0.3">
      <c r="A4601" t="s">
        <v>4614</v>
      </c>
      <c r="B4601">
        <v>8</v>
      </c>
      <c r="C4601">
        <v>27</v>
      </c>
      <c r="D4601" t="s">
        <v>5015</v>
      </c>
      <c r="E4601" t="s">
        <v>5018</v>
      </c>
      <c r="F4601" t="s">
        <v>5022</v>
      </c>
      <c r="G4601">
        <v>16.239999999999998</v>
      </c>
      <c r="H4601">
        <v>4</v>
      </c>
      <c r="I4601">
        <v>5</v>
      </c>
      <c r="J4601">
        <v>6.26</v>
      </c>
      <c r="K4601">
        <v>96.3</v>
      </c>
      <c r="L4601" t="s">
        <v>5026</v>
      </c>
      <c r="M4601">
        <v>1</v>
      </c>
      <c r="N4601">
        <v>4</v>
      </c>
      <c r="O4601">
        <v>0</v>
      </c>
    </row>
    <row r="4602" spans="1:15" x14ac:dyDescent="0.3">
      <c r="A4602" t="s">
        <v>4615</v>
      </c>
      <c r="B4602">
        <v>2</v>
      </c>
      <c r="C4602">
        <v>60</v>
      </c>
      <c r="D4602" t="s">
        <v>5015</v>
      </c>
      <c r="E4602" t="s">
        <v>5019</v>
      </c>
      <c r="F4602" t="s">
        <v>5022</v>
      </c>
      <c r="G4602">
        <v>16.87</v>
      </c>
      <c r="H4602">
        <v>4</v>
      </c>
      <c r="I4602">
        <v>4.2</v>
      </c>
      <c r="J4602">
        <v>23.52</v>
      </c>
      <c r="K4602">
        <v>31</v>
      </c>
      <c r="L4602" t="s">
        <v>5028</v>
      </c>
      <c r="M4602">
        <v>8</v>
      </c>
      <c r="N4602">
        <v>3</v>
      </c>
      <c r="O4602">
        <v>0</v>
      </c>
    </row>
    <row r="4603" spans="1:15" x14ac:dyDescent="0.3">
      <c r="A4603" t="s">
        <v>4616</v>
      </c>
      <c r="B4603">
        <v>10</v>
      </c>
      <c r="C4603">
        <v>32</v>
      </c>
      <c r="D4603" t="s">
        <v>5015</v>
      </c>
      <c r="E4603" t="s">
        <v>5018</v>
      </c>
      <c r="F4603" t="s">
        <v>5021</v>
      </c>
      <c r="G4603">
        <v>21.87</v>
      </c>
      <c r="H4603">
        <v>4</v>
      </c>
      <c r="I4603">
        <v>4.9000000000000004</v>
      </c>
      <c r="J4603">
        <v>14.58</v>
      </c>
      <c r="K4603">
        <v>64.5</v>
      </c>
      <c r="L4603" t="s">
        <v>5026</v>
      </c>
      <c r="M4603">
        <v>5</v>
      </c>
      <c r="N4603">
        <v>2</v>
      </c>
      <c r="O4603">
        <v>0</v>
      </c>
    </row>
    <row r="4604" spans="1:15" x14ac:dyDescent="0.3">
      <c r="A4604" t="s">
        <v>4617</v>
      </c>
      <c r="B4604">
        <v>9</v>
      </c>
      <c r="C4604">
        <v>36</v>
      </c>
      <c r="D4604" t="s">
        <v>5016</v>
      </c>
      <c r="E4604" t="s">
        <v>5019</v>
      </c>
      <c r="F4604" t="s">
        <v>5022</v>
      </c>
      <c r="G4604">
        <v>13.35</v>
      </c>
      <c r="H4604">
        <v>5</v>
      </c>
      <c r="I4604">
        <v>1.6</v>
      </c>
      <c r="J4604">
        <v>14.11</v>
      </c>
      <c r="K4604">
        <v>34</v>
      </c>
      <c r="L4604" t="s">
        <v>5025</v>
      </c>
      <c r="M4604">
        <v>1</v>
      </c>
      <c r="N4604">
        <v>3</v>
      </c>
      <c r="O4604">
        <v>0</v>
      </c>
    </row>
    <row r="4605" spans="1:15" x14ac:dyDescent="0.3">
      <c r="A4605" t="s">
        <v>4618</v>
      </c>
      <c r="B4605">
        <v>9</v>
      </c>
      <c r="C4605">
        <v>65</v>
      </c>
      <c r="D4605" t="s">
        <v>5015</v>
      </c>
      <c r="E4605" t="s">
        <v>5017</v>
      </c>
      <c r="F4605" t="s">
        <v>5021</v>
      </c>
      <c r="G4605">
        <v>15.65</v>
      </c>
      <c r="H4605">
        <v>3</v>
      </c>
      <c r="I4605">
        <v>2</v>
      </c>
      <c r="J4605">
        <v>12.33</v>
      </c>
      <c r="K4605">
        <v>88.4</v>
      </c>
      <c r="L4605" t="s">
        <v>5029</v>
      </c>
      <c r="M4605">
        <v>10</v>
      </c>
      <c r="N4605">
        <v>1</v>
      </c>
      <c r="O4605">
        <v>0</v>
      </c>
    </row>
    <row r="4606" spans="1:15" x14ac:dyDescent="0.3">
      <c r="A4606" t="s">
        <v>4619</v>
      </c>
      <c r="B4606">
        <v>8</v>
      </c>
      <c r="C4606">
        <v>39</v>
      </c>
      <c r="D4606" t="s">
        <v>5016</v>
      </c>
      <c r="E4606" t="s">
        <v>5018</v>
      </c>
      <c r="F4606" t="s">
        <v>5021</v>
      </c>
      <c r="G4606">
        <v>24.83</v>
      </c>
      <c r="H4606">
        <v>3</v>
      </c>
      <c r="I4606">
        <v>6.6</v>
      </c>
      <c r="J4606">
        <v>22.08</v>
      </c>
      <c r="K4606">
        <v>90.1</v>
      </c>
      <c r="L4606" t="s">
        <v>5025</v>
      </c>
      <c r="M4606">
        <v>11</v>
      </c>
      <c r="N4606">
        <v>1</v>
      </c>
      <c r="O4606">
        <v>0</v>
      </c>
    </row>
    <row r="4607" spans="1:15" x14ac:dyDescent="0.3">
      <c r="A4607" t="s">
        <v>4620</v>
      </c>
      <c r="B4607">
        <v>10</v>
      </c>
      <c r="C4607">
        <v>38</v>
      </c>
      <c r="D4607" t="s">
        <v>5016</v>
      </c>
      <c r="E4607" t="s">
        <v>5019</v>
      </c>
      <c r="F4607" t="s">
        <v>5024</v>
      </c>
      <c r="G4607">
        <v>15.64</v>
      </c>
      <c r="H4607">
        <v>1</v>
      </c>
      <c r="I4607">
        <v>7.2</v>
      </c>
      <c r="J4607">
        <v>23.87</v>
      </c>
      <c r="K4607">
        <v>39</v>
      </c>
      <c r="L4607" t="s">
        <v>5025</v>
      </c>
      <c r="M4607">
        <v>1</v>
      </c>
      <c r="N4607">
        <v>2</v>
      </c>
      <c r="O4607">
        <v>0</v>
      </c>
    </row>
    <row r="4608" spans="1:15" x14ac:dyDescent="0.3">
      <c r="A4608" t="s">
        <v>4621</v>
      </c>
      <c r="B4608">
        <v>10</v>
      </c>
      <c r="C4608">
        <v>69</v>
      </c>
      <c r="D4608" t="s">
        <v>5015</v>
      </c>
      <c r="E4608" t="s">
        <v>5017</v>
      </c>
      <c r="F4608" t="s">
        <v>5020</v>
      </c>
      <c r="G4608">
        <v>16.47</v>
      </c>
      <c r="H4608">
        <v>2</v>
      </c>
      <c r="I4608">
        <v>6.7</v>
      </c>
      <c r="J4608">
        <v>11.36</v>
      </c>
      <c r="K4608">
        <v>68.099999999999994</v>
      </c>
      <c r="L4608" t="s">
        <v>5029</v>
      </c>
      <c r="M4608">
        <v>6</v>
      </c>
      <c r="N4608">
        <v>4</v>
      </c>
      <c r="O4608">
        <v>0</v>
      </c>
    </row>
    <row r="4609" spans="1:15" x14ac:dyDescent="0.3">
      <c r="A4609" t="s">
        <v>4622</v>
      </c>
      <c r="B4609">
        <v>1</v>
      </c>
      <c r="C4609">
        <v>61</v>
      </c>
      <c r="D4609" t="s">
        <v>5015</v>
      </c>
      <c r="E4609" t="s">
        <v>5018</v>
      </c>
      <c r="F4609" t="s">
        <v>5021</v>
      </c>
      <c r="G4609">
        <v>24.92</v>
      </c>
      <c r="H4609">
        <v>4</v>
      </c>
      <c r="I4609">
        <v>7.9</v>
      </c>
      <c r="J4609">
        <v>14.93</v>
      </c>
      <c r="K4609">
        <v>89.9</v>
      </c>
      <c r="L4609" t="s">
        <v>5029</v>
      </c>
      <c r="M4609">
        <v>10</v>
      </c>
      <c r="N4609">
        <v>3</v>
      </c>
      <c r="O4609">
        <v>1</v>
      </c>
    </row>
    <row r="4610" spans="1:15" x14ac:dyDescent="0.3">
      <c r="A4610" t="s">
        <v>4623</v>
      </c>
      <c r="B4610">
        <v>2</v>
      </c>
      <c r="C4610">
        <v>49</v>
      </c>
      <c r="D4610" t="s">
        <v>5015</v>
      </c>
      <c r="E4610" t="s">
        <v>5017</v>
      </c>
      <c r="F4610" t="s">
        <v>5022</v>
      </c>
      <c r="G4610">
        <v>24.88</v>
      </c>
      <c r="H4610">
        <v>2</v>
      </c>
      <c r="I4610">
        <v>9.5</v>
      </c>
      <c r="J4610">
        <v>9.94</v>
      </c>
      <c r="K4610">
        <v>55.8</v>
      </c>
      <c r="L4610" t="s">
        <v>5027</v>
      </c>
      <c r="M4610">
        <v>11</v>
      </c>
      <c r="N4610">
        <v>1</v>
      </c>
      <c r="O4610">
        <v>0</v>
      </c>
    </row>
    <row r="4611" spans="1:15" x14ac:dyDescent="0.3">
      <c r="A4611" t="s">
        <v>4624</v>
      </c>
      <c r="B4611">
        <v>6</v>
      </c>
      <c r="C4611">
        <v>67</v>
      </c>
      <c r="D4611" t="s">
        <v>5015</v>
      </c>
      <c r="E4611" t="s">
        <v>5017</v>
      </c>
      <c r="F4611" t="s">
        <v>5024</v>
      </c>
      <c r="G4611">
        <v>13.48</v>
      </c>
      <c r="H4611">
        <v>3</v>
      </c>
      <c r="I4611">
        <v>8.6999999999999993</v>
      </c>
      <c r="J4611">
        <v>11.1</v>
      </c>
      <c r="K4611">
        <v>74.8</v>
      </c>
      <c r="L4611" t="s">
        <v>5028</v>
      </c>
      <c r="M4611">
        <v>2</v>
      </c>
      <c r="N4611">
        <v>0</v>
      </c>
      <c r="O4611">
        <v>0</v>
      </c>
    </row>
    <row r="4612" spans="1:15" x14ac:dyDescent="0.3">
      <c r="A4612" t="s">
        <v>4625</v>
      </c>
      <c r="B4612">
        <v>10</v>
      </c>
      <c r="C4612">
        <v>40</v>
      </c>
      <c r="D4612" t="s">
        <v>5016</v>
      </c>
      <c r="E4612" t="s">
        <v>5017</v>
      </c>
      <c r="F4612" t="s">
        <v>5022</v>
      </c>
      <c r="G4612">
        <v>17.7</v>
      </c>
      <c r="H4612">
        <v>3</v>
      </c>
      <c r="I4612">
        <v>4.8</v>
      </c>
      <c r="J4612">
        <v>3.62</v>
      </c>
      <c r="K4612">
        <v>82.1</v>
      </c>
      <c r="L4612" t="s">
        <v>5025</v>
      </c>
      <c r="M4612">
        <v>2</v>
      </c>
      <c r="N4612">
        <v>1</v>
      </c>
      <c r="O4612">
        <v>0</v>
      </c>
    </row>
    <row r="4613" spans="1:15" x14ac:dyDescent="0.3">
      <c r="A4613" t="s">
        <v>4626</v>
      </c>
      <c r="B4613">
        <v>5</v>
      </c>
      <c r="C4613">
        <v>30</v>
      </c>
      <c r="D4613" t="s">
        <v>5016</v>
      </c>
      <c r="E4613" t="s">
        <v>5019</v>
      </c>
      <c r="F4613" t="s">
        <v>5020</v>
      </c>
      <c r="G4613">
        <v>14.62</v>
      </c>
      <c r="H4613">
        <v>4</v>
      </c>
      <c r="I4613">
        <v>3</v>
      </c>
      <c r="J4613">
        <v>20.29</v>
      </c>
      <c r="K4613">
        <v>88.5</v>
      </c>
      <c r="L4613" t="s">
        <v>5025</v>
      </c>
      <c r="M4613">
        <v>1</v>
      </c>
      <c r="N4613">
        <v>4</v>
      </c>
      <c r="O4613">
        <v>0</v>
      </c>
    </row>
    <row r="4614" spans="1:15" x14ac:dyDescent="0.3">
      <c r="A4614" t="s">
        <v>4627</v>
      </c>
      <c r="B4614">
        <v>12</v>
      </c>
      <c r="C4614">
        <v>22</v>
      </c>
      <c r="D4614" t="s">
        <v>5015</v>
      </c>
      <c r="E4614" t="s">
        <v>5018</v>
      </c>
      <c r="F4614" t="s">
        <v>5023</v>
      </c>
      <c r="G4614">
        <v>19.41</v>
      </c>
      <c r="H4614">
        <v>5</v>
      </c>
      <c r="I4614">
        <v>3.8</v>
      </c>
      <c r="J4614">
        <v>24.33</v>
      </c>
      <c r="K4614">
        <v>56.4</v>
      </c>
      <c r="L4614" t="s">
        <v>5029</v>
      </c>
      <c r="M4614">
        <v>1</v>
      </c>
      <c r="N4614">
        <v>2</v>
      </c>
      <c r="O4614">
        <v>0</v>
      </c>
    </row>
    <row r="4615" spans="1:15" x14ac:dyDescent="0.3">
      <c r="A4615" t="s">
        <v>4628</v>
      </c>
      <c r="B4615">
        <v>9</v>
      </c>
      <c r="C4615">
        <v>21</v>
      </c>
      <c r="D4615" t="s">
        <v>5016</v>
      </c>
      <c r="E4615" t="s">
        <v>5019</v>
      </c>
      <c r="F4615" t="s">
        <v>5020</v>
      </c>
      <c r="G4615">
        <v>23.77</v>
      </c>
      <c r="H4615">
        <v>4</v>
      </c>
      <c r="I4615">
        <v>6.3</v>
      </c>
      <c r="J4615">
        <v>19.93</v>
      </c>
      <c r="K4615">
        <v>94.8</v>
      </c>
      <c r="L4615" t="s">
        <v>5029</v>
      </c>
      <c r="M4615">
        <v>4</v>
      </c>
      <c r="N4615">
        <v>0</v>
      </c>
      <c r="O4615">
        <v>0</v>
      </c>
    </row>
    <row r="4616" spans="1:15" x14ac:dyDescent="0.3">
      <c r="A4616" t="s">
        <v>4629</v>
      </c>
      <c r="B4616">
        <v>5</v>
      </c>
      <c r="C4616">
        <v>45</v>
      </c>
      <c r="D4616" t="s">
        <v>5015</v>
      </c>
      <c r="E4616" t="s">
        <v>5018</v>
      </c>
      <c r="F4616" t="s">
        <v>5024</v>
      </c>
      <c r="G4616">
        <v>11.19</v>
      </c>
      <c r="H4616">
        <v>4</v>
      </c>
      <c r="I4616">
        <v>8.6999999999999993</v>
      </c>
      <c r="J4616">
        <v>14.4</v>
      </c>
      <c r="K4616">
        <v>66.599999999999994</v>
      </c>
      <c r="L4616" t="s">
        <v>5026</v>
      </c>
      <c r="M4616">
        <v>5</v>
      </c>
      <c r="N4616">
        <v>3</v>
      </c>
      <c r="O4616">
        <v>0</v>
      </c>
    </row>
    <row r="4617" spans="1:15" x14ac:dyDescent="0.3">
      <c r="A4617" t="s">
        <v>4630</v>
      </c>
      <c r="B4617">
        <v>2</v>
      </c>
      <c r="C4617">
        <v>31</v>
      </c>
      <c r="D4617" t="s">
        <v>5015</v>
      </c>
      <c r="E4617" t="s">
        <v>5018</v>
      </c>
      <c r="F4617" t="s">
        <v>5020</v>
      </c>
      <c r="G4617">
        <v>21.38</v>
      </c>
      <c r="H4617">
        <v>1</v>
      </c>
      <c r="I4617">
        <v>7.3</v>
      </c>
      <c r="J4617">
        <v>21.21</v>
      </c>
      <c r="K4617">
        <v>23.7</v>
      </c>
      <c r="L4617" t="s">
        <v>5025</v>
      </c>
      <c r="M4617">
        <v>4</v>
      </c>
      <c r="N4617">
        <v>3</v>
      </c>
      <c r="O4617">
        <v>0</v>
      </c>
    </row>
    <row r="4618" spans="1:15" x14ac:dyDescent="0.3">
      <c r="A4618" t="s">
        <v>4631</v>
      </c>
      <c r="B4618">
        <v>10</v>
      </c>
      <c r="C4618">
        <v>25</v>
      </c>
      <c r="D4618" t="s">
        <v>5015</v>
      </c>
      <c r="E4618" t="s">
        <v>5018</v>
      </c>
      <c r="F4618" t="s">
        <v>5020</v>
      </c>
      <c r="G4618">
        <v>18.100000000000001</v>
      </c>
      <c r="H4618">
        <v>5</v>
      </c>
      <c r="I4618">
        <v>5.9</v>
      </c>
      <c r="J4618">
        <v>21.87</v>
      </c>
      <c r="K4618">
        <v>65.099999999999994</v>
      </c>
      <c r="L4618" t="s">
        <v>5025</v>
      </c>
      <c r="M4618">
        <v>6</v>
      </c>
      <c r="N4618">
        <v>2</v>
      </c>
      <c r="O4618">
        <v>0</v>
      </c>
    </row>
    <row r="4619" spans="1:15" x14ac:dyDescent="0.3">
      <c r="A4619" t="s">
        <v>4632</v>
      </c>
      <c r="B4619">
        <v>4</v>
      </c>
      <c r="C4619">
        <v>26</v>
      </c>
      <c r="D4619" t="s">
        <v>5015</v>
      </c>
      <c r="E4619" t="s">
        <v>5019</v>
      </c>
      <c r="F4619" t="s">
        <v>5024</v>
      </c>
      <c r="G4619">
        <v>10.6</v>
      </c>
      <c r="H4619">
        <v>2</v>
      </c>
      <c r="I4619">
        <v>6.4</v>
      </c>
      <c r="J4619">
        <v>14.98</v>
      </c>
      <c r="K4619">
        <v>36.9</v>
      </c>
      <c r="L4619" t="s">
        <v>5029</v>
      </c>
      <c r="M4619">
        <v>8</v>
      </c>
      <c r="N4619">
        <v>0</v>
      </c>
      <c r="O4619">
        <v>0</v>
      </c>
    </row>
    <row r="4620" spans="1:15" x14ac:dyDescent="0.3">
      <c r="A4620" t="s">
        <v>4633</v>
      </c>
      <c r="B4620">
        <v>9</v>
      </c>
      <c r="C4620">
        <v>68</v>
      </c>
      <c r="D4620" t="s">
        <v>5016</v>
      </c>
      <c r="E4620" t="s">
        <v>5019</v>
      </c>
      <c r="F4620" t="s">
        <v>5024</v>
      </c>
      <c r="G4620">
        <v>20.95</v>
      </c>
      <c r="H4620">
        <v>5</v>
      </c>
      <c r="I4620">
        <v>5.8</v>
      </c>
      <c r="J4620">
        <v>23.62</v>
      </c>
      <c r="K4620">
        <v>43.5</v>
      </c>
      <c r="L4620" t="s">
        <v>5025</v>
      </c>
      <c r="M4620">
        <v>11</v>
      </c>
      <c r="N4620">
        <v>0</v>
      </c>
      <c r="O4620">
        <v>1</v>
      </c>
    </row>
    <row r="4621" spans="1:15" x14ac:dyDescent="0.3">
      <c r="A4621" t="s">
        <v>4634</v>
      </c>
      <c r="B4621">
        <v>1</v>
      </c>
      <c r="C4621">
        <v>52</v>
      </c>
      <c r="D4621" t="s">
        <v>5016</v>
      </c>
      <c r="E4621" t="s">
        <v>5019</v>
      </c>
      <c r="F4621" t="s">
        <v>5022</v>
      </c>
      <c r="G4621">
        <v>13.54</v>
      </c>
      <c r="H4621">
        <v>4</v>
      </c>
      <c r="I4621">
        <v>9.6999999999999993</v>
      </c>
      <c r="J4621">
        <v>3.66</v>
      </c>
      <c r="K4621">
        <v>82.8</v>
      </c>
      <c r="L4621" t="s">
        <v>5028</v>
      </c>
      <c r="M4621">
        <v>11</v>
      </c>
      <c r="N4621">
        <v>0</v>
      </c>
      <c r="O4621">
        <v>0</v>
      </c>
    </row>
    <row r="4622" spans="1:15" x14ac:dyDescent="0.3">
      <c r="A4622" t="s">
        <v>4635</v>
      </c>
      <c r="B4622">
        <v>11</v>
      </c>
      <c r="C4622">
        <v>54</v>
      </c>
      <c r="D4622" t="s">
        <v>5015</v>
      </c>
      <c r="E4622" t="s">
        <v>5017</v>
      </c>
      <c r="F4622" t="s">
        <v>5021</v>
      </c>
      <c r="G4622">
        <v>7.41</v>
      </c>
      <c r="H4622">
        <v>4</v>
      </c>
      <c r="I4622">
        <v>8.3000000000000007</v>
      </c>
      <c r="J4622">
        <v>3.22</v>
      </c>
      <c r="K4622">
        <v>97.6</v>
      </c>
      <c r="L4622" t="s">
        <v>5027</v>
      </c>
      <c r="M4622">
        <v>2</v>
      </c>
      <c r="N4622">
        <v>2</v>
      </c>
      <c r="O4622">
        <v>1</v>
      </c>
    </row>
    <row r="4623" spans="1:15" x14ac:dyDescent="0.3">
      <c r="A4623" t="s">
        <v>4636</v>
      </c>
      <c r="B4623">
        <v>1</v>
      </c>
      <c r="C4623">
        <v>38</v>
      </c>
      <c r="D4623" t="s">
        <v>5015</v>
      </c>
      <c r="E4623" t="s">
        <v>5018</v>
      </c>
      <c r="F4623" t="s">
        <v>5023</v>
      </c>
      <c r="G4623">
        <v>24.87</v>
      </c>
      <c r="H4623">
        <v>4</v>
      </c>
      <c r="I4623">
        <v>8</v>
      </c>
      <c r="J4623">
        <v>4.79</v>
      </c>
      <c r="K4623">
        <v>88.3</v>
      </c>
      <c r="L4623" t="s">
        <v>5029</v>
      </c>
      <c r="M4623">
        <v>1</v>
      </c>
      <c r="N4623">
        <v>2</v>
      </c>
      <c r="O4623">
        <v>0</v>
      </c>
    </row>
    <row r="4624" spans="1:15" x14ac:dyDescent="0.3">
      <c r="A4624" t="s">
        <v>4637</v>
      </c>
      <c r="B4624">
        <v>12</v>
      </c>
      <c r="C4624">
        <v>35</v>
      </c>
      <c r="D4624" t="s">
        <v>5016</v>
      </c>
      <c r="E4624" t="s">
        <v>5018</v>
      </c>
      <c r="F4624" t="s">
        <v>5023</v>
      </c>
      <c r="G4624">
        <v>13.51</v>
      </c>
      <c r="H4624">
        <v>4</v>
      </c>
      <c r="I4624">
        <v>5.7</v>
      </c>
      <c r="J4624">
        <v>4.2699999999999996</v>
      </c>
      <c r="K4624">
        <v>39.299999999999997</v>
      </c>
      <c r="L4624" t="s">
        <v>5029</v>
      </c>
      <c r="M4624">
        <v>2</v>
      </c>
      <c r="N4624">
        <v>3</v>
      </c>
      <c r="O4624">
        <v>0</v>
      </c>
    </row>
    <row r="4625" spans="1:15" x14ac:dyDescent="0.3">
      <c r="A4625" t="s">
        <v>4638</v>
      </c>
      <c r="B4625">
        <v>7</v>
      </c>
      <c r="C4625">
        <v>50</v>
      </c>
      <c r="D4625" t="s">
        <v>5016</v>
      </c>
      <c r="E4625" t="s">
        <v>5019</v>
      </c>
      <c r="F4625" t="s">
        <v>5023</v>
      </c>
      <c r="G4625">
        <v>15.83</v>
      </c>
      <c r="H4625">
        <v>4</v>
      </c>
      <c r="I4625">
        <v>4</v>
      </c>
      <c r="J4625">
        <v>12.34</v>
      </c>
      <c r="K4625">
        <v>50.8</v>
      </c>
      <c r="L4625" t="s">
        <v>5025</v>
      </c>
      <c r="M4625">
        <v>10</v>
      </c>
      <c r="N4625">
        <v>1</v>
      </c>
      <c r="O4625">
        <v>0</v>
      </c>
    </row>
    <row r="4626" spans="1:15" x14ac:dyDescent="0.3">
      <c r="A4626" t="s">
        <v>4639</v>
      </c>
      <c r="B4626">
        <v>11</v>
      </c>
      <c r="C4626">
        <v>25</v>
      </c>
      <c r="D4626" t="s">
        <v>5016</v>
      </c>
      <c r="E4626" t="s">
        <v>5017</v>
      </c>
      <c r="F4626" t="s">
        <v>5020</v>
      </c>
      <c r="G4626">
        <v>21.16</v>
      </c>
      <c r="H4626">
        <v>5</v>
      </c>
      <c r="I4626">
        <v>1.2</v>
      </c>
      <c r="J4626">
        <v>23.69</v>
      </c>
      <c r="K4626">
        <v>98.5</v>
      </c>
      <c r="L4626" t="s">
        <v>5027</v>
      </c>
      <c r="M4626">
        <v>11</v>
      </c>
      <c r="N4626">
        <v>4</v>
      </c>
      <c r="O4626">
        <v>0</v>
      </c>
    </row>
    <row r="4627" spans="1:15" x14ac:dyDescent="0.3">
      <c r="A4627" t="s">
        <v>4640</v>
      </c>
      <c r="B4627">
        <v>3</v>
      </c>
      <c r="C4627">
        <v>68</v>
      </c>
      <c r="D4627" t="s">
        <v>5015</v>
      </c>
      <c r="E4627" t="s">
        <v>5017</v>
      </c>
      <c r="F4627" t="s">
        <v>5024</v>
      </c>
      <c r="G4627">
        <v>24.22</v>
      </c>
      <c r="H4627">
        <v>4</v>
      </c>
      <c r="I4627">
        <v>1.4</v>
      </c>
      <c r="J4627">
        <v>17.850000000000001</v>
      </c>
      <c r="K4627">
        <v>93.1</v>
      </c>
      <c r="L4627" t="s">
        <v>5027</v>
      </c>
      <c r="M4627">
        <v>6</v>
      </c>
      <c r="N4627">
        <v>3</v>
      </c>
      <c r="O4627">
        <v>0</v>
      </c>
    </row>
    <row r="4628" spans="1:15" x14ac:dyDescent="0.3">
      <c r="A4628" t="s">
        <v>4641</v>
      </c>
      <c r="B4628">
        <v>10</v>
      </c>
      <c r="C4628">
        <v>66</v>
      </c>
      <c r="D4628" t="s">
        <v>5016</v>
      </c>
      <c r="E4628" t="s">
        <v>5018</v>
      </c>
      <c r="F4628" t="s">
        <v>5024</v>
      </c>
      <c r="G4628">
        <v>22.46</v>
      </c>
      <c r="H4628">
        <v>3</v>
      </c>
      <c r="I4628">
        <v>1.3</v>
      </c>
      <c r="J4628">
        <v>17.510000000000002</v>
      </c>
      <c r="K4628">
        <v>97.9</v>
      </c>
      <c r="L4628" t="s">
        <v>5029</v>
      </c>
      <c r="M4628">
        <v>11</v>
      </c>
      <c r="N4628">
        <v>0</v>
      </c>
      <c r="O4628">
        <v>0</v>
      </c>
    </row>
    <row r="4629" spans="1:15" x14ac:dyDescent="0.3">
      <c r="A4629" t="s">
        <v>4642</v>
      </c>
      <c r="B4629">
        <v>2</v>
      </c>
      <c r="C4629">
        <v>34</v>
      </c>
      <c r="D4629" t="s">
        <v>5015</v>
      </c>
      <c r="E4629" t="s">
        <v>5017</v>
      </c>
      <c r="F4629" t="s">
        <v>5024</v>
      </c>
      <c r="G4629">
        <v>15.5</v>
      </c>
      <c r="H4629">
        <v>3</v>
      </c>
      <c r="I4629">
        <v>9.8000000000000007</v>
      </c>
      <c r="J4629">
        <v>11.47</v>
      </c>
      <c r="K4629">
        <v>49</v>
      </c>
      <c r="L4629" t="s">
        <v>5029</v>
      </c>
      <c r="M4629">
        <v>4</v>
      </c>
      <c r="N4629">
        <v>1</v>
      </c>
      <c r="O4629">
        <v>0</v>
      </c>
    </row>
    <row r="4630" spans="1:15" x14ac:dyDescent="0.3">
      <c r="A4630" t="s">
        <v>4643</v>
      </c>
      <c r="B4630">
        <v>9</v>
      </c>
      <c r="C4630">
        <v>60</v>
      </c>
      <c r="D4630" t="s">
        <v>5015</v>
      </c>
      <c r="E4630" t="s">
        <v>5017</v>
      </c>
      <c r="F4630" t="s">
        <v>5021</v>
      </c>
      <c r="G4630">
        <v>15.91</v>
      </c>
      <c r="H4630">
        <v>1</v>
      </c>
      <c r="I4630">
        <v>2</v>
      </c>
      <c r="J4630">
        <v>14.74</v>
      </c>
      <c r="K4630">
        <v>82.1</v>
      </c>
      <c r="L4630" t="s">
        <v>5029</v>
      </c>
      <c r="M4630">
        <v>7</v>
      </c>
      <c r="N4630">
        <v>4</v>
      </c>
      <c r="O4630">
        <v>0</v>
      </c>
    </row>
    <row r="4631" spans="1:15" x14ac:dyDescent="0.3">
      <c r="A4631" t="s">
        <v>4644</v>
      </c>
      <c r="B4631">
        <v>3</v>
      </c>
      <c r="C4631">
        <v>48</v>
      </c>
      <c r="D4631" t="s">
        <v>5016</v>
      </c>
      <c r="E4631" t="s">
        <v>5019</v>
      </c>
      <c r="F4631" t="s">
        <v>5024</v>
      </c>
      <c r="G4631">
        <v>10.62</v>
      </c>
      <c r="H4631">
        <v>2</v>
      </c>
      <c r="I4631">
        <v>2.2999999999999998</v>
      </c>
      <c r="J4631">
        <v>9.69</v>
      </c>
      <c r="K4631">
        <v>88.4</v>
      </c>
      <c r="L4631" t="s">
        <v>5028</v>
      </c>
      <c r="M4631">
        <v>2</v>
      </c>
      <c r="N4631">
        <v>0</v>
      </c>
      <c r="O4631">
        <v>1</v>
      </c>
    </row>
    <row r="4632" spans="1:15" x14ac:dyDescent="0.3">
      <c r="A4632" t="s">
        <v>4645</v>
      </c>
      <c r="B4632">
        <v>2</v>
      </c>
      <c r="C4632">
        <v>51</v>
      </c>
      <c r="D4632" t="s">
        <v>5015</v>
      </c>
      <c r="E4632" t="s">
        <v>5018</v>
      </c>
      <c r="F4632" t="s">
        <v>5024</v>
      </c>
      <c r="G4632">
        <v>14.26</v>
      </c>
      <c r="H4632">
        <v>3</v>
      </c>
      <c r="I4632">
        <v>5.4</v>
      </c>
      <c r="J4632">
        <v>14.39</v>
      </c>
      <c r="K4632">
        <v>14</v>
      </c>
      <c r="L4632" t="s">
        <v>5025</v>
      </c>
      <c r="M4632">
        <v>1</v>
      </c>
      <c r="N4632">
        <v>2</v>
      </c>
      <c r="O4632">
        <v>0</v>
      </c>
    </row>
    <row r="4633" spans="1:15" x14ac:dyDescent="0.3">
      <c r="A4633" t="s">
        <v>4646</v>
      </c>
      <c r="B4633">
        <v>12</v>
      </c>
      <c r="C4633">
        <v>23</v>
      </c>
      <c r="D4633" t="s">
        <v>5016</v>
      </c>
      <c r="E4633" t="s">
        <v>5019</v>
      </c>
      <c r="F4633" t="s">
        <v>5020</v>
      </c>
      <c r="G4633">
        <v>23.94</v>
      </c>
      <c r="H4633">
        <v>1</v>
      </c>
      <c r="I4633">
        <v>5.3</v>
      </c>
      <c r="J4633">
        <v>19.43</v>
      </c>
      <c r="K4633">
        <v>33.9</v>
      </c>
      <c r="L4633" t="s">
        <v>5028</v>
      </c>
      <c r="M4633">
        <v>5</v>
      </c>
      <c r="N4633">
        <v>1</v>
      </c>
      <c r="O4633">
        <v>0</v>
      </c>
    </row>
    <row r="4634" spans="1:15" x14ac:dyDescent="0.3">
      <c r="A4634" t="s">
        <v>4647</v>
      </c>
      <c r="B4634">
        <v>8</v>
      </c>
      <c r="C4634">
        <v>39</v>
      </c>
      <c r="D4634" t="s">
        <v>5015</v>
      </c>
      <c r="E4634" t="s">
        <v>5019</v>
      </c>
      <c r="F4634" t="s">
        <v>5022</v>
      </c>
      <c r="G4634">
        <v>19.54</v>
      </c>
      <c r="H4634">
        <v>5</v>
      </c>
      <c r="I4634">
        <v>9.3000000000000007</v>
      </c>
      <c r="J4634">
        <v>15.29</v>
      </c>
      <c r="K4634">
        <v>89.5</v>
      </c>
      <c r="L4634" t="s">
        <v>5029</v>
      </c>
      <c r="M4634">
        <v>9</v>
      </c>
      <c r="N4634">
        <v>2</v>
      </c>
      <c r="O4634">
        <v>0</v>
      </c>
    </row>
    <row r="4635" spans="1:15" x14ac:dyDescent="0.3">
      <c r="A4635" t="s">
        <v>4648</v>
      </c>
      <c r="B4635">
        <v>10</v>
      </c>
      <c r="C4635">
        <v>31</v>
      </c>
      <c r="D4635" t="s">
        <v>5015</v>
      </c>
      <c r="E4635" t="s">
        <v>5017</v>
      </c>
      <c r="F4635" t="s">
        <v>5023</v>
      </c>
      <c r="G4635">
        <v>5.24</v>
      </c>
      <c r="H4635">
        <v>2</v>
      </c>
      <c r="I4635">
        <v>1.7</v>
      </c>
      <c r="J4635">
        <v>12.22</v>
      </c>
      <c r="K4635">
        <v>45</v>
      </c>
      <c r="L4635" t="s">
        <v>5027</v>
      </c>
      <c r="M4635">
        <v>6</v>
      </c>
      <c r="N4635">
        <v>4</v>
      </c>
      <c r="O4635">
        <v>1</v>
      </c>
    </row>
    <row r="4636" spans="1:15" x14ac:dyDescent="0.3">
      <c r="A4636" t="s">
        <v>4649</v>
      </c>
      <c r="B4636">
        <v>6</v>
      </c>
      <c r="C4636">
        <v>20</v>
      </c>
      <c r="D4636" t="s">
        <v>5015</v>
      </c>
      <c r="E4636" t="s">
        <v>5018</v>
      </c>
      <c r="F4636" t="s">
        <v>5020</v>
      </c>
      <c r="G4636">
        <v>7.33</v>
      </c>
      <c r="H4636">
        <v>4</v>
      </c>
      <c r="I4636">
        <v>9.6</v>
      </c>
      <c r="J4636">
        <v>21.59</v>
      </c>
      <c r="K4636">
        <v>35.1</v>
      </c>
      <c r="L4636" t="s">
        <v>5025</v>
      </c>
      <c r="M4636">
        <v>6</v>
      </c>
      <c r="N4636">
        <v>4</v>
      </c>
      <c r="O4636">
        <v>0</v>
      </c>
    </row>
    <row r="4637" spans="1:15" x14ac:dyDescent="0.3">
      <c r="A4637" t="s">
        <v>4650</v>
      </c>
      <c r="B4637">
        <v>6</v>
      </c>
      <c r="C4637">
        <v>29</v>
      </c>
      <c r="D4637" t="s">
        <v>5015</v>
      </c>
      <c r="E4637" t="s">
        <v>5017</v>
      </c>
      <c r="F4637" t="s">
        <v>5020</v>
      </c>
      <c r="G4637">
        <v>23.48</v>
      </c>
      <c r="H4637">
        <v>4</v>
      </c>
      <c r="I4637">
        <v>2.9</v>
      </c>
      <c r="J4637">
        <v>9.32</v>
      </c>
      <c r="K4637">
        <v>34.5</v>
      </c>
      <c r="L4637" t="s">
        <v>5025</v>
      </c>
      <c r="M4637">
        <v>1</v>
      </c>
      <c r="N4637">
        <v>0</v>
      </c>
      <c r="O4637">
        <v>0</v>
      </c>
    </row>
    <row r="4638" spans="1:15" x14ac:dyDescent="0.3">
      <c r="A4638" t="s">
        <v>4651</v>
      </c>
      <c r="B4638">
        <v>10</v>
      </c>
      <c r="C4638">
        <v>53</v>
      </c>
      <c r="D4638" t="s">
        <v>5015</v>
      </c>
      <c r="E4638" t="s">
        <v>5019</v>
      </c>
      <c r="F4638" t="s">
        <v>5020</v>
      </c>
      <c r="G4638">
        <v>21.97</v>
      </c>
      <c r="H4638">
        <v>5</v>
      </c>
      <c r="I4638">
        <v>9.6999999999999993</v>
      </c>
      <c r="J4638">
        <v>13.59</v>
      </c>
      <c r="K4638">
        <v>43.8</v>
      </c>
      <c r="L4638" t="s">
        <v>5029</v>
      </c>
      <c r="M4638">
        <v>1</v>
      </c>
      <c r="N4638">
        <v>2</v>
      </c>
      <c r="O4638">
        <v>1</v>
      </c>
    </row>
    <row r="4639" spans="1:15" x14ac:dyDescent="0.3">
      <c r="A4639" t="s">
        <v>4652</v>
      </c>
      <c r="B4639">
        <v>11</v>
      </c>
      <c r="C4639">
        <v>29</v>
      </c>
      <c r="D4639" t="s">
        <v>5015</v>
      </c>
      <c r="E4639" t="s">
        <v>5018</v>
      </c>
      <c r="F4639" t="s">
        <v>5023</v>
      </c>
      <c r="G4639">
        <v>14.72</v>
      </c>
      <c r="H4639">
        <v>2</v>
      </c>
      <c r="I4639">
        <v>5.9</v>
      </c>
      <c r="J4639">
        <v>24.52</v>
      </c>
      <c r="K4639">
        <v>32</v>
      </c>
      <c r="L4639" t="s">
        <v>5029</v>
      </c>
      <c r="M4639">
        <v>4</v>
      </c>
      <c r="N4639">
        <v>3</v>
      </c>
      <c r="O4639">
        <v>0</v>
      </c>
    </row>
    <row r="4640" spans="1:15" x14ac:dyDescent="0.3">
      <c r="A4640" t="s">
        <v>4653</v>
      </c>
      <c r="B4640">
        <v>7</v>
      </c>
      <c r="C4640">
        <v>62</v>
      </c>
      <c r="D4640" t="s">
        <v>5016</v>
      </c>
      <c r="E4640" t="s">
        <v>5018</v>
      </c>
      <c r="F4640" t="s">
        <v>5020</v>
      </c>
      <c r="G4640">
        <v>17.34</v>
      </c>
      <c r="H4640">
        <v>3</v>
      </c>
      <c r="I4640">
        <v>6.9</v>
      </c>
      <c r="J4640">
        <v>24.28</v>
      </c>
      <c r="K4640">
        <v>10.3</v>
      </c>
      <c r="L4640" t="s">
        <v>5029</v>
      </c>
      <c r="M4640">
        <v>2</v>
      </c>
      <c r="N4640">
        <v>3</v>
      </c>
      <c r="O4640">
        <v>0</v>
      </c>
    </row>
    <row r="4641" spans="1:15" x14ac:dyDescent="0.3">
      <c r="A4641" t="s">
        <v>4654</v>
      </c>
      <c r="B4641">
        <v>7</v>
      </c>
      <c r="C4641">
        <v>19</v>
      </c>
      <c r="D4641" t="s">
        <v>5016</v>
      </c>
      <c r="E4641" t="s">
        <v>5018</v>
      </c>
      <c r="F4641" t="s">
        <v>5022</v>
      </c>
      <c r="G4641">
        <v>10.79</v>
      </c>
      <c r="H4641">
        <v>2</v>
      </c>
      <c r="I4641">
        <v>3.8</v>
      </c>
      <c r="J4641">
        <v>3.14</v>
      </c>
      <c r="K4641">
        <v>25.5</v>
      </c>
      <c r="L4641" t="s">
        <v>5029</v>
      </c>
      <c r="M4641">
        <v>3</v>
      </c>
      <c r="N4641">
        <v>2</v>
      </c>
      <c r="O4641">
        <v>0</v>
      </c>
    </row>
    <row r="4642" spans="1:15" x14ac:dyDescent="0.3">
      <c r="A4642" t="s">
        <v>4655</v>
      </c>
      <c r="B4642">
        <v>11</v>
      </c>
      <c r="C4642">
        <v>19</v>
      </c>
      <c r="D4642" t="s">
        <v>5015</v>
      </c>
      <c r="E4642" t="s">
        <v>5018</v>
      </c>
      <c r="F4642" t="s">
        <v>5024</v>
      </c>
      <c r="G4642">
        <v>20.86</v>
      </c>
      <c r="H4642">
        <v>1</v>
      </c>
      <c r="I4642">
        <v>6.5</v>
      </c>
      <c r="J4642">
        <v>14.71</v>
      </c>
      <c r="K4642">
        <v>89.4</v>
      </c>
      <c r="L4642" t="s">
        <v>5029</v>
      </c>
      <c r="M4642">
        <v>11</v>
      </c>
      <c r="N4642">
        <v>4</v>
      </c>
      <c r="O4642">
        <v>0</v>
      </c>
    </row>
    <row r="4643" spans="1:15" x14ac:dyDescent="0.3">
      <c r="A4643" t="s">
        <v>4656</v>
      </c>
      <c r="B4643">
        <v>6</v>
      </c>
      <c r="C4643">
        <v>32</v>
      </c>
      <c r="D4643" t="s">
        <v>5016</v>
      </c>
      <c r="E4643" t="s">
        <v>5017</v>
      </c>
      <c r="F4643" t="s">
        <v>5022</v>
      </c>
      <c r="G4643">
        <v>17.07</v>
      </c>
      <c r="H4643">
        <v>5</v>
      </c>
      <c r="I4643">
        <v>7.4</v>
      </c>
      <c r="J4643">
        <v>10.41</v>
      </c>
      <c r="K4643">
        <v>16.8</v>
      </c>
      <c r="L4643" t="s">
        <v>5029</v>
      </c>
      <c r="M4643">
        <v>6</v>
      </c>
      <c r="N4643">
        <v>1</v>
      </c>
      <c r="O4643">
        <v>0</v>
      </c>
    </row>
    <row r="4644" spans="1:15" x14ac:dyDescent="0.3">
      <c r="A4644" t="s">
        <v>4657</v>
      </c>
      <c r="B4644">
        <v>4</v>
      </c>
      <c r="C4644">
        <v>40</v>
      </c>
      <c r="D4644" t="s">
        <v>5015</v>
      </c>
      <c r="E4644" t="s">
        <v>5018</v>
      </c>
      <c r="F4644" t="s">
        <v>5024</v>
      </c>
      <c r="G4644">
        <v>18.899999999999999</v>
      </c>
      <c r="H4644">
        <v>3</v>
      </c>
      <c r="I4644">
        <v>1.1000000000000001</v>
      </c>
      <c r="J4644">
        <v>9.41</v>
      </c>
      <c r="K4644">
        <v>47.2</v>
      </c>
      <c r="L4644" t="s">
        <v>5025</v>
      </c>
      <c r="M4644">
        <v>10</v>
      </c>
      <c r="N4644">
        <v>2</v>
      </c>
      <c r="O4644">
        <v>0</v>
      </c>
    </row>
    <row r="4645" spans="1:15" x14ac:dyDescent="0.3">
      <c r="A4645" t="s">
        <v>4658</v>
      </c>
      <c r="B4645">
        <v>11</v>
      </c>
      <c r="C4645">
        <v>46</v>
      </c>
      <c r="D4645" t="s">
        <v>5016</v>
      </c>
      <c r="E4645" t="s">
        <v>5019</v>
      </c>
      <c r="F4645" t="s">
        <v>5024</v>
      </c>
      <c r="G4645">
        <v>12.5</v>
      </c>
      <c r="H4645">
        <v>2</v>
      </c>
      <c r="I4645">
        <v>1.3</v>
      </c>
      <c r="J4645">
        <v>16.12</v>
      </c>
      <c r="K4645">
        <v>51.1</v>
      </c>
      <c r="L4645" t="s">
        <v>5028</v>
      </c>
      <c r="M4645">
        <v>1</v>
      </c>
      <c r="N4645">
        <v>0</v>
      </c>
      <c r="O4645">
        <v>0</v>
      </c>
    </row>
    <row r="4646" spans="1:15" x14ac:dyDescent="0.3">
      <c r="A4646" t="s">
        <v>4659</v>
      </c>
      <c r="B4646">
        <v>9</v>
      </c>
      <c r="C4646">
        <v>34</v>
      </c>
      <c r="D4646" t="s">
        <v>5016</v>
      </c>
      <c r="E4646" t="s">
        <v>5019</v>
      </c>
      <c r="F4646" t="s">
        <v>5020</v>
      </c>
      <c r="G4646">
        <v>13.61</v>
      </c>
      <c r="H4646">
        <v>2</v>
      </c>
      <c r="I4646">
        <v>9.9</v>
      </c>
      <c r="J4646">
        <v>12.82</v>
      </c>
      <c r="K4646">
        <v>80</v>
      </c>
      <c r="L4646" t="s">
        <v>5027</v>
      </c>
      <c r="M4646">
        <v>11</v>
      </c>
      <c r="N4646">
        <v>3</v>
      </c>
      <c r="O4646">
        <v>1</v>
      </c>
    </row>
    <row r="4647" spans="1:15" x14ac:dyDescent="0.3">
      <c r="A4647" t="s">
        <v>4660</v>
      </c>
      <c r="B4647">
        <v>6</v>
      </c>
      <c r="C4647">
        <v>49</v>
      </c>
      <c r="D4647" t="s">
        <v>5015</v>
      </c>
      <c r="E4647" t="s">
        <v>5018</v>
      </c>
      <c r="F4647" t="s">
        <v>5020</v>
      </c>
      <c r="G4647">
        <v>9.15</v>
      </c>
      <c r="H4647">
        <v>3</v>
      </c>
      <c r="I4647">
        <v>5.0999999999999996</v>
      </c>
      <c r="J4647">
        <v>19.12</v>
      </c>
      <c r="K4647">
        <v>32.700000000000003</v>
      </c>
      <c r="L4647" t="s">
        <v>5029</v>
      </c>
      <c r="M4647">
        <v>11</v>
      </c>
      <c r="N4647">
        <v>0</v>
      </c>
      <c r="O4647">
        <v>0</v>
      </c>
    </row>
    <row r="4648" spans="1:15" x14ac:dyDescent="0.3">
      <c r="A4648" t="s">
        <v>4661</v>
      </c>
      <c r="B4648">
        <v>4</v>
      </c>
      <c r="C4648">
        <v>24</v>
      </c>
      <c r="D4648" t="s">
        <v>5016</v>
      </c>
      <c r="E4648" t="s">
        <v>5018</v>
      </c>
      <c r="F4648" t="s">
        <v>5023</v>
      </c>
      <c r="G4648">
        <v>23.96</v>
      </c>
      <c r="H4648">
        <v>1</v>
      </c>
      <c r="I4648">
        <v>9.4</v>
      </c>
      <c r="J4648">
        <v>3.6</v>
      </c>
      <c r="K4648">
        <v>37.9</v>
      </c>
      <c r="L4648" t="s">
        <v>5027</v>
      </c>
      <c r="M4648">
        <v>10</v>
      </c>
      <c r="N4648">
        <v>1</v>
      </c>
      <c r="O4648">
        <v>0</v>
      </c>
    </row>
    <row r="4649" spans="1:15" x14ac:dyDescent="0.3">
      <c r="A4649" t="s">
        <v>4662</v>
      </c>
      <c r="B4649">
        <v>12</v>
      </c>
      <c r="C4649">
        <v>47</v>
      </c>
      <c r="D4649" t="s">
        <v>5015</v>
      </c>
      <c r="E4649" t="s">
        <v>5019</v>
      </c>
      <c r="F4649" t="s">
        <v>5021</v>
      </c>
      <c r="G4649">
        <v>23.93</v>
      </c>
      <c r="H4649">
        <v>1</v>
      </c>
      <c r="I4649">
        <v>7.6</v>
      </c>
      <c r="J4649">
        <v>23.39</v>
      </c>
      <c r="K4649">
        <v>11.3</v>
      </c>
      <c r="L4649" t="s">
        <v>5025</v>
      </c>
      <c r="M4649">
        <v>2</v>
      </c>
      <c r="N4649">
        <v>3</v>
      </c>
      <c r="O4649">
        <v>1</v>
      </c>
    </row>
    <row r="4650" spans="1:15" x14ac:dyDescent="0.3">
      <c r="A4650" t="s">
        <v>4663</v>
      </c>
      <c r="B4650">
        <v>3</v>
      </c>
      <c r="C4650">
        <v>45</v>
      </c>
      <c r="D4650" t="s">
        <v>5016</v>
      </c>
      <c r="E4650" t="s">
        <v>5017</v>
      </c>
      <c r="F4650" t="s">
        <v>5022</v>
      </c>
      <c r="G4650">
        <v>21.36</v>
      </c>
      <c r="H4650">
        <v>2</v>
      </c>
      <c r="I4650">
        <v>4.4000000000000004</v>
      </c>
      <c r="J4650">
        <v>15.49</v>
      </c>
      <c r="K4650">
        <v>91.3</v>
      </c>
      <c r="L4650" t="s">
        <v>5027</v>
      </c>
      <c r="M4650">
        <v>4</v>
      </c>
      <c r="N4650">
        <v>3</v>
      </c>
      <c r="O4650">
        <v>0</v>
      </c>
    </row>
    <row r="4651" spans="1:15" x14ac:dyDescent="0.3">
      <c r="A4651" t="s">
        <v>4664</v>
      </c>
      <c r="B4651">
        <v>4</v>
      </c>
      <c r="C4651">
        <v>31</v>
      </c>
      <c r="D4651" t="s">
        <v>5015</v>
      </c>
      <c r="E4651" t="s">
        <v>5019</v>
      </c>
      <c r="F4651" t="s">
        <v>5023</v>
      </c>
      <c r="G4651">
        <v>23.71</v>
      </c>
      <c r="H4651">
        <v>4</v>
      </c>
      <c r="I4651">
        <v>2.4</v>
      </c>
      <c r="J4651">
        <v>18.05</v>
      </c>
      <c r="K4651">
        <v>71.7</v>
      </c>
      <c r="L4651" t="s">
        <v>5025</v>
      </c>
      <c r="M4651">
        <v>6</v>
      </c>
      <c r="N4651">
        <v>3</v>
      </c>
      <c r="O4651">
        <v>0</v>
      </c>
    </row>
    <row r="4652" spans="1:15" x14ac:dyDescent="0.3">
      <c r="A4652" t="s">
        <v>4665</v>
      </c>
      <c r="B4652">
        <v>3</v>
      </c>
      <c r="C4652">
        <v>61</v>
      </c>
      <c r="D4652" t="s">
        <v>5016</v>
      </c>
      <c r="E4652" t="s">
        <v>5017</v>
      </c>
      <c r="F4652" t="s">
        <v>5023</v>
      </c>
      <c r="G4652">
        <v>18.309999999999999</v>
      </c>
      <c r="H4652">
        <v>3</v>
      </c>
      <c r="I4652">
        <v>9.8000000000000007</v>
      </c>
      <c r="J4652">
        <v>16.3</v>
      </c>
      <c r="K4652">
        <v>33.700000000000003</v>
      </c>
      <c r="L4652" t="s">
        <v>5026</v>
      </c>
      <c r="M4652">
        <v>3</v>
      </c>
      <c r="N4652">
        <v>0</v>
      </c>
      <c r="O4652">
        <v>0</v>
      </c>
    </row>
    <row r="4653" spans="1:15" x14ac:dyDescent="0.3">
      <c r="A4653" t="s">
        <v>4666</v>
      </c>
      <c r="B4653">
        <v>2</v>
      </c>
      <c r="C4653">
        <v>47</v>
      </c>
      <c r="D4653" t="s">
        <v>5015</v>
      </c>
      <c r="E4653" t="s">
        <v>5018</v>
      </c>
      <c r="F4653" t="s">
        <v>5022</v>
      </c>
      <c r="G4653">
        <v>9.69</v>
      </c>
      <c r="H4653">
        <v>1</v>
      </c>
      <c r="I4653">
        <v>6.3</v>
      </c>
      <c r="J4653">
        <v>24.76</v>
      </c>
      <c r="K4653">
        <v>89.9</v>
      </c>
      <c r="L4653" t="s">
        <v>5028</v>
      </c>
      <c r="M4653">
        <v>9</v>
      </c>
      <c r="N4653">
        <v>4</v>
      </c>
      <c r="O4653">
        <v>0</v>
      </c>
    </row>
    <row r="4654" spans="1:15" x14ac:dyDescent="0.3">
      <c r="A4654" t="s">
        <v>4667</v>
      </c>
      <c r="B4654">
        <v>5</v>
      </c>
      <c r="C4654">
        <v>34</v>
      </c>
      <c r="D4654" t="s">
        <v>5016</v>
      </c>
      <c r="E4654" t="s">
        <v>5018</v>
      </c>
      <c r="F4654" t="s">
        <v>5022</v>
      </c>
      <c r="G4654">
        <v>20.2</v>
      </c>
      <c r="H4654">
        <v>1</v>
      </c>
      <c r="I4654">
        <v>2.7</v>
      </c>
      <c r="J4654">
        <v>24.7</v>
      </c>
      <c r="K4654">
        <v>17.8</v>
      </c>
      <c r="L4654" t="s">
        <v>5026</v>
      </c>
      <c r="M4654">
        <v>10</v>
      </c>
      <c r="N4654">
        <v>0</v>
      </c>
      <c r="O4654">
        <v>0</v>
      </c>
    </row>
    <row r="4655" spans="1:15" x14ac:dyDescent="0.3">
      <c r="A4655" t="s">
        <v>4668</v>
      </c>
      <c r="B4655">
        <v>2</v>
      </c>
      <c r="C4655">
        <v>49</v>
      </c>
      <c r="D4655" t="s">
        <v>5015</v>
      </c>
      <c r="E4655" t="s">
        <v>5018</v>
      </c>
      <c r="F4655" t="s">
        <v>5024</v>
      </c>
      <c r="G4655">
        <v>11.51</v>
      </c>
      <c r="H4655">
        <v>1</v>
      </c>
      <c r="I4655">
        <v>7.1</v>
      </c>
      <c r="J4655">
        <v>16.420000000000002</v>
      </c>
      <c r="K4655">
        <v>43.2</v>
      </c>
      <c r="L4655" t="s">
        <v>5025</v>
      </c>
      <c r="M4655">
        <v>4</v>
      </c>
      <c r="N4655">
        <v>4</v>
      </c>
      <c r="O4655">
        <v>0</v>
      </c>
    </row>
    <row r="4656" spans="1:15" x14ac:dyDescent="0.3">
      <c r="A4656" t="s">
        <v>4669</v>
      </c>
      <c r="B4656">
        <v>6</v>
      </c>
      <c r="C4656">
        <v>63</v>
      </c>
      <c r="D4656" t="s">
        <v>5016</v>
      </c>
      <c r="E4656" t="s">
        <v>5019</v>
      </c>
      <c r="F4656" t="s">
        <v>5021</v>
      </c>
      <c r="G4656">
        <v>13.81</v>
      </c>
      <c r="H4656">
        <v>5</v>
      </c>
      <c r="I4656">
        <v>1.8</v>
      </c>
      <c r="J4656">
        <v>18.05</v>
      </c>
      <c r="K4656">
        <v>60.7</v>
      </c>
      <c r="L4656" t="s">
        <v>5026</v>
      </c>
      <c r="M4656">
        <v>7</v>
      </c>
      <c r="N4656">
        <v>2</v>
      </c>
      <c r="O4656">
        <v>0</v>
      </c>
    </row>
    <row r="4657" spans="1:15" x14ac:dyDescent="0.3">
      <c r="A4657" t="s">
        <v>4670</v>
      </c>
      <c r="B4657">
        <v>3</v>
      </c>
      <c r="C4657">
        <v>23</v>
      </c>
      <c r="D4657" t="s">
        <v>5015</v>
      </c>
      <c r="E4657" t="s">
        <v>5017</v>
      </c>
      <c r="F4657" t="s">
        <v>5020</v>
      </c>
      <c r="G4657">
        <v>10.49</v>
      </c>
      <c r="H4657">
        <v>4</v>
      </c>
      <c r="I4657">
        <v>8.8000000000000007</v>
      </c>
      <c r="J4657">
        <v>16.61</v>
      </c>
      <c r="K4657">
        <v>55.5</v>
      </c>
      <c r="L4657" t="s">
        <v>5025</v>
      </c>
      <c r="M4657">
        <v>11</v>
      </c>
      <c r="N4657">
        <v>3</v>
      </c>
      <c r="O4657">
        <v>0</v>
      </c>
    </row>
    <row r="4658" spans="1:15" x14ac:dyDescent="0.3">
      <c r="A4658" t="s">
        <v>4671</v>
      </c>
      <c r="B4658">
        <v>6</v>
      </c>
      <c r="C4658">
        <v>68</v>
      </c>
      <c r="D4658" t="s">
        <v>5016</v>
      </c>
      <c r="E4658" t="s">
        <v>5018</v>
      </c>
      <c r="F4658" t="s">
        <v>5021</v>
      </c>
      <c r="G4658">
        <v>13.47</v>
      </c>
      <c r="H4658">
        <v>1</v>
      </c>
      <c r="I4658">
        <v>1.8</v>
      </c>
      <c r="J4658">
        <v>9.83</v>
      </c>
      <c r="K4658">
        <v>68.900000000000006</v>
      </c>
      <c r="L4658" t="s">
        <v>5026</v>
      </c>
      <c r="M4658">
        <v>5</v>
      </c>
      <c r="N4658">
        <v>0</v>
      </c>
      <c r="O4658">
        <v>0</v>
      </c>
    </row>
    <row r="4659" spans="1:15" x14ac:dyDescent="0.3">
      <c r="A4659" t="s">
        <v>4672</v>
      </c>
      <c r="B4659">
        <v>11</v>
      </c>
      <c r="C4659">
        <v>41</v>
      </c>
      <c r="D4659" t="s">
        <v>5015</v>
      </c>
      <c r="E4659" t="s">
        <v>5018</v>
      </c>
      <c r="F4659" t="s">
        <v>5021</v>
      </c>
      <c r="G4659">
        <v>18.59</v>
      </c>
      <c r="H4659">
        <v>4</v>
      </c>
      <c r="I4659">
        <v>3.1</v>
      </c>
      <c r="J4659">
        <v>7.24</v>
      </c>
      <c r="K4659">
        <v>36.799999999999997</v>
      </c>
      <c r="L4659" t="s">
        <v>5025</v>
      </c>
      <c r="M4659">
        <v>6</v>
      </c>
      <c r="N4659">
        <v>1</v>
      </c>
      <c r="O4659">
        <v>0</v>
      </c>
    </row>
    <row r="4660" spans="1:15" x14ac:dyDescent="0.3">
      <c r="A4660" t="s">
        <v>4673</v>
      </c>
      <c r="B4660">
        <v>10</v>
      </c>
      <c r="C4660">
        <v>23</v>
      </c>
      <c r="D4660" t="s">
        <v>5016</v>
      </c>
      <c r="E4660" t="s">
        <v>5019</v>
      </c>
      <c r="F4660" t="s">
        <v>5020</v>
      </c>
      <c r="G4660">
        <v>7.21</v>
      </c>
      <c r="H4660">
        <v>2</v>
      </c>
      <c r="I4660">
        <v>1.8</v>
      </c>
      <c r="J4660">
        <v>11.86</v>
      </c>
      <c r="K4660">
        <v>78.2</v>
      </c>
      <c r="L4660" t="s">
        <v>5028</v>
      </c>
      <c r="M4660">
        <v>9</v>
      </c>
      <c r="N4660">
        <v>1</v>
      </c>
      <c r="O4660">
        <v>0</v>
      </c>
    </row>
    <row r="4661" spans="1:15" x14ac:dyDescent="0.3">
      <c r="A4661" t="s">
        <v>4674</v>
      </c>
      <c r="B4661">
        <v>9</v>
      </c>
      <c r="C4661">
        <v>44</v>
      </c>
      <c r="D4661" t="s">
        <v>5015</v>
      </c>
      <c r="E4661" t="s">
        <v>5017</v>
      </c>
      <c r="F4661" t="s">
        <v>5021</v>
      </c>
      <c r="G4661">
        <v>7.1</v>
      </c>
      <c r="H4661">
        <v>2</v>
      </c>
      <c r="I4661">
        <v>1.9</v>
      </c>
      <c r="J4661">
        <v>18.02</v>
      </c>
      <c r="K4661">
        <v>46.5</v>
      </c>
      <c r="L4661" t="s">
        <v>5028</v>
      </c>
      <c r="M4661">
        <v>9</v>
      </c>
      <c r="N4661">
        <v>4</v>
      </c>
      <c r="O4661">
        <v>0</v>
      </c>
    </row>
    <row r="4662" spans="1:15" x14ac:dyDescent="0.3">
      <c r="A4662" t="s">
        <v>4675</v>
      </c>
      <c r="B4662">
        <v>1</v>
      </c>
      <c r="C4662">
        <v>35</v>
      </c>
      <c r="D4662" t="s">
        <v>5015</v>
      </c>
      <c r="E4662" t="s">
        <v>5019</v>
      </c>
      <c r="F4662" t="s">
        <v>5023</v>
      </c>
      <c r="G4662">
        <v>18.68</v>
      </c>
      <c r="H4662">
        <v>5</v>
      </c>
      <c r="I4662">
        <v>5.7</v>
      </c>
      <c r="J4662">
        <v>4.2300000000000004</v>
      </c>
      <c r="K4662">
        <v>21.3</v>
      </c>
      <c r="L4662" t="s">
        <v>5028</v>
      </c>
      <c r="M4662">
        <v>6</v>
      </c>
      <c r="N4662">
        <v>4</v>
      </c>
      <c r="O4662">
        <v>0</v>
      </c>
    </row>
    <row r="4663" spans="1:15" x14ac:dyDescent="0.3">
      <c r="A4663" t="s">
        <v>4676</v>
      </c>
      <c r="B4663">
        <v>6</v>
      </c>
      <c r="C4663">
        <v>41</v>
      </c>
      <c r="D4663" t="s">
        <v>5015</v>
      </c>
      <c r="E4663" t="s">
        <v>5018</v>
      </c>
      <c r="F4663" t="s">
        <v>5023</v>
      </c>
      <c r="G4663">
        <v>20.59</v>
      </c>
      <c r="H4663">
        <v>4</v>
      </c>
      <c r="I4663">
        <v>7.2</v>
      </c>
      <c r="J4663">
        <v>14.31</v>
      </c>
      <c r="K4663">
        <v>76.599999999999994</v>
      </c>
      <c r="L4663" t="s">
        <v>5025</v>
      </c>
      <c r="M4663">
        <v>2</v>
      </c>
      <c r="N4663">
        <v>3</v>
      </c>
      <c r="O4663">
        <v>0</v>
      </c>
    </row>
    <row r="4664" spans="1:15" x14ac:dyDescent="0.3">
      <c r="A4664" t="s">
        <v>4677</v>
      </c>
      <c r="B4664">
        <v>9</v>
      </c>
      <c r="C4664">
        <v>54</v>
      </c>
      <c r="D4664" t="s">
        <v>5015</v>
      </c>
      <c r="E4664" t="s">
        <v>5017</v>
      </c>
      <c r="F4664" t="s">
        <v>5020</v>
      </c>
      <c r="G4664">
        <v>16.03</v>
      </c>
      <c r="H4664">
        <v>3</v>
      </c>
      <c r="I4664">
        <v>8.1</v>
      </c>
      <c r="J4664">
        <v>11.98</v>
      </c>
      <c r="K4664">
        <v>92.1</v>
      </c>
      <c r="L4664" t="s">
        <v>5027</v>
      </c>
      <c r="M4664">
        <v>9</v>
      </c>
      <c r="N4664">
        <v>4</v>
      </c>
      <c r="O4664">
        <v>0</v>
      </c>
    </row>
    <row r="4665" spans="1:15" x14ac:dyDescent="0.3">
      <c r="A4665" t="s">
        <v>4678</v>
      </c>
      <c r="B4665">
        <v>11</v>
      </c>
      <c r="C4665">
        <v>41</v>
      </c>
      <c r="D4665" t="s">
        <v>5016</v>
      </c>
      <c r="E4665" t="s">
        <v>5019</v>
      </c>
      <c r="F4665" t="s">
        <v>5020</v>
      </c>
      <c r="G4665">
        <v>8.6300000000000008</v>
      </c>
      <c r="H4665">
        <v>5</v>
      </c>
      <c r="I4665">
        <v>7.3</v>
      </c>
      <c r="J4665">
        <v>14.6</v>
      </c>
      <c r="K4665">
        <v>42.8</v>
      </c>
      <c r="L4665" t="s">
        <v>5026</v>
      </c>
      <c r="M4665">
        <v>11</v>
      </c>
      <c r="N4665">
        <v>1</v>
      </c>
      <c r="O4665">
        <v>0</v>
      </c>
    </row>
    <row r="4666" spans="1:15" x14ac:dyDescent="0.3">
      <c r="A4666" t="s">
        <v>4679</v>
      </c>
      <c r="B4666">
        <v>4</v>
      </c>
      <c r="C4666">
        <v>55</v>
      </c>
      <c r="D4666" t="s">
        <v>5016</v>
      </c>
      <c r="E4666" t="s">
        <v>5017</v>
      </c>
      <c r="F4666" t="s">
        <v>5022</v>
      </c>
      <c r="G4666">
        <v>13.62</v>
      </c>
      <c r="H4666">
        <v>1</v>
      </c>
      <c r="I4666">
        <v>4.3</v>
      </c>
      <c r="J4666">
        <v>21.92</v>
      </c>
      <c r="K4666">
        <v>63.1</v>
      </c>
      <c r="L4666" t="s">
        <v>5026</v>
      </c>
      <c r="M4666">
        <v>2</v>
      </c>
      <c r="N4666">
        <v>0</v>
      </c>
      <c r="O4666">
        <v>0</v>
      </c>
    </row>
    <row r="4667" spans="1:15" x14ac:dyDescent="0.3">
      <c r="A4667" t="s">
        <v>4680</v>
      </c>
      <c r="B4667">
        <v>11</v>
      </c>
      <c r="C4667">
        <v>51</v>
      </c>
      <c r="D4667" t="s">
        <v>5016</v>
      </c>
      <c r="E4667" t="s">
        <v>5018</v>
      </c>
      <c r="F4667" t="s">
        <v>5022</v>
      </c>
      <c r="G4667">
        <v>20.16</v>
      </c>
      <c r="H4667">
        <v>2</v>
      </c>
      <c r="I4667">
        <v>6</v>
      </c>
      <c r="J4667">
        <v>4.05</v>
      </c>
      <c r="K4667">
        <v>71.900000000000006</v>
      </c>
      <c r="L4667" t="s">
        <v>5026</v>
      </c>
      <c r="M4667">
        <v>2</v>
      </c>
      <c r="N4667">
        <v>0</v>
      </c>
      <c r="O4667">
        <v>0</v>
      </c>
    </row>
    <row r="4668" spans="1:15" x14ac:dyDescent="0.3">
      <c r="A4668" t="s">
        <v>4681</v>
      </c>
      <c r="B4668">
        <v>12</v>
      </c>
      <c r="C4668">
        <v>57</v>
      </c>
      <c r="D4668" t="s">
        <v>5015</v>
      </c>
      <c r="E4668" t="s">
        <v>5017</v>
      </c>
      <c r="F4668" t="s">
        <v>5021</v>
      </c>
      <c r="G4668">
        <v>18.71</v>
      </c>
      <c r="H4668">
        <v>2</v>
      </c>
      <c r="I4668">
        <v>9.3000000000000007</v>
      </c>
      <c r="J4668">
        <v>19.8</v>
      </c>
      <c r="K4668">
        <v>84.8</v>
      </c>
      <c r="L4668" t="s">
        <v>5026</v>
      </c>
      <c r="M4668">
        <v>2</v>
      </c>
      <c r="N4668">
        <v>4</v>
      </c>
      <c r="O4668">
        <v>0</v>
      </c>
    </row>
    <row r="4669" spans="1:15" x14ac:dyDescent="0.3">
      <c r="A4669" t="s">
        <v>4682</v>
      </c>
      <c r="B4669">
        <v>2</v>
      </c>
      <c r="C4669">
        <v>64</v>
      </c>
      <c r="D4669" t="s">
        <v>5015</v>
      </c>
      <c r="E4669" t="s">
        <v>5018</v>
      </c>
      <c r="F4669" t="s">
        <v>5021</v>
      </c>
      <c r="G4669">
        <v>7.2</v>
      </c>
      <c r="H4669">
        <v>3</v>
      </c>
      <c r="I4669">
        <v>4.5</v>
      </c>
      <c r="J4669">
        <v>17.670000000000002</v>
      </c>
      <c r="K4669">
        <v>27.8</v>
      </c>
      <c r="L4669" t="s">
        <v>5028</v>
      </c>
      <c r="M4669">
        <v>7</v>
      </c>
      <c r="N4669">
        <v>4</v>
      </c>
      <c r="O4669">
        <v>0</v>
      </c>
    </row>
    <row r="4670" spans="1:15" x14ac:dyDescent="0.3">
      <c r="A4670" t="s">
        <v>4683</v>
      </c>
      <c r="B4670">
        <v>4</v>
      </c>
      <c r="C4670">
        <v>32</v>
      </c>
      <c r="D4670" t="s">
        <v>5015</v>
      </c>
      <c r="E4670" t="s">
        <v>5018</v>
      </c>
      <c r="F4670" t="s">
        <v>5020</v>
      </c>
      <c r="G4670">
        <v>24.38</v>
      </c>
      <c r="H4670">
        <v>5</v>
      </c>
      <c r="I4670">
        <v>3.3</v>
      </c>
      <c r="J4670">
        <v>7.48</v>
      </c>
      <c r="K4670">
        <v>61.3</v>
      </c>
      <c r="L4670" t="s">
        <v>5027</v>
      </c>
      <c r="M4670">
        <v>11</v>
      </c>
      <c r="N4670">
        <v>1</v>
      </c>
      <c r="O4670">
        <v>0</v>
      </c>
    </row>
    <row r="4671" spans="1:15" x14ac:dyDescent="0.3">
      <c r="A4671" t="s">
        <v>4684</v>
      </c>
      <c r="B4671">
        <v>1</v>
      </c>
      <c r="C4671">
        <v>28</v>
      </c>
      <c r="D4671" t="s">
        <v>5015</v>
      </c>
      <c r="E4671" t="s">
        <v>5018</v>
      </c>
      <c r="F4671" t="s">
        <v>5021</v>
      </c>
      <c r="G4671">
        <v>9.4700000000000006</v>
      </c>
      <c r="H4671">
        <v>4</v>
      </c>
      <c r="I4671">
        <v>5.7</v>
      </c>
      <c r="J4671">
        <v>19.149999999999999</v>
      </c>
      <c r="K4671">
        <v>76.599999999999994</v>
      </c>
      <c r="L4671" t="s">
        <v>5026</v>
      </c>
      <c r="M4671">
        <v>4</v>
      </c>
      <c r="N4671">
        <v>2</v>
      </c>
      <c r="O4671">
        <v>0</v>
      </c>
    </row>
    <row r="4672" spans="1:15" x14ac:dyDescent="0.3">
      <c r="A4672" t="s">
        <v>4685</v>
      </c>
      <c r="B4672">
        <v>3</v>
      </c>
      <c r="C4672">
        <v>39</v>
      </c>
      <c r="D4672" t="s">
        <v>5015</v>
      </c>
      <c r="E4672" t="s">
        <v>5018</v>
      </c>
      <c r="F4672" t="s">
        <v>5024</v>
      </c>
      <c r="G4672">
        <v>9.41</v>
      </c>
      <c r="H4672">
        <v>2</v>
      </c>
      <c r="I4672">
        <v>3.7</v>
      </c>
      <c r="J4672">
        <v>13.92</v>
      </c>
      <c r="K4672">
        <v>27.9</v>
      </c>
      <c r="L4672" t="s">
        <v>5027</v>
      </c>
      <c r="M4672">
        <v>8</v>
      </c>
      <c r="N4672">
        <v>0</v>
      </c>
      <c r="O4672">
        <v>1</v>
      </c>
    </row>
    <row r="4673" spans="1:15" x14ac:dyDescent="0.3">
      <c r="A4673" t="s">
        <v>4686</v>
      </c>
      <c r="B4673">
        <v>10</v>
      </c>
      <c r="C4673">
        <v>41</v>
      </c>
      <c r="D4673" t="s">
        <v>5016</v>
      </c>
      <c r="E4673" t="s">
        <v>5018</v>
      </c>
      <c r="F4673" t="s">
        <v>5023</v>
      </c>
      <c r="G4673">
        <v>14.2</v>
      </c>
      <c r="H4673">
        <v>1</v>
      </c>
      <c r="I4673">
        <v>3.4</v>
      </c>
      <c r="J4673">
        <v>13.58</v>
      </c>
      <c r="K4673">
        <v>52.5</v>
      </c>
      <c r="L4673" t="s">
        <v>5025</v>
      </c>
      <c r="M4673">
        <v>8</v>
      </c>
      <c r="N4673">
        <v>4</v>
      </c>
      <c r="O4673">
        <v>0</v>
      </c>
    </row>
    <row r="4674" spans="1:15" x14ac:dyDescent="0.3">
      <c r="A4674" t="s">
        <v>4687</v>
      </c>
      <c r="B4674">
        <v>9</v>
      </c>
      <c r="C4674">
        <v>18</v>
      </c>
      <c r="D4674" t="s">
        <v>5016</v>
      </c>
      <c r="E4674" t="s">
        <v>5017</v>
      </c>
      <c r="F4674" t="s">
        <v>5021</v>
      </c>
      <c r="G4674">
        <v>11.54</v>
      </c>
      <c r="H4674">
        <v>3</v>
      </c>
      <c r="I4674">
        <v>8</v>
      </c>
      <c r="J4674">
        <v>13.63</v>
      </c>
      <c r="K4674">
        <v>51.8</v>
      </c>
      <c r="L4674" t="s">
        <v>5025</v>
      </c>
      <c r="M4674">
        <v>1</v>
      </c>
      <c r="N4674">
        <v>3</v>
      </c>
      <c r="O4674">
        <v>0</v>
      </c>
    </row>
    <row r="4675" spans="1:15" x14ac:dyDescent="0.3">
      <c r="A4675" t="s">
        <v>4688</v>
      </c>
      <c r="B4675">
        <v>10</v>
      </c>
      <c r="C4675">
        <v>35</v>
      </c>
      <c r="D4675" t="s">
        <v>5016</v>
      </c>
      <c r="E4675" t="s">
        <v>5018</v>
      </c>
      <c r="F4675" t="s">
        <v>5021</v>
      </c>
      <c r="G4675">
        <v>24.68</v>
      </c>
      <c r="H4675">
        <v>3</v>
      </c>
      <c r="I4675">
        <v>9</v>
      </c>
      <c r="J4675">
        <v>23.88</v>
      </c>
      <c r="K4675">
        <v>85.5</v>
      </c>
      <c r="L4675" t="s">
        <v>5026</v>
      </c>
      <c r="M4675">
        <v>1</v>
      </c>
      <c r="N4675">
        <v>4</v>
      </c>
      <c r="O4675">
        <v>0</v>
      </c>
    </row>
    <row r="4676" spans="1:15" x14ac:dyDescent="0.3">
      <c r="A4676" t="s">
        <v>4689</v>
      </c>
      <c r="B4676">
        <v>5</v>
      </c>
      <c r="C4676">
        <v>61</v>
      </c>
      <c r="D4676" t="s">
        <v>5015</v>
      </c>
      <c r="E4676" t="s">
        <v>5019</v>
      </c>
      <c r="F4676" t="s">
        <v>5022</v>
      </c>
      <c r="G4676">
        <v>6.53</v>
      </c>
      <c r="H4676">
        <v>3</v>
      </c>
      <c r="I4676">
        <v>5.5</v>
      </c>
      <c r="J4676">
        <v>23.78</v>
      </c>
      <c r="K4676">
        <v>80</v>
      </c>
      <c r="L4676" t="s">
        <v>5029</v>
      </c>
      <c r="M4676">
        <v>4</v>
      </c>
      <c r="N4676">
        <v>4</v>
      </c>
      <c r="O4676">
        <v>0</v>
      </c>
    </row>
    <row r="4677" spans="1:15" x14ac:dyDescent="0.3">
      <c r="A4677" t="s">
        <v>4690</v>
      </c>
      <c r="B4677">
        <v>11</v>
      </c>
      <c r="C4677">
        <v>29</v>
      </c>
      <c r="D4677" t="s">
        <v>5015</v>
      </c>
      <c r="E4677" t="s">
        <v>5019</v>
      </c>
      <c r="F4677" t="s">
        <v>5024</v>
      </c>
      <c r="G4677">
        <v>11.13</v>
      </c>
      <c r="H4677">
        <v>1</v>
      </c>
      <c r="I4677">
        <v>8</v>
      </c>
      <c r="J4677">
        <v>23.1</v>
      </c>
      <c r="K4677">
        <v>30.9</v>
      </c>
      <c r="L4677" t="s">
        <v>5028</v>
      </c>
      <c r="M4677">
        <v>2</v>
      </c>
      <c r="N4677">
        <v>0</v>
      </c>
      <c r="O4677">
        <v>1</v>
      </c>
    </row>
    <row r="4678" spans="1:15" x14ac:dyDescent="0.3">
      <c r="A4678" t="s">
        <v>4691</v>
      </c>
      <c r="B4678">
        <v>6</v>
      </c>
      <c r="C4678">
        <v>60</v>
      </c>
      <c r="D4678" t="s">
        <v>5015</v>
      </c>
      <c r="E4678" t="s">
        <v>5017</v>
      </c>
      <c r="F4678" t="s">
        <v>5021</v>
      </c>
      <c r="G4678">
        <v>12.65</v>
      </c>
      <c r="H4678">
        <v>3</v>
      </c>
      <c r="I4678">
        <v>2.7</v>
      </c>
      <c r="J4678">
        <v>22.51</v>
      </c>
      <c r="K4678">
        <v>31</v>
      </c>
      <c r="L4678" t="s">
        <v>5026</v>
      </c>
      <c r="M4678">
        <v>3</v>
      </c>
      <c r="N4678">
        <v>4</v>
      </c>
      <c r="O4678">
        <v>0</v>
      </c>
    </row>
    <row r="4679" spans="1:15" x14ac:dyDescent="0.3">
      <c r="A4679" t="s">
        <v>4692</v>
      </c>
      <c r="B4679">
        <v>3</v>
      </c>
      <c r="C4679">
        <v>45</v>
      </c>
      <c r="D4679" t="s">
        <v>5015</v>
      </c>
      <c r="E4679" t="s">
        <v>5017</v>
      </c>
      <c r="F4679" t="s">
        <v>5023</v>
      </c>
      <c r="G4679">
        <v>14.87</v>
      </c>
      <c r="H4679">
        <v>4</v>
      </c>
      <c r="I4679">
        <v>5.9</v>
      </c>
      <c r="J4679">
        <v>3.83</v>
      </c>
      <c r="K4679">
        <v>75.099999999999994</v>
      </c>
      <c r="L4679" t="s">
        <v>5028</v>
      </c>
      <c r="M4679">
        <v>10</v>
      </c>
      <c r="N4679">
        <v>3</v>
      </c>
      <c r="O4679">
        <v>1</v>
      </c>
    </row>
    <row r="4680" spans="1:15" x14ac:dyDescent="0.3">
      <c r="A4680" t="s">
        <v>4693</v>
      </c>
      <c r="B4680">
        <v>5</v>
      </c>
      <c r="C4680">
        <v>57</v>
      </c>
      <c r="D4680" t="s">
        <v>5015</v>
      </c>
      <c r="E4680" t="s">
        <v>5019</v>
      </c>
      <c r="F4680" t="s">
        <v>5021</v>
      </c>
      <c r="G4680">
        <v>5.33</v>
      </c>
      <c r="H4680">
        <v>4</v>
      </c>
      <c r="I4680">
        <v>6.7</v>
      </c>
      <c r="J4680">
        <v>11.81</v>
      </c>
      <c r="K4680">
        <v>76.599999999999994</v>
      </c>
      <c r="L4680" t="s">
        <v>5026</v>
      </c>
      <c r="M4680">
        <v>2</v>
      </c>
      <c r="N4680">
        <v>3</v>
      </c>
      <c r="O4680">
        <v>0</v>
      </c>
    </row>
    <row r="4681" spans="1:15" x14ac:dyDescent="0.3">
      <c r="A4681" t="s">
        <v>4694</v>
      </c>
      <c r="B4681">
        <v>11</v>
      </c>
      <c r="C4681">
        <v>24</v>
      </c>
      <c r="D4681" t="s">
        <v>5015</v>
      </c>
      <c r="E4681" t="s">
        <v>5018</v>
      </c>
      <c r="F4681" t="s">
        <v>5020</v>
      </c>
      <c r="G4681">
        <v>6.65</v>
      </c>
      <c r="H4681">
        <v>5</v>
      </c>
      <c r="I4681">
        <v>5.4</v>
      </c>
      <c r="J4681">
        <v>22.69</v>
      </c>
      <c r="K4681">
        <v>26.1</v>
      </c>
      <c r="L4681" t="s">
        <v>5028</v>
      </c>
      <c r="M4681">
        <v>10</v>
      </c>
      <c r="N4681">
        <v>3</v>
      </c>
      <c r="O4681">
        <v>1</v>
      </c>
    </row>
    <row r="4682" spans="1:15" x14ac:dyDescent="0.3">
      <c r="A4682" t="s">
        <v>4695</v>
      </c>
      <c r="B4682">
        <v>8</v>
      </c>
      <c r="C4682">
        <v>40</v>
      </c>
      <c r="D4682" t="s">
        <v>5015</v>
      </c>
      <c r="E4682" t="s">
        <v>5018</v>
      </c>
      <c r="F4682" t="s">
        <v>5024</v>
      </c>
      <c r="G4682">
        <v>10.16</v>
      </c>
      <c r="H4682">
        <v>5</v>
      </c>
      <c r="I4682">
        <v>2.1</v>
      </c>
      <c r="J4682">
        <v>19.61</v>
      </c>
      <c r="K4682">
        <v>47</v>
      </c>
      <c r="L4682" t="s">
        <v>5029</v>
      </c>
      <c r="M4682">
        <v>9</v>
      </c>
      <c r="N4682">
        <v>1</v>
      </c>
      <c r="O4682">
        <v>1</v>
      </c>
    </row>
    <row r="4683" spans="1:15" x14ac:dyDescent="0.3">
      <c r="A4683" t="s">
        <v>4696</v>
      </c>
      <c r="B4683">
        <v>6</v>
      </c>
      <c r="C4683">
        <v>38</v>
      </c>
      <c r="D4683" t="s">
        <v>5016</v>
      </c>
      <c r="E4683" t="s">
        <v>5019</v>
      </c>
      <c r="F4683" t="s">
        <v>5021</v>
      </c>
      <c r="G4683">
        <v>16.079999999999998</v>
      </c>
      <c r="H4683">
        <v>4</v>
      </c>
      <c r="I4683">
        <v>7.6</v>
      </c>
      <c r="J4683">
        <v>13.05</v>
      </c>
      <c r="K4683">
        <v>84.3</v>
      </c>
      <c r="L4683" t="s">
        <v>5029</v>
      </c>
      <c r="M4683">
        <v>6</v>
      </c>
      <c r="N4683">
        <v>3</v>
      </c>
      <c r="O4683">
        <v>1</v>
      </c>
    </row>
    <row r="4684" spans="1:15" x14ac:dyDescent="0.3">
      <c r="A4684" t="s">
        <v>4697</v>
      </c>
      <c r="B4684">
        <v>4</v>
      </c>
      <c r="C4684">
        <v>51</v>
      </c>
      <c r="D4684" t="s">
        <v>5016</v>
      </c>
      <c r="E4684" t="s">
        <v>5018</v>
      </c>
      <c r="F4684" t="s">
        <v>5024</v>
      </c>
      <c r="G4684">
        <v>20.36</v>
      </c>
      <c r="H4684">
        <v>1</v>
      </c>
      <c r="I4684">
        <v>8.6</v>
      </c>
      <c r="J4684">
        <v>20.010000000000002</v>
      </c>
      <c r="K4684">
        <v>17.100000000000001</v>
      </c>
      <c r="L4684" t="s">
        <v>5025</v>
      </c>
      <c r="M4684">
        <v>7</v>
      </c>
      <c r="N4684">
        <v>0</v>
      </c>
      <c r="O4684">
        <v>0</v>
      </c>
    </row>
    <row r="4685" spans="1:15" x14ac:dyDescent="0.3">
      <c r="A4685" t="s">
        <v>4698</v>
      </c>
      <c r="B4685">
        <v>2</v>
      </c>
      <c r="C4685">
        <v>28</v>
      </c>
      <c r="D4685" t="s">
        <v>5015</v>
      </c>
      <c r="E4685" t="s">
        <v>5018</v>
      </c>
      <c r="F4685" t="s">
        <v>5021</v>
      </c>
      <c r="G4685">
        <v>18.73</v>
      </c>
      <c r="H4685">
        <v>5</v>
      </c>
      <c r="I4685">
        <v>6.7</v>
      </c>
      <c r="J4685">
        <v>7.58</v>
      </c>
      <c r="K4685">
        <v>43.7</v>
      </c>
      <c r="L4685" t="s">
        <v>5026</v>
      </c>
      <c r="M4685">
        <v>6</v>
      </c>
      <c r="N4685">
        <v>2</v>
      </c>
      <c r="O4685">
        <v>1</v>
      </c>
    </row>
    <row r="4686" spans="1:15" x14ac:dyDescent="0.3">
      <c r="A4686" t="s">
        <v>4699</v>
      </c>
      <c r="B4686">
        <v>9</v>
      </c>
      <c r="C4686">
        <v>39</v>
      </c>
      <c r="D4686" t="s">
        <v>5015</v>
      </c>
      <c r="E4686" t="s">
        <v>5019</v>
      </c>
      <c r="F4686" t="s">
        <v>5023</v>
      </c>
      <c r="G4686">
        <v>16.34</v>
      </c>
      <c r="H4686">
        <v>3</v>
      </c>
      <c r="I4686">
        <v>2.5</v>
      </c>
      <c r="J4686">
        <v>16.2</v>
      </c>
      <c r="K4686">
        <v>68</v>
      </c>
      <c r="L4686" t="s">
        <v>5029</v>
      </c>
      <c r="M4686">
        <v>1</v>
      </c>
      <c r="N4686">
        <v>4</v>
      </c>
      <c r="O4686">
        <v>0</v>
      </c>
    </row>
    <row r="4687" spans="1:15" x14ac:dyDescent="0.3">
      <c r="A4687" t="s">
        <v>4700</v>
      </c>
      <c r="B4687">
        <v>12</v>
      </c>
      <c r="C4687">
        <v>59</v>
      </c>
      <c r="D4687" t="s">
        <v>5015</v>
      </c>
      <c r="E4687" t="s">
        <v>5018</v>
      </c>
      <c r="F4687" t="s">
        <v>5023</v>
      </c>
      <c r="G4687">
        <v>12.94</v>
      </c>
      <c r="H4687">
        <v>4</v>
      </c>
      <c r="I4687">
        <v>1.7</v>
      </c>
      <c r="J4687">
        <v>14.73</v>
      </c>
      <c r="K4687">
        <v>79.400000000000006</v>
      </c>
      <c r="L4687" t="s">
        <v>5029</v>
      </c>
      <c r="M4687">
        <v>5</v>
      </c>
      <c r="N4687">
        <v>4</v>
      </c>
      <c r="O4687">
        <v>0</v>
      </c>
    </row>
    <row r="4688" spans="1:15" x14ac:dyDescent="0.3">
      <c r="A4688" t="s">
        <v>4701</v>
      </c>
      <c r="B4688">
        <v>1</v>
      </c>
      <c r="C4688">
        <v>52</v>
      </c>
      <c r="D4688" t="s">
        <v>5016</v>
      </c>
      <c r="E4688" t="s">
        <v>5017</v>
      </c>
      <c r="F4688" t="s">
        <v>5024</v>
      </c>
      <c r="G4688">
        <v>22.41</v>
      </c>
      <c r="H4688">
        <v>2</v>
      </c>
      <c r="I4688">
        <v>3.7</v>
      </c>
      <c r="J4688">
        <v>15.62</v>
      </c>
      <c r="K4688">
        <v>68.7</v>
      </c>
      <c r="L4688" t="s">
        <v>5026</v>
      </c>
      <c r="M4688">
        <v>3</v>
      </c>
      <c r="N4688">
        <v>4</v>
      </c>
      <c r="O4688">
        <v>0</v>
      </c>
    </row>
    <row r="4689" spans="1:15" x14ac:dyDescent="0.3">
      <c r="A4689" t="s">
        <v>4702</v>
      </c>
      <c r="B4689">
        <v>1</v>
      </c>
      <c r="C4689">
        <v>69</v>
      </c>
      <c r="D4689" t="s">
        <v>5016</v>
      </c>
      <c r="E4689" t="s">
        <v>5017</v>
      </c>
      <c r="F4689" t="s">
        <v>5022</v>
      </c>
      <c r="G4689">
        <v>14.2</v>
      </c>
      <c r="H4689">
        <v>1</v>
      </c>
      <c r="I4689">
        <v>1.3</v>
      </c>
      <c r="J4689">
        <v>18.88</v>
      </c>
      <c r="K4689">
        <v>45.8</v>
      </c>
      <c r="L4689" t="s">
        <v>5026</v>
      </c>
      <c r="M4689">
        <v>10</v>
      </c>
      <c r="N4689">
        <v>3</v>
      </c>
      <c r="O4689">
        <v>0</v>
      </c>
    </row>
    <row r="4690" spans="1:15" x14ac:dyDescent="0.3">
      <c r="A4690" t="s">
        <v>4703</v>
      </c>
      <c r="B4690">
        <v>4</v>
      </c>
      <c r="C4690">
        <v>46</v>
      </c>
      <c r="D4690" t="s">
        <v>5015</v>
      </c>
      <c r="E4690" t="s">
        <v>5017</v>
      </c>
      <c r="F4690" t="s">
        <v>5022</v>
      </c>
      <c r="G4690">
        <v>10.99</v>
      </c>
      <c r="H4690">
        <v>1</v>
      </c>
      <c r="I4690">
        <v>8.6</v>
      </c>
      <c r="J4690">
        <v>23.9</v>
      </c>
      <c r="K4690">
        <v>99.3</v>
      </c>
      <c r="L4690" t="s">
        <v>5025</v>
      </c>
      <c r="M4690">
        <v>8</v>
      </c>
      <c r="N4690">
        <v>3</v>
      </c>
      <c r="O4690">
        <v>0</v>
      </c>
    </row>
    <row r="4691" spans="1:15" x14ac:dyDescent="0.3">
      <c r="A4691" t="s">
        <v>4704</v>
      </c>
      <c r="B4691">
        <v>7</v>
      </c>
      <c r="C4691">
        <v>59</v>
      </c>
      <c r="D4691" t="s">
        <v>5016</v>
      </c>
      <c r="E4691" t="s">
        <v>5019</v>
      </c>
      <c r="F4691" t="s">
        <v>5020</v>
      </c>
      <c r="G4691">
        <v>17.59</v>
      </c>
      <c r="H4691">
        <v>4</v>
      </c>
      <c r="I4691">
        <v>7.3</v>
      </c>
      <c r="J4691">
        <v>8.81</v>
      </c>
      <c r="K4691">
        <v>13.7</v>
      </c>
      <c r="L4691" t="s">
        <v>5029</v>
      </c>
      <c r="M4691">
        <v>7</v>
      </c>
      <c r="N4691">
        <v>3</v>
      </c>
      <c r="O4691">
        <v>1</v>
      </c>
    </row>
    <row r="4692" spans="1:15" x14ac:dyDescent="0.3">
      <c r="A4692" t="s">
        <v>4705</v>
      </c>
      <c r="B4692">
        <v>1</v>
      </c>
      <c r="C4692">
        <v>45</v>
      </c>
      <c r="D4692" t="s">
        <v>5016</v>
      </c>
      <c r="E4692" t="s">
        <v>5017</v>
      </c>
      <c r="F4692" t="s">
        <v>5022</v>
      </c>
      <c r="G4692">
        <v>18.84</v>
      </c>
      <c r="H4692">
        <v>2</v>
      </c>
      <c r="I4692">
        <v>6.1</v>
      </c>
      <c r="J4692">
        <v>19.68</v>
      </c>
      <c r="K4692">
        <v>54.5</v>
      </c>
      <c r="L4692" t="s">
        <v>5028</v>
      </c>
      <c r="M4692">
        <v>9</v>
      </c>
      <c r="N4692">
        <v>2</v>
      </c>
      <c r="O4692">
        <v>1</v>
      </c>
    </row>
    <row r="4693" spans="1:15" x14ac:dyDescent="0.3">
      <c r="A4693" t="s">
        <v>4706</v>
      </c>
      <c r="B4693">
        <v>9</v>
      </c>
      <c r="C4693">
        <v>35</v>
      </c>
      <c r="D4693" t="s">
        <v>5016</v>
      </c>
      <c r="E4693" t="s">
        <v>5017</v>
      </c>
      <c r="F4693" t="s">
        <v>5024</v>
      </c>
      <c r="G4693">
        <v>12.97</v>
      </c>
      <c r="H4693">
        <v>1</v>
      </c>
      <c r="I4693">
        <v>9</v>
      </c>
      <c r="J4693">
        <v>17.190000000000001</v>
      </c>
      <c r="K4693">
        <v>55.9</v>
      </c>
      <c r="L4693" t="s">
        <v>5026</v>
      </c>
      <c r="M4693">
        <v>1</v>
      </c>
      <c r="N4693">
        <v>2</v>
      </c>
      <c r="O4693">
        <v>0</v>
      </c>
    </row>
    <row r="4694" spans="1:15" x14ac:dyDescent="0.3">
      <c r="A4694" t="s">
        <v>4707</v>
      </c>
      <c r="B4694">
        <v>4</v>
      </c>
      <c r="C4694">
        <v>31</v>
      </c>
      <c r="D4694" t="s">
        <v>5015</v>
      </c>
      <c r="E4694" t="s">
        <v>5019</v>
      </c>
      <c r="F4694" t="s">
        <v>5022</v>
      </c>
      <c r="G4694">
        <v>5.56</v>
      </c>
      <c r="H4694">
        <v>5</v>
      </c>
      <c r="I4694">
        <v>2</v>
      </c>
      <c r="J4694">
        <v>18.29</v>
      </c>
      <c r="K4694">
        <v>31.6</v>
      </c>
      <c r="L4694" t="s">
        <v>5026</v>
      </c>
      <c r="M4694">
        <v>2</v>
      </c>
      <c r="N4694">
        <v>2</v>
      </c>
      <c r="O4694">
        <v>0</v>
      </c>
    </row>
    <row r="4695" spans="1:15" x14ac:dyDescent="0.3">
      <c r="A4695" t="s">
        <v>4708</v>
      </c>
      <c r="B4695">
        <v>3</v>
      </c>
      <c r="C4695">
        <v>35</v>
      </c>
      <c r="D4695" t="s">
        <v>5016</v>
      </c>
      <c r="E4695" t="s">
        <v>5017</v>
      </c>
      <c r="F4695" t="s">
        <v>5020</v>
      </c>
      <c r="G4695">
        <v>6.88</v>
      </c>
      <c r="H4695">
        <v>2</v>
      </c>
      <c r="I4695">
        <v>7.4</v>
      </c>
      <c r="J4695">
        <v>12.44</v>
      </c>
      <c r="K4695">
        <v>60.3</v>
      </c>
      <c r="L4695" t="s">
        <v>5026</v>
      </c>
      <c r="M4695">
        <v>2</v>
      </c>
      <c r="N4695">
        <v>2</v>
      </c>
      <c r="O4695">
        <v>0</v>
      </c>
    </row>
    <row r="4696" spans="1:15" x14ac:dyDescent="0.3">
      <c r="A4696" t="s">
        <v>4709</v>
      </c>
      <c r="B4696">
        <v>1</v>
      </c>
      <c r="C4696">
        <v>45</v>
      </c>
      <c r="D4696" t="s">
        <v>5016</v>
      </c>
      <c r="E4696" t="s">
        <v>5017</v>
      </c>
      <c r="F4696" t="s">
        <v>5021</v>
      </c>
      <c r="G4696">
        <v>21.91</v>
      </c>
      <c r="H4696">
        <v>3</v>
      </c>
      <c r="I4696">
        <v>2.2999999999999998</v>
      </c>
      <c r="J4696">
        <v>23.78</v>
      </c>
      <c r="K4696">
        <v>29.8</v>
      </c>
      <c r="L4696" t="s">
        <v>5026</v>
      </c>
      <c r="M4696">
        <v>1</v>
      </c>
      <c r="N4696">
        <v>2</v>
      </c>
      <c r="O4696">
        <v>0</v>
      </c>
    </row>
    <row r="4697" spans="1:15" x14ac:dyDescent="0.3">
      <c r="A4697" t="s">
        <v>4710</v>
      </c>
      <c r="B4697">
        <v>10</v>
      </c>
      <c r="C4697">
        <v>41</v>
      </c>
      <c r="D4697" t="s">
        <v>5015</v>
      </c>
      <c r="E4697" t="s">
        <v>5017</v>
      </c>
      <c r="F4697" t="s">
        <v>5022</v>
      </c>
      <c r="G4697">
        <v>6.13</v>
      </c>
      <c r="H4697">
        <v>5</v>
      </c>
      <c r="I4697">
        <v>1.5</v>
      </c>
      <c r="J4697">
        <v>13.55</v>
      </c>
      <c r="K4697">
        <v>49.9</v>
      </c>
      <c r="L4697" t="s">
        <v>5029</v>
      </c>
      <c r="M4697">
        <v>8</v>
      </c>
      <c r="N4697">
        <v>4</v>
      </c>
      <c r="O4697">
        <v>0</v>
      </c>
    </row>
    <row r="4698" spans="1:15" x14ac:dyDescent="0.3">
      <c r="A4698" t="s">
        <v>4711</v>
      </c>
      <c r="B4698">
        <v>4</v>
      </c>
      <c r="C4698">
        <v>25</v>
      </c>
      <c r="D4698" t="s">
        <v>5015</v>
      </c>
      <c r="E4698" t="s">
        <v>5017</v>
      </c>
      <c r="F4698" t="s">
        <v>5024</v>
      </c>
      <c r="G4698">
        <v>16.84</v>
      </c>
      <c r="H4698">
        <v>2</v>
      </c>
      <c r="I4698">
        <v>2.2000000000000002</v>
      </c>
      <c r="J4698">
        <v>5.68</v>
      </c>
      <c r="K4698">
        <v>48.8</v>
      </c>
      <c r="L4698" t="s">
        <v>5028</v>
      </c>
      <c r="M4698">
        <v>4</v>
      </c>
      <c r="N4698">
        <v>4</v>
      </c>
      <c r="O4698">
        <v>0</v>
      </c>
    </row>
    <row r="4699" spans="1:15" x14ac:dyDescent="0.3">
      <c r="A4699" t="s">
        <v>4712</v>
      </c>
      <c r="B4699">
        <v>9</v>
      </c>
      <c r="C4699">
        <v>59</v>
      </c>
      <c r="D4699" t="s">
        <v>5016</v>
      </c>
      <c r="E4699" t="s">
        <v>5018</v>
      </c>
      <c r="F4699" t="s">
        <v>5024</v>
      </c>
      <c r="G4699">
        <v>8.67</v>
      </c>
      <c r="H4699">
        <v>4</v>
      </c>
      <c r="I4699">
        <v>9.6</v>
      </c>
      <c r="J4699">
        <v>17.98</v>
      </c>
      <c r="K4699">
        <v>79.599999999999994</v>
      </c>
      <c r="L4699" t="s">
        <v>5025</v>
      </c>
      <c r="M4699">
        <v>7</v>
      </c>
      <c r="N4699">
        <v>2</v>
      </c>
      <c r="O4699">
        <v>1</v>
      </c>
    </row>
    <row r="4700" spans="1:15" x14ac:dyDescent="0.3">
      <c r="A4700" t="s">
        <v>4713</v>
      </c>
      <c r="B4700">
        <v>10</v>
      </c>
      <c r="C4700">
        <v>62</v>
      </c>
      <c r="D4700" t="s">
        <v>5015</v>
      </c>
      <c r="E4700" t="s">
        <v>5019</v>
      </c>
      <c r="F4700" t="s">
        <v>5020</v>
      </c>
      <c r="G4700">
        <v>9.58</v>
      </c>
      <c r="H4700">
        <v>1</v>
      </c>
      <c r="I4700">
        <v>5</v>
      </c>
      <c r="J4700">
        <v>5.84</v>
      </c>
      <c r="K4700">
        <v>94.8</v>
      </c>
      <c r="L4700" t="s">
        <v>5027</v>
      </c>
      <c r="M4700">
        <v>10</v>
      </c>
      <c r="N4700">
        <v>4</v>
      </c>
      <c r="O4700">
        <v>0</v>
      </c>
    </row>
    <row r="4701" spans="1:15" x14ac:dyDescent="0.3">
      <c r="A4701" t="s">
        <v>4714</v>
      </c>
      <c r="B4701">
        <v>6</v>
      </c>
      <c r="C4701">
        <v>25</v>
      </c>
      <c r="D4701" t="s">
        <v>5016</v>
      </c>
      <c r="E4701" t="s">
        <v>5019</v>
      </c>
      <c r="F4701" t="s">
        <v>5020</v>
      </c>
      <c r="G4701">
        <v>10.47</v>
      </c>
      <c r="H4701">
        <v>5</v>
      </c>
      <c r="I4701">
        <v>1.4</v>
      </c>
      <c r="J4701">
        <v>10.1</v>
      </c>
      <c r="K4701">
        <v>28.3</v>
      </c>
      <c r="L4701" t="s">
        <v>5029</v>
      </c>
      <c r="M4701">
        <v>1</v>
      </c>
      <c r="N4701">
        <v>2</v>
      </c>
      <c r="O4701">
        <v>1</v>
      </c>
    </row>
    <row r="4702" spans="1:15" x14ac:dyDescent="0.3">
      <c r="A4702" t="s">
        <v>4715</v>
      </c>
      <c r="B4702">
        <v>6</v>
      </c>
      <c r="C4702">
        <v>21</v>
      </c>
      <c r="D4702" t="s">
        <v>5016</v>
      </c>
      <c r="E4702" t="s">
        <v>5018</v>
      </c>
      <c r="F4702" t="s">
        <v>5023</v>
      </c>
      <c r="G4702">
        <v>5.77</v>
      </c>
      <c r="H4702">
        <v>4</v>
      </c>
      <c r="I4702">
        <v>6.3</v>
      </c>
      <c r="J4702">
        <v>8.02</v>
      </c>
      <c r="K4702">
        <v>99.2</v>
      </c>
      <c r="L4702" t="s">
        <v>5029</v>
      </c>
      <c r="M4702">
        <v>8</v>
      </c>
      <c r="N4702">
        <v>2</v>
      </c>
      <c r="O4702">
        <v>0</v>
      </c>
    </row>
    <row r="4703" spans="1:15" x14ac:dyDescent="0.3">
      <c r="A4703" t="s">
        <v>4716</v>
      </c>
      <c r="B4703">
        <v>1</v>
      </c>
      <c r="C4703">
        <v>44</v>
      </c>
      <c r="D4703" t="s">
        <v>5015</v>
      </c>
      <c r="E4703" t="s">
        <v>5018</v>
      </c>
      <c r="F4703" t="s">
        <v>5023</v>
      </c>
      <c r="G4703">
        <v>8.5399999999999991</v>
      </c>
      <c r="H4703">
        <v>2</v>
      </c>
      <c r="I4703">
        <v>2.8</v>
      </c>
      <c r="J4703">
        <v>14.86</v>
      </c>
      <c r="K4703">
        <v>94.6</v>
      </c>
      <c r="L4703" t="s">
        <v>5027</v>
      </c>
      <c r="M4703">
        <v>11</v>
      </c>
      <c r="N4703">
        <v>2</v>
      </c>
      <c r="O4703">
        <v>0</v>
      </c>
    </row>
    <row r="4704" spans="1:15" x14ac:dyDescent="0.3">
      <c r="A4704" t="s">
        <v>4717</v>
      </c>
      <c r="B4704">
        <v>10</v>
      </c>
      <c r="C4704">
        <v>53</v>
      </c>
      <c r="D4704" t="s">
        <v>5015</v>
      </c>
      <c r="E4704" t="s">
        <v>5018</v>
      </c>
      <c r="F4704" t="s">
        <v>5023</v>
      </c>
      <c r="G4704">
        <v>18.010000000000002</v>
      </c>
      <c r="H4704">
        <v>3</v>
      </c>
      <c r="I4704">
        <v>1.1000000000000001</v>
      </c>
      <c r="J4704">
        <v>10.65</v>
      </c>
      <c r="K4704">
        <v>20.100000000000001</v>
      </c>
      <c r="L4704" t="s">
        <v>5027</v>
      </c>
      <c r="M4704">
        <v>8</v>
      </c>
      <c r="N4704">
        <v>4</v>
      </c>
      <c r="O4704">
        <v>0</v>
      </c>
    </row>
    <row r="4705" spans="1:15" x14ac:dyDescent="0.3">
      <c r="A4705" t="s">
        <v>4718</v>
      </c>
      <c r="B4705">
        <v>2</v>
      </c>
      <c r="C4705">
        <v>22</v>
      </c>
      <c r="D4705" t="s">
        <v>5016</v>
      </c>
      <c r="E4705" t="s">
        <v>5017</v>
      </c>
      <c r="F4705" t="s">
        <v>5021</v>
      </c>
      <c r="G4705">
        <v>14.97</v>
      </c>
      <c r="H4705">
        <v>1</v>
      </c>
      <c r="I4705">
        <v>7.8</v>
      </c>
      <c r="J4705">
        <v>6.52</v>
      </c>
      <c r="K4705">
        <v>92.1</v>
      </c>
      <c r="L4705" t="s">
        <v>5026</v>
      </c>
      <c r="M4705">
        <v>11</v>
      </c>
      <c r="N4705">
        <v>1</v>
      </c>
      <c r="O4705">
        <v>0</v>
      </c>
    </row>
    <row r="4706" spans="1:15" x14ac:dyDescent="0.3">
      <c r="A4706" t="s">
        <v>4719</v>
      </c>
      <c r="B4706">
        <v>11</v>
      </c>
      <c r="C4706">
        <v>50</v>
      </c>
      <c r="D4706" t="s">
        <v>5015</v>
      </c>
      <c r="E4706" t="s">
        <v>5017</v>
      </c>
      <c r="F4706" t="s">
        <v>5024</v>
      </c>
      <c r="G4706">
        <v>20.95</v>
      </c>
      <c r="H4706">
        <v>1</v>
      </c>
      <c r="I4706">
        <v>2.4</v>
      </c>
      <c r="J4706">
        <v>20.399999999999999</v>
      </c>
      <c r="K4706">
        <v>60.8</v>
      </c>
      <c r="L4706" t="s">
        <v>5028</v>
      </c>
      <c r="M4706">
        <v>10</v>
      </c>
      <c r="N4706">
        <v>1</v>
      </c>
      <c r="O4706">
        <v>0</v>
      </c>
    </row>
    <row r="4707" spans="1:15" x14ac:dyDescent="0.3">
      <c r="A4707" t="s">
        <v>4720</v>
      </c>
      <c r="B4707">
        <v>6</v>
      </c>
      <c r="C4707">
        <v>66</v>
      </c>
      <c r="D4707" t="s">
        <v>5015</v>
      </c>
      <c r="E4707" t="s">
        <v>5019</v>
      </c>
      <c r="F4707" t="s">
        <v>5023</v>
      </c>
      <c r="G4707">
        <v>6.22</v>
      </c>
      <c r="H4707">
        <v>5</v>
      </c>
      <c r="I4707">
        <v>9.5</v>
      </c>
      <c r="J4707">
        <v>13.31</v>
      </c>
      <c r="K4707">
        <v>89.1</v>
      </c>
      <c r="L4707" t="s">
        <v>5029</v>
      </c>
      <c r="M4707">
        <v>3</v>
      </c>
      <c r="N4707">
        <v>1</v>
      </c>
      <c r="O4707">
        <v>0</v>
      </c>
    </row>
    <row r="4708" spans="1:15" x14ac:dyDescent="0.3">
      <c r="A4708" t="s">
        <v>4721</v>
      </c>
      <c r="B4708">
        <v>2</v>
      </c>
      <c r="C4708">
        <v>51</v>
      </c>
      <c r="D4708" t="s">
        <v>5016</v>
      </c>
      <c r="E4708" t="s">
        <v>5017</v>
      </c>
      <c r="F4708" t="s">
        <v>5024</v>
      </c>
      <c r="G4708">
        <v>22.78</v>
      </c>
      <c r="H4708">
        <v>4</v>
      </c>
      <c r="I4708">
        <v>6.3</v>
      </c>
      <c r="J4708">
        <v>13</v>
      </c>
      <c r="K4708">
        <v>95.1</v>
      </c>
      <c r="L4708" t="s">
        <v>5029</v>
      </c>
      <c r="M4708">
        <v>9</v>
      </c>
      <c r="N4708">
        <v>0</v>
      </c>
      <c r="O4708">
        <v>0</v>
      </c>
    </row>
    <row r="4709" spans="1:15" x14ac:dyDescent="0.3">
      <c r="A4709" t="s">
        <v>4722</v>
      </c>
      <c r="B4709">
        <v>3</v>
      </c>
      <c r="C4709">
        <v>47</v>
      </c>
      <c r="D4709" t="s">
        <v>5016</v>
      </c>
      <c r="E4709" t="s">
        <v>5017</v>
      </c>
      <c r="F4709" t="s">
        <v>5020</v>
      </c>
      <c r="G4709">
        <v>24.93</v>
      </c>
      <c r="H4709">
        <v>2</v>
      </c>
      <c r="I4709">
        <v>1.8</v>
      </c>
      <c r="J4709">
        <v>22.5</v>
      </c>
      <c r="K4709">
        <v>87.3</v>
      </c>
      <c r="L4709" t="s">
        <v>5025</v>
      </c>
      <c r="M4709">
        <v>5</v>
      </c>
      <c r="N4709">
        <v>1</v>
      </c>
      <c r="O4709">
        <v>0</v>
      </c>
    </row>
    <row r="4710" spans="1:15" x14ac:dyDescent="0.3">
      <c r="A4710" t="s">
        <v>4723</v>
      </c>
      <c r="B4710">
        <v>4</v>
      </c>
      <c r="C4710">
        <v>25</v>
      </c>
      <c r="D4710" t="s">
        <v>5016</v>
      </c>
      <c r="E4710" t="s">
        <v>5018</v>
      </c>
      <c r="F4710" t="s">
        <v>5021</v>
      </c>
      <c r="G4710">
        <v>5.31</v>
      </c>
      <c r="H4710">
        <v>2</v>
      </c>
      <c r="I4710">
        <v>3</v>
      </c>
      <c r="J4710">
        <v>14.85</v>
      </c>
      <c r="K4710">
        <v>46.3</v>
      </c>
      <c r="L4710" t="s">
        <v>5027</v>
      </c>
      <c r="M4710">
        <v>5</v>
      </c>
      <c r="N4710">
        <v>1</v>
      </c>
      <c r="O4710">
        <v>1</v>
      </c>
    </row>
    <row r="4711" spans="1:15" x14ac:dyDescent="0.3">
      <c r="A4711" t="s">
        <v>4724</v>
      </c>
      <c r="B4711">
        <v>11</v>
      </c>
      <c r="C4711">
        <v>56</v>
      </c>
      <c r="D4711" t="s">
        <v>5016</v>
      </c>
      <c r="E4711" t="s">
        <v>5018</v>
      </c>
      <c r="F4711" t="s">
        <v>5020</v>
      </c>
      <c r="G4711">
        <v>24.35</v>
      </c>
      <c r="H4711">
        <v>4</v>
      </c>
      <c r="I4711">
        <v>6.5</v>
      </c>
      <c r="J4711">
        <v>18.62</v>
      </c>
      <c r="K4711">
        <v>67.3</v>
      </c>
      <c r="L4711" t="s">
        <v>5027</v>
      </c>
      <c r="M4711">
        <v>5</v>
      </c>
      <c r="N4711">
        <v>1</v>
      </c>
      <c r="O4711">
        <v>1</v>
      </c>
    </row>
    <row r="4712" spans="1:15" x14ac:dyDescent="0.3">
      <c r="A4712" t="s">
        <v>4725</v>
      </c>
      <c r="B4712">
        <v>5</v>
      </c>
      <c r="C4712">
        <v>64</v>
      </c>
      <c r="D4712" t="s">
        <v>5016</v>
      </c>
      <c r="E4712" t="s">
        <v>5017</v>
      </c>
      <c r="F4712" t="s">
        <v>5024</v>
      </c>
      <c r="G4712">
        <v>9.7200000000000006</v>
      </c>
      <c r="H4712">
        <v>1</v>
      </c>
      <c r="I4712">
        <v>4</v>
      </c>
      <c r="J4712">
        <v>10.220000000000001</v>
      </c>
      <c r="K4712">
        <v>51.8</v>
      </c>
      <c r="L4712" t="s">
        <v>5029</v>
      </c>
      <c r="M4712">
        <v>1</v>
      </c>
      <c r="N4712">
        <v>3</v>
      </c>
      <c r="O4712">
        <v>0</v>
      </c>
    </row>
    <row r="4713" spans="1:15" x14ac:dyDescent="0.3">
      <c r="A4713" t="s">
        <v>4726</v>
      </c>
      <c r="B4713">
        <v>9</v>
      </c>
      <c r="C4713">
        <v>43</v>
      </c>
      <c r="D4713" t="s">
        <v>5016</v>
      </c>
      <c r="E4713" t="s">
        <v>5017</v>
      </c>
      <c r="F4713" t="s">
        <v>5023</v>
      </c>
      <c r="G4713">
        <v>18.850000000000001</v>
      </c>
      <c r="H4713">
        <v>4</v>
      </c>
      <c r="I4713">
        <v>5.8</v>
      </c>
      <c r="J4713">
        <v>15.35</v>
      </c>
      <c r="K4713">
        <v>43</v>
      </c>
      <c r="L4713" t="s">
        <v>5027</v>
      </c>
      <c r="M4713">
        <v>10</v>
      </c>
      <c r="N4713">
        <v>2</v>
      </c>
      <c r="O4713">
        <v>0</v>
      </c>
    </row>
    <row r="4714" spans="1:15" x14ac:dyDescent="0.3">
      <c r="A4714" t="s">
        <v>4727</v>
      </c>
      <c r="B4714">
        <v>12</v>
      </c>
      <c r="C4714">
        <v>54</v>
      </c>
      <c r="D4714" t="s">
        <v>5015</v>
      </c>
      <c r="E4714" t="s">
        <v>5018</v>
      </c>
      <c r="F4714" t="s">
        <v>5020</v>
      </c>
      <c r="G4714">
        <v>10.85</v>
      </c>
      <c r="H4714">
        <v>2</v>
      </c>
      <c r="I4714">
        <v>8.1999999999999993</v>
      </c>
      <c r="J4714">
        <v>18.98</v>
      </c>
      <c r="K4714">
        <v>32.6</v>
      </c>
      <c r="L4714" t="s">
        <v>5026</v>
      </c>
      <c r="M4714">
        <v>2</v>
      </c>
      <c r="N4714">
        <v>4</v>
      </c>
      <c r="O4714">
        <v>0</v>
      </c>
    </row>
    <row r="4715" spans="1:15" x14ac:dyDescent="0.3">
      <c r="A4715" t="s">
        <v>4728</v>
      </c>
      <c r="B4715">
        <v>4</v>
      </c>
      <c r="C4715">
        <v>51</v>
      </c>
      <c r="D4715" t="s">
        <v>5015</v>
      </c>
      <c r="E4715" t="s">
        <v>5018</v>
      </c>
      <c r="F4715" t="s">
        <v>5022</v>
      </c>
      <c r="G4715">
        <v>15.44</v>
      </c>
      <c r="H4715">
        <v>4</v>
      </c>
      <c r="I4715">
        <v>8.1</v>
      </c>
      <c r="J4715">
        <v>9.52</v>
      </c>
      <c r="K4715">
        <v>49.7</v>
      </c>
      <c r="L4715" t="s">
        <v>5025</v>
      </c>
      <c r="M4715">
        <v>1</v>
      </c>
      <c r="N4715">
        <v>3</v>
      </c>
      <c r="O4715">
        <v>0</v>
      </c>
    </row>
    <row r="4716" spans="1:15" x14ac:dyDescent="0.3">
      <c r="A4716" t="s">
        <v>4729</v>
      </c>
      <c r="B4716">
        <v>11</v>
      </c>
      <c r="C4716">
        <v>24</v>
      </c>
      <c r="D4716" t="s">
        <v>5016</v>
      </c>
      <c r="E4716" t="s">
        <v>5017</v>
      </c>
      <c r="F4716" t="s">
        <v>5021</v>
      </c>
      <c r="G4716">
        <v>15.21</v>
      </c>
      <c r="H4716">
        <v>1</v>
      </c>
      <c r="I4716">
        <v>7.3</v>
      </c>
      <c r="J4716">
        <v>18.149999999999999</v>
      </c>
      <c r="K4716">
        <v>82.5</v>
      </c>
      <c r="L4716" t="s">
        <v>5029</v>
      </c>
      <c r="M4716">
        <v>2</v>
      </c>
      <c r="N4716">
        <v>2</v>
      </c>
      <c r="O4716">
        <v>1</v>
      </c>
    </row>
    <row r="4717" spans="1:15" x14ac:dyDescent="0.3">
      <c r="A4717" t="s">
        <v>4730</v>
      </c>
      <c r="B4717">
        <v>9</v>
      </c>
      <c r="C4717">
        <v>57</v>
      </c>
      <c r="D4717" t="s">
        <v>5015</v>
      </c>
      <c r="E4717" t="s">
        <v>5018</v>
      </c>
      <c r="F4717" t="s">
        <v>5024</v>
      </c>
      <c r="G4717">
        <v>12.22</v>
      </c>
      <c r="H4717">
        <v>5</v>
      </c>
      <c r="I4717">
        <v>9</v>
      </c>
      <c r="J4717">
        <v>15.51</v>
      </c>
      <c r="K4717">
        <v>86</v>
      </c>
      <c r="L4717" t="s">
        <v>5025</v>
      </c>
      <c r="M4717">
        <v>9</v>
      </c>
      <c r="N4717">
        <v>1</v>
      </c>
      <c r="O4717">
        <v>0</v>
      </c>
    </row>
    <row r="4718" spans="1:15" x14ac:dyDescent="0.3">
      <c r="A4718" t="s">
        <v>4731</v>
      </c>
      <c r="B4718">
        <v>11</v>
      </c>
      <c r="C4718">
        <v>45</v>
      </c>
      <c r="D4718" t="s">
        <v>5015</v>
      </c>
      <c r="E4718" t="s">
        <v>5018</v>
      </c>
      <c r="F4718" t="s">
        <v>5023</v>
      </c>
      <c r="G4718">
        <v>19.350000000000001</v>
      </c>
      <c r="H4718">
        <v>1</v>
      </c>
      <c r="I4718">
        <v>2.8</v>
      </c>
      <c r="J4718">
        <v>12.55</v>
      </c>
      <c r="K4718">
        <v>96.2</v>
      </c>
      <c r="L4718" t="s">
        <v>5026</v>
      </c>
      <c r="M4718">
        <v>9</v>
      </c>
      <c r="N4718">
        <v>1</v>
      </c>
      <c r="O4718">
        <v>0</v>
      </c>
    </row>
    <row r="4719" spans="1:15" x14ac:dyDescent="0.3">
      <c r="A4719" t="s">
        <v>4732</v>
      </c>
      <c r="B4719">
        <v>10</v>
      </c>
      <c r="C4719">
        <v>56</v>
      </c>
      <c r="D4719" t="s">
        <v>5016</v>
      </c>
      <c r="E4719" t="s">
        <v>5019</v>
      </c>
      <c r="F4719" t="s">
        <v>5020</v>
      </c>
      <c r="G4719">
        <v>16.989999999999998</v>
      </c>
      <c r="H4719">
        <v>3</v>
      </c>
      <c r="I4719">
        <v>2.6</v>
      </c>
      <c r="J4719">
        <v>18.690000000000001</v>
      </c>
      <c r="K4719">
        <v>36.200000000000003</v>
      </c>
      <c r="L4719" t="s">
        <v>5025</v>
      </c>
      <c r="M4719">
        <v>5</v>
      </c>
      <c r="N4719">
        <v>3</v>
      </c>
      <c r="O4719">
        <v>0</v>
      </c>
    </row>
    <row r="4720" spans="1:15" x14ac:dyDescent="0.3">
      <c r="A4720" t="s">
        <v>4733</v>
      </c>
      <c r="B4720">
        <v>3</v>
      </c>
      <c r="C4720">
        <v>56</v>
      </c>
      <c r="D4720" t="s">
        <v>5015</v>
      </c>
      <c r="E4720" t="s">
        <v>5018</v>
      </c>
      <c r="F4720" t="s">
        <v>5021</v>
      </c>
      <c r="G4720">
        <v>15.17</v>
      </c>
      <c r="H4720">
        <v>3</v>
      </c>
      <c r="I4720">
        <v>8.1999999999999993</v>
      </c>
      <c r="J4720">
        <v>9.9700000000000006</v>
      </c>
      <c r="K4720">
        <v>68.5</v>
      </c>
      <c r="L4720" t="s">
        <v>5027</v>
      </c>
      <c r="M4720">
        <v>4</v>
      </c>
      <c r="N4720">
        <v>4</v>
      </c>
      <c r="O4720">
        <v>0</v>
      </c>
    </row>
    <row r="4721" spans="1:15" x14ac:dyDescent="0.3">
      <c r="A4721" t="s">
        <v>4734</v>
      </c>
      <c r="B4721">
        <v>8</v>
      </c>
      <c r="C4721">
        <v>45</v>
      </c>
      <c r="D4721" t="s">
        <v>5015</v>
      </c>
      <c r="E4721" t="s">
        <v>5017</v>
      </c>
      <c r="F4721" t="s">
        <v>5023</v>
      </c>
      <c r="G4721">
        <v>24.66</v>
      </c>
      <c r="H4721">
        <v>4</v>
      </c>
      <c r="I4721">
        <v>3.9</v>
      </c>
      <c r="J4721">
        <v>18.72</v>
      </c>
      <c r="K4721">
        <v>72.400000000000006</v>
      </c>
      <c r="L4721" t="s">
        <v>5029</v>
      </c>
      <c r="M4721">
        <v>2</v>
      </c>
      <c r="N4721">
        <v>3</v>
      </c>
      <c r="O4721">
        <v>0</v>
      </c>
    </row>
    <row r="4722" spans="1:15" x14ac:dyDescent="0.3">
      <c r="A4722" t="s">
        <v>4735</v>
      </c>
      <c r="B4722">
        <v>12</v>
      </c>
      <c r="C4722">
        <v>31</v>
      </c>
      <c r="D4722" t="s">
        <v>5016</v>
      </c>
      <c r="E4722" t="s">
        <v>5018</v>
      </c>
      <c r="F4722" t="s">
        <v>5020</v>
      </c>
      <c r="G4722">
        <v>23.8</v>
      </c>
      <c r="H4722">
        <v>1</v>
      </c>
      <c r="I4722">
        <v>5.6</v>
      </c>
      <c r="J4722">
        <v>15.12</v>
      </c>
      <c r="K4722">
        <v>27.2</v>
      </c>
      <c r="L4722" t="s">
        <v>5025</v>
      </c>
      <c r="M4722">
        <v>6</v>
      </c>
      <c r="N4722">
        <v>3</v>
      </c>
      <c r="O4722">
        <v>0</v>
      </c>
    </row>
    <row r="4723" spans="1:15" x14ac:dyDescent="0.3">
      <c r="A4723" t="s">
        <v>4736</v>
      </c>
      <c r="B4723">
        <v>1</v>
      </c>
      <c r="C4723">
        <v>67</v>
      </c>
      <c r="D4723" t="s">
        <v>5015</v>
      </c>
      <c r="E4723" t="s">
        <v>5019</v>
      </c>
      <c r="F4723" t="s">
        <v>5024</v>
      </c>
      <c r="G4723">
        <v>24.11</v>
      </c>
      <c r="H4723">
        <v>1</v>
      </c>
      <c r="I4723">
        <v>7.7</v>
      </c>
      <c r="J4723">
        <v>8.4</v>
      </c>
      <c r="K4723">
        <v>43</v>
      </c>
      <c r="L4723" t="s">
        <v>5028</v>
      </c>
      <c r="M4723">
        <v>9</v>
      </c>
      <c r="N4723">
        <v>2</v>
      </c>
      <c r="O4723">
        <v>0</v>
      </c>
    </row>
    <row r="4724" spans="1:15" x14ac:dyDescent="0.3">
      <c r="A4724" t="s">
        <v>4737</v>
      </c>
      <c r="B4724">
        <v>11</v>
      </c>
      <c r="C4724">
        <v>55</v>
      </c>
      <c r="D4724" t="s">
        <v>5015</v>
      </c>
      <c r="E4724" t="s">
        <v>5017</v>
      </c>
      <c r="F4724" t="s">
        <v>5022</v>
      </c>
      <c r="G4724">
        <v>22.63</v>
      </c>
      <c r="H4724">
        <v>2</v>
      </c>
      <c r="I4724">
        <v>4.5999999999999996</v>
      </c>
      <c r="J4724">
        <v>17.7</v>
      </c>
      <c r="K4724">
        <v>40.799999999999997</v>
      </c>
      <c r="L4724" t="s">
        <v>5029</v>
      </c>
      <c r="M4724">
        <v>8</v>
      </c>
      <c r="N4724">
        <v>0</v>
      </c>
      <c r="O4724">
        <v>1</v>
      </c>
    </row>
    <row r="4725" spans="1:15" x14ac:dyDescent="0.3">
      <c r="A4725" t="s">
        <v>4738</v>
      </c>
      <c r="B4725">
        <v>9</v>
      </c>
      <c r="C4725">
        <v>21</v>
      </c>
      <c r="D4725" t="s">
        <v>5016</v>
      </c>
      <c r="E4725" t="s">
        <v>5018</v>
      </c>
      <c r="F4725" t="s">
        <v>5022</v>
      </c>
      <c r="G4725">
        <v>10.1</v>
      </c>
      <c r="H4725">
        <v>5</v>
      </c>
      <c r="I4725">
        <v>2.2000000000000002</v>
      </c>
      <c r="J4725">
        <v>22.46</v>
      </c>
      <c r="K4725">
        <v>98.7</v>
      </c>
      <c r="L4725" t="s">
        <v>5025</v>
      </c>
      <c r="M4725">
        <v>10</v>
      </c>
      <c r="N4725">
        <v>4</v>
      </c>
      <c r="O4725">
        <v>1</v>
      </c>
    </row>
    <row r="4726" spans="1:15" x14ac:dyDescent="0.3">
      <c r="A4726" t="s">
        <v>4739</v>
      </c>
      <c r="B4726">
        <v>9</v>
      </c>
      <c r="C4726">
        <v>59</v>
      </c>
      <c r="D4726" t="s">
        <v>5015</v>
      </c>
      <c r="E4726" t="s">
        <v>5017</v>
      </c>
      <c r="F4726" t="s">
        <v>5024</v>
      </c>
      <c r="G4726">
        <v>12</v>
      </c>
      <c r="H4726">
        <v>1</v>
      </c>
      <c r="I4726">
        <v>7.1</v>
      </c>
      <c r="J4726">
        <v>9.82</v>
      </c>
      <c r="K4726">
        <v>96.3</v>
      </c>
      <c r="L4726" t="s">
        <v>5029</v>
      </c>
      <c r="M4726">
        <v>4</v>
      </c>
      <c r="N4726">
        <v>4</v>
      </c>
      <c r="O4726">
        <v>0</v>
      </c>
    </row>
    <row r="4727" spans="1:15" x14ac:dyDescent="0.3">
      <c r="A4727" t="s">
        <v>4740</v>
      </c>
      <c r="B4727">
        <v>10</v>
      </c>
      <c r="C4727">
        <v>35</v>
      </c>
      <c r="D4727" t="s">
        <v>5015</v>
      </c>
      <c r="E4727" t="s">
        <v>5017</v>
      </c>
      <c r="F4727" t="s">
        <v>5021</v>
      </c>
      <c r="G4727">
        <v>9.6199999999999992</v>
      </c>
      <c r="H4727">
        <v>4</v>
      </c>
      <c r="I4727">
        <v>8.4</v>
      </c>
      <c r="J4727">
        <v>20.87</v>
      </c>
      <c r="K4727">
        <v>84</v>
      </c>
      <c r="L4727" t="s">
        <v>5025</v>
      </c>
      <c r="M4727">
        <v>6</v>
      </c>
      <c r="N4727">
        <v>3</v>
      </c>
      <c r="O4727">
        <v>0</v>
      </c>
    </row>
    <row r="4728" spans="1:15" x14ac:dyDescent="0.3">
      <c r="A4728" t="s">
        <v>4741</v>
      </c>
      <c r="B4728">
        <v>2</v>
      </c>
      <c r="C4728">
        <v>61</v>
      </c>
      <c r="D4728" t="s">
        <v>5015</v>
      </c>
      <c r="E4728" t="s">
        <v>5018</v>
      </c>
      <c r="F4728" t="s">
        <v>5024</v>
      </c>
      <c r="G4728">
        <v>24.72</v>
      </c>
      <c r="H4728">
        <v>2</v>
      </c>
      <c r="I4728">
        <v>1.1000000000000001</v>
      </c>
      <c r="J4728">
        <v>10.39</v>
      </c>
      <c r="K4728">
        <v>52.6</v>
      </c>
      <c r="L4728" t="s">
        <v>5025</v>
      </c>
      <c r="M4728">
        <v>11</v>
      </c>
      <c r="N4728">
        <v>3</v>
      </c>
      <c r="O4728">
        <v>0</v>
      </c>
    </row>
    <row r="4729" spans="1:15" x14ac:dyDescent="0.3">
      <c r="A4729" t="s">
        <v>4742</v>
      </c>
      <c r="B4729">
        <v>4</v>
      </c>
      <c r="C4729">
        <v>65</v>
      </c>
      <c r="D4729" t="s">
        <v>5016</v>
      </c>
      <c r="E4729" t="s">
        <v>5017</v>
      </c>
      <c r="F4729" t="s">
        <v>5020</v>
      </c>
      <c r="G4729">
        <v>8.0500000000000007</v>
      </c>
      <c r="H4729">
        <v>2</v>
      </c>
      <c r="I4729">
        <v>6.1</v>
      </c>
      <c r="J4729">
        <v>21.06</v>
      </c>
      <c r="K4729">
        <v>33.799999999999997</v>
      </c>
      <c r="L4729" t="s">
        <v>5027</v>
      </c>
      <c r="M4729">
        <v>9</v>
      </c>
      <c r="N4729">
        <v>1</v>
      </c>
      <c r="O4729">
        <v>1</v>
      </c>
    </row>
    <row r="4730" spans="1:15" x14ac:dyDescent="0.3">
      <c r="A4730" t="s">
        <v>4743</v>
      </c>
      <c r="B4730">
        <v>8</v>
      </c>
      <c r="C4730">
        <v>42</v>
      </c>
      <c r="D4730" t="s">
        <v>5016</v>
      </c>
      <c r="E4730" t="s">
        <v>5019</v>
      </c>
      <c r="F4730" t="s">
        <v>5021</v>
      </c>
      <c r="G4730">
        <v>12.33</v>
      </c>
      <c r="H4730">
        <v>4</v>
      </c>
      <c r="I4730">
        <v>5.2</v>
      </c>
      <c r="J4730">
        <v>4.13</v>
      </c>
      <c r="K4730">
        <v>92.4</v>
      </c>
      <c r="L4730" t="s">
        <v>5025</v>
      </c>
      <c r="M4730">
        <v>10</v>
      </c>
      <c r="N4730">
        <v>3</v>
      </c>
      <c r="O4730">
        <v>0</v>
      </c>
    </row>
    <row r="4731" spans="1:15" x14ac:dyDescent="0.3">
      <c r="A4731" t="s">
        <v>4744</v>
      </c>
      <c r="B4731">
        <v>7</v>
      </c>
      <c r="C4731">
        <v>24</v>
      </c>
      <c r="D4731" t="s">
        <v>5015</v>
      </c>
      <c r="E4731" t="s">
        <v>5018</v>
      </c>
      <c r="F4731" t="s">
        <v>5022</v>
      </c>
      <c r="G4731">
        <v>8.98</v>
      </c>
      <c r="H4731">
        <v>4</v>
      </c>
      <c r="I4731">
        <v>3.3</v>
      </c>
      <c r="J4731">
        <v>3.16</v>
      </c>
      <c r="K4731">
        <v>34.1</v>
      </c>
      <c r="L4731" t="s">
        <v>5028</v>
      </c>
      <c r="M4731">
        <v>10</v>
      </c>
      <c r="N4731">
        <v>2</v>
      </c>
      <c r="O4731">
        <v>0</v>
      </c>
    </row>
    <row r="4732" spans="1:15" x14ac:dyDescent="0.3">
      <c r="A4732" t="s">
        <v>4745</v>
      </c>
      <c r="B4732">
        <v>1</v>
      </c>
      <c r="C4732">
        <v>55</v>
      </c>
      <c r="D4732" t="s">
        <v>5015</v>
      </c>
      <c r="E4732" t="s">
        <v>5018</v>
      </c>
      <c r="F4732" t="s">
        <v>5020</v>
      </c>
      <c r="G4732">
        <v>9.4700000000000006</v>
      </c>
      <c r="H4732">
        <v>1</v>
      </c>
      <c r="I4732">
        <v>2.4</v>
      </c>
      <c r="J4732">
        <v>5.49</v>
      </c>
      <c r="K4732">
        <v>57</v>
      </c>
      <c r="L4732" t="s">
        <v>5027</v>
      </c>
      <c r="M4732">
        <v>11</v>
      </c>
      <c r="N4732">
        <v>1</v>
      </c>
      <c r="O4732">
        <v>1</v>
      </c>
    </row>
    <row r="4733" spans="1:15" x14ac:dyDescent="0.3">
      <c r="A4733" t="s">
        <v>4746</v>
      </c>
      <c r="B4733">
        <v>5</v>
      </c>
      <c r="C4733">
        <v>45</v>
      </c>
      <c r="D4733" t="s">
        <v>5016</v>
      </c>
      <c r="E4733" t="s">
        <v>5018</v>
      </c>
      <c r="F4733" t="s">
        <v>5023</v>
      </c>
      <c r="G4733">
        <v>9.94</v>
      </c>
      <c r="H4733">
        <v>1</v>
      </c>
      <c r="I4733">
        <v>2.7</v>
      </c>
      <c r="J4733">
        <v>22.23</v>
      </c>
      <c r="K4733">
        <v>32.1</v>
      </c>
      <c r="L4733" t="s">
        <v>5028</v>
      </c>
      <c r="M4733">
        <v>4</v>
      </c>
      <c r="N4733">
        <v>0</v>
      </c>
      <c r="O4733">
        <v>0</v>
      </c>
    </row>
    <row r="4734" spans="1:15" x14ac:dyDescent="0.3">
      <c r="A4734" t="s">
        <v>4747</v>
      </c>
      <c r="B4734">
        <v>7</v>
      </c>
      <c r="C4734">
        <v>22</v>
      </c>
      <c r="D4734" t="s">
        <v>5016</v>
      </c>
      <c r="E4734" t="s">
        <v>5018</v>
      </c>
      <c r="F4734" t="s">
        <v>5023</v>
      </c>
      <c r="G4734">
        <v>17.79</v>
      </c>
      <c r="H4734">
        <v>2</v>
      </c>
      <c r="I4734">
        <v>7.5</v>
      </c>
      <c r="J4734">
        <v>14.74</v>
      </c>
      <c r="K4734">
        <v>97.4</v>
      </c>
      <c r="L4734" t="s">
        <v>5028</v>
      </c>
      <c r="M4734">
        <v>9</v>
      </c>
      <c r="N4734">
        <v>2</v>
      </c>
      <c r="O4734">
        <v>0</v>
      </c>
    </row>
    <row r="4735" spans="1:15" x14ac:dyDescent="0.3">
      <c r="A4735" t="s">
        <v>4748</v>
      </c>
      <c r="B4735">
        <v>4</v>
      </c>
      <c r="C4735">
        <v>20</v>
      </c>
      <c r="D4735" t="s">
        <v>5015</v>
      </c>
      <c r="E4735" t="s">
        <v>5017</v>
      </c>
      <c r="F4735" t="s">
        <v>5023</v>
      </c>
      <c r="G4735">
        <v>6.52</v>
      </c>
      <c r="H4735">
        <v>2</v>
      </c>
      <c r="I4735">
        <v>5.8</v>
      </c>
      <c r="J4735">
        <v>16.07</v>
      </c>
      <c r="K4735">
        <v>13.8</v>
      </c>
      <c r="L4735" t="s">
        <v>5026</v>
      </c>
      <c r="M4735">
        <v>8</v>
      </c>
      <c r="N4735">
        <v>4</v>
      </c>
      <c r="O4735">
        <v>0</v>
      </c>
    </row>
    <row r="4736" spans="1:15" x14ac:dyDescent="0.3">
      <c r="A4736" t="s">
        <v>4749</v>
      </c>
      <c r="B4736">
        <v>1</v>
      </c>
      <c r="C4736">
        <v>61</v>
      </c>
      <c r="D4736" t="s">
        <v>5016</v>
      </c>
      <c r="E4736" t="s">
        <v>5019</v>
      </c>
      <c r="F4736" t="s">
        <v>5022</v>
      </c>
      <c r="G4736">
        <v>16.45</v>
      </c>
      <c r="H4736">
        <v>5</v>
      </c>
      <c r="I4736">
        <v>9.8000000000000007</v>
      </c>
      <c r="J4736">
        <v>21.53</v>
      </c>
      <c r="K4736">
        <v>25.7</v>
      </c>
      <c r="L4736" t="s">
        <v>5028</v>
      </c>
      <c r="M4736">
        <v>3</v>
      </c>
      <c r="N4736">
        <v>4</v>
      </c>
      <c r="O4736">
        <v>0</v>
      </c>
    </row>
    <row r="4737" spans="1:15" x14ac:dyDescent="0.3">
      <c r="A4737" t="s">
        <v>4750</v>
      </c>
      <c r="B4737">
        <v>9</v>
      </c>
      <c r="C4737">
        <v>48</v>
      </c>
      <c r="D4737" t="s">
        <v>5015</v>
      </c>
      <c r="E4737" t="s">
        <v>5019</v>
      </c>
      <c r="F4737" t="s">
        <v>5024</v>
      </c>
      <c r="G4737">
        <v>21.39</v>
      </c>
      <c r="H4737">
        <v>2</v>
      </c>
      <c r="I4737">
        <v>3.2</v>
      </c>
      <c r="J4737">
        <v>4.1100000000000003</v>
      </c>
      <c r="K4737">
        <v>78.900000000000006</v>
      </c>
      <c r="L4737" t="s">
        <v>5025</v>
      </c>
      <c r="M4737">
        <v>9</v>
      </c>
      <c r="N4737">
        <v>2</v>
      </c>
      <c r="O4737">
        <v>0</v>
      </c>
    </row>
    <row r="4738" spans="1:15" x14ac:dyDescent="0.3">
      <c r="A4738" t="s">
        <v>4751</v>
      </c>
      <c r="B4738">
        <v>5</v>
      </c>
      <c r="C4738">
        <v>64</v>
      </c>
      <c r="D4738" t="s">
        <v>5015</v>
      </c>
      <c r="E4738" t="s">
        <v>5017</v>
      </c>
      <c r="F4738" t="s">
        <v>5021</v>
      </c>
      <c r="G4738">
        <v>20.329999999999998</v>
      </c>
      <c r="H4738">
        <v>4</v>
      </c>
      <c r="I4738">
        <v>9.6</v>
      </c>
      <c r="J4738">
        <v>11.52</v>
      </c>
      <c r="K4738">
        <v>23.6</v>
      </c>
      <c r="L4738" t="s">
        <v>5029</v>
      </c>
      <c r="M4738">
        <v>5</v>
      </c>
      <c r="N4738">
        <v>3</v>
      </c>
      <c r="O4738">
        <v>0</v>
      </c>
    </row>
    <row r="4739" spans="1:15" x14ac:dyDescent="0.3">
      <c r="A4739" t="s">
        <v>4752</v>
      </c>
      <c r="B4739">
        <v>11</v>
      </c>
      <c r="C4739">
        <v>59</v>
      </c>
      <c r="D4739" t="s">
        <v>5016</v>
      </c>
      <c r="E4739" t="s">
        <v>5017</v>
      </c>
      <c r="F4739" t="s">
        <v>5022</v>
      </c>
      <c r="G4739">
        <v>8.02</v>
      </c>
      <c r="H4739">
        <v>4</v>
      </c>
      <c r="I4739">
        <v>5.6</v>
      </c>
      <c r="J4739">
        <v>17.149999999999999</v>
      </c>
      <c r="K4739">
        <v>98.1</v>
      </c>
      <c r="L4739" t="s">
        <v>5027</v>
      </c>
      <c r="M4739">
        <v>1</v>
      </c>
      <c r="N4739">
        <v>3</v>
      </c>
      <c r="O4739">
        <v>0</v>
      </c>
    </row>
    <row r="4740" spans="1:15" x14ac:dyDescent="0.3">
      <c r="A4740" t="s">
        <v>4753</v>
      </c>
      <c r="B4740">
        <v>2</v>
      </c>
      <c r="C4740">
        <v>37</v>
      </c>
      <c r="D4740" t="s">
        <v>5016</v>
      </c>
      <c r="E4740" t="s">
        <v>5017</v>
      </c>
      <c r="F4740" t="s">
        <v>5020</v>
      </c>
      <c r="G4740">
        <v>23.29</v>
      </c>
      <c r="H4740">
        <v>5</v>
      </c>
      <c r="I4740">
        <v>2.2999999999999998</v>
      </c>
      <c r="J4740">
        <v>11.9</v>
      </c>
      <c r="K4740">
        <v>38.9</v>
      </c>
      <c r="L4740" t="s">
        <v>5027</v>
      </c>
      <c r="M4740">
        <v>11</v>
      </c>
      <c r="N4740">
        <v>3</v>
      </c>
      <c r="O4740">
        <v>0</v>
      </c>
    </row>
    <row r="4741" spans="1:15" x14ac:dyDescent="0.3">
      <c r="A4741" t="s">
        <v>4754</v>
      </c>
      <c r="B4741">
        <v>8</v>
      </c>
      <c r="C4741">
        <v>36</v>
      </c>
      <c r="D4741" t="s">
        <v>5015</v>
      </c>
      <c r="E4741" t="s">
        <v>5018</v>
      </c>
      <c r="F4741" t="s">
        <v>5020</v>
      </c>
      <c r="G4741">
        <v>20.399999999999999</v>
      </c>
      <c r="H4741">
        <v>3</v>
      </c>
      <c r="I4741">
        <v>2.2999999999999998</v>
      </c>
      <c r="J4741">
        <v>3.71</v>
      </c>
      <c r="K4741">
        <v>92.7</v>
      </c>
      <c r="L4741" t="s">
        <v>5027</v>
      </c>
      <c r="M4741">
        <v>8</v>
      </c>
      <c r="N4741">
        <v>4</v>
      </c>
      <c r="O4741">
        <v>1</v>
      </c>
    </row>
    <row r="4742" spans="1:15" x14ac:dyDescent="0.3">
      <c r="A4742" t="s">
        <v>4755</v>
      </c>
      <c r="B4742">
        <v>11</v>
      </c>
      <c r="C4742">
        <v>65</v>
      </c>
      <c r="D4742" t="s">
        <v>5015</v>
      </c>
      <c r="E4742" t="s">
        <v>5018</v>
      </c>
      <c r="F4742" t="s">
        <v>5023</v>
      </c>
      <c r="G4742">
        <v>5.1100000000000003</v>
      </c>
      <c r="H4742">
        <v>3</v>
      </c>
      <c r="I4742">
        <v>6.5</v>
      </c>
      <c r="J4742">
        <v>17.32</v>
      </c>
      <c r="K4742">
        <v>69.599999999999994</v>
      </c>
      <c r="L4742" t="s">
        <v>5029</v>
      </c>
      <c r="M4742">
        <v>5</v>
      </c>
      <c r="N4742">
        <v>2</v>
      </c>
      <c r="O4742">
        <v>0</v>
      </c>
    </row>
    <row r="4743" spans="1:15" x14ac:dyDescent="0.3">
      <c r="A4743" t="s">
        <v>4756</v>
      </c>
      <c r="B4743">
        <v>2</v>
      </c>
      <c r="C4743">
        <v>28</v>
      </c>
      <c r="D4743" t="s">
        <v>5016</v>
      </c>
      <c r="E4743" t="s">
        <v>5019</v>
      </c>
      <c r="F4743" t="s">
        <v>5021</v>
      </c>
      <c r="G4743">
        <v>19.75</v>
      </c>
      <c r="H4743">
        <v>4</v>
      </c>
      <c r="I4743">
        <v>8.5</v>
      </c>
      <c r="J4743">
        <v>11.61</v>
      </c>
      <c r="K4743">
        <v>67.099999999999994</v>
      </c>
      <c r="L4743" t="s">
        <v>5028</v>
      </c>
      <c r="M4743">
        <v>5</v>
      </c>
      <c r="N4743">
        <v>3</v>
      </c>
      <c r="O4743">
        <v>0</v>
      </c>
    </row>
    <row r="4744" spans="1:15" x14ac:dyDescent="0.3">
      <c r="A4744" t="s">
        <v>4757</v>
      </c>
      <c r="B4744">
        <v>3</v>
      </c>
      <c r="C4744">
        <v>57</v>
      </c>
      <c r="D4744" t="s">
        <v>5015</v>
      </c>
      <c r="E4744" t="s">
        <v>5019</v>
      </c>
      <c r="F4744" t="s">
        <v>5023</v>
      </c>
      <c r="G4744">
        <v>19.75</v>
      </c>
      <c r="H4744">
        <v>3</v>
      </c>
      <c r="I4744">
        <v>7.7</v>
      </c>
      <c r="J4744">
        <v>3.42</v>
      </c>
      <c r="K4744">
        <v>92.4</v>
      </c>
      <c r="L4744" t="s">
        <v>5026</v>
      </c>
      <c r="M4744">
        <v>2</v>
      </c>
      <c r="N4744">
        <v>1</v>
      </c>
      <c r="O4744">
        <v>0</v>
      </c>
    </row>
    <row r="4745" spans="1:15" x14ac:dyDescent="0.3">
      <c r="A4745" t="s">
        <v>4758</v>
      </c>
      <c r="B4745">
        <v>10</v>
      </c>
      <c r="C4745">
        <v>20</v>
      </c>
      <c r="D4745" t="s">
        <v>5016</v>
      </c>
      <c r="E4745" t="s">
        <v>5018</v>
      </c>
      <c r="F4745" t="s">
        <v>5020</v>
      </c>
      <c r="G4745">
        <v>14.94</v>
      </c>
      <c r="H4745">
        <v>3</v>
      </c>
      <c r="I4745">
        <v>6.9</v>
      </c>
      <c r="J4745">
        <v>6.75</v>
      </c>
      <c r="K4745">
        <v>56.2</v>
      </c>
      <c r="L4745" t="s">
        <v>5025</v>
      </c>
      <c r="M4745">
        <v>9</v>
      </c>
      <c r="N4745">
        <v>4</v>
      </c>
      <c r="O4745">
        <v>0</v>
      </c>
    </row>
    <row r="4746" spans="1:15" x14ac:dyDescent="0.3">
      <c r="A4746" t="s">
        <v>4759</v>
      </c>
      <c r="B4746">
        <v>1</v>
      </c>
      <c r="C4746">
        <v>40</v>
      </c>
      <c r="D4746" t="s">
        <v>5016</v>
      </c>
      <c r="E4746" t="s">
        <v>5018</v>
      </c>
      <c r="F4746" t="s">
        <v>5020</v>
      </c>
      <c r="G4746">
        <v>5.92</v>
      </c>
      <c r="H4746">
        <v>5</v>
      </c>
      <c r="I4746">
        <v>2.5</v>
      </c>
      <c r="J4746">
        <v>7.79</v>
      </c>
      <c r="K4746">
        <v>46.1</v>
      </c>
      <c r="L4746" t="s">
        <v>5027</v>
      </c>
      <c r="M4746">
        <v>6</v>
      </c>
      <c r="N4746">
        <v>2</v>
      </c>
      <c r="O4746">
        <v>0</v>
      </c>
    </row>
    <row r="4747" spans="1:15" x14ac:dyDescent="0.3">
      <c r="A4747" t="s">
        <v>4760</v>
      </c>
      <c r="B4747">
        <v>11</v>
      </c>
      <c r="C4747">
        <v>24</v>
      </c>
      <c r="D4747" t="s">
        <v>5016</v>
      </c>
      <c r="E4747" t="s">
        <v>5018</v>
      </c>
      <c r="F4747" t="s">
        <v>5024</v>
      </c>
      <c r="G4747">
        <v>16.600000000000001</v>
      </c>
      <c r="H4747">
        <v>2</v>
      </c>
      <c r="I4747">
        <v>2</v>
      </c>
      <c r="J4747">
        <v>14.23</v>
      </c>
      <c r="K4747">
        <v>29.6</v>
      </c>
      <c r="L4747" t="s">
        <v>5025</v>
      </c>
      <c r="M4747">
        <v>11</v>
      </c>
      <c r="N4747">
        <v>2</v>
      </c>
      <c r="O4747">
        <v>0</v>
      </c>
    </row>
    <row r="4748" spans="1:15" x14ac:dyDescent="0.3">
      <c r="A4748" t="s">
        <v>4761</v>
      </c>
      <c r="B4748">
        <v>2</v>
      </c>
      <c r="C4748">
        <v>40</v>
      </c>
      <c r="D4748" t="s">
        <v>5016</v>
      </c>
      <c r="E4748" t="s">
        <v>5018</v>
      </c>
      <c r="F4748" t="s">
        <v>5024</v>
      </c>
      <c r="G4748">
        <v>20.309999999999999</v>
      </c>
      <c r="H4748">
        <v>2</v>
      </c>
      <c r="I4748">
        <v>1</v>
      </c>
      <c r="J4748">
        <v>7.1</v>
      </c>
      <c r="K4748">
        <v>23</v>
      </c>
      <c r="L4748" t="s">
        <v>5028</v>
      </c>
      <c r="M4748">
        <v>10</v>
      </c>
      <c r="N4748">
        <v>2</v>
      </c>
      <c r="O4748">
        <v>1</v>
      </c>
    </row>
    <row r="4749" spans="1:15" x14ac:dyDescent="0.3">
      <c r="A4749" t="s">
        <v>4762</v>
      </c>
      <c r="B4749">
        <v>7</v>
      </c>
      <c r="C4749">
        <v>24</v>
      </c>
      <c r="D4749" t="s">
        <v>5016</v>
      </c>
      <c r="E4749" t="s">
        <v>5018</v>
      </c>
      <c r="F4749" t="s">
        <v>5024</v>
      </c>
      <c r="G4749">
        <v>10.42</v>
      </c>
      <c r="H4749">
        <v>3</v>
      </c>
      <c r="I4749">
        <v>1.9</v>
      </c>
      <c r="J4749">
        <v>10.95</v>
      </c>
      <c r="K4749">
        <v>81.3</v>
      </c>
      <c r="L4749" t="s">
        <v>5026</v>
      </c>
      <c r="M4749">
        <v>3</v>
      </c>
      <c r="N4749">
        <v>2</v>
      </c>
      <c r="O4749">
        <v>0</v>
      </c>
    </row>
    <row r="4750" spans="1:15" x14ac:dyDescent="0.3">
      <c r="A4750" t="s">
        <v>4763</v>
      </c>
      <c r="B4750">
        <v>10</v>
      </c>
      <c r="C4750">
        <v>63</v>
      </c>
      <c r="D4750" t="s">
        <v>5015</v>
      </c>
      <c r="E4750" t="s">
        <v>5018</v>
      </c>
      <c r="F4750" t="s">
        <v>5023</v>
      </c>
      <c r="G4750">
        <v>18.34</v>
      </c>
      <c r="H4750">
        <v>1</v>
      </c>
      <c r="I4750">
        <v>7.9</v>
      </c>
      <c r="J4750">
        <v>19.510000000000002</v>
      </c>
      <c r="K4750">
        <v>21.5</v>
      </c>
      <c r="L4750" t="s">
        <v>5027</v>
      </c>
      <c r="M4750">
        <v>7</v>
      </c>
      <c r="N4750">
        <v>0</v>
      </c>
      <c r="O4750">
        <v>0</v>
      </c>
    </row>
    <row r="4751" spans="1:15" x14ac:dyDescent="0.3">
      <c r="A4751" t="s">
        <v>4764</v>
      </c>
      <c r="B4751">
        <v>2</v>
      </c>
      <c r="C4751">
        <v>51</v>
      </c>
      <c r="D4751" t="s">
        <v>5016</v>
      </c>
      <c r="E4751" t="s">
        <v>5018</v>
      </c>
      <c r="F4751" t="s">
        <v>5021</v>
      </c>
      <c r="G4751">
        <v>12.08</v>
      </c>
      <c r="H4751">
        <v>5</v>
      </c>
      <c r="I4751">
        <v>9.1</v>
      </c>
      <c r="J4751">
        <v>20.77</v>
      </c>
      <c r="K4751">
        <v>45.5</v>
      </c>
      <c r="L4751" t="s">
        <v>5028</v>
      </c>
      <c r="M4751">
        <v>2</v>
      </c>
      <c r="N4751">
        <v>1</v>
      </c>
      <c r="O4751">
        <v>0</v>
      </c>
    </row>
    <row r="4752" spans="1:15" x14ac:dyDescent="0.3">
      <c r="A4752" t="s">
        <v>4765</v>
      </c>
      <c r="B4752">
        <v>6</v>
      </c>
      <c r="C4752">
        <v>59</v>
      </c>
      <c r="D4752" t="s">
        <v>5016</v>
      </c>
      <c r="E4752" t="s">
        <v>5018</v>
      </c>
      <c r="F4752" t="s">
        <v>5024</v>
      </c>
      <c r="G4752">
        <v>16.48</v>
      </c>
      <c r="H4752">
        <v>3</v>
      </c>
      <c r="I4752">
        <v>3.2</v>
      </c>
      <c r="J4752">
        <v>20.5</v>
      </c>
      <c r="K4752">
        <v>46.8</v>
      </c>
      <c r="L4752" t="s">
        <v>5026</v>
      </c>
      <c r="M4752">
        <v>7</v>
      </c>
      <c r="N4752">
        <v>0</v>
      </c>
      <c r="O4752">
        <v>0</v>
      </c>
    </row>
    <row r="4753" spans="1:15" x14ac:dyDescent="0.3">
      <c r="A4753" t="s">
        <v>4766</v>
      </c>
      <c r="B4753">
        <v>3</v>
      </c>
      <c r="C4753">
        <v>36</v>
      </c>
      <c r="D4753" t="s">
        <v>5016</v>
      </c>
      <c r="E4753" t="s">
        <v>5018</v>
      </c>
      <c r="F4753" t="s">
        <v>5022</v>
      </c>
      <c r="G4753">
        <v>12.69</v>
      </c>
      <c r="H4753">
        <v>1</v>
      </c>
      <c r="I4753">
        <v>8.1999999999999993</v>
      </c>
      <c r="J4753">
        <v>18.29</v>
      </c>
      <c r="K4753">
        <v>69.8</v>
      </c>
      <c r="L4753" t="s">
        <v>5027</v>
      </c>
      <c r="M4753">
        <v>11</v>
      </c>
      <c r="N4753">
        <v>3</v>
      </c>
      <c r="O4753">
        <v>0</v>
      </c>
    </row>
    <row r="4754" spans="1:15" x14ac:dyDescent="0.3">
      <c r="A4754" t="s">
        <v>4767</v>
      </c>
      <c r="B4754">
        <v>4</v>
      </c>
      <c r="C4754">
        <v>26</v>
      </c>
      <c r="D4754" t="s">
        <v>5016</v>
      </c>
      <c r="E4754" t="s">
        <v>5019</v>
      </c>
      <c r="F4754" t="s">
        <v>5024</v>
      </c>
      <c r="G4754">
        <v>11.08</v>
      </c>
      <c r="H4754">
        <v>1</v>
      </c>
      <c r="I4754">
        <v>2.8</v>
      </c>
      <c r="J4754">
        <v>14.92</v>
      </c>
      <c r="K4754">
        <v>35.1</v>
      </c>
      <c r="L4754" t="s">
        <v>5028</v>
      </c>
      <c r="M4754">
        <v>2</v>
      </c>
      <c r="N4754">
        <v>0</v>
      </c>
      <c r="O4754">
        <v>1</v>
      </c>
    </row>
    <row r="4755" spans="1:15" x14ac:dyDescent="0.3">
      <c r="A4755" t="s">
        <v>4768</v>
      </c>
      <c r="B4755">
        <v>11</v>
      </c>
      <c r="C4755">
        <v>65</v>
      </c>
      <c r="D4755" t="s">
        <v>5016</v>
      </c>
      <c r="E4755" t="s">
        <v>5018</v>
      </c>
      <c r="F4755" t="s">
        <v>5023</v>
      </c>
      <c r="G4755">
        <v>22.12</v>
      </c>
      <c r="H4755">
        <v>5</v>
      </c>
      <c r="I4755">
        <v>3.2</v>
      </c>
      <c r="J4755">
        <v>15.11</v>
      </c>
      <c r="K4755">
        <v>85.4</v>
      </c>
      <c r="L4755" t="s">
        <v>5025</v>
      </c>
      <c r="M4755">
        <v>11</v>
      </c>
      <c r="N4755">
        <v>0</v>
      </c>
      <c r="O4755">
        <v>0</v>
      </c>
    </row>
    <row r="4756" spans="1:15" x14ac:dyDescent="0.3">
      <c r="A4756" t="s">
        <v>4769</v>
      </c>
      <c r="B4756">
        <v>8</v>
      </c>
      <c r="C4756">
        <v>68</v>
      </c>
      <c r="D4756" t="s">
        <v>5016</v>
      </c>
      <c r="E4756" t="s">
        <v>5018</v>
      </c>
      <c r="F4756" t="s">
        <v>5021</v>
      </c>
      <c r="G4756">
        <v>20.079999999999998</v>
      </c>
      <c r="H4756">
        <v>2</v>
      </c>
      <c r="I4756">
        <v>3</v>
      </c>
      <c r="J4756">
        <v>23.97</v>
      </c>
      <c r="K4756">
        <v>28.7</v>
      </c>
      <c r="L4756" t="s">
        <v>5029</v>
      </c>
      <c r="M4756">
        <v>5</v>
      </c>
      <c r="N4756">
        <v>4</v>
      </c>
      <c r="O4756">
        <v>0</v>
      </c>
    </row>
    <row r="4757" spans="1:15" x14ac:dyDescent="0.3">
      <c r="A4757" t="s">
        <v>4770</v>
      </c>
      <c r="B4757">
        <v>3</v>
      </c>
      <c r="C4757">
        <v>35</v>
      </c>
      <c r="D4757" t="s">
        <v>5016</v>
      </c>
      <c r="E4757" t="s">
        <v>5018</v>
      </c>
      <c r="F4757" t="s">
        <v>5024</v>
      </c>
      <c r="G4757">
        <v>11.91</v>
      </c>
      <c r="H4757">
        <v>4</v>
      </c>
      <c r="I4757">
        <v>1.5</v>
      </c>
      <c r="J4757">
        <v>22.31</v>
      </c>
      <c r="K4757">
        <v>81</v>
      </c>
      <c r="L4757" t="s">
        <v>5027</v>
      </c>
      <c r="M4757">
        <v>10</v>
      </c>
      <c r="N4757">
        <v>2</v>
      </c>
      <c r="O4757">
        <v>0</v>
      </c>
    </row>
    <row r="4758" spans="1:15" x14ac:dyDescent="0.3">
      <c r="A4758" t="s">
        <v>4771</v>
      </c>
      <c r="B4758">
        <v>10</v>
      </c>
      <c r="C4758">
        <v>58</v>
      </c>
      <c r="D4758" t="s">
        <v>5015</v>
      </c>
      <c r="E4758" t="s">
        <v>5018</v>
      </c>
      <c r="F4758" t="s">
        <v>5021</v>
      </c>
      <c r="G4758">
        <v>13.69</v>
      </c>
      <c r="H4758">
        <v>1</v>
      </c>
      <c r="I4758">
        <v>2.7</v>
      </c>
      <c r="J4758">
        <v>17.3</v>
      </c>
      <c r="K4758">
        <v>86.5</v>
      </c>
      <c r="L4758" t="s">
        <v>5026</v>
      </c>
      <c r="M4758">
        <v>10</v>
      </c>
      <c r="N4758">
        <v>0</v>
      </c>
      <c r="O4758">
        <v>1</v>
      </c>
    </row>
    <row r="4759" spans="1:15" x14ac:dyDescent="0.3">
      <c r="A4759" t="s">
        <v>4772</v>
      </c>
      <c r="B4759">
        <v>6</v>
      </c>
      <c r="C4759">
        <v>65</v>
      </c>
      <c r="D4759" t="s">
        <v>5015</v>
      </c>
      <c r="E4759" t="s">
        <v>5017</v>
      </c>
      <c r="F4759" t="s">
        <v>5022</v>
      </c>
      <c r="G4759">
        <v>18.829999999999998</v>
      </c>
      <c r="H4759">
        <v>4</v>
      </c>
      <c r="I4759">
        <v>4.4000000000000004</v>
      </c>
      <c r="J4759">
        <v>13.31</v>
      </c>
      <c r="K4759">
        <v>27.4</v>
      </c>
      <c r="L4759" t="s">
        <v>5026</v>
      </c>
      <c r="M4759">
        <v>9</v>
      </c>
      <c r="N4759">
        <v>2</v>
      </c>
      <c r="O4759">
        <v>1</v>
      </c>
    </row>
    <row r="4760" spans="1:15" x14ac:dyDescent="0.3">
      <c r="A4760" t="s">
        <v>4773</v>
      </c>
      <c r="B4760">
        <v>1</v>
      </c>
      <c r="C4760">
        <v>62</v>
      </c>
      <c r="D4760" t="s">
        <v>5015</v>
      </c>
      <c r="E4760" t="s">
        <v>5017</v>
      </c>
      <c r="F4760" t="s">
        <v>5020</v>
      </c>
      <c r="G4760">
        <v>21.22</v>
      </c>
      <c r="H4760">
        <v>4</v>
      </c>
      <c r="I4760">
        <v>4.5999999999999996</v>
      </c>
      <c r="J4760">
        <v>19.04</v>
      </c>
      <c r="K4760">
        <v>82.8</v>
      </c>
      <c r="L4760" t="s">
        <v>5029</v>
      </c>
      <c r="M4760">
        <v>9</v>
      </c>
      <c r="N4760">
        <v>1</v>
      </c>
      <c r="O4760">
        <v>0</v>
      </c>
    </row>
    <row r="4761" spans="1:15" x14ac:dyDescent="0.3">
      <c r="A4761" t="s">
        <v>4774</v>
      </c>
      <c r="B4761">
        <v>7</v>
      </c>
      <c r="C4761">
        <v>59</v>
      </c>
      <c r="D4761" t="s">
        <v>5015</v>
      </c>
      <c r="E4761" t="s">
        <v>5018</v>
      </c>
      <c r="F4761" t="s">
        <v>5021</v>
      </c>
      <c r="G4761">
        <v>18.690000000000001</v>
      </c>
      <c r="H4761">
        <v>5</v>
      </c>
      <c r="I4761">
        <v>3.8</v>
      </c>
      <c r="J4761">
        <v>4.38</v>
      </c>
      <c r="K4761">
        <v>74.2</v>
      </c>
      <c r="L4761" t="s">
        <v>5029</v>
      </c>
      <c r="M4761">
        <v>6</v>
      </c>
      <c r="N4761">
        <v>0</v>
      </c>
      <c r="O4761">
        <v>0</v>
      </c>
    </row>
    <row r="4762" spans="1:15" x14ac:dyDescent="0.3">
      <c r="A4762" t="s">
        <v>4775</v>
      </c>
      <c r="B4762">
        <v>8</v>
      </c>
      <c r="C4762">
        <v>42</v>
      </c>
      <c r="D4762" t="s">
        <v>5016</v>
      </c>
      <c r="E4762" t="s">
        <v>5018</v>
      </c>
      <c r="F4762" t="s">
        <v>5024</v>
      </c>
      <c r="G4762">
        <v>15.82</v>
      </c>
      <c r="H4762">
        <v>2</v>
      </c>
      <c r="I4762">
        <v>5.6</v>
      </c>
      <c r="J4762">
        <v>23.78</v>
      </c>
      <c r="K4762">
        <v>88.7</v>
      </c>
      <c r="L4762" t="s">
        <v>5028</v>
      </c>
      <c r="M4762">
        <v>3</v>
      </c>
      <c r="N4762">
        <v>4</v>
      </c>
      <c r="O4762">
        <v>1</v>
      </c>
    </row>
    <row r="4763" spans="1:15" x14ac:dyDescent="0.3">
      <c r="A4763" t="s">
        <v>4776</v>
      </c>
      <c r="B4763">
        <v>11</v>
      </c>
      <c r="C4763">
        <v>69</v>
      </c>
      <c r="D4763" t="s">
        <v>5015</v>
      </c>
      <c r="E4763" t="s">
        <v>5019</v>
      </c>
      <c r="F4763" t="s">
        <v>5023</v>
      </c>
      <c r="G4763">
        <v>24.09</v>
      </c>
      <c r="H4763">
        <v>5</v>
      </c>
      <c r="I4763">
        <v>4.4000000000000004</v>
      </c>
      <c r="J4763">
        <v>15.05</v>
      </c>
      <c r="K4763">
        <v>55.9</v>
      </c>
      <c r="L4763" t="s">
        <v>5029</v>
      </c>
      <c r="M4763">
        <v>4</v>
      </c>
      <c r="N4763">
        <v>4</v>
      </c>
      <c r="O4763">
        <v>0</v>
      </c>
    </row>
    <row r="4764" spans="1:15" x14ac:dyDescent="0.3">
      <c r="A4764" t="s">
        <v>4777</v>
      </c>
      <c r="B4764">
        <v>8</v>
      </c>
      <c r="C4764">
        <v>31</v>
      </c>
      <c r="D4764" t="s">
        <v>5016</v>
      </c>
      <c r="E4764" t="s">
        <v>5018</v>
      </c>
      <c r="F4764" t="s">
        <v>5023</v>
      </c>
      <c r="G4764">
        <v>20.48</v>
      </c>
      <c r="H4764">
        <v>1</v>
      </c>
      <c r="I4764">
        <v>9.6999999999999993</v>
      </c>
      <c r="J4764">
        <v>14.06</v>
      </c>
      <c r="K4764">
        <v>31</v>
      </c>
      <c r="L4764" t="s">
        <v>5027</v>
      </c>
      <c r="M4764">
        <v>4</v>
      </c>
      <c r="N4764">
        <v>3</v>
      </c>
      <c r="O4764">
        <v>0</v>
      </c>
    </row>
    <row r="4765" spans="1:15" x14ac:dyDescent="0.3">
      <c r="A4765" t="s">
        <v>4778</v>
      </c>
      <c r="B4765">
        <v>3</v>
      </c>
      <c r="C4765">
        <v>61</v>
      </c>
      <c r="D4765" t="s">
        <v>5015</v>
      </c>
      <c r="E4765" t="s">
        <v>5018</v>
      </c>
      <c r="F4765" t="s">
        <v>5023</v>
      </c>
      <c r="G4765">
        <v>7.31</v>
      </c>
      <c r="H4765">
        <v>2</v>
      </c>
      <c r="I4765">
        <v>8.3000000000000007</v>
      </c>
      <c r="J4765">
        <v>9.4</v>
      </c>
      <c r="K4765">
        <v>92.1</v>
      </c>
      <c r="L4765" t="s">
        <v>5029</v>
      </c>
      <c r="M4765">
        <v>9</v>
      </c>
      <c r="N4765">
        <v>0</v>
      </c>
      <c r="O4765">
        <v>0</v>
      </c>
    </row>
    <row r="4766" spans="1:15" x14ac:dyDescent="0.3">
      <c r="A4766" t="s">
        <v>4779</v>
      </c>
      <c r="B4766">
        <v>10</v>
      </c>
      <c r="C4766">
        <v>42</v>
      </c>
      <c r="D4766" t="s">
        <v>5015</v>
      </c>
      <c r="E4766" t="s">
        <v>5017</v>
      </c>
      <c r="F4766" t="s">
        <v>5023</v>
      </c>
      <c r="G4766">
        <v>16.16</v>
      </c>
      <c r="H4766">
        <v>3</v>
      </c>
      <c r="I4766">
        <v>9.4</v>
      </c>
      <c r="J4766">
        <v>3.07</v>
      </c>
      <c r="K4766">
        <v>81.099999999999994</v>
      </c>
      <c r="L4766" t="s">
        <v>5027</v>
      </c>
      <c r="M4766">
        <v>4</v>
      </c>
      <c r="N4766">
        <v>1</v>
      </c>
      <c r="O4766">
        <v>0</v>
      </c>
    </row>
    <row r="4767" spans="1:15" x14ac:dyDescent="0.3">
      <c r="A4767" t="s">
        <v>4780</v>
      </c>
      <c r="B4767">
        <v>1</v>
      </c>
      <c r="C4767">
        <v>36</v>
      </c>
      <c r="D4767" t="s">
        <v>5016</v>
      </c>
      <c r="E4767" t="s">
        <v>5017</v>
      </c>
      <c r="F4767" t="s">
        <v>5021</v>
      </c>
      <c r="G4767">
        <v>13.19</v>
      </c>
      <c r="H4767">
        <v>2</v>
      </c>
      <c r="I4767">
        <v>6</v>
      </c>
      <c r="J4767">
        <v>4.3499999999999996</v>
      </c>
      <c r="K4767">
        <v>11.9</v>
      </c>
      <c r="L4767" t="s">
        <v>5025</v>
      </c>
      <c r="M4767">
        <v>4</v>
      </c>
      <c r="N4767">
        <v>2</v>
      </c>
      <c r="O4767">
        <v>0</v>
      </c>
    </row>
    <row r="4768" spans="1:15" x14ac:dyDescent="0.3">
      <c r="A4768" t="s">
        <v>4781</v>
      </c>
      <c r="B4768">
        <v>9</v>
      </c>
      <c r="C4768">
        <v>56</v>
      </c>
      <c r="D4768" t="s">
        <v>5016</v>
      </c>
      <c r="E4768" t="s">
        <v>5019</v>
      </c>
      <c r="F4768" t="s">
        <v>5023</v>
      </c>
      <c r="G4768">
        <v>20.9</v>
      </c>
      <c r="H4768">
        <v>5</v>
      </c>
      <c r="I4768">
        <v>7.1</v>
      </c>
      <c r="J4768">
        <v>8.7899999999999991</v>
      </c>
      <c r="K4768">
        <v>94.5</v>
      </c>
      <c r="L4768" t="s">
        <v>5029</v>
      </c>
      <c r="M4768">
        <v>5</v>
      </c>
      <c r="N4768">
        <v>0</v>
      </c>
      <c r="O4768">
        <v>1</v>
      </c>
    </row>
    <row r="4769" spans="1:15" x14ac:dyDescent="0.3">
      <c r="A4769" t="s">
        <v>4782</v>
      </c>
      <c r="B4769">
        <v>6</v>
      </c>
      <c r="C4769">
        <v>32</v>
      </c>
      <c r="D4769" t="s">
        <v>5015</v>
      </c>
      <c r="E4769" t="s">
        <v>5017</v>
      </c>
      <c r="F4769" t="s">
        <v>5020</v>
      </c>
      <c r="G4769">
        <v>5.89</v>
      </c>
      <c r="H4769">
        <v>5</v>
      </c>
      <c r="I4769">
        <v>2.5</v>
      </c>
      <c r="J4769">
        <v>14.91</v>
      </c>
      <c r="K4769">
        <v>95.4</v>
      </c>
      <c r="L4769" t="s">
        <v>5025</v>
      </c>
      <c r="M4769">
        <v>6</v>
      </c>
      <c r="N4769">
        <v>3</v>
      </c>
      <c r="O4769">
        <v>1</v>
      </c>
    </row>
    <row r="4770" spans="1:15" x14ac:dyDescent="0.3">
      <c r="A4770" t="s">
        <v>4783</v>
      </c>
      <c r="B4770">
        <v>11</v>
      </c>
      <c r="C4770">
        <v>33</v>
      </c>
      <c r="D4770" t="s">
        <v>5015</v>
      </c>
      <c r="E4770" t="s">
        <v>5018</v>
      </c>
      <c r="F4770" t="s">
        <v>5022</v>
      </c>
      <c r="G4770">
        <v>13.21</v>
      </c>
      <c r="H4770">
        <v>4</v>
      </c>
      <c r="I4770">
        <v>7.8</v>
      </c>
      <c r="J4770">
        <v>4.84</v>
      </c>
      <c r="K4770">
        <v>42</v>
      </c>
      <c r="L4770" t="s">
        <v>5026</v>
      </c>
      <c r="M4770">
        <v>8</v>
      </c>
      <c r="N4770">
        <v>4</v>
      </c>
      <c r="O4770">
        <v>1</v>
      </c>
    </row>
    <row r="4771" spans="1:15" x14ac:dyDescent="0.3">
      <c r="A4771" t="s">
        <v>4784</v>
      </c>
      <c r="B4771">
        <v>9</v>
      </c>
      <c r="C4771">
        <v>44</v>
      </c>
      <c r="D4771" t="s">
        <v>5015</v>
      </c>
      <c r="E4771" t="s">
        <v>5018</v>
      </c>
      <c r="F4771" t="s">
        <v>5021</v>
      </c>
      <c r="G4771">
        <v>11.37</v>
      </c>
      <c r="H4771">
        <v>3</v>
      </c>
      <c r="I4771">
        <v>3.1</v>
      </c>
      <c r="J4771">
        <v>24.39</v>
      </c>
      <c r="K4771">
        <v>10.9</v>
      </c>
      <c r="L4771" t="s">
        <v>5029</v>
      </c>
      <c r="M4771">
        <v>1</v>
      </c>
      <c r="N4771">
        <v>0</v>
      </c>
      <c r="O4771">
        <v>0</v>
      </c>
    </row>
    <row r="4772" spans="1:15" x14ac:dyDescent="0.3">
      <c r="A4772" t="s">
        <v>4785</v>
      </c>
      <c r="B4772">
        <v>7</v>
      </c>
      <c r="C4772">
        <v>57</v>
      </c>
      <c r="D4772" t="s">
        <v>5015</v>
      </c>
      <c r="E4772" t="s">
        <v>5018</v>
      </c>
      <c r="F4772" t="s">
        <v>5021</v>
      </c>
      <c r="G4772">
        <v>7.82</v>
      </c>
      <c r="H4772">
        <v>2</v>
      </c>
      <c r="I4772">
        <v>2.2999999999999998</v>
      </c>
      <c r="J4772">
        <v>12.04</v>
      </c>
      <c r="K4772">
        <v>59.7</v>
      </c>
      <c r="L4772" t="s">
        <v>5026</v>
      </c>
      <c r="M4772">
        <v>5</v>
      </c>
      <c r="N4772">
        <v>3</v>
      </c>
      <c r="O4772">
        <v>0</v>
      </c>
    </row>
    <row r="4773" spans="1:15" x14ac:dyDescent="0.3">
      <c r="A4773" t="s">
        <v>4786</v>
      </c>
      <c r="B4773">
        <v>1</v>
      </c>
      <c r="C4773">
        <v>27</v>
      </c>
      <c r="D4773" t="s">
        <v>5016</v>
      </c>
      <c r="E4773" t="s">
        <v>5019</v>
      </c>
      <c r="F4773" t="s">
        <v>5023</v>
      </c>
      <c r="G4773">
        <v>12.58</v>
      </c>
      <c r="H4773">
        <v>3</v>
      </c>
      <c r="I4773">
        <v>1.4</v>
      </c>
      <c r="J4773">
        <v>9.9600000000000009</v>
      </c>
      <c r="K4773">
        <v>92.2</v>
      </c>
      <c r="L4773" t="s">
        <v>5025</v>
      </c>
      <c r="M4773">
        <v>9</v>
      </c>
      <c r="N4773">
        <v>1</v>
      </c>
      <c r="O4773">
        <v>0</v>
      </c>
    </row>
    <row r="4774" spans="1:15" x14ac:dyDescent="0.3">
      <c r="A4774" t="s">
        <v>4787</v>
      </c>
      <c r="B4774">
        <v>12</v>
      </c>
      <c r="C4774">
        <v>21</v>
      </c>
      <c r="D4774" t="s">
        <v>5015</v>
      </c>
      <c r="E4774" t="s">
        <v>5018</v>
      </c>
      <c r="F4774" t="s">
        <v>5023</v>
      </c>
      <c r="G4774">
        <v>18.46</v>
      </c>
      <c r="H4774">
        <v>4</v>
      </c>
      <c r="I4774">
        <v>5.3</v>
      </c>
      <c r="J4774">
        <v>14.55</v>
      </c>
      <c r="K4774">
        <v>21.2</v>
      </c>
      <c r="L4774" t="s">
        <v>5026</v>
      </c>
      <c r="M4774">
        <v>10</v>
      </c>
      <c r="N4774">
        <v>2</v>
      </c>
      <c r="O4774">
        <v>0</v>
      </c>
    </row>
    <row r="4775" spans="1:15" x14ac:dyDescent="0.3">
      <c r="A4775" t="s">
        <v>4788</v>
      </c>
      <c r="B4775">
        <v>12</v>
      </c>
      <c r="C4775">
        <v>68</v>
      </c>
      <c r="D4775" t="s">
        <v>5015</v>
      </c>
      <c r="E4775" t="s">
        <v>5017</v>
      </c>
      <c r="F4775" t="s">
        <v>5021</v>
      </c>
      <c r="G4775">
        <v>12.23</v>
      </c>
      <c r="H4775">
        <v>3</v>
      </c>
      <c r="I4775">
        <v>3.6</v>
      </c>
      <c r="J4775">
        <v>4.43</v>
      </c>
      <c r="K4775">
        <v>63.1</v>
      </c>
      <c r="L4775" t="s">
        <v>5025</v>
      </c>
      <c r="M4775">
        <v>4</v>
      </c>
      <c r="N4775">
        <v>1</v>
      </c>
      <c r="O4775">
        <v>0</v>
      </c>
    </row>
    <row r="4776" spans="1:15" x14ac:dyDescent="0.3">
      <c r="A4776" t="s">
        <v>4789</v>
      </c>
      <c r="B4776">
        <v>1</v>
      </c>
      <c r="C4776">
        <v>36</v>
      </c>
      <c r="D4776" t="s">
        <v>5015</v>
      </c>
      <c r="E4776" t="s">
        <v>5019</v>
      </c>
      <c r="F4776" t="s">
        <v>5023</v>
      </c>
      <c r="G4776">
        <v>16.600000000000001</v>
      </c>
      <c r="H4776">
        <v>3</v>
      </c>
      <c r="I4776">
        <v>9.9</v>
      </c>
      <c r="J4776">
        <v>21.71</v>
      </c>
      <c r="K4776">
        <v>75.900000000000006</v>
      </c>
      <c r="L4776" t="s">
        <v>5028</v>
      </c>
      <c r="M4776">
        <v>8</v>
      </c>
      <c r="N4776">
        <v>1</v>
      </c>
      <c r="O4776">
        <v>1</v>
      </c>
    </row>
    <row r="4777" spans="1:15" x14ac:dyDescent="0.3">
      <c r="A4777" t="s">
        <v>4790</v>
      </c>
      <c r="B4777">
        <v>6</v>
      </c>
      <c r="C4777">
        <v>45</v>
      </c>
      <c r="D4777" t="s">
        <v>5015</v>
      </c>
      <c r="E4777" t="s">
        <v>5019</v>
      </c>
      <c r="F4777" t="s">
        <v>5023</v>
      </c>
      <c r="G4777">
        <v>16.86</v>
      </c>
      <c r="H4777">
        <v>2</v>
      </c>
      <c r="I4777">
        <v>3.2</v>
      </c>
      <c r="J4777">
        <v>13.13</v>
      </c>
      <c r="K4777">
        <v>22.1</v>
      </c>
      <c r="L4777" t="s">
        <v>5025</v>
      </c>
      <c r="M4777">
        <v>9</v>
      </c>
      <c r="N4777">
        <v>2</v>
      </c>
      <c r="O4777">
        <v>0</v>
      </c>
    </row>
    <row r="4778" spans="1:15" x14ac:dyDescent="0.3">
      <c r="A4778" t="s">
        <v>4791</v>
      </c>
      <c r="B4778">
        <v>5</v>
      </c>
      <c r="C4778">
        <v>38</v>
      </c>
      <c r="D4778" t="s">
        <v>5015</v>
      </c>
      <c r="E4778" t="s">
        <v>5017</v>
      </c>
      <c r="F4778" t="s">
        <v>5023</v>
      </c>
      <c r="G4778">
        <v>16.739999999999998</v>
      </c>
      <c r="H4778">
        <v>3</v>
      </c>
      <c r="I4778">
        <v>8.8000000000000007</v>
      </c>
      <c r="J4778">
        <v>6.92</v>
      </c>
      <c r="K4778">
        <v>56.2</v>
      </c>
      <c r="L4778" t="s">
        <v>5028</v>
      </c>
      <c r="M4778">
        <v>1</v>
      </c>
      <c r="N4778">
        <v>0</v>
      </c>
      <c r="O4778">
        <v>0</v>
      </c>
    </row>
    <row r="4779" spans="1:15" x14ac:dyDescent="0.3">
      <c r="A4779" t="s">
        <v>4792</v>
      </c>
      <c r="B4779">
        <v>9</v>
      </c>
      <c r="C4779">
        <v>64</v>
      </c>
      <c r="D4779" t="s">
        <v>5016</v>
      </c>
      <c r="E4779" t="s">
        <v>5017</v>
      </c>
      <c r="F4779" t="s">
        <v>5023</v>
      </c>
      <c r="G4779">
        <v>15.59</v>
      </c>
      <c r="H4779">
        <v>4</v>
      </c>
      <c r="I4779">
        <v>3.8</v>
      </c>
      <c r="J4779">
        <v>6.56</v>
      </c>
      <c r="K4779">
        <v>18</v>
      </c>
      <c r="L4779" t="s">
        <v>5026</v>
      </c>
      <c r="M4779">
        <v>8</v>
      </c>
      <c r="N4779">
        <v>2</v>
      </c>
      <c r="O4779">
        <v>1</v>
      </c>
    </row>
    <row r="4780" spans="1:15" x14ac:dyDescent="0.3">
      <c r="A4780" t="s">
        <v>4793</v>
      </c>
      <c r="B4780">
        <v>2</v>
      </c>
      <c r="C4780">
        <v>31</v>
      </c>
      <c r="D4780" t="s">
        <v>5016</v>
      </c>
      <c r="E4780" t="s">
        <v>5017</v>
      </c>
      <c r="F4780" t="s">
        <v>5023</v>
      </c>
      <c r="G4780">
        <v>7.34</v>
      </c>
      <c r="H4780">
        <v>1</v>
      </c>
      <c r="I4780">
        <v>7.7</v>
      </c>
      <c r="J4780">
        <v>10.94</v>
      </c>
      <c r="K4780">
        <v>60.2</v>
      </c>
      <c r="L4780" t="s">
        <v>5025</v>
      </c>
      <c r="M4780">
        <v>8</v>
      </c>
      <c r="N4780">
        <v>3</v>
      </c>
      <c r="O4780">
        <v>1</v>
      </c>
    </row>
    <row r="4781" spans="1:15" x14ac:dyDescent="0.3">
      <c r="A4781" t="s">
        <v>4794</v>
      </c>
      <c r="B4781">
        <v>8</v>
      </c>
      <c r="C4781">
        <v>50</v>
      </c>
      <c r="D4781" t="s">
        <v>5016</v>
      </c>
      <c r="E4781" t="s">
        <v>5017</v>
      </c>
      <c r="F4781" t="s">
        <v>5024</v>
      </c>
      <c r="G4781">
        <v>9.3699999999999992</v>
      </c>
      <c r="H4781">
        <v>1</v>
      </c>
      <c r="I4781">
        <v>6.9</v>
      </c>
      <c r="J4781">
        <v>15.61</v>
      </c>
      <c r="K4781">
        <v>49.8</v>
      </c>
      <c r="L4781" t="s">
        <v>5028</v>
      </c>
      <c r="M4781">
        <v>5</v>
      </c>
      <c r="N4781">
        <v>1</v>
      </c>
      <c r="O4781">
        <v>0</v>
      </c>
    </row>
    <row r="4782" spans="1:15" x14ac:dyDescent="0.3">
      <c r="A4782" t="s">
        <v>4795</v>
      </c>
      <c r="B4782">
        <v>11</v>
      </c>
      <c r="C4782">
        <v>65</v>
      </c>
      <c r="D4782" t="s">
        <v>5016</v>
      </c>
      <c r="E4782" t="s">
        <v>5019</v>
      </c>
      <c r="F4782" t="s">
        <v>5024</v>
      </c>
      <c r="G4782">
        <v>21</v>
      </c>
      <c r="H4782">
        <v>5</v>
      </c>
      <c r="I4782">
        <v>6.1</v>
      </c>
      <c r="J4782">
        <v>12.17</v>
      </c>
      <c r="K4782">
        <v>33.799999999999997</v>
      </c>
      <c r="L4782" t="s">
        <v>5025</v>
      </c>
      <c r="M4782">
        <v>10</v>
      </c>
      <c r="N4782">
        <v>2</v>
      </c>
      <c r="O4782">
        <v>0</v>
      </c>
    </row>
    <row r="4783" spans="1:15" x14ac:dyDescent="0.3">
      <c r="A4783" t="s">
        <v>4796</v>
      </c>
      <c r="B4783">
        <v>5</v>
      </c>
      <c r="C4783">
        <v>27</v>
      </c>
      <c r="D4783" t="s">
        <v>5016</v>
      </c>
      <c r="E4783" t="s">
        <v>5018</v>
      </c>
      <c r="F4783" t="s">
        <v>5024</v>
      </c>
      <c r="G4783">
        <v>15.05</v>
      </c>
      <c r="H4783">
        <v>1</v>
      </c>
      <c r="I4783">
        <v>4.8</v>
      </c>
      <c r="J4783">
        <v>16.13</v>
      </c>
      <c r="K4783">
        <v>86.8</v>
      </c>
      <c r="L4783" t="s">
        <v>5027</v>
      </c>
      <c r="M4783">
        <v>2</v>
      </c>
      <c r="N4783">
        <v>4</v>
      </c>
      <c r="O4783">
        <v>1</v>
      </c>
    </row>
    <row r="4784" spans="1:15" x14ac:dyDescent="0.3">
      <c r="A4784" t="s">
        <v>4797</v>
      </c>
      <c r="B4784">
        <v>2</v>
      </c>
      <c r="C4784">
        <v>36</v>
      </c>
      <c r="D4784" t="s">
        <v>5015</v>
      </c>
      <c r="E4784" t="s">
        <v>5018</v>
      </c>
      <c r="F4784" t="s">
        <v>5021</v>
      </c>
      <c r="G4784">
        <v>19.12</v>
      </c>
      <c r="H4784">
        <v>2</v>
      </c>
      <c r="I4784">
        <v>7</v>
      </c>
      <c r="J4784">
        <v>18.52</v>
      </c>
      <c r="K4784">
        <v>44.4</v>
      </c>
      <c r="L4784" t="s">
        <v>5027</v>
      </c>
      <c r="M4784">
        <v>7</v>
      </c>
      <c r="N4784">
        <v>2</v>
      </c>
      <c r="O4784">
        <v>0</v>
      </c>
    </row>
    <row r="4785" spans="1:15" x14ac:dyDescent="0.3">
      <c r="A4785" t="s">
        <v>4798</v>
      </c>
      <c r="B4785">
        <v>10</v>
      </c>
      <c r="C4785">
        <v>47</v>
      </c>
      <c r="D4785" t="s">
        <v>5016</v>
      </c>
      <c r="E4785" t="s">
        <v>5019</v>
      </c>
      <c r="F4785" t="s">
        <v>5022</v>
      </c>
      <c r="G4785">
        <v>16.399999999999999</v>
      </c>
      <c r="H4785">
        <v>5</v>
      </c>
      <c r="I4785">
        <v>4.7</v>
      </c>
      <c r="J4785">
        <v>19.47</v>
      </c>
      <c r="K4785">
        <v>73</v>
      </c>
      <c r="L4785" t="s">
        <v>5026</v>
      </c>
      <c r="M4785">
        <v>11</v>
      </c>
      <c r="N4785">
        <v>2</v>
      </c>
      <c r="O4785">
        <v>0</v>
      </c>
    </row>
    <row r="4786" spans="1:15" x14ac:dyDescent="0.3">
      <c r="A4786" t="s">
        <v>4799</v>
      </c>
      <c r="B4786">
        <v>11</v>
      </c>
      <c r="C4786">
        <v>39</v>
      </c>
      <c r="D4786" t="s">
        <v>5016</v>
      </c>
      <c r="E4786" t="s">
        <v>5018</v>
      </c>
      <c r="F4786" t="s">
        <v>5021</v>
      </c>
      <c r="G4786">
        <v>5.77</v>
      </c>
      <c r="H4786">
        <v>1</v>
      </c>
      <c r="I4786">
        <v>5.9</v>
      </c>
      <c r="J4786">
        <v>11.82</v>
      </c>
      <c r="K4786">
        <v>81.2</v>
      </c>
      <c r="L4786" t="s">
        <v>5027</v>
      </c>
      <c r="M4786">
        <v>11</v>
      </c>
      <c r="N4786">
        <v>3</v>
      </c>
      <c r="O4786">
        <v>1</v>
      </c>
    </row>
    <row r="4787" spans="1:15" x14ac:dyDescent="0.3">
      <c r="A4787" t="s">
        <v>4800</v>
      </c>
      <c r="B4787">
        <v>11</v>
      </c>
      <c r="C4787">
        <v>20</v>
      </c>
      <c r="D4787" t="s">
        <v>5015</v>
      </c>
      <c r="E4787" t="s">
        <v>5018</v>
      </c>
      <c r="F4787" t="s">
        <v>5024</v>
      </c>
      <c r="G4787">
        <v>20.92</v>
      </c>
      <c r="H4787">
        <v>1</v>
      </c>
      <c r="I4787">
        <v>6.3</v>
      </c>
      <c r="J4787">
        <v>18.77</v>
      </c>
      <c r="K4787">
        <v>26.1</v>
      </c>
      <c r="L4787" t="s">
        <v>5029</v>
      </c>
      <c r="M4787">
        <v>5</v>
      </c>
      <c r="N4787">
        <v>1</v>
      </c>
      <c r="O4787">
        <v>0</v>
      </c>
    </row>
    <row r="4788" spans="1:15" x14ac:dyDescent="0.3">
      <c r="A4788" t="s">
        <v>4801</v>
      </c>
      <c r="B4788">
        <v>12</v>
      </c>
      <c r="C4788">
        <v>54</v>
      </c>
      <c r="D4788" t="s">
        <v>5016</v>
      </c>
      <c r="E4788" t="s">
        <v>5019</v>
      </c>
      <c r="F4788" t="s">
        <v>5021</v>
      </c>
      <c r="G4788">
        <v>6.29</v>
      </c>
      <c r="H4788">
        <v>5</v>
      </c>
      <c r="I4788">
        <v>3.4</v>
      </c>
      <c r="J4788">
        <v>6.11</v>
      </c>
      <c r="K4788">
        <v>20.7</v>
      </c>
      <c r="L4788" t="s">
        <v>5028</v>
      </c>
      <c r="M4788">
        <v>5</v>
      </c>
      <c r="N4788">
        <v>3</v>
      </c>
      <c r="O4788">
        <v>0</v>
      </c>
    </row>
    <row r="4789" spans="1:15" x14ac:dyDescent="0.3">
      <c r="A4789" t="s">
        <v>4802</v>
      </c>
      <c r="B4789">
        <v>6</v>
      </c>
      <c r="C4789">
        <v>58</v>
      </c>
      <c r="D4789" t="s">
        <v>5016</v>
      </c>
      <c r="E4789" t="s">
        <v>5019</v>
      </c>
      <c r="F4789" t="s">
        <v>5022</v>
      </c>
      <c r="G4789">
        <v>23.86</v>
      </c>
      <c r="H4789">
        <v>2</v>
      </c>
      <c r="I4789">
        <v>4.0999999999999996</v>
      </c>
      <c r="J4789">
        <v>14.29</v>
      </c>
      <c r="K4789">
        <v>10.7</v>
      </c>
      <c r="L4789" t="s">
        <v>5029</v>
      </c>
      <c r="M4789">
        <v>6</v>
      </c>
      <c r="N4789">
        <v>3</v>
      </c>
      <c r="O4789">
        <v>0</v>
      </c>
    </row>
    <row r="4790" spans="1:15" x14ac:dyDescent="0.3">
      <c r="A4790" t="s">
        <v>4803</v>
      </c>
      <c r="B4790">
        <v>10</v>
      </c>
      <c r="C4790">
        <v>35</v>
      </c>
      <c r="D4790" t="s">
        <v>5016</v>
      </c>
      <c r="E4790" t="s">
        <v>5019</v>
      </c>
      <c r="F4790" t="s">
        <v>5023</v>
      </c>
      <c r="G4790">
        <v>9.31</v>
      </c>
      <c r="H4790">
        <v>5</v>
      </c>
      <c r="I4790">
        <v>1.2</v>
      </c>
      <c r="J4790">
        <v>4.5999999999999996</v>
      </c>
      <c r="K4790">
        <v>37.5</v>
      </c>
      <c r="L4790" t="s">
        <v>5027</v>
      </c>
      <c r="M4790">
        <v>10</v>
      </c>
      <c r="N4790">
        <v>4</v>
      </c>
      <c r="O4790">
        <v>0</v>
      </c>
    </row>
    <row r="4791" spans="1:15" x14ac:dyDescent="0.3">
      <c r="A4791" t="s">
        <v>4804</v>
      </c>
      <c r="B4791">
        <v>8</v>
      </c>
      <c r="C4791">
        <v>28</v>
      </c>
      <c r="D4791" t="s">
        <v>5016</v>
      </c>
      <c r="E4791" t="s">
        <v>5018</v>
      </c>
      <c r="F4791" t="s">
        <v>5020</v>
      </c>
      <c r="G4791">
        <v>15.25</v>
      </c>
      <c r="H4791">
        <v>2</v>
      </c>
      <c r="I4791">
        <v>8.6999999999999993</v>
      </c>
      <c r="J4791">
        <v>8.3699999999999992</v>
      </c>
      <c r="K4791">
        <v>83.4</v>
      </c>
      <c r="L4791" t="s">
        <v>5026</v>
      </c>
      <c r="M4791">
        <v>8</v>
      </c>
      <c r="N4791">
        <v>3</v>
      </c>
      <c r="O4791">
        <v>1</v>
      </c>
    </row>
    <row r="4792" spans="1:15" x14ac:dyDescent="0.3">
      <c r="A4792" t="s">
        <v>4805</v>
      </c>
      <c r="B4792">
        <v>4</v>
      </c>
      <c r="C4792">
        <v>65</v>
      </c>
      <c r="D4792" t="s">
        <v>5015</v>
      </c>
      <c r="E4792" t="s">
        <v>5019</v>
      </c>
      <c r="F4792" t="s">
        <v>5024</v>
      </c>
      <c r="G4792">
        <v>6.27</v>
      </c>
      <c r="H4792">
        <v>2</v>
      </c>
      <c r="I4792">
        <v>7.8</v>
      </c>
      <c r="J4792">
        <v>15.83</v>
      </c>
      <c r="K4792">
        <v>79.5</v>
      </c>
      <c r="L4792" t="s">
        <v>5029</v>
      </c>
      <c r="M4792">
        <v>11</v>
      </c>
      <c r="N4792">
        <v>3</v>
      </c>
      <c r="O4792">
        <v>1</v>
      </c>
    </row>
    <row r="4793" spans="1:15" x14ac:dyDescent="0.3">
      <c r="A4793" t="s">
        <v>4806</v>
      </c>
      <c r="B4793">
        <v>2</v>
      </c>
      <c r="C4793">
        <v>19</v>
      </c>
      <c r="D4793" t="s">
        <v>5015</v>
      </c>
      <c r="E4793" t="s">
        <v>5017</v>
      </c>
      <c r="F4793" t="s">
        <v>5024</v>
      </c>
      <c r="G4793">
        <v>22.9</v>
      </c>
      <c r="H4793">
        <v>4</v>
      </c>
      <c r="I4793">
        <v>2.7</v>
      </c>
      <c r="J4793">
        <v>19.29</v>
      </c>
      <c r="K4793">
        <v>88.5</v>
      </c>
      <c r="L4793" t="s">
        <v>5026</v>
      </c>
      <c r="M4793">
        <v>1</v>
      </c>
      <c r="N4793">
        <v>4</v>
      </c>
      <c r="O4793">
        <v>0</v>
      </c>
    </row>
    <row r="4794" spans="1:15" x14ac:dyDescent="0.3">
      <c r="A4794" t="s">
        <v>4807</v>
      </c>
      <c r="B4794">
        <v>12</v>
      </c>
      <c r="C4794">
        <v>29</v>
      </c>
      <c r="D4794" t="s">
        <v>5016</v>
      </c>
      <c r="E4794" t="s">
        <v>5018</v>
      </c>
      <c r="F4794" t="s">
        <v>5022</v>
      </c>
      <c r="G4794">
        <v>24.6</v>
      </c>
      <c r="H4794">
        <v>1</v>
      </c>
      <c r="I4794">
        <v>4.3</v>
      </c>
      <c r="J4794">
        <v>5.0999999999999996</v>
      </c>
      <c r="K4794">
        <v>78.5</v>
      </c>
      <c r="L4794" t="s">
        <v>5025</v>
      </c>
      <c r="M4794">
        <v>3</v>
      </c>
      <c r="N4794">
        <v>0</v>
      </c>
      <c r="O4794">
        <v>0</v>
      </c>
    </row>
    <row r="4795" spans="1:15" x14ac:dyDescent="0.3">
      <c r="A4795" t="s">
        <v>4808</v>
      </c>
      <c r="B4795">
        <v>11</v>
      </c>
      <c r="C4795">
        <v>23</v>
      </c>
      <c r="D4795" t="s">
        <v>5015</v>
      </c>
      <c r="E4795" t="s">
        <v>5019</v>
      </c>
      <c r="F4795" t="s">
        <v>5023</v>
      </c>
      <c r="G4795">
        <v>7.93</v>
      </c>
      <c r="H4795">
        <v>1</v>
      </c>
      <c r="I4795">
        <v>4.8</v>
      </c>
      <c r="J4795">
        <v>7.56</v>
      </c>
      <c r="K4795">
        <v>12.2</v>
      </c>
      <c r="L4795" t="s">
        <v>5029</v>
      </c>
      <c r="M4795">
        <v>7</v>
      </c>
      <c r="N4795">
        <v>3</v>
      </c>
      <c r="O4795">
        <v>1</v>
      </c>
    </row>
    <row r="4796" spans="1:15" x14ac:dyDescent="0.3">
      <c r="A4796" t="s">
        <v>4809</v>
      </c>
      <c r="B4796">
        <v>5</v>
      </c>
      <c r="C4796">
        <v>60</v>
      </c>
      <c r="D4796" t="s">
        <v>5016</v>
      </c>
      <c r="E4796" t="s">
        <v>5017</v>
      </c>
      <c r="F4796" t="s">
        <v>5023</v>
      </c>
      <c r="G4796">
        <v>10.92</v>
      </c>
      <c r="H4796">
        <v>3</v>
      </c>
      <c r="I4796">
        <v>4</v>
      </c>
      <c r="J4796">
        <v>24.82</v>
      </c>
      <c r="K4796">
        <v>44.7</v>
      </c>
      <c r="L4796" t="s">
        <v>5025</v>
      </c>
      <c r="M4796">
        <v>11</v>
      </c>
      <c r="N4796">
        <v>2</v>
      </c>
      <c r="O4796">
        <v>0</v>
      </c>
    </row>
    <row r="4797" spans="1:15" x14ac:dyDescent="0.3">
      <c r="A4797" t="s">
        <v>4810</v>
      </c>
      <c r="B4797">
        <v>12</v>
      </c>
      <c r="C4797">
        <v>57</v>
      </c>
      <c r="D4797" t="s">
        <v>5015</v>
      </c>
      <c r="E4797" t="s">
        <v>5019</v>
      </c>
      <c r="F4797" t="s">
        <v>5020</v>
      </c>
      <c r="G4797">
        <v>5.32</v>
      </c>
      <c r="H4797">
        <v>5</v>
      </c>
      <c r="I4797">
        <v>8.1999999999999993</v>
      </c>
      <c r="J4797">
        <v>10.43</v>
      </c>
      <c r="K4797">
        <v>10.5</v>
      </c>
      <c r="L4797" t="s">
        <v>5029</v>
      </c>
      <c r="M4797">
        <v>9</v>
      </c>
      <c r="N4797">
        <v>3</v>
      </c>
      <c r="O4797">
        <v>0</v>
      </c>
    </row>
    <row r="4798" spans="1:15" x14ac:dyDescent="0.3">
      <c r="A4798" t="s">
        <v>4811</v>
      </c>
      <c r="B4798">
        <v>2</v>
      </c>
      <c r="C4798">
        <v>61</v>
      </c>
      <c r="D4798" t="s">
        <v>5015</v>
      </c>
      <c r="E4798" t="s">
        <v>5018</v>
      </c>
      <c r="F4798" t="s">
        <v>5023</v>
      </c>
      <c r="G4798">
        <v>20.74</v>
      </c>
      <c r="H4798">
        <v>4</v>
      </c>
      <c r="I4798">
        <v>7.5</v>
      </c>
      <c r="J4798">
        <v>9.25</v>
      </c>
      <c r="K4798">
        <v>13.2</v>
      </c>
      <c r="L4798" t="s">
        <v>5028</v>
      </c>
      <c r="M4798">
        <v>10</v>
      </c>
      <c r="N4798">
        <v>1</v>
      </c>
      <c r="O4798">
        <v>0</v>
      </c>
    </row>
    <row r="4799" spans="1:15" x14ac:dyDescent="0.3">
      <c r="A4799" t="s">
        <v>4812</v>
      </c>
      <c r="B4799">
        <v>2</v>
      </c>
      <c r="C4799">
        <v>46</v>
      </c>
      <c r="D4799" t="s">
        <v>5015</v>
      </c>
      <c r="E4799" t="s">
        <v>5017</v>
      </c>
      <c r="F4799" t="s">
        <v>5022</v>
      </c>
      <c r="G4799">
        <v>11.23</v>
      </c>
      <c r="H4799">
        <v>1</v>
      </c>
      <c r="I4799">
        <v>7.9</v>
      </c>
      <c r="J4799">
        <v>4.88</v>
      </c>
      <c r="K4799">
        <v>53.1</v>
      </c>
      <c r="L4799" t="s">
        <v>5026</v>
      </c>
      <c r="M4799">
        <v>2</v>
      </c>
      <c r="N4799">
        <v>2</v>
      </c>
      <c r="O4799">
        <v>0</v>
      </c>
    </row>
    <row r="4800" spans="1:15" x14ac:dyDescent="0.3">
      <c r="A4800" t="s">
        <v>4813</v>
      </c>
      <c r="B4800">
        <v>6</v>
      </c>
      <c r="C4800">
        <v>47</v>
      </c>
      <c r="D4800" t="s">
        <v>5015</v>
      </c>
      <c r="E4800" t="s">
        <v>5019</v>
      </c>
      <c r="F4800" t="s">
        <v>5023</v>
      </c>
      <c r="G4800">
        <v>16.78</v>
      </c>
      <c r="H4800">
        <v>3</v>
      </c>
      <c r="I4800">
        <v>9.1</v>
      </c>
      <c r="J4800">
        <v>18.29</v>
      </c>
      <c r="K4800">
        <v>42.4</v>
      </c>
      <c r="L4800" t="s">
        <v>5025</v>
      </c>
      <c r="M4800">
        <v>4</v>
      </c>
      <c r="N4800">
        <v>2</v>
      </c>
      <c r="O4800">
        <v>0</v>
      </c>
    </row>
    <row r="4801" spans="1:15" x14ac:dyDescent="0.3">
      <c r="A4801" t="s">
        <v>4814</v>
      </c>
      <c r="B4801">
        <v>11</v>
      </c>
      <c r="C4801">
        <v>19</v>
      </c>
      <c r="D4801" t="s">
        <v>5015</v>
      </c>
      <c r="E4801" t="s">
        <v>5017</v>
      </c>
      <c r="F4801" t="s">
        <v>5022</v>
      </c>
      <c r="G4801">
        <v>5.78</v>
      </c>
      <c r="H4801">
        <v>4</v>
      </c>
      <c r="I4801">
        <v>6.4</v>
      </c>
      <c r="J4801">
        <v>14.18</v>
      </c>
      <c r="K4801">
        <v>60.3</v>
      </c>
      <c r="L4801" t="s">
        <v>5027</v>
      </c>
      <c r="M4801">
        <v>11</v>
      </c>
      <c r="N4801">
        <v>0</v>
      </c>
      <c r="O4801">
        <v>0</v>
      </c>
    </row>
    <row r="4802" spans="1:15" x14ac:dyDescent="0.3">
      <c r="A4802" t="s">
        <v>4815</v>
      </c>
      <c r="B4802">
        <v>10</v>
      </c>
      <c r="C4802">
        <v>26</v>
      </c>
      <c r="D4802" t="s">
        <v>5015</v>
      </c>
      <c r="E4802" t="s">
        <v>5018</v>
      </c>
      <c r="F4802" t="s">
        <v>5024</v>
      </c>
      <c r="G4802">
        <v>19.309999999999999</v>
      </c>
      <c r="H4802">
        <v>2</v>
      </c>
      <c r="I4802">
        <v>6.5</v>
      </c>
      <c r="J4802">
        <v>6.47</v>
      </c>
      <c r="K4802">
        <v>16</v>
      </c>
      <c r="L4802" t="s">
        <v>5029</v>
      </c>
      <c r="M4802">
        <v>4</v>
      </c>
      <c r="N4802">
        <v>1</v>
      </c>
      <c r="O4802">
        <v>0</v>
      </c>
    </row>
    <row r="4803" spans="1:15" x14ac:dyDescent="0.3">
      <c r="A4803" t="s">
        <v>4816</v>
      </c>
      <c r="B4803">
        <v>9</v>
      </c>
      <c r="C4803">
        <v>64</v>
      </c>
      <c r="D4803" t="s">
        <v>5015</v>
      </c>
      <c r="E4803" t="s">
        <v>5017</v>
      </c>
      <c r="F4803" t="s">
        <v>5024</v>
      </c>
      <c r="G4803">
        <v>15.59</v>
      </c>
      <c r="H4803">
        <v>1</v>
      </c>
      <c r="I4803">
        <v>7.5</v>
      </c>
      <c r="J4803">
        <v>16.920000000000002</v>
      </c>
      <c r="K4803">
        <v>62.9</v>
      </c>
      <c r="L4803" t="s">
        <v>5025</v>
      </c>
      <c r="M4803">
        <v>11</v>
      </c>
      <c r="N4803">
        <v>1</v>
      </c>
      <c r="O4803">
        <v>0</v>
      </c>
    </row>
    <row r="4804" spans="1:15" x14ac:dyDescent="0.3">
      <c r="A4804" t="s">
        <v>4817</v>
      </c>
      <c r="B4804">
        <v>4</v>
      </c>
      <c r="C4804">
        <v>19</v>
      </c>
      <c r="D4804" t="s">
        <v>5015</v>
      </c>
      <c r="E4804" t="s">
        <v>5019</v>
      </c>
      <c r="F4804" t="s">
        <v>5024</v>
      </c>
      <c r="G4804">
        <v>19.5</v>
      </c>
      <c r="H4804">
        <v>5</v>
      </c>
      <c r="I4804">
        <v>7.1</v>
      </c>
      <c r="J4804">
        <v>14.57</v>
      </c>
      <c r="K4804">
        <v>15.9</v>
      </c>
      <c r="L4804" t="s">
        <v>5029</v>
      </c>
      <c r="M4804">
        <v>7</v>
      </c>
      <c r="N4804">
        <v>1</v>
      </c>
      <c r="O4804">
        <v>0</v>
      </c>
    </row>
    <row r="4805" spans="1:15" x14ac:dyDescent="0.3">
      <c r="A4805" t="s">
        <v>4818</v>
      </c>
      <c r="B4805">
        <v>6</v>
      </c>
      <c r="C4805">
        <v>46</v>
      </c>
      <c r="D4805" t="s">
        <v>5015</v>
      </c>
      <c r="E4805" t="s">
        <v>5017</v>
      </c>
      <c r="F4805" t="s">
        <v>5021</v>
      </c>
      <c r="G4805">
        <v>20.79</v>
      </c>
      <c r="H4805">
        <v>4</v>
      </c>
      <c r="I4805">
        <v>8.8000000000000007</v>
      </c>
      <c r="J4805">
        <v>15.43</v>
      </c>
      <c r="K4805">
        <v>48.1</v>
      </c>
      <c r="L4805" t="s">
        <v>5029</v>
      </c>
      <c r="M4805">
        <v>5</v>
      </c>
      <c r="N4805">
        <v>3</v>
      </c>
      <c r="O4805">
        <v>1</v>
      </c>
    </row>
    <row r="4806" spans="1:15" x14ac:dyDescent="0.3">
      <c r="A4806" t="s">
        <v>4819</v>
      </c>
      <c r="B4806">
        <v>7</v>
      </c>
      <c r="C4806">
        <v>50</v>
      </c>
      <c r="D4806" t="s">
        <v>5015</v>
      </c>
      <c r="E4806" t="s">
        <v>5017</v>
      </c>
      <c r="F4806" t="s">
        <v>5024</v>
      </c>
      <c r="G4806">
        <v>6.78</v>
      </c>
      <c r="H4806">
        <v>3</v>
      </c>
      <c r="I4806">
        <v>7.9</v>
      </c>
      <c r="J4806">
        <v>24.89</v>
      </c>
      <c r="K4806">
        <v>41.7</v>
      </c>
      <c r="L4806" t="s">
        <v>5029</v>
      </c>
      <c r="M4806">
        <v>11</v>
      </c>
      <c r="N4806">
        <v>3</v>
      </c>
      <c r="O4806">
        <v>0</v>
      </c>
    </row>
    <row r="4807" spans="1:15" x14ac:dyDescent="0.3">
      <c r="A4807" t="s">
        <v>4820</v>
      </c>
      <c r="B4807">
        <v>11</v>
      </c>
      <c r="C4807">
        <v>27</v>
      </c>
      <c r="D4807" t="s">
        <v>5015</v>
      </c>
      <c r="E4807" t="s">
        <v>5017</v>
      </c>
      <c r="F4807" t="s">
        <v>5022</v>
      </c>
      <c r="G4807">
        <v>16.559999999999999</v>
      </c>
      <c r="H4807">
        <v>5</v>
      </c>
      <c r="I4807">
        <v>2.1</v>
      </c>
      <c r="J4807">
        <v>3.63</v>
      </c>
      <c r="K4807">
        <v>30.2</v>
      </c>
      <c r="L4807" t="s">
        <v>5025</v>
      </c>
      <c r="M4807">
        <v>5</v>
      </c>
      <c r="N4807">
        <v>2</v>
      </c>
      <c r="O4807">
        <v>0</v>
      </c>
    </row>
    <row r="4808" spans="1:15" x14ac:dyDescent="0.3">
      <c r="A4808" t="s">
        <v>4821</v>
      </c>
      <c r="B4808">
        <v>6</v>
      </c>
      <c r="C4808">
        <v>51</v>
      </c>
      <c r="D4808" t="s">
        <v>5016</v>
      </c>
      <c r="E4808" t="s">
        <v>5019</v>
      </c>
      <c r="F4808" t="s">
        <v>5020</v>
      </c>
      <c r="G4808">
        <v>18</v>
      </c>
      <c r="H4808">
        <v>2</v>
      </c>
      <c r="I4808">
        <v>9.4</v>
      </c>
      <c r="J4808">
        <v>23.13</v>
      </c>
      <c r="K4808">
        <v>38.1</v>
      </c>
      <c r="L4808" t="s">
        <v>5025</v>
      </c>
      <c r="M4808">
        <v>7</v>
      </c>
      <c r="N4808">
        <v>0</v>
      </c>
      <c r="O4808">
        <v>0</v>
      </c>
    </row>
    <row r="4809" spans="1:15" x14ac:dyDescent="0.3">
      <c r="A4809" t="s">
        <v>4822</v>
      </c>
      <c r="B4809">
        <v>8</v>
      </c>
      <c r="C4809">
        <v>61</v>
      </c>
      <c r="D4809" t="s">
        <v>5015</v>
      </c>
      <c r="E4809" t="s">
        <v>5019</v>
      </c>
      <c r="F4809" t="s">
        <v>5023</v>
      </c>
      <c r="G4809">
        <v>15.33</v>
      </c>
      <c r="H4809">
        <v>5</v>
      </c>
      <c r="I4809">
        <v>7.1</v>
      </c>
      <c r="J4809">
        <v>21.52</v>
      </c>
      <c r="K4809">
        <v>10</v>
      </c>
      <c r="L4809" t="s">
        <v>5029</v>
      </c>
      <c r="M4809">
        <v>2</v>
      </c>
      <c r="N4809">
        <v>3</v>
      </c>
      <c r="O4809">
        <v>0</v>
      </c>
    </row>
    <row r="4810" spans="1:15" x14ac:dyDescent="0.3">
      <c r="A4810" t="s">
        <v>4823</v>
      </c>
      <c r="B4810">
        <v>4</v>
      </c>
      <c r="C4810">
        <v>25</v>
      </c>
      <c r="D4810" t="s">
        <v>5016</v>
      </c>
      <c r="E4810" t="s">
        <v>5019</v>
      </c>
      <c r="F4810" t="s">
        <v>5024</v>
      </c>
      <c r="G4810">
        <v>8.65</v>
      </c>
      <c r="H4810">
        <v>3</v>
      </c>
      <c r="I4810">
        <v>2.1</v>
      </c>
      <c r="J4810">
        <v>12.14</v>
      </c>
      <c r="K4810">
        <v>39.200000000000003</v>
      </c>
      <c r="L4810" t="s">
        <v>5027</v>
      </c>
      <c r="M4810">
        <v>8</v>
      </c>
      <c r="N4810">
        <v>3</v>
      </c>
      <c r="O4810">
        <v>1</v>
      </c>
    </row>
    <row r="4811" spans="1:15" x14ac:dyDescent="0.3">
      <c r="A4811" t="s">
        <v>4824</v>
      </c>
      <c r="B4811">
        <v>12</v>
      </c>
      <c r="C4811">
        <v>54</v>
      </c>
      <c r="D4811" t="s">
        <v>5015</v>
      </c>
      <c r="E4811" t="s">
        <v>5018</v>
      </c>
      <c r="F4811" t="s">
        <v>5021</v>
      </c>
      <c r="G4811">
        <v>20.91</v>
      </c>
      <c r="H4811">
        <v>2</v>
      </c>
      <c r="I4811">
        <v>7.9</v>
      </c>
      <c r="J4811">
        <v>22.38</v>
      </c>
      <c r="K4811">
        <v>17.100000000000001</v>
      </c>
      <c r="L4811" t="s">
        <v>5026</v>
      </c>
      <c r="M4811">
        <v>6</v>
      </c>
      <c r="N4811">
        <v>0</v>
      </c>
      <c r="O4811">
        <v>0</v>
      </c>
    </row>
    <row r="4812" spans="1:15" x14ac:dyDescent="0.3">
      <c r="A4812" t="s">
        <v>4825</v>
      </c>
      <c r="B4812">
        <v>1</v>
      </c>
      <c r="C4812">
        <v>50</v>
      </c>
      <c r="D4812" t="s">
        <v>5016</v>
      </c>
      <c r="E4812" t="s">
        <v>5018</v>
      </c>
      <c r="F4812" t="s">
        <v>5021</v>
      </c>
      <c r="G4812">
        <v>24.95</v>
      </c>
      <c r="H4812">
        <v>3</v>
      </c>
      <c r="I4812">
        <v>4.2</v>
      </c>
      <c r="J4812">
        <v>17.27</v>
      </c>
      <c r="K4812">
        <v>92.9</v>
      </c>
      <c r="L4812" t="s">
        <v>5029</v>
      </c>
      <c r="M4812">
        <v>5</v>
      </c>
      <c r="N4812">
        <v>1</v>
      </c>
      <c r="O4812">
        <v>0</v>
      </c>
    </row>
    <row r="4813" spans="1:15" x14ac:dyDescent="0.3">
      <c r="A4813" t="s">
        <v>4826</v>
      </c>
      <c r="B4813">
        <v>7</v>
      </c>
      <c r="C4813">
        <v>64</v>
      </c>
      <c r="D4813" t="s">
        <v>5016</v>
      </c>
      <c r="E4813" t="s">
        <v>5017</v>
      </c>
      <c r="F4813" t="s">
        <v>5022</v>
      </c>
      <c r="G4813">
        <v>24.39</v>
      </c>
      <c r="H4813">
        <v>1</v>
      </c>
      <c r="I4813">
        <v>8.3000000000000007</v>
      </c>
      <c r="J4813">
        <v>22.57</v>
      </c>
      <c r="K4813">
        <v>16.7</v>
      </c>
      <c r="L4813" t="s">
        <v>5027</v>
      </c>
      <c r="M4813">
        <v>1</v>
      </c>
      <c r="N4813">
        <v>2</v>
      </c>
      <c r="O4813">
        <v>0</v>
      </c>
    </row>
    <row r="4814" spans="1:15" x14ac:dyDescent="0.3">
      <c r="A4814" t="s">
        <v>4827</v>
      </c>
      <c r="B4814">
        <v>3</v>
      </c>
      <c r="C4814">
        <v>23</v>
      </c>
      <c r="D4814" t="s">
        <v>5016</v>
      </c>
      <c r="E4814" t="s">
        <v>5018</v>
      </c>
      <c r="F4814" t="s">
        <v>5020</v>
      </c>
      <c r="G4814">
        <v>20.55</v>
      </c>
      <c r="H4814">
        <v>3</v>
      </c>
      <c r="I4814">
        <v>9.6</v>
      </c>
      <c r="J4814">
        <v>16.079999999999998</v>
      </c>
      <c r="K4814">
        <v>95.8</v>
      </c>
      <c r="L4814" t="s">
        <v>5026</v>
      </c>
      <c r="M4814">
        <v>2</v>
      </c>
      <c r="N4814">
        <v>3</v>
      </c>
      <c r="O4814">
        <v>0</v>
      </c>
    </row>
    <row r="4815" spans="1:15" x14ac:dyDescent="0.3">
      <c r="A4815" t="s">
        <v>4828</v>
      </c>
      <c r="B4815">
        <v>6</v>
      </c>
      <c r="C4815">
        <v>61</v>
      </c>
      <c r="D4815" t="s">
        <v>5015</v>
      </c>
      <c r="E4815" t="s">
        <v>5017</v>
      </c>
      <c r="F4815" t="s">
        <v>5024</v>
      </c>
      <c r="G4815">
        <v>13.36</v>
      </c>
      <c r="H4815">
        <v>5</v>
      </c>
      <c r="I4815">
        <v>3.3</v>
      </c>
      <c r="J4815">
        <v>7.76</v>
      </c>
      <c r="K4815">
        <v>54.2</v>
      </c>
      <c r="L4815" t="s">
        <v>5029</v>
      </c>
      <c r="M4815">
        <v>6</v>
      </c>
      <c r="N4815">
        <v>0</v>
      </c>
      <c r="O4815">
        <v>0</v>
      </c>
    </row>
    <row r="4816" spans="1:15" x14ac:dyDescent="0.3">
      <c r="A4816" t="s">
        <v>4829</v>
      </c>
      <c r="B4816">
        <v>2</v>
      </c>
      <c r="C4816">
        <v>57</v>
      </c>
      <c r="D4816" t="s">
        <v>5015</v>
      </c>
      <c r="E4816" t="s">
        <v>5019</v>
      </c>
      <c r="F4816" t="s">
        <v>5024</v>
      </c>
      <c r="G4816">
        <v>11.75</v>
      </c>
      <c r="H4816">
        <v>1</v>
      </c>
      <c r="I4816">
        <v>8.6999999999999993</v>
      </c>
      <c r="J4816">
        <v>15.68</v>
      </c>
      <c r="K4816">
        <v>56.2</v>
      </c>
      <c r="L4816" t="s">
        <v>5026</v>
      </c>
      <c r="M4816">
        <v>6</v>
      </c>
      <c r="N4816">
        <v>0</v>
      </c>
      <c r="O4816">
        <v>0</v>
      </c>
    </row>
    <row r="4817" spans="1:15" x14ac:dyDescent="0.3">
      <c r="A4817" t="s">
        <v>4830</v>
      </c>
      <c r="B4817">
        <v>9</v>
      </c>
      <c r="C4817">
        <v>62</v>
      </c>
      <c r="D4817" t="s">
        <v>5015</v>
      </c>
      <c r="E4817" t="s">
        <v>5019</v>
      </c>
      <c r="F4817" t="s">
        <v>5021</v>
      </c>
      <c r="G4817">
        <v>6.37</v>
      </c>
      <c r="H4817">
        <v>1</v>
      </c>
      <c r="I4817">
        <v>8</v>
      </c>
      <c r="J4817">
        <v>6.94</v>
      </c>
      <c r="K4817">
        <v>80.900000000000006</v>
      </c>
      <c r="L4817" t="s">
        <v>5029</v>
      </c>
      <c r="M4817">
        <v>11</v>
      </c>
      <c r="N4817">
        <v>1</v>
      </c>
      <c r="O4817">
        <v>0</v>
      </c>
    </row>
    <row r="4818" spans="1:15" x14ac:dyDescent="0.3">
      <c r="A4818" t="s">
        <v>4831</v>
      </c>
      <c r="B4818">
        <v>1</v>
      </c>
      <c r="C4818">
        <v>36</v>
      </c>
      <c r="D4818" t="s">
        <v>5015</v>
      </c>
      <c r="E4818" t="s">
        <v>5018</v>
      </c>
      <c r="F4818" t="s">
        <v>5022</v>
      </c>
      <c r="G4818">
        <v>13.33</v>
      </c>
      <c r="H4818">
        <v>4</v>
      </c>
      <c r="I4818">
        <v>7</v>
      </c>
      <c r="J4818">
        <v>6.1</v>
      </c>
      <c r="K4818">
        <v>72.599999999999994</v>
      </c>
      <c r="L4818" t="s">
        <v>5025</v>
      </c>
      <c r="M4818">
        <v>9</v>
      </c>
      <c r="N4818">
        <v>4</v>
      </c>
      <c r="O4818">
        <v>0</v>
      </c>
    </row>
    <row r="4819" spans="1:15" x14ac:dyDescent="0.3">
      <c r="A4819" t="s">
        <v>4832</v>
      </c>
      <c r="B4819">
        <v>6</v>
      </c>
      <c r="C4819">
        <v>49</v>
      </c>
      <c r="D4819" t="s">
        <v>5016</v>
      </c>
      <c r="E4819" t="s">
        <v>5017</v>
      </c>
      <c r="F4819" t="s">
        <v>5021</v>
      </c>
      <c r="G4819">
        <v>8.1199999999999992</v>
      </c>
      <c r="H4819">
        <v>5</v>
      </c>
      <c r="I4819">
        <v>4.5</v>
      </c>
      <c r="J4819">
        <v>17.39</v>
      </c>
      <c r="K4819">
        <v>31.3</v>
      </c>
      <c r="L4819" t="s">
        <v>5029</v>
      </c>
      <c r="M4819">
        <v>11</v>
      </c>
      <c r="N4819">
        <v>4</v>
      </c>
      <c r="O4819">
        <v>1</v>
      </c>
    </row>
    <row r="4820" spans="1:15" x14ac:dyDescent="0.3">
      <c r="A4820" t="s">
        <v>4833</v>
      </c>
      <c r="B4820">
        <v>6</v>
      </c>
      <c r="C4820">
        <v>44</v>
      </c>
      <c r="D4820" t="s">
        <v>5015</v>
      </c>
      <c r="E4820" t="s">
        <v>5019</v>
      </c>
      <c r="F4820" t="s">
        <v>5021</v>
      </c>
      <c r="G4820">
        <v>10.09</v>
      </c>
      <c r="H4820">
        <v>5</v>
      </c>
      <c r="I4820">
        <v>2</v>
      </c>
      <c r="J4820">
        <v>23.84</v>
      </c>
      <c r="K4820">
        <v>12.3</v>
      </c>
      <c r="L4820" t="s">
        <v>5029</v>
      </c>
      <c r="M4820">
        <v>6</v>
      </c>
      <c r="N4820">
        <v>4</v>
      </c>
      <c r="O4820">
        <v>0</v>
      </c>
    </row>
    <row r="4821" spans="1:15" x14ac:dyDescent="0.3">
      <c r="A4821" t="s">
        <v>4834</v>
      </c>
      <c r="B4821">
        <v>5</v>
      </c>
      <c r="C4821">
        <v>18</v>
      </c>
      <c r="D4821" t="s">
        <v>5015</v>
      </c>
      <c r="E4821" t="s">
        <v>5017</v>
      </c>
      <c r="F4821" t="s">
        <v>5020</v>
      </c>
      <c r="G4821">
        <v>22.84</v>
      </c>
      <c r="H4821">
        <v>2</v>
      </c>
      <c r="I4821">
        <v>5.4</v>
      </c>
      <c r="J4821">
        <v>15.95</v>
      </c>
      <c r="K4821">
        <v>80.099999999999994</v>
      </c>
      <c r="L4821" t="s">
        <v>5029</v>
      </c>
      <c r="M4821">
        <v>1</v>
      </c>
      <c r="N4821">
        <v>4</v>
      </c>
      <c r="O4821">
        <v>0</v>
      </c>
    </row>
    <row r="4822" spans="1:15" x14ac:dyDescent="0.3">
      <c r="A4822" t="s">
        <v>4835</v>
      </c>
      <c r="B4822">
        <v>5</v>
      </c>
      <c r="C4822">
        <v>60</v>
      </c>
      <c r="D4822" t="s">
        <v>5015</v>
      </c>
      <c r="E4822" t="s">
        <v>5017</v>
      </c>
      <c r="F4822" t="s">
        <v>5022</v>
      </c>
      <c r="G4822">
        <v>24.37</v>
      </c>
      <c r="H4822">
        <v>3</v>
      </c>
      <c r="I4822">
        <v>2</v>
      </c>
      <c r="J4822">
        <v>20.51</v>
      </c>
      <c r="K4822">
        <v>21.7</v>
      </c>
      <c r="L4822" t="s">
        <v>5029</v>
      </c>
      <c r="M4822">
        <v>7</v>
      </c>
      <c r="N4822">
        <v>3</v>
      </c>
      <c r="O4822">
        <v>1</v>
      </c>
    </row>
    <row r="4823" spans="1:15" x14ac:dyDescent="0.3">
      <c r="A4823" t="s">
        <v>4836</v>
      </c>
      <c r="B4823">
        <v>1</v>
      </c>
      <c r="C4823">
        <v>69</v>
      </c>
      <c r="D4823" t="s">
        <v>5015</v>
      </c>
      <c r="E4823" t="s">
        <v>5017</v>
      </c>
      <c r="F4823" t="s">
        <v>5020</v>
      </c>
      <c r="G4823">
        <v>23.97</v>
      </c>
      <c r="H4823">
        <v>3</v>
      </c>
      <c r="I4823">
        <v>5.5</v>
      </c>
      <c r="J4823">
        <v>6.7</v>
      </c>
      <c r="K4823">
        <v>63.9</v>
      </c>
      <c r="L4823" t="s">
        <v>5027</v>
      </c>
      <c r="M4823">
        <v>3</v>
      </c>
      <c r="N4823">
        <v>0</v>
      </c>
      <c r="O4823">
        <v>0</v>
      </c>
    </row>
    <row r="4824" spans="1:15" x14ac:dyDescent="0.3">
      <c r="A4824" t="s">
        <v>4837</v>
      </c>
      <c r="B4824">
        <v>10</v>
      </c>
      <c r="C4824">
        <v>50</v>
      </c>
      <c r="D4824" t="s">
        <v>5015</v>
      </c>
      <c r="E4824" t="s">
        <v>5018</v>
      </c>
      <c r="F4824" t="s">
        <v>5022</v>
      </c>
      <c r="G4824">
        <v>8.8699999999999992</v>
      </c>
      <c r="H4824">
        <v>5</v>
      </c>
      <c r="I4824">
        <v>8.4</v>
      </c>
      <c r="J4824">
        <v>17.39</v>
      </c>
      <c r="K4824">
        <v>94.8</v>
      </c>
      <c r="L4824" t="s">
        <v>5028</v>
      </c>
      <c r="M4824">
        <v>8</v>
      </c>
      <c r="N4824">
        <v>2</v>
      </c>
      <c r="O4824">
        <v>0</v>
      </c>
    </row>
    <row r="4825" spans="1:15" x14ac:dyDescent="0.3">
      <c r="A4825" t="s">
        <v>4838</v>
      </c>
      <c r="B4825">
        <v>12</v>
      </c>
      <c r="C4825">
        <v>57</v>
      </c>
      <c r="D4825" t="s">
        <v>5015</v>
      </c>
      <c r="E4825" t="s">
        <v>5019</v>
      </c>
      <c r="F4825" t="s">
        <v>5024</v>
      </c>
      <c r="G4825">
        <v>23.02</v>
      </c>
      <c r="H4825">
        <v>3</v>
      </c>
      <c r="I4825">
        <v>10</v>
      </c>
      <c r="J4825">
        <v>19.13</v>
      </c>
      <c r="K4825">
        <v>59.4</v>
      </c>
      <c r="L4825" t="s">
        <v>5027</v>
      </c>
      <c r="M4825">
        <v>6</v>
      </c>
      <c r="N4825">
        <v>3</v>
      </c>
      <c r="O4825">
        <v>0</v>
      </c>
    </row>
    <row r="4826" spans="1:15" x14ac:dyDescent="0.3">
      <c r="A4826" t="s">
        <v>4839</v>
      </c>
      <c r="B4826">
        <v>5</v>
      </c>
      <c r="C4826">
        <v>49</v>
      </c>
      <c r="D4826" t="s">
        <v>5015</v>
      </c>
      <c r="E4826" t="s">
        <v>5018</v>
      </c>
      <c r="F4826" t="s">
        <v>5023</v>
      </c>
      <c r="G4826">
        <v>7.83</v>
      </c>
      <c r="H4826">
        <v>5</v>
      </c>
      <c r="I4826">
        <v>2.8</v>
      </c>
      <c r="J4826">
        <v>3.92</v>
      </c>
      <c r="K4826">
        <v>35.700000000000003</v>
      </c>
      <c r="L4826" t="s">
        <v>5027</v>
      </c>
      <c r="M4826">
        <v>3</v>
      </c>
      <c r="N4826">
        <v>4</v>
      </c>
      <c r="O4826">
        <v>0</v>
      </c>
    </row>
    <row r="4827" spans="1:15" x14ac:dyDescent="0.3">
      <c r="A4827" t="s">
        <v>4840</v>
      </c>
      <c r="B4827">
        <v>2</v>
      </c>
      <c r="C4827">
        <v>22</v>
      </c>
      <c r="D4827" t="s">
        <v>5015</v>
      </c>
      <c r="E4827" t="s">
        <v>5017</v>
      </c>
      <c r="F4827" t="s">
        <v>5023</v>
      </c>
      <c r="G4827">
        <v>15.15</v>
      </c>
      <c r="H4827">
        <v>1</v>
      </c>
      <c r="I4827">
        <v>2.9</v>
      </c>
      <c r="J4827">
        <v>5.14</v>
      </c>
      <c r="K4827">
        <v>26.1</v>
      </c>
      <c r="L4827" t="s">
        <v>5025</v>
      </c>
      <c r="M4827">
        <v>3</v>
      </c>
      <c r="N4827">
        <v>2</v>
      </c>
      <c r="O4827">
        <v>0</v>
      </c>
    </row>
    <row r="4828" spans="1:15" x14ac:dyDescent="0.3">
      <c r="A4828" t="s">
        <v>4841</v>
      </c>
      <c r="B4828">
        <v>7</v>
      </c>
      <c r="C4828">
        <v>34</v>
      </c>
      <c r="D4828" t="s">
        <v>5016</v>
      </c>
      <c r="E4828" t="s">
        <v>5018</v>
      </c>
      <c r="F4828" t="s">
        <v>5022</v>
      </c>
      <c r="G4828">
        <v>17.87</v>
      </c>
      <c r="H4828">
        <v>3</v>
      </c>
      <c r="I4828">
        <v>8.3000000000000007</v>
      </c>
      <c r="J4828">
        <v>20.190000000000001</v>
      </c>
      <c r="K4828">
        <v>12.4</v>
      </c>
      <c r="L4828" t="s">
        <v>5029</v>
      </c>
      <c r="M4828">
        <v>8</v>
      </c>
      <c r="N4828">
        <v>2</v>
      </c>
      <c r="O4828">
        <v>1</v>
      </c>
    </row>
    <row r="4829" spans="1:15" x14ac:dyDescent="0.3">
      <c r="A4829" t="s">
        <v>4842</v>
      </c>
      <c r="B4829">
        <v>3</v>
      </c>
      <c r="C4829">
        <v>25</v>
      </c>
      <c r="D4829" t="s">
        <v>5016</v>
      </c>
      <c r="E4829" t="s">
        <v>5019</v>
      </c>
      <c r="F4829" t="s">
        <v>5023</v>
      </c>
      <c r="G4829">
        <v>14.25</v>
      </c>
      <c r="H4829">
        <v>3</v>
      </c>
      <c r="I4829">
        <v>5.2</v>
      </c>
      <c r="J4829">
        <v>12.68</v>
      </c>
      <c r="K4829">
        <v>66.099999999999994</v>
      </c>
      <c r="L4829" t="s">
        <v>5027</v>
      </c>
      <c r="M4829">
        <v>6</v>
      </c>
      <c r="N4829">
        <v>4</v>
      </c>
      <c r="O4829">
        <v>0</v>
      </c>
    </row>
    <row r="4830" spans="1:15" x14ac:dyDescent="0.3">
      <c r="A4830" t="s">
        <v>4843</v>
      </c>
      <c r="B4830">
        <v>4</v>
      </c>
      <c r="C4830">
        <v>59</v>
      </c>
      <c r="D4830" t="s">
        <v>5015</v>
      </c>
      <c r="E4830" t="s">
        <v>5017</v>
      </c>
      <c r="F4830" t="s">
        <v>5021</v>
      </c>
      <c r="G4830">
        <v>24.04</v>
      </c>
      <c r="H4830">
        <v>5</v>
      </c>
      <c r="I4830">
        <v>9.1999999999999993</v>
      </c>
      <c r="J4830">
        <v>11.92</v>
      </c>
      <c r="K4830">
        <v>60.2</v>
      </c>
      <c r="L4830" t="s">
        <v>5026</v>
      </c>
      <c r="M4830">
        <v>2</v>
      </c>
      <c r="N4830">
        <v>2</v>
      </c>
      <c r="O4830">
        <v>0</v>
      </c>
    </row>
    <row r="4831" spans="1:15" x14ac:dyDescent="0.3">
      <c r="A4831" t="s">
        <v>4844</v>
      </c>
      <c r="B4831">
        <v>3</v>
      </c>
      <c r="C4831">
        <v>51</v>
      </c>
      <c r="D4831" t="s">
        <v>5015</v>
      </c>
      <c r="E4831" t="s">
        <v>5017</v>
      </c>
      <c r="F4831" t="s">
        <v>5024</v>
      </c>
      <c r="G4831">
        <v>11.66</v>
      </c>
      <c r="H4831">
        <v>5</v>
      </c>
      <c r="I4831">
        <v>7.9</v>
      </c>
      <c r="J4831">
        <v>23.25</v>
      </c>
      <c r="K4831">
        <v>51.6</v>
      </c>
      <c r="L4831" t="s">
        <v>5029</v>
      </c>
      <c r="M4831">
        <v>3</v>
      </c>
      <c r="N4831">
        <v>3</v>
      </c>
      <c r="O4831">
        <v>0</v>
      </c>
    </row>
    <row r="4832" spans="1:15" x14ac:dyDescent="0.3">
      <c r="A4832" t="s">
        <v>4845</v>
      </c>
      <c r="B4832">
        <v>3</v>
      </c>
      <c r="C4832">
        <v>26</v>
      </c>
      <c r="D4832" t="s">
        <v>5015</v>
      </c>
      <c r="E4832" t="s">
        <v>5019</v>
      </c>
      <c r="F4832" t="s">
        <v>5024</v>
      </c>
      <c r="G4832">
        <v>15.55</v>
      </c>
      <c r="H4832">
        <v>2</v>
      </c>
      <c r="I4832">
        <v>7.6</v>
      </c>
      <c r="J4832">
        <v>24.82</v>
      </c>
      <c r="K4832">
        <v>27.4</v>
      </c>
      <c r="L4832" t="s">
        <v>5025</v>
      </c>
      <c r="M4832">
        <v>6</v>
      </c>
      <c r="N4832">
        <v>1</v>
      </c>
      <c r="O4832">
        <v>0</v>
      </c>
    </row>
    <row r="4833" spans="1:15" x14ac:dyDescent="0.3">
      <c r="A4833" t="s">
        <v>4846</v>
      </c>
      <c r="B4833">
        <v>4</v>
      </c>
      <c r="C4833">
        <v>40</v>
      </c>
      <c r="D4833" t="s">
        <v>5015</v>
      </c>
      <c r="E4833" t="s">
        <v>5019</v>
      </c>
      <c r="F4833" t="s">
        <v>5023</v>
      </c>
      <c r="G4833">
        <v>6.51</v>
      </c>
      <c r="H4833">
        <v>3</v>
      </c>
      <c r="I4833">
        <v>1.9</v>
      </c>
      <c r="J4833">
        <v>19.82</v>
      </c>
      <c r="K4833">
        <v>31.3</v>
      </c>
      <c r="L4833" t="s">
        <v>5025</v>
      </c>
      <c r="M4833">
        <v>7</v>
      </c>
      <c r="N4833">
        <v>3</v>
      </c>
      <c r="O4833">
        <v>1</v>
      </c>
    </row>
    <row r="4834" spans="1:15" x14ac:dyDescent="0.3">
      <c r="A4834" t="s">
        <v>4847</v>
      </c>
      <c r="B4834">
        <v>5</v>
      </c>
      <c r="C4834">
        <v>52</v>
      </c>
      <c r="D4834" t="s">
        <v>5016</v>
      </c>
      <c r="E4834" t="s">
        <v>5019</v>
      </c>
      <c r="F4834" t="s">
        <v>5022</v>
      </c>
      <c r="G4834">
        <v>22.04</v>
      </c>
      <c r="H4834">
        <v>4</v>
      </c>
      <c r="I4834">
        <v>1.3</v>
      </c>
      <c r="J4834">
        <v>20.440000000000001</v>
      </c>
      <c r="K4834">
        <v>96.3</v>
      </c>
      <c r="L4834" t="s">
        <v>5026</v>
      </c>
      <c r="M4834">
        <v>4</v>
      </c>
      <c r="N4834">
        <v>3</v>
      </c>
      <c r="O4834">
        <v>0</v>
      </c>
    </row>
    <row r="4835" spans="1:15" x14ac:dyDescent="0.3">
      <c r="A4835" t="s">
        <v>4848</v>
      </c>
      <c r="B4835">
        <v>1</v>
      </c>
      <c r="C4835">
        <v>67</v>
      </c>
      <c r="D4835" t="s">
        <v>5016</v>
      </c>
      <c r="E4835" t="s">
        <v>5019</v>
      </c>
      <c r="F4835" t="s">
        <v>5021</v>
      </c>
      <c r="G4835">
        <v>13.27</v>
      </c>
      <c r="H4835">
        <v>5</v>
      </c>
      <c r="I4835">
        <v>3.9</v>
      </c>
      <c r="J4835">
        <v>7.58</v>
      </c>
      <c r="K4835">
        <v>11.8</v>
      </c>
      <c r="L4835" t="s">
        <v>5025</v>
      </c>
      <c r="M4835">
        <v>8</v>
      </c>
      <c r="N4835">
        <v>1</v>
      </c>
      <c r="O4835">
        <v>0</v>
      </c>
    </row>
    <row r="4836" spans="1:15" x14ac:dyDescent="0.3">
      <c r="A4836" t="s">
        <v>4849</v>
      </c>
      <c r="B4836">
        <v>4</v>
      </c>
      <c r="C4836">
        <v>24</v>
      </c>
      <c r="D4836" t="s">
        <v>5015</v>
      </c>
      <c r="E4836" t="s">
        <v>5017</v>
      </c>
      <c r="F4836" t="s">
        <v>5022</v>
      </c>
      <c r="G4836">
        <v>19.010000000000002</v>
      </c>
      <c r="H4836">
        <v>4</v>
      </c>
      <c r="I4836">
        <v>3</v>
      </c>
      <c r="J4836">
        <v>7.23</v>
      </c>
      <c r="K4836">
        <v>42.7</v>
      </c>
      <c r="L4836" t="s">
        <v>5029</v>
      </c>
      <c r="M4836">
        <v>3</v>
      </c>
      <c r="N4836">
        <v>4</v>
      </c>
      <c r="O4836">
        <v>0</v>
      </c>
    </row>
    <row r="4837" spans="1:15" x14ac:dyDescent="0.3">
      <c r="A4837" t="s">
        <v>4850</v>
      </c>
      <c r="B4837">
        <v>12</v>
      </c>
      <c r="C4837">
        <v>32</v>
      </c>
      <c r="D4837" t="s">
        <v>5016</v>
      </c>
      <c r="E4837" t="s">
        <v>5017</v>
      </c>
      <c r="F4837" t="s">
        <v>5023</v>
      </c>
      <c r="G4837">
        <v>18.64</v>
      </c>
      <c r="H4837">
        <v>1</v>
      </c>
      <c r="I4837">
        <v>7.4</v>
      </c>
      <c r="J4837">
        <v>24.58</v>
      </c>
      <c r="K4837">
        <v>13.5</v>
      </c>
      <c r="L4837" t="s">
        <v>5028</v>
      </c>
      <c r="M4837">
        <v>6</v>
      </c>
      <c r="N4837">
        <v>4</v>
      </c>
      <c r="O4837">
        <v>0</v>
      </c>
    </row>
    <row r="4838" spans="1:15" x14ac:dyDescent="0.3">
      <c r="A4838" t="s">
        <v>4851</v>
      </c>
      <c r="B4838">
        <v>12</v>
      </c>
      <c r="C4838">
        <v>37</v>
      </c>
      <c r="D4838" t="s">
        <v>5016</v>
      </c>
      <c r="E4838" t="s">
        <v>5018</v>
      </c>
      <c r="F4838" t="s">
        <v>5024</v>
      </c>
      <c r="G4838">
        <v>18.53</v>
      </c>
      <c r="H4838">
        <v>1</v>
      </c>
      <c r="I4838">
        <v>5.0999999999999996</v>
      </c>
      <c r="J4838">
        <v>18.29</v>
      </c>
      <c r="K4838">
        <v>27.2</v>
      </c>
      <c r="L4838" t="s">
        <v>5028</v>
      </c>
      <c r="M4838">
        <v>7</v>
      </c>
      <c r="N4838">
        <v>1</v>
      </c>
      <c r="O4838">
        <v>1</v>
      </c>
    </row>
    <row r="4839" spans="1:15" x14ac:dyDescent="0.3">
      <c r="A4839" t="s">
        <v>4852</v>
      </c>
      <c r="B4839">
        <v>11</v>
      </c>
      <c r="C4839">
        <v>67</v>
      </c>
      <c r="D4839" t="s">
        <v>5015</v>
      </c>
      <c r="E4839" t="s">
        <v>5018</v>
      </c>
      <c r="F4839" t="s">
        <v>5024</v>
      </c>
      <c r="G4839">
        <v>15.14</v>
      </c>
      <c r="H4839">
        <v>4</v>
      </c>
      <c r="I4839">
        <v>5.7</v>
      </c>
      <c r="J4839">
        <v>18.11</v>
      </c>
      <c r="K4839">
        <v>94</v>
      </c>
      <c r="L4839" t="s">
        <v>5027</v>
      </c>
      <c r="M4839">
        <v>8</v>
      </c>
      <c r="N4839">
        <v>3</v>
      </c>
      <c r="O4839">
        <v>0</v>
      </c>
    </row>
    <row r="4840" spans="1:15" x14ac:dyDescent="0.3">
      <c r="A4840" t="s">
        <v>4853</v>
      </c>
      <c r="B4840">
        <v>8</v>
      </c>
      <c r="C4840">
        <v>42</v>
      </c>
      <c r="D4840" t="s">
        <v>5015</v>
      </c>
      <c r="E4840" t="s">
        <v>5019</v>
      </c>
      <c r="F4840" t="s">
        <v>5022</v>
      </c>
      <c r="G4840">
        <v>10.55</v>
      </c>
      <c r="H4840">
        <v>1</v>
      </c>
      <c r="I4840">
        <v>8.3000000000000007</v>
      </c>
      <c r="J4840">
        <v>9.3000000000000007</v>
      </c>
      <c r="K4840">
        <v>23.5</v>
      </c>
      <c r="L4840" t="s">
        <v>5025</v>
      </c>
      <c r="M4840">
        <v>11</v>
      </c>
      <c r="N4840">
        <v>0</v>
      </c>
      <c r="O4840">
        <v>0</v>
      </c>
    </row>
    <row r="4841" spans="1:15" x14ac:dyDescent="0.3">
      <c r="A4841" t="s">
        <v>4854</v>
      </c>
      <c r="B4841">
        <v>10</v>
      </c>
      <c r="C4841">
        <v>20</v>
      </c>
      <c r="D4841" t="s">
        <v>5015</v>
      </c>
      <c r="E4841" t="s">
        <v>5019</v>
      </c>
      <c r="F4841" t="s">
        <v>5020</v>
      </c>
      <c r="G4841">
        <v>17.5</v>
      </c>
      <c r="H4841">
        <v>4</v>
      </c>
      <c r="I4841">
        <v>5.3</v>
      </c>
      <c r="J4841">
        <v>22.5</v>
      </c>
      <c r="K4841">
        <v>64.099999999999994</v>
      </c>
      <c r="L4841" t="s">
        <v>5029</v>
      </c>
      <c r="M4841">
        <v>4</v>
      </c>
      <c r="N4841">
        <v>2</v>
      </c>
      <c r="O4841">
        <v>1</v>
      </c>
    </row>
    <row r="4842" spans="1:15" x14ac:dyDescent="0.3">
      <c r="A4842" t="s">
        <v>4855</v>
      </c>
      <c r="B4842">
        <v>7</v>
      </c>
      <c r="C4842">
        <v>63</v>
      </c>
      <c r="D4842" t="s">
        <v>5016</v>
      </c>
      <c r="E4842" t="s">
        <v>5019</v>
      </c>
      <c r="F4842" t="s">
        <v>5022</v>
      </c>
      <c r="G4842">
        <v>24.24</v>
      </c>
      <c r="H4842">
        <v>2</v>
      </c>
      <c r="I4842">
        <v>5.9</v>
      </c>
      <c r="J4842">
        <v>3.98</v>
      </c>
      <c r="K4842">
        <v>41.2</v>
      </c>
      <c r="L4842" t="s">
        <v>5026</v>
      </c>
      <c r="M4842">
        <v>5</v>
      </c>
      <c r="N4842">
        <v>2</v>
      </c>
      <c r="O4842">
        <v>0</v>
      </c>
    </row>
    <row r="4843" spans="1:15" x14ac:dyDescent="0.3">
      <c r="A4843" t="s">
        <v>4856</v>
      </c>
      <c r="B4843">
        <v>9</v>
      </c>
      <c r="C4843">
        <v>41</v>
      </c>
      <c r="D4843" t="s">
        <v>5016</v>
      </c>
      <c r="E4843" t="s">
        <v>5017</v>
      </c>
      <c r="F4843" t="s">
        <v>5020</v>
      </c>
      <c r="G4843">
        <v>21.68</v>
      </c>
      <c r="H4843">
        <v>2</v>
      </c>
      <c r="I4843">
        <v>8.6</v>
      </c>
      <c r="J4843">
        <v>9.0399999999999991</v>
      </c>
      <c r="K4843">
        <v>67</v>
      </c>
      <c r="L4843" t="s">
        <v>5026</v>
      </c>
      <c r="M4843">
        <v>6</v>
      </c>
      <c r="N4843">
        <v>2</v>
      </c>
      <c r="O4843">
        <v>1</v>
      </c>
    </row>
    <row r="4844" spans="1:15" x14ac:dyDescent="0.3">
      <c r="A4844" t="s">
        <v>4857</v>
      </c>
      <c r="B4844">
        <v>5</v>
      </c>
      <c r="C4844">
        <v>51</v>
      </c>
      <c r="D4844" t="s">
        <v>5015</v>
      </c>
      <c r="E4844" t="s">
        <v>5019</v>
      </c>
      <c r="F4844" t="s">
        <v>5022</v>
      </c>
      <c r="G4844">
        <v>7.18</v>
      </c>
      <c r="H4844">
        <v>1</v>
      </c>
      <c r="I4844">
        <v>4.9000000000000004</v>
      </c>
      <c r="J4844">
        <v>6.96</v>
      </c>
      <c r="K4844">
        <v>86.7</v>
      </c>
      <c r="L4844" t="s">
        <v>5029</v>
      </c>
      <c r="M4844">
        <v>1</v>
      </c>
      <c r="N4844">
        <v>0</v>
      </c>
      <c r="O4844">
        <v>0</v>
      </c>
    </row>
    <row r="4845" spans="1:15" x14ac:dyDescent="0.3">
      <c r="A4845" t="s">
        <v>4858</v>
      </c>
      <c r="B4845">
        <v>10</v>
      </c>
      <c r="C4845">
        <v>63</v>
      </c>
      <c r="D4845" t="s">
        <v>5015</v>
      </c>
      <c r="E4845" t="s">
        <v>5019</v>
      </c>
      <c r="F4845" t="s">
        <v>5020</v>
      </c>
      <c r="G4845">
        <v>5.46</v>
      </c>
      <c r="H4845">
        <v>4</v>
      </c>
      <c r="I4845">
        <v>1.7</v>
      </c>
      <c r="J4845">
        <v>18.64</v>
      </c>
      <c r="K4845">
        <v>35.799999999999997</v>
      </c>
      <c r="L4845" t="s">
        <v>5029</v>
      </c>
      <c r="M4845">
        <v>9</v>
      </c>
      <c r="N4845">
        <v>3</v>
      </c>
      <c r="O4845">
        <v>0</v>
      </c>
    </row>
    <row r="4846" spans="1:15" x14ac:dyDescent="0.3">
      <c r="A4846" t="s">
        <v>4859</v>
      </c>
      <c r="B4846">
        <v>4</v>
      </c>
      <c r="C4846">
        <v>39</v>
      </c>
      <c r="D4846" t="s">
        <v>5016</v>
      </c>
      <c r="E4846" t="s">
        <v>5017</v>
      </c>
      <c r="F4846" t="s">
        <v>5020</v>
      </c>
      <c r="G4846">
        <v>14.98</v>
      </c>
      <c r="H4846">
        <v>4</v>
      </c>
      <c r="I4846">
        <v>5.7</v>
      </c>
      <c r="J4846">
        <v>18.739999999999998</v>
      </c>
      <c r="K4846">
        <v>17.100000000000001</v>
      </c>
      <c r="L4846" t="s">
        <v>5026</v>
      </c>
      <c r="M4846">
        <v>3</v>
      </c>
      <c r="N4846">
        <v>4</v>
      </c>
      <c r="O4846">
        <v>1</v>
      </c>
    </row>
    <row r="4847" spans="1:15" x14ac:dyDescent="0.3">
      <c r="A4847" t="s">
        <v>4860</v>
      </c>
      <c r="B4847">
        <v>8</v>
      </c>
      <c r="C4847">
        <v>28</v>
      </c>
      <c r="D4847" t="s">
        <v>5016</v>
      </c>
      <c r="E4847" t="s">
        <v>5019</v>
      </c>
      <c r="F4847" t="s">
        <v>5020</v>
      </c>
      <c r="G4847">
        <v>20.52</v>
      </c>
      <c r="H4847">
        <v>4</v>
      </c>
      <c r="I4847">
        <v>6.2</v>
      </c>
      <c r="J4847">
        <v>14.76</v>
      </c>
      <c r="K4847">
        <v>28.4</v>
      </c>
      <c r="L4847" t="s">
        <v>5025</v>
      </c>
      <c r="M4847">
        <v>2</v>
      </c>
      <c r="N4847">
        <v>1</v>
      </c>
      <c r="O4847">
        <v>1</v>
      </c>
    </row>
    <row r="4848" spans="1:15" x14ac:dyDescent="0.3">
      <c r="A4848" t="s">
        <v>4861</v>
      </c>
      <c r="B4848">
        <v>9</v>
      </c>
      <c r="C4848">
        <v>65</v>
      </c>
      <c r="D4848" t="s">
        <v>5015</v>
      </c>
      <c r="E4848" t="s">
        <v>5017</v>
      </c>
      <c r="F4848" t="s">
        <v>5020</v>
      </c>
      <c r="G4848">
        <v>11.28</v>
      </c>
      <c r="H4848">
        <v>1</v>
      </c>
      <c r="I4848">
        <v>5.6</v>
      </c>
      <c r="J4848">
        <v>3.12</v>
      </c>
      <c r="K4848">
        <v>49.5</v>
      </c>
      <c r="L4848" t="s">
        <v>5027</v>
      </c>
      <c r="M4848">
        <v>11</v>
      </c>
      <c r="N4848">
        <v>2</v>
      </c>
      <c r="O4848">
        <v>0</v>
      </c>
    </row>
    <row r="4849" spans="1:15" x14ac:dyDescent="0.3">
      <c r="A4849" t="s">
        <v>4862</v>
      </c>
      <c r="B4849">
        <v>7</v>
      </c>
      <c r="C4849">
        <v>25</v>
      </c>
      <c r="D4849" t="s">
        <v>5016</v>
      </c>
      <c r="E4849" t="s">
        <v>5017</v>
      </c>
      <c r="F4849" t="s">
        <v>5021</v>
      </c>
      <c r="G4849">
        <v>19.02</v>
      </c>
      <c r="H4849">
        <v>4</v>
      </c>
      <c r="I4849">
        <v>3.3</v>
      </c>
      <c r="J4849">
        <v>22.22</v>
      </c>
      <c r="K4849">
        <v>56.4</v>
      </c>
      <c r="L4849" t="s">
        <v>5027</v>
      </c>
      <c r="M4849">
        <v>7</v>
      </c>
      <c r="N4849">
        <v>0</v>
      </c>
      <c r="O4849">
        <v>0</v>
      </c>
    </row>
    <row r="4850" spans="1:15" x14ac:dyDescent="0.3">
      <c r="A4850" t="s">
        <v>4863</v>
      </c>
      <c r="B4850">
        <v>7</v>
      </c>
      <c r="C4850">
        <v>56</v>
      </c>
      <c r="D4850" t="s">
        <v>5015</v>
      </c>
      <c r="E4850" t="s">
        <v>5018</v>
      </c>
      <c r="F4850" t="s">
        <v>5020</v>
      </c>
      <c r="G4850">
        <v>23.64</v>
      </c>
      <c r="H4850">
        <v>5</v>
      </c>
      <c r="I4850">
        <v>3</v>
      </c>
      <c r="J4850">
        <v>24.02</v>
      </c>
      <c r="K4850">
        <v>94.8</v>
      </c>
      <c r="L4850" t="s">
        <v>5027</v>
      </c>
      <c r="M4850">
        <v>11</v>
      </c>
      <c r="N4850">
        <v>1</v>
      </c>
      <c r="O4850">
        <v>0</v>
      </c>
    </row>
    <row r="4851" spans="1:15" x14ac:dyDescent="0.3">
      <c r="A4851" t="s">
        <v>4864</v>
      </c>
      <c r="B4851">
        <v>5</v>
      </c>
      <c r="C4851">
        <v>60</v>
      </c>
      <c r="D4851" t="s">
        <v>5015</v>
      </c>
      <c r="E4851" t="s">
        <v>5018</v>
      </c>
      <c r="F4851" t="s">
        <v>5020</v>
      </c>
      <c r="G4851">
        <v>14.18</v>
      </c>
      <c r="H4851">
        <v>4</v>
      </c>
      <c r="I4851">
        <v>4.3</v>
      </c>
      <c r="J4851">
        <v>7.45</v>
      </c>
      <c r="K4851">
        <v>11.4</v>
      </c>
      <c r="L4851" t="s">
        <v>5029</v>
      </c>
      <c r="M4851">
        <v>11</v>
      </c>
      <c r="N4851">
        <v>3</v>
      </c>
      <c r="O4851">
        <v>0</v>
      </c>
    </row>
    <row r="4852" spans="1:15" x14ac:dyDescent="0.3">
      <c r="A4852" t="s">
        <v>4865</v>
      </c>
      <c r="B4852">
        <v>4</v>
      </c>
      <c r="C4852">
        <v>52</v>
      </c>
      <c r="D4852" t="s">
        <v>5016</v>
      </c>
      <c r="E4852" t="s">
        <v>5017</v>
      </c>
      <c r="F4852" t="s">
        <v>5024</v>
      </c>
      <c r="G4852">
        <v>9.8800000000000008</v>
      </c>
      <c r="H4852">
        <v>5</v>
      </c>
      <c r="I4852">
        <v>2.5</v>
      </c>
      <c r="J4852">
        <v>21.53</v>
      </c>
      <c r="K4852">
        <v>78.2</v>
      </c>
      <c r="L4852" t="s">
        <v>5026</v>
      </c>
      <c r="M4852">
        <v>4</v>
      </c>
      <c r="N4852">
        <v>0</v>
      </c>
      <c r="O4852">
        <v>0</v>
      </c>
    </row>
    <row r="4853" spans="1:15" x14ac:dyDescent="0.3">
      <c r="A4853" t="s">
        <v>4866</v>
      </c>
      <c r="B4853">
        <v>10</v>
      </c>
      <c r="C4853">
        <v>66</v>
      </c>
      <c r="D4853" t="s">
        <v>5016</v>
      </c>
      <c r="E4853" t="s">
        <v>5018</v>
      </c>
      <c r="F4853" t="s">
        <v>5021</v>
      </c>
      <c r="G4853">
        <v>23.36</v>
      </c>
      <c r="H4853">
        <v>2</v>
      </c>
      <c r="I4853">
        <v>7</v>
      </c>
      <c r="J4853">
        <v>24.41</v>
      </c>
      <c r="K4853">
        <v>16.5</v>
      </c>
      <c r="L4853" t="s">
        <v>5026</v>
      </c>
      <c r="M4853">
        <v>4</v>
      </c>
      <c r="N4853">
        <v>0</v>
      </c>
      <c r="O4853">
        <v>0</v>
      </c>
    </row>
    <row r="4854" spans="1:15" x14ac:dyDescent="0.3">
      <c r="A4854" t="s">
        <v>4867</v>
      </c>
      <c r="B4854">
        <v>1</v>
      </c>
      <c r="C4854">
        <v>63</v>
      </c>
      <c r="D4854" t="s">
        <v>5016</v>
      </c>
      <c r="E4854" t="s">
        <v>5019</v>
      </c>
      <c r="F4854" t="s">
        <v>5020</v>
      </c>
      <c r="G4854">
        <v>14.45</v>
      </c>
      <c r="H4854">
        <v>5</v>
      </c>
      <c r="I4854">
        <v>6.5</v>
      </c>
      <c r="J4854">
        <v>10.19</v>
      </c>
      <c r="K4854">
        <v>17</v>
      </c>
      <c r="L4854" t="s">
        <v>5026</v>
      </c>
      <c r="M4854">
        <v>10</v>
      </c>
      <c r="N4854">
        <v>1</v>
      </c>
      <c r="O4854">
        <v>1</v>
      </c>
    </row>
    <row r="4855" spans="1:15" x14ac:dyDescent="0.3">
      <c r="A4855" t="s">
        <v>4868</v>
      </c>
      <c r="B4855">
        <v>10</v>
      </c>
      <c r="C4855">
        <v>55</v>
      </c>
      <c r="D4855" t="s">
        <v>5015</v>
      </c>
      <c r="E4855" t="s">
        <v>5018</v>
      </c>
      <c r="F4855" t="s">
        <v>5023</v>
      </c>
      <c r="G4855">
        <v>13.16</v>
      </c>
      <c r="H4855">
        <v>2</v>
      </c>
      <c r="I4855">
        <v>6.7</v>
      </c>
      <c r="J4855">
        <v>7.07</v>
      </c>
      <c r="K4855">
        <v>68.900000000000006</v>
      </c>
      <c r="L4855" t="s">
        <v>5026</v>
      </c>
      <c r="M4855">
        <v>9</v>
      </c>
      <c r="N4855">
        <v>1</v>
      </c>
      <c r="O4855">
        <v>0</v>
      </c>
    </row>
    <row r="4856" spans="1:15" x14ac:dyDescent="0.3">
      <c r="A4856" t="s">
        <v>4869</v>
      </c>
      <c r="B4856">
        <v>10</v>
      </c>
      <c r="C4856">
        <v>25</v>
      </c>
      <c r="D4856" t="s">
        <v>5015</v>
      </c>
      <c r="E4856" t="s">
        <v>5019</v>
      </c>
      <c r="F4856" t="s">
        <v>5021</v>
      </c>
      <c r="G4856">
        <v>12.07</v>
      </c>
      <c r="H4856">
        <v>1</v>
      </c>
      <c r="I4856">
        <v>3</v>
      </c>
      <c r="J4856">
        <v>24.51</v>
      </c>
      <c r="K4856">
        <v>91.8</v>
      </c>
      <c r="L4856" t="s">
        <v>5026</v>
      </c>
      <c r="M4856">
        <v>7</v>
      </c>
      <c r="N4856">
        <v>2</v>
      </c>
      <c r="O4856">
        <v>1</v>
      </c>
    </row>
    <row r="4857" spans="1:15" x14ac:dyDescent="0.3">
      <c r="A4857" t="s">
        <v>4870</v>
      </c>
      <c r="B4857">
        <v>7</v>
      </c>
      <c r="C4857">
        <v>54</v>
      </c>
      <c r="D4857" t="s">
        <v>5015</v>
      </c>
      <c r="E4857" t="s">
        <v>5017</v>
      </c>
      <c r="F4857" t="s">
        <v>5024</v>
      </c>
      <c r="G4857">
        <v>13.46</v>
      </c>
      <c r="H4857">
        <v>2</v>
      </c>
      <c r="I4857">
        <v>3.2</v>
      </c>
      <c r="J4857">
        <v>4.3099999999999996</v>
      </c>
      <c r="K4857">
        <v>35.9</v>
      </c>
      <c r="L4857" t="s">
        <v>5028</v>
      </c>
      <c r="M4857">
        <v>9</v>
      </c>
      <c r="N4857">
        <v>3</v>
      </c>
      <c r="O4857">
        <v>0</v>
      </c>
    </row>
    <row r="4858" spans="1:15" x14ac:dyDescent="0.3">
      <c r="A4858" t="s">
        <v>4871</v>
      </c>
      <c r="B4858">
        <v>1</v>
      </c>
      <c r="C4858">
        <v>44</v>
      </c>
      <c r="D4858" t="s">
        <v>5015</v>
      </c>
      <c r="E4858" t="s">
        <v>5017</v>
      </c>
      <c r="F4858" t="s">
        <v>5022</v>
      </c>
      <c r="G4858">
        <v>18.47</v>
      </c>
      <c r="H4858">
        <v>2</v>
      </c>
      <c r="I4858">
        <v>8.1</v>
      </c>
      <c r="J4858">
        <v>9.07</v>
      </c>
      <c r="K4858">
        <v>34.200000000000003</v>
      </c>
      <c r="L4858" t="s">
        <v>5029</v>
      </c>
      <c r="M4858">
        <v>1</v>
      </c>
      <c r="N4858">
        <v>1</v>
      </c>
      <c r="O4858">
        <v>0</v>
      </c>
    </row>
    <row r="4859" spans="1:15" x14ac:dyDescent="0.3">
      <c r="A4859" t="s">
        <v>4872</v>
      </c>
      <c r="B4859">
        <v>1</v>
      </c>
      <c r="C4859">
        <v>45</v>
      </c>
      <c r="D4859" t="s">
        <v>5015</v>
      </c>
      <c r="E4859" t="s">
        <v>5017</v>
      </c>
      <c r="F4859" t="s">
        <v>5024</v>
      </c>
      <c r="G4859">
        <v>13.67</v>
      </c>
      <c r="H4859">
        <v>4</v>
      </c>
      <c r="I4859">
        <v>7.2</v>
      </c>
      <c r="J4859">
        <v>19.32</v>
      </c>
      <c r="K4859">
        <v>65.599999999999994</v>
      </c>
      <c r="L4859" t="s">
        <v>5029</v>
      </c>
      <c r="M4859">
        <v>3</v>
      </c>
      <c r="N4859">
        <v>2</v>
      </c>
      <c r="O4859">
        <v>0</v>
      </c>
    </row>
    <row r="4860" spans="1:15" x14ac:dyDescent="0.3">
      <c r="A4860" t="s">
        <v>4873</v>
      </c>
      <c r="B4860">
        <v>5</v>
      </c>
      <c r="C4860">
        <v>57</v>
      </c>
      <c r="D4860" t="s">
        <v>5015</v>
      </c>
      <c r="E4860" t="s">
        <v>5017</v>
      </c>
      <c r="F4860" t="s">
        <v>5024</v>
      </c>
      <c r="G4860">
        <v>11.48</v>
      </c>
      <c r="H4860">
        <v>3</v>
      </c>
      <c r="I4860">
        <v>8.9</v>
      </c>
      <c r="J4860">
        <v>16.579999999999998</v>
      </c>
      <c r="K4860">
        <v>79.900000000000006</v>
      </c>
      <c r="L4860" t="s">
        <v>5028</v>
      </c>
      <c r="M4860">
        <v>10</v>
      </c>
      <c r="N4860">
        <v>2</v>
      </c>
      <c r="O4860">
        <v>0</v>
      </c>
    </row>
    <row r="4861" spans="1:15" x14ac:dyDescent="0.3">
      <c r="A4861" t="s">
        <v>4874</v>
      </c>
      <c r="B4861">
        <v>9</v>
      </c>
      <c r="C4861">
        <v>51</v>
      </c>
      <c r="D4861" t="s">
        <v>5016</v>
      </c>
      <c r="E4861" t="s">
        <v>5017</v>
      </c>
      <c r="F4861" t="s">
        <v>5021</v>
      </c>
      <c r="G4861">
        <v>19.87</v>
      </c>
      <c r="H4861">
        <v>2</v>
      </c>
      <c r="I4861">
        <v>4.5999999999999996</v>
      </c>
      <c r="J4861">
        <v>18.059999999999999</v>
      </c>
      <c r="K4861">
        <v>88.2</v>
      </c>
      <c r="L4861" t="s">
        <v>5027</v>
      </c>
      <c r="M4861">
        <v>11</v>
      </c>
      <c r="N4861">
        <v>1</v>
      </c>
      <c r="O4861">
        <v>1</v>
      </c>
    </row>
    <row r="4862" spans="1:15" x14ac:dyDescent="0.3">
      <c r="A4862" t="s">
        <v>4875</v>
      </c>
      <c r="B4862">
        <v>6</v>
      </c>
      <c r="C4862">
        <v>49</v>
      </c>
      <c r="D4862" t="s">
        <v>5015</v>
      </c>
      <c r="E4862" t="s">
        <v>5017</v>
      </c>
      <c r="F4862" t="s">
        <v>5021</v>
      </c>
      <c r="G4862">
        <v>9.06</v>
      </c>
      <c r="H4862">
        <v>5</v>
      </c>
      <c r="I4862">
        <v>5.9</v>
      </c>
      <c r="J4862">
        <v>18.579999999999998</v>
      </c>
      <c r="K4862">
        <v>32.5</v>
      </c>
      <c r="L4862" t="s">
        <v>5025</v>
      </c>
      <c r="M4862">
        <v>10</v>
      </c>
      <c r="N4862">
        <v>0</v>
      </c>
      <c r="O4862">
        <v>1</v>
      </c>
    </row>
    <row r="4863" spans="1:15" x14ac:dyDescent="0.3">
      <c r="A4863" t="s">
        <v>4876</v>
      </c>
      <c r="B4863">
        <v>3</v>
      </c>
      <c r="C4863">
        <v>32</v>
      </c>
      <c r="D4863" t="s">
        <v>5015</v>
      </c>
      <c r="E4863" t="s">
        <v>5018</v>
      </c>
      <c r="F4863" t="s">
        <v>5023</v>
      </c>
      <c r="G4863">
        <v>9.0399999999999991</v>
      </c>
      <c r="H4863">
        <v>1</v>
      </c>
      <c r="I4863">
        <v>7.6</v>
      </c>
      <c r="J4863">
        <v>18.100000000000001</v>
      </c>
      <c r="K4863">
        <v>76.599999999999994</v>
      </c>
      <c r="L4863" t="s">
        <v>5029</v>
      </c>
      <c r="M4863">
        <v>6</v>
      </c>
      <c r="N4863">
        <v>0</v>
      </c>
      <c r="O4863">
        <v>1</v>
      </c>
    </row>
    <row r="4864" spans="1:15" x14ac:dyDescent="0.3">
      <c r="A4864" t="s">
        <v>4877</v>
      </c>
      <c r="B4864">
        <v>3</v>
      </c>
      <c r="C4864">
        <v>61</v>
      </c>
      <c r="D4864" t="s">
        <v>5015</v>
      </c>
      <c r="E4864" t="s">
        <v>5018</v>
      </c>
      <c r="F4864" t="s">
        <v>5023</v>
      </c>
      <c r="G4864">
        <v>18.93</v>
      </c>
      <c r="H4864">
        <v>5</v>
      </c>
      <c r="I4864">
        <v>9.8000000000000007</v>
      </c>
      <c r="J4864">
        <v>10.53</v>
      </c>
      <c r="K4864">
        <v>37.6</v>
      </c>
      <c r="L4864" t="s">
        <v>5029</v>
      </c>
      <c r="M4864">
        <v>11</v>
      </c>
      <c r="N4864">
        <v>0</v>
      </c>
      <c r="O4864">
        <v>1</v>
      </c>
    </row>
    <row r="4865" spans="1:15" x14ac:dyDescent="0.3">
      <c r="A4865" t="s">
        <v>4878</v>
      </c>
      <c r="B4865">
        <v>7</v>
      </c>
      <c r="C4865">
        <v>34</v>
      </c>
      <c r="D4865" t="s">
        <v>5015</v>
      </c>
      <c r="E4865" t="s">
        <v>5019</v>
      </c>
      <c r="F4865" t="s">
        <v>5021</v>
      </c>
      <c r="G4865">
        <v>22.33</v>
      </c>
      <c r="H4865">
        <v>1</v>
      </c>
      <c r="I4865">
        <v>9.9</v>
      </c>
      <c r="J4865">
        <v>9.85</v>
      </c>
      <c r="K4865">
        <v>59</v>
      </c>
      <c r="L4865" t="s">
        <v>5028</v>
      </c>
      <c r="M4865">
        <v>1</v>
      </c>
      <c r="N4865">
        <v>2</v>
      </c>
      <c r="O4865">
        <v>0</v>
      </c>
    </row>
    <row r="4866" spans="1:15" x14ac:dyDescent="0.3">
      <c r="A4866" t="s">
        <v>4879</v>
      </c>
      <c r="B4866">
        <v>6</v>
      </c>
      <c r="C4866">
        <v>50</v>
      </c>
      <c r="D4866" t="s">
        <v>5016</v>
      </c>
      <c r="E4866" t="s">
        <v>5017</v>
      </c>
      <c r="F4866" t="s">
        <v>5021</v>
      </c>
      <c r="G4866">
        <v>9.82</v>
      </c>
      <c r="H4866">
        <v>5</v>
      </c>
      <c r="I4866">
        <v>10</v>
      </c>
      <c r="J4866">
        <v>12.43</v>
      </c>
      <c r="K4866">
        <v>27.2</v>
      </c>
      <c r="L4866" t="s">
        <v>5029</v>
      </c>
      <c r="M4866">
        <v>5</v>
      </c>
      <c r="N4866">
        <v>0</v>
      </c>
      <c r="O4866">
        <v>0</v>
      </c>
    </row>
    <row r="4867" spans="1:15" x14ac:dyDescent="0.3">
      <c r="A4867" t="s">
        <v>4880</v>
      </c>
      <c r="B4867">
        <v>9</v>
      </c>
      <c r="C4867">
        <v>64</v>
      </c>
      <c r="D4867" t="s">
        <v>5015</v>
      </c>
      <c r="E4867" t="s">
        <v>5018</v>
      </c>
      <c r="F4867" t="s">
        <v>5021</v>
      </c>
      <c r="G4867">
        <v>8.82</v>
      </c>
      <c r="H4867">
        <v>2</v>
      </c>
      <c r="I4867">
        <v>9</v>
      </c>
      <c r="J4867">
        <v>20.77</v>
      </c>
      <c r="K4867">
        <v>23.1</v>
      </c>
      <c r="L4867" t="s">
        <v>5029</v>
      </c>
      <c r="M4867">
        <v>4</v>
      </c>
      <c r="N4867">
        <v>3</v>
      </c>
      <c r="O4867">
        <v>0</v>
      </c>
    </row>
    <row r="4868" spans="1:15" x14ac:dyDescent="0.3">
      <c r="A4868" t="s">
        <v>4881</v>
      </c>
      <c r="B4868">
        <v>6</v>
      </c>
      <c r="C4868">
        <v>63</v>
      </c>
      <c r="D4868" t="s">
        <v>5016</v>
      </c>
      <c r="E4868" t="s">
        <v>5017</v>
      </c>
      <c r="F4868" t="s">
        <v>5022</v>
      </c>
      <c r="G4868">
        <v>18.41</v>
      </c>
      <c r="H4868">
        <v>3</v>
      </c>
      <c r="I4868">
        <v>6.8</v>
      </c>
      <c r="J4868">
        <v>23.64</v>
      </c>
      <c r="K4868">
        <v>94.2</v>
      </c>
      <c r="L4868" t="s">
        <v>5027</v>
      </c>
      <c r="M4868">
        <v>4</v>
      </c>
      <c r="N4868">
        <v>0</v>
      </c>
      <c r="O4868">
        <v>0</v>
      </c>
    </row>
    <row r="4869" spans="1:15" x14ac:dyDescent="0.3">
      <c r="A4869" t="s">
        <v>4882</v>
      </c>
      <c r="B4869">
        <v>5</v>
      </c>
      <c r="C4869">
        <v>69</v>
      </c>
      <c r="D4869" t="s">
        <v>5016</v>
      </c>
      <c r="E4869" t="s">
        <v>5018</v>
      </c>
      <c r="F4869" t="s">
        <v>5024</v>
      </c>
      <c r="G4869">
        <v>17.420000000000002</v>
      </c>
      <c r="H4869">
        <v>2</v>
      </c>
      <c r="I4869">
        <v>1.1000000000000001</v>
      </c>
      <c r="J4869">
        <v>13.02</v>
      </c>
      <c r="K4869">
        <v>59.2</v>
      </c>
      <c r="L4869" t="s">
        <v>5028</v>
      </c>
      <c r="M4869">
        <v>7</v>
      </c>
      <c r="N4869">
        <v>0</v>
      </c>
      <c r="O4869">
        <v>0</v>
      </c>
    </row>
    <row r="4870" spans="1:15" x14ac:dyDescent="0.3">
      <c r="A4870" t="s">
        <v>4883</v>
      </c>
      <c r="B4870">
        <v>10</v>
      </c>
      <c r="C4870">
        <v>33</v>
      </c>
      <c r="D4870" t="s">
        <v>5015</v>
      </c>
      <c r="E4870" t="s">
        <v>5017</v>
      </c>
      <c r="F4870" t="s">
        <v>5023</v>
      </c>
      <c r="G4870">
        <v>13.95</v>
      </c>
      <c r="H4870">
        <v>4</v>
      </c>
      <c r="I4870">
        <v>7.3</v>
      </c>
      <c r="J4870">
        <v>4.8899999999999997</v>
      </c>
      <c r="K4870">
        <v>10.4</v>
      </c>
      <c r="L4870" t="s">
        <v>5029</v>
      </c>
      <c r="M4870">
        <v>5</v>
      </c>
      <c r="N4870">
        <v>2</v>
      </c>
      <c r="O4870">
        <v>1</v>
      </c>
    </row>
    <row r="4871" spans="1:15" x14ac:dyDescent="0.3">
      <c r="A4871" t="s">
        <v>4884</v>
      </c>
      <c r="B4871">
        <v>7</v>
      </c>
      <c r="C4871">
        <v>46</v>
      </c>
      <c r="D4871" t="s">
        <v>5015</v>
      </c>
      <c r="E4871" t="s">
        <v>5019</v>
      </c>
      <c r="F4871" t="s">
        <v>5023</v>
      </c>
      <c r="G4871">
        <v>6.92</v>
      </c>
      <c r="H4871">
        <v>5</v>
      </c>
      <c r="I4871">
        <v>3.1</v>
      </c>
      <c r="J4871">
        <v>23.64</v>
      </c>
      <c r="K4871">
        <v>81.400000000000006</v>
      </c>
      <c r="L4871" t="s">
        <v>5026</v>
      </c>
      <c r="M4871">
        <v>7</v>
      </c>
      <c r="N4871">
        <v>4</v>
      </c>
      <c r="O4871">
        <v>0</v>
      </c>
    </row>
    <row r="4872" spans="1:15" x14ac:dyDescent="0.3">
      <c r="A4872" t="s">
        <v>4885</v>
      </c>
      <c r="B4872">
        <v>1</v>
      </c>
      <c r="C4872">
        <v>26</v>
      </c>
      <c r="D4872" t="s">
        <v>5016</v>
      </c>
      <c r="E4872" t="s">
        <v>5019</v>
      </c>
      <c r="F4872" t="s">
        <v>5020</v>
      </c>
      <c r="G4872">
        <v>6.84</v>
      </c>
      <c r="H4872">
        <v>3</v>
      </c>
      <c r="I4872">
        <v>1.5</v>
      </c>
      <c r="J4872">
        <v>4.7699999999999996</v>
      </c>
      <c r="K4872">
        <v>72.2</v>
      </c>
      <c r="L4872" t="s">
        <v>5028</v>
      </c>
      <c r="M4872">
        <v>1</v>
      </c>
      <c r="N4872">
        <v>3</v>
      </c>
      <c r="O4872">
        <v>0</v>
      </c>
    </row>
    <row r="4873" spans="1:15" x14ac:dyDescent="0.3">
      <c r="A4873" t="s">
        <v>4886</v>
      </c>
      <c r="B4873">
        <v>12</v>
      </c>
      <c r="C4873">
        <v>50</v>
      </c>
      <c r="D4873" t="s">
        <v>5016</v>
      </c>
      <c r="E4873" t="s">
        <v>5018</v>
      </c>
      <c r="F4873" t="s">
        <v>5022</v>
      </c>
      <c r="G4873">
        <v>20.55</v>
      </c>
      <c r="H4873">
        <v>5</v>
      </c>
      <c r="I4873">
        <v>7.3</v>
      </c>
      <c r="J4873">
        <v>6.5</v>
      </c>
      <c r="K4873">
        <v>39.299999999999997</v>
      </c>
      <c r="L4873" t="s">
        <v>5027</v>
      </c>
      <c r="M4873">
        <v>11</v>
      </c>
      <c r="N4873">
        <v>2</v>
      </c>
      <c r="O4873">
        <v>1</v>
      </c>
    </row>
    <row r="4874" spans="1:15" x14ac:dyDescent="0.3">
      <c r="A4874" t="s">
        <v>4887</v>
      </c>
      <c r="B4874">
        <v>7</v>
      </c>
      <c r="C4874">
        <v>66</v>
      </c>
      <c r="D4874" t="s">
        <v>5015</v>
      </c>
      <c r="E4874" t="s">
        <v>5017</v>
      </c>
      <c r="F4874" t="s">
        <v>5021</v>
      </c>
      <c r="G4874">
        <v>14.04</v>
      </c>
      <c r="H4874">
        <v>4</v>
      </c>
      <c r="I4874">
        <v>7.8</v>
      </c>
      <c r="J4874">
        <v>22.09</v>
      </c>
      <c r="K4874">
        <v>51.8</v>
      </c>
      <c r="L4874" t="s">
        <v>5025</v>
      </c>
      <c r="M4874">
        <v>9</v>
      </c>
      <c r="N4874">
        <v>3</v>
      </c>
      <c r="O4874">
        <v>0</v>
      </c>
    </row>
    <row r="4875" spans="1:15" x14ac:dyDescent="0.3">
      <c r="A4875" t="s">
        <v>4888</v>
      </c>
      <c r="B4875">
        <v>3</v>
      </c>
      <c r="C4875">
        <v>46</v>
      </c>
      <c r="D4875" t="s">
        <v>5016</v>
      </c>
      <c r="E4875" t="s">
        <v>5018</v>
      </c>
      <c r="F4875" t="s">
        <v>5021</v>
      </c>
      <c r="G4875">
        <v>22.16</v>
      </c>
      <c r="H4875">
        <v>4</v>
      </c>
      <c r="I4875">
        <v>6.9</v>
      </c>
      <c r="J4875">
        <v>15.13</v>
      </c>
      <c r="K4875">
        <v>50.5</v>
      </c>
      <c r="L4875" t="s">
        <v>5029</v>
      </c>
      <c r="M4875">
        <v>8</v>
      </c>
      <c r="N4875">
        <v>3</v>
      </c>
      <c r="O4875">
        <v>0</v>
      </c>
    </row>
    <row r="4876" spans="1:15" x14ac:dyDescent="0.3">
      <c r="A4876" t="s">
        <v>4889</v>
      </c>
      <c r="B4876">
        <v>9</v>
      </c>
      <c r="C4876">
        <v>30</v>
      </c>
      <c r="D4876" t="s">
        <v>5015</v>
      </c>
      <c r="E4876" t="s">
        <v>5019</v>
      </c>
      <c r="F4876" t="s">
        <v>5022</v>
      </c>
      <c r="G4876">
        <v>16.489999999999998</v>
      </c>
      <c r="H4876">
        <v>4</v>
      </c>
      <c r="I4876">
        <v>4.3</v>
      </c>
      <c r="J4876">
        <v>10.76</v>
      </c>
      <c r="K4876">
        <v>34.700000000000003</v>
      </c>
      <c r="L4876" t="s">
        <v>5026</v>
      </c>
      <c r="M4876">
        <v>7</v>
      </c>
      <c r="N4876">
        <v>0</v>
      </c>
      <c r="O4876">
        <v>1</v>
      </c>
    </row>
    <row r="4877" spans="1:15" x14ac:dyDescent="0.3">
      <c r="A4877" t="s">
        <v>4890</v>
      </c>
      <c r="B4877">
        <v>6</v>
      </c>
      <c r="C4877">
        <v>38</v>
      </c>
      <c r="D4877" t="s">
        <v>5015</v>
      </c>
      <c r="E4877" t="s">
        <v>5017</v>
      </c>
      <c r="F4877" t="s">
        <v>5023</v>
      </c>
      <c r="G4877">
        <v>17.37</v>
      </c>
      <c r="H4877">
        <v>2</v>
      </c>
      <c r="I4877">
        <v>5.6</v>
      </c>
      <c r="J4877">
        <v>23.48</v>
      </c>
      <c r="K4877">
        <v>98.3</v>
      </c>
      <c r="L4877" t="s">
        <v>5026</v>
      </c>
      <c r="M4877">
        <v>10</v>
      </c>
      <c r="N4877">
        <v>3</v>
      </c>
      <c r="O4877">
        <v>0</v>
      </c>
    </row>
    <row r="4878" spans="1:15" x14ac:dyDescent="0.3">
      <c r="A4878" t="s">
        <v>4891</v>
      </c>
      <c r="B4878">
        <v>9</v>
      </c>
      <c r="C4878">
        <v>38</v>
      </c>
      <c r="D4878" t="s">
        <v>5016</v>
      </c>
      <c r="E4878" t="s">
        <v>5018</v>
      </c>
      <c r="F4878" t="s">
        <v>5021</v>
      </c>
      <c r="G4878">
        <v>23.68</v>
      </c>
      <c r="H4878">
        <v>2</v>
      </c>
      <c r="I4878">
        <v>9.4</v>
      </c>
      <c r="J4878">
        <v>24.13</v>
      </c>
      <c r="K4878">
        <v>58.9</v>
      </c>
      <c r="L4878" t="s">
        <v>5025</v>
      </c>
      <c r="M4878">
        <v>2</v>
      </c>
      <c r="N4878">
        <v>0</v>
      </c>
      <c r="O4878">
        <v>0</v>
      </c>
    </row>
    <row r="4879" spans="1:15" x14ac:dyDescent="0.3">
      <c r="A4879" t="s">
        <v>4892</v>
      </c>
      <c r="B4879">
        <v>5</v>
      </c>
      <c r="C4879">
        <v>22</v>
      </c>
      <c r="D4879" t="s">
        <v>5015</v>
      </c>
      <c r="E4879" t="s">
        <v>5019</v>
      </c>
      <c r="F4879" t="s">
        <v>5020</v>
      </c>
      <c r="G4879">
        <v>8.2899999999999991</v>
      </c>
      <c r="H4879">
        <v>3</v>
      </c>
      <c r="I4879">
        <v>7.6</v>
      </c>
      <c r="J4879">
        <v>10.28</v>
      </c>
      <c r="K4879">
        <v>90.8</v>
      </c>
      <c r="L4879" t="s">
        <v>5028</v>
      </c>
      <c r="M4879">
        <v>11</v>
      </c>
      <c r="N4879">
        <v>3</v>
      </c>
      <c r="O4879">
        <v>1</v>
      </c>
    </row>
    <row r="4880" spans="1:15" x14ac:dyDescent="0.3">
      <c r="A4880" t="s">
        <v>4893</v>
      </c>
      <c r="B4880">
        <v>7</v>
      </c>
      <c r="C4880">
        <v>27</v>
      </c>
      <c r="D4880" t="s">
        <v>5015</v>
      </c>
      <c r="E4880" t="s">
        <v>5019</v>
      </c>
      <c r="F4880" t="s">
        <v>5023</v>
      </c>
      <c r="G4880">
        <v>15.86</v>
      </c>
      <c r="H4880">
        <v>4</v>
      </c>
      <c r="I4880">
        <v>5.5</v>
      </c>
      <c r="J4880">
        <v>22.11</v>
      </c>
      <c r="K4880">
        <v>62.7</v>
      </c>
      <c r="L4880" t="s">
        <v>5027</v>
      </c>
      <c r="M4880">
        <v>6</v>
      </c>
      <c r="N4880">
        <v>4</v>
      </c>
      <c r="O4880">
        <v>0</v>
      </c>
    </row>
    <row r="4881" spans="1:15" x14ac:dyDescent="0.3">
      <c r="A4881" t="s">
        <v>4894</v>
      </c>
      <c r="B4881">
        <v>4</v>
      </c>
      <c r="C4881">
        <v>23</v>
      </c>
      <c r="D4881" t="s">
        <v>5015</v>
      </c>
      <c r="E4881" t="s">
        <v>5019</v>
      </c>
      <c r="F4881" t="s">
        <v>5024</v>
      </c>
      <c r="G4881">
        <v>6.16</v>
      </c>
      <c r="H4881">
        <v>2</v>
      </c>
      <c r="I4881">
        <v>6.3</v>
      </c>
      <c r="J4881">
        <v>17.93</v>
      </c>
      <c r="K4881">
        <v>72.099999999999994</v>
      </c>
      <c r="L4881" t="s">
        <v>5029</v>
      </c>
      <c r="M4881">
        <v>4</v>
      </c>
      <c r="N4881">
        <v>3</v>
      </c>
      <c r="O4881">
        <v>1</v>
      </c>
    </row>
    <row r="4882" spans="1:15" x14ac:dyDescent="0.3">
      <c r="A4882" t="s">
        <v>4895</v>
      </c>
      <c r="B4882">
        <v>7</v>
      </c>
      <c r="C4882">
        <v>68</v>
      </c>
      <c r="D4882" t="s">
        <v>5016</v>
      </c>
      <c r="E4882" t="s">
        <v>5019</v>
      </c>
      <c r="F4882" t="s">
        <v>5022</v>
      </c>
      <c r="G4882">
        <v>12.18</v>
      </c>
      <c r="H4882">
        <v>1</v>
      </c>
      <c r="I4882">
        <v>9.3000000000000007</v>
      </c>
      <c r="J4882">
        <v>9.0399999999999991</v>
      </c>
      <c r="K4882">
        <v>12.7</v>
      </c>
      <c r="L4882" t="s">
        <v>5029</v>
      </c>
      <c r="M4882">
        <v>3</v>
      </c>
      <c r="N4882">
        <v>1</v>
      </c>
      <c r="O4882">
        <v>0</v>
      </c>
    </row>
    <row r="4883" spans="1:15" x14ac:dyDescent="0.3">
      <c r="A4883" t="s">
        <v>4896</v>
      </c>
      <c r="B4883">
        <v>1</v>
      </c>
      <c r="C4883">
        <v>30</v>
      </c>
      <c r="D4883" t="s">
        <v>5016</v>
      </c>
      <c r="E4883" t="s">
        <v>5019</v>
      </c>
      <c r="F4883" t="s">
        <v>5023</v>
      </c>
      <c r="G4883">
        <v>7.96</v>
      </c>
      <c r="H4883">
        <v>1</v>
      </c>
      <c r="I4883">
        <v>4.5</v>
      </c>
      <c r="J4883">
        <v>23.71</v>
      </c>
      <c r="K4883">
        <v>56.1</v>
      </c>
      <c r="L4883" t="s">
        <v>5029</v>
      </c>
      <c r="M4883">
        <v>8</v>
      </c>
      <c r="N4883">
        <v>0</v>
      </c>
      <c r="O4883">
        <v>0</v>
      </c>
    </row>
    <row r="4884" spans="1:15" x14ac:dyDescent="0.3">
      <c r="A4884" t="s">
        <v>4897</v>
      </c>
      <c r="B4884">
        <v>7</v>
      </c>
      <c r="C4884">
        <v>18</v>
      </c>
      <c r="D4884" t="s">
        <v>5016</v>
      </c>
      <c r="E4884" t="s">
        <v>5018</v>
      </c>
      <c r="F4884" t="s">
        <v>5024</v>
      </c>
      <c r="G4884">
        <v>8.76</v>
      </c>
      <c r="H4884">
        <v>2</v>
      </c>
      <c r="I4884">
        <v>1.9</v>
      </c>
      <c r="J4884">
        <v>4.3899999999999997</v>
      </c>
      <c r="K4884">
        <v>74.900000000000006</v>
      </c>
      <c r="L4884" t="s">
        <v>5026</v>
      </c>
      <c r="M4884">
        <v>4</v>
      </c>
      <c r="N4884">
        <v>4</v>
      </c>
      <c r="O4884">
        <v>0</v>
      </c>
    </row>
    <row r="4885" spans="1:15" x14ac:dyDescent="0.3">
      <c r="A4885" t="s">
        <v>4898</v>
      </c>
      <c r="B4885">
        <v>8</v>
      </c>
      <c r="C4885">
        <v>37</v>
      </c>
      <c r="D4885" t="s">
        <v>5015</v>
      </c>
      <c r="E4885" t="s">
        <v>5018</v>
      </c>
      <c r="F4885" t="s">
        <v>5020</v>
      </c>
      <c r="G4885">
        <v>23.7</v>
      </c>
      <c r="H4885">
        <v>3</v>
      </c>
      <c r="I4885">
        <v>3.9</v>
      </c>
      <c r="J4885">
        <v>9.99</v>
      </c>
      <c r="K4885">
        <v>21</v>
      </c>
      <c r="L4885" t="s">
        <v>5028</v>
      </c>
      <c r="M4885">
        <v>3</v>
      </c>
      <c r="N4885">
        <v>0</v>
      </c>
      <c r="O4885">
        <v>1</v>
      </c>
    </row>
    <row r="4886" spans="1:15" x14ac:dyDescent="0.3">
      <c r="A4886" t="s">
        <v>4899</v>
      </c>
      <c r="B4886">
        <v>5</v>
      </c>
      <c r="C4886">
        <v>64</v>
      </c>
      <c r="D4886" t="s">
        <v>5016</v>
      </c>
      <c r="E4886" t="s">
        <v>5019</v>
      </c>
      <c r="F4886" t="s">
        <v>5022</v>
      </c>
      <c r="G4886">
        <v>17.21</v>
      </c>
      <c r="H4886">
        <v>5</v>
      </c>
      <c r="I4886">
        <v>4.7</v>
      </c>
      <c r="J4886">
        <v>11.72</v>
      </c>
      <c r="K4886">
        <v>71</v>
      </c>
      <c r="L4886" t="s">
        <v>5025</v>
      </c>
      <c r="M4886">
        <v>11</v>
      </c>
      <c r="N4886">
        <v>4</v>
      </c>
      <c r="O4886">
        <v>1</v>
      </c>
    </row>
    <row r="4887" spans="1:15" x14ac:dyDescent="0.3">
      <c r="A4887" t="s">
        <v>4900</v>
      </c>
      <c r="B4887">
        <v>2</v>
      </c>
      <c r="C4887">
        <v>63</v>
      </c>
      <c r="D4887" t="s">
        <v>5016</v>
      </c>
      <c r="E4887" t="s">
        <v>5018</v>
      </c>
      <c r="F4887" t="s">
        <v>5021</v>
      </c>
      <c r="G4887">
        <v>22.84</v>
      </c>
      <c r="H4887">
        <v>4</v>
      </c>
      <c r="I4887">
        <v>3.5</v>
      </c>
      <c r="J4887">
        <v>18.190000000000001</v>
      </c>
      <c r="K4887">
        <v>17.600000000000001</v>
      </c>
      <c r="L4887" t="s">
        <v>5028</v>
      </c>
      <c r="M4887">
        <v>5</v>
      </c>
      <c r="N4887">
        <v>0</v>
      </c>
      <c r="O4887">
        <v>1</v>
      </c>
    </row>
    <row r="4888" spans="1:15" x14ac:dyDescent="0.3">
      <c r="A4888" t="s">
        <v>4901</v>
      </c>
      <c r="B4888">
        <v>5</v>
      </c>
      <c r="C4888">
        <v>25</v>
      </c>
      <c r="D4888" t="s">
        <v>5016</v>
      </c>
      <c r="E4888" t="s">
        <v>5019</v>
      </c>
      <c r="F4888" t="s">
        <v>5021</v>
      </c>
      <c r="G4888">
        <v>13.87</v>
      </c>
      <c r="H4888">
        <v>2</v>
      </c>
      <c r="I4888">
        <v>5.8</v>
      </c>
      <c r="J4888">
        <v>3.85</v>
      </c>
      <c r="K4888">
        <v>82.6</v>
      </c>
      <c r="L4888" t="s">
        <v>5027</v>
      </c>
      <c r="M4888">
        <v>9</v>
      </c>
      <c r="N4888">
        <v>1</v>
      </c>
      <c r="O4888">
        <v>0</v>
      </c>
    </row>
    <row r="4889" spans="1:15" x14ac:dyDescent="0.3">
      <c r="A4889" t="s">
        <v>4902</v>
      </c>
      <c r="B4889">
        <v>6</v>
      </c>
      <c r="C4889">
        <v>27</v>
      </c>
      <c r="D4889" t="s">
        <v>5015</v>
      </c>
      <c r="E4889" t="s">
        <v>5017</v>
      </c>
      <c r="F4889" t="s">
        <v>5024</v>
      </c>
      <c r="G4889">
        <v>16.95</v>
      </c>
      <c r="H4889">
        <v>3</v>
      </c>
      <c r="I4889">
        <v>3.7</v>
      </c>
      <c r="J4889">
        <v>22.58</v>
      </c>
      <c r="K4889">
        <v>98</v>
      </c>
      <c r="L4889" t="s">
        <v>5027</v>
      </c>
      <c r="M4889">
        <v>10</v>
      </c>
      <c r="N4889">
        <v>1</v>
      </c>
      <c r="O4889">
        <v>0</v>
      </c>
    </row>
    <row r="4890" spans="1:15" x14ac:dyDescent="0.3">
      <c r="A4890" t="s">
        <v>4903</v>
      </c>
      <c r="B4890">
        <v>12</v>
      </c>
      <c r="C4890">
        <v>26</v>
      </c>
      <c r="D4890" t="s">
        <v>5015</v>
      </c>
      <c r="E4890" t="s">
        <v>5018</v>
      </c>
      <c r="F4890" t="s">
        <v>5023</v>
      </c>
      <c r="G4890">
        <v>5.64</v>
      </c>
      <c r="H4890">
        <v>5</v>
      </c>
      <c r="I4890">
        <v>1.9</v>
      </c>
      <c r="J4890">
        <v>17.5</v>
      </c>
      <c r="K4890">
        <v>66.400000000000006</v>
      </c>
      <c r="L4890" t="s">
        <v>5025</v>
      </c>
      <c r="M4890">
        <v>3</v>
      </c>
      <c r="N4890">
        <v>4</v>
      </c>
      <c r="O4890">
        <v>0</v>
      </c>
    </row>
    <row r="4891" spans="1:15" x14ac:dyDescent="0.3">
      <c r="A4891" t="s">
        <v>4904</v>
      </c>
      <c r="B4891">
        <v>2</v>
      </c>
      <c r="C4891">
        <v>66</v>
      </c>
      <c r="D4891" t="s">
        <v>5016</v>
      </c>
      <c r="E4891" t="s">
        <v>5017</v>
      </c>
      <c r="F4891" t="s">
        <v>5020</v>
      </c>
      <c r="G4891">
        <v>14.39</v>
      </c>
      <c r="H4891">
        <v>3</v>
      </c>
      <c r="I4891">
        <v>2.7</v>
      </c>
      <c r="J4891">
        <v>9.0500000000000007</v>
      </c>
      <c r="K4891">
        <v>16.899999999999999</v>
      </c>
      <c r="L4891" t="s">
        <v>5026</v>
      </c>
      <c r="M4891">
        <v>9</v>
      </c>
      <c r="N4891">
        <v>2</v>
      </c>
      <c r="O4891">
        <v>0</v>
      </c>
    </row>
    <row r="4892" spans="1:15" x14ac:dyDescent="0.3">
      <c r="A4892" t="s">
        <v>4905</v>
      </c>
      <c r="B4892">
        <v>6</v>
      </c>
      <c r="C4892">
        <v>58</v>
      </c>
      <c r="D4892" t="s">
        <v>5016</v>
      </c>
      <c r="E4892" t="s">
        <v>5017</v>
      </c>
      <c r="F4892" t="s">
        <v>5024</v>
      </c>
      <c r="G4892">
        <v>16.28</v>
      </c>
      <c r="H4892">
        <v>5</v>
      </c>
      <c r="I4892">
        <v>9.3000000000000007</v>
      </c>
      <c r="J4892">
        <v>17.48</v>
      </c>
      <c r="K4892">
        <v>62.8</v>
      </c>
      <c r="L4892" t="s">
        <v>5025</v>
      </c>
      <c r="M4892">
        <v>4</v>
      </c>
      <c r="N4892">
        <v>0</v>
      </c>
      <c r="O4892">
        <v>1</v>
      </c>
    </row>
    <row r="4893" spans="1:15" x14ac:dyDescent="0.3">
      <c r="A4893" t="s">
        <v>4906</v>
      </c>
      <c r="B4893">
        <v>6</v>
      </c>
      <c r="C4893">
        <v>20</v>
      </c>
      <c r="D4893" t="s">
        <v>5016</v>
      </c>
      <c r="E4893" t="s">
        <v>5017</v>
      </c>
      <c r="F4893" t="s">
        <v>5020</v>
      </c>
      <c r="G4893">
        <v>5.34</v>
      </c>
      <c r="H4893">
        <v>1</v>
      </c>
      <c r="I4893">
        <v>6.7</v>
      </c>
      <c r="J4893">
        <v>14.81</v>
      </c>
      <c r="K4893">
        <v>76.7</v>
      </c>
      <c r="L4893" t="s">
        <v>5027</v>
      </c>
      <c r="M4893">
        <v>10</v>
      </c>
      <c r="N4893">
        <v>2</v>
      </c>
      <c r="O4893">
        <v>0</v>
      </c>
    </row>
    <row r="4894" spans="1:15" x14ac:dyDescent="0.3">
      <c r="A4894" t="s">
        <v>4907</v>
      </c>
      <c r="B4894">
        <v>1</v>
      </c>
      <c r="C4894">
        <v>28</v>
      </c>
      <c r="D4894" t="s">
        <v>5015</v>
      </c>
      <c r="E4894" t="s">
        <v>5019</v>
      </c>
      <c r="F4894" t="s">
        <v>5020</v>
      </c>
      <c r="G4894">
        <v>20.79</v>
      </c>
      <c r="H4894">
        <v>5</v>
      </c>
      <c r="I4894">
        <v>3.8</v>
      </c>
      <c r="J4894">
        <v>10.4</v>
      </c>
      <c r="K4894">
        <v>94</v>
      </c>
      <c r="L4894" t="s">
        <v>5026</v>
      </c>
      <c r="M4894">
        <v>4</v>
      </c>
      <c r="N4894">
        <v>3</v>
      </c>
      <c r="O4894">
        <v>0</v>
      </c>
    </row>
    <row r="4895" spans="1:15" x14ac:dyDescent="0.3">
      <c r="A4895" t="s">
        <v>4908</v>
      </c>
      <c r="B4895">
        <v>1</v>
      </c>
      <c r="C4895">
        <v>29</v>
      </c>
      <c r="D4895" t="s">
        <v>5016</v>
      </c>
      <c r="E4895" t="s">
        <v>5017</v>
      </c>
      <c r="F4895" t="s">
        <v>5020</v>
      </c>
      <c r="G4895">
        <v>10.91</v>
      </c>
      <c r="H4895">
        <v>1</v>
      </c>
      <c r="I4895">
        <v>4.3</v>
      </c>
      <c r="J4895">
        <v>3.63</v>
      </c>
      <c r="K4895">
        <v>14.1</v>
      </c>
      <c r="L4895" t="s">
        <v>5028</v>
      </c>
      <c r="M4895">
        <v>2</v>
      </c>
      <c r="N4895">
        <v>1</v>
      </c>
      <c r="O4895">
        <v>0</v>
      </c>
    </row>
    <row r="4896" spans="1:15" x14ac:dyDescent="0.3">
      <c r="A4896" t="s">
        <v>4909</v>
      </c>
      <c r="B4896">
        <v>11</v>
      </c>
      <c r="C4896">
        <v>27</v>
      </c>
      <c r="D4896" t="s">
        <v>5015</v>
      </c>
      <c r="E4896" t="s">
        <v>5019</v>
      </c>
      <c r="F4896" t="s">
        <v>5022</v>
      </c>
      <c r="G4896">
        <v>14.05</v>
      </c>
      <c r="H4896">
        <v>4</v>
      </c>
      <c r="I4896">
        <v>5.4</v>
      </c>
      <c r="J4896">
        <v>15.12</v>
      </c>
      <c r="K4896">
        <v>79.8</v>
      </c>
      <c r="L4896" t="s">
        <v>5027</v>
      </c>
      <c r="M4896">
        <v>8</v>
      </c>
      <c r="N4896">
        <v>0</v>
      </c>
      <c r="O4896">
        <v>0</v>
      </c>
    </row>
    <row r="4897" spans="1:15" x14ac:dyDescent="0.3">
      <c r="A4897" t="s">
        <v>4910</v>
      </c>
      <c r="B4897">
        <v>10</v>
      </c>
      <c r="C4897">
        <v>42</v>
      </c>
      <c r="D4897" t="s">
        <v>5015</v>
      </c>
      <c r="E4897" t="s">
        <v>5018</v>
      </c>
      <c r="F4897" t="s">
        <v>5024</v>
      </c>
      <c r="G4897">
        <v>15.71</v>
      </c>
      <c r="H4897">
        <v>2</v>
      </c>
      <c r="I4897">
        <v>7.1</v>
      </c>
      <c r="J4897">
        <v>4.8099999999999996</v>
      </c>
      <c r="K4897">
        <v>21.9</v>
      </c>
      <c r="L4897" t="s">
        <v>5026</v>
      </c>
      <c r="M4897">
        <v>4</v>
      </c>
      <c r="N4897">
        <v>1</v>
      </c>
      <c r="O4897">
        <v>0</v>
      </c>
    </row>
    <row r="4898" spans="1:15" x14ac:dyDescent="0.3">
      <c r="A4898" t="s">
        <v>4911</v>
      </c>
      <c r="B4898">
        <v>3</v>
      </c>
      <c r="C4898">
        <v>66</v>
      </c>
      <c r="D4898" t="s">
        <v>5015</v>
      </c>
      <c r="E4898" t="s">
        <v>5017</v>
      </c>
      <c r="F4898" t="s">
        <v>5022</v>
      </c>
      <c r="G4898">
        <v>24.84</v>
      </c>
      <c r="H4898">
        <v>1</v>
      </c>
      <c r="I4898">
        <v>6.2</v>
      </c>
      <c r="J4898">
        <v>20.82</v>
      </c>
      <c r="K4898">
        <v>81.2</v>
      </c>
      <c r="L4898" t="s">
        <v>5026</v>
      </c>
      <c r="M4898">
        <v>3</v>
      </c>
      <c r="N4898">
        <v>3</v>
      </c>
      <c r="O4898">
        <v>0</v>
      </c>
    </row>
    <row r="4899" spans="1:15" x14ac:dyDescent="0.3">
      <c r="A4899" t="s">
        <v>4912</v>
      </c>
      <c r="B4899">
        <v>10</v>
      </c>
      <c r="C4899">
        <v>66</v>
      </c>
      <c r="D4899" t="s">
        <v>5016</v>
      </c>
      <c r="E4899" t="s">
        <v>5017</v>
      </c>
      <c r="F4899" t="s">
        <v>5023</v>
      </c>
      <c r="G4899">
        <v>6.98</v>
      </c>
      <c r="H4899">
        <v>3</v>
      </c>
      <c r="I4899">
        <v>9.4</v>
      </c>
      <c r="J4899">
        <v>4.95</v>
      </c>
      <c r="K4899">
        <v>90</v>
      </c>
      <c r="L4899" t="s">
        <v>5029</v>
      </c>
      <c r="M4899">
        <v>3</v>
      </c>
      <c r="N4899">
        <v>4</v>
      </c>
      <c r="O4899">
        <v>0</v>
      </c>
    </row>
    <row r="4900" spans="1:15" x14ac:dyDescent="0.3">
      <c r="A4900" t="s">
        <v>4913</v>
      </c>
      <c r="B4900">
        <v>10</v>
      </c>
      <c r="C4900">
        <v>42</v>
      </c>
      <c r="D4900" t="s">
        <v>5016</v>
      </c>
      <c r="E4900" t="s">
        <v>5018</v>
      </c>
      <c r="F4900" t="s">
        <v>5023</v>
      </c>
      <c r="G4900">
        <v>16.11</v>
      </c>
      <c r="H4900">
        <v>5</v>
      </c>
      <c r="I4900">
        <v>6.6</v>
      </c>
      <c r="J4900">
        <v>12.43</v>
      </c>
      <c r="K4900">
        <v>87.5</v>
      </c>
      <c r="L4900" t="s">
        <v>5028</v>
      </c>
      <c r="M4900">
        <v>1</v>
      </c>
      <c r="N4900">
        <v>0</v>
      </c>
      <c r="O4900">
        <v>1</v>
      </c>
    </row>
    <row r="4901" spans="1:15" x14ac:dyDescent="0.3">
      <c r="A4901" t="s">
        <v>4914</v>
      </c>
      <c r="B4901">
        <v>12</v>
      </c>
      <c r="C4901">
        <v>28</v>
      </c>
      <c r="D4901" t="s">
        <v>5015</v>
      </c>
      <c r="E4901" t="s">
        <v>5019</v>
      </c>
      <c r="F4901" t="s">
        <v>5021</v>
      </c>
      <c r="G4901">
        <v>15.61</v>
      </c>
      <c r="H4901">
        <v>3</v>
      </c>
      <c r="I4901">
        <v>9.1999999999999993</v>
      </c>
      <c r="J4901">
        <v>12.56</v>
      </c>
      <c r="K4901">
        <v>68.8</v>
      </c>
      <c r="L4901" t="s">
        <v>5026</v>
      </c>
      <c r="M4901">
        <v>8</v>
      </c>
      <c r="N4901">
        <v>0</v>
      </c>
      <c r="O4901">
        <v>0</v>
      </c>
    </row>
    <row r="4902" spans="1:15" x14ac:dyDescent="0.3">
      <c r="A4902" t="s">
        <v>4915</v>
      </c>
      <c r="B4902">
        <v>3</v>
      </c>
      <c r="C4902">
        <v>53</v>
      </c>
      <c r="D4902" t="s">
        <v>5015</v>
      </c>
      <c r="E4902" t="s">
        <v>5019</v>
      </c>
      <c r="F4902" t="s">
        <v>5021</v>
      </c>
      <c r="G4902">
        <v>6.38</v>
      </c>
      <c r="H4902">
        <v>1</v>
      </c>
      <c r="I4902">
        <v>1</v>
      </c>
      <c r="J4902">
        <v>15.24</v>
      </c>
      <c r="K4902">
        <v>55.1</v>
      </c>
      <c r="L4902" t="s">
        <v>5025</v>
      </c>
      <c r="M4902">
        <v>11</v>
      </c>
      <c r="N4902">
        <v>0</v>
      </c>
      <c r="O4902">
        <v>1</v>
      </c>
    </row>
    <row r="4903" spans="1:15" x14ac:dyDescent="0.3">
      <c r="A4903" t="s">
        <v>4916</v>
      </c>
      <c r="B4903">
        <v>4</v>
      </c>
      <c r="C4903">
        <v>56</v>
      </c>
      <c r="D4903" t="s">
        <v>5015</v>
      </c>
      <c r="E4903" t="s">
        <v>5019</v>
      </c>
      <c r="F4903" t="s">
        <v>5021</v>
      </c>
      <c r="G4903">
        <v>17.68</v>
      </c>
      <c r="H4903">
        <v>3</v>
      </c>
      <c r="I4903">
        <v>9</v>
      </c>
      <c r="J4903">
        <v>3.87</v>
      </c>
      <c r="K4903">
        <v>88.7</v>
      </c>
      <c r="L4903" t="s">
        <v>5028</v>
      </c>
      <c r="M4903">
        <v>5</v>
      </c>
      <c r="N4903">
        <v>4</v>
      </c>
      <c r="O4903">
        <v>0</v>
      </c>
    </row>
    <row r="4904" spans="1:15" x14ac:dyDescent="0.3">
      <c r="A4904" t="s">
        <v>4917</v>
      </c>
      <c r="B4904">
        <v>2</v>
      </c>
      <c r="C4904">
        <v>43</v>
      </c>
      <c r="D4904" t="s">
        <v>5015</v>
      </c>
      <c r="E4904" t="s">
        <v>5019</v>
      </c>
      <c r="F4904" t="s">
        <v>5023</v>
      </c>
      <c r="G4904">
        <v>10.74</v>
      </c>
      <c r="H4904">
        <v>5</v>
      </c>
      <c r="I4904">
        <v>7.5</v>
      </c>
      <c r="J4904">
        <v>7.48</v>
      </c>
      <c r="K4904">
        <v>56.7</v>
      </c>
      <c r="L4904" t="s">
        <v>5028</v>
      </c>
      <c r="M4904">
        <v>5</v>
      </c>
      <c r="N4904">
        <v>1</v>
      </c>
      <c r="O4904">
        <v>0</v>
      </c>
    </row>
    <row r="4905" spans="1:15" x14ac:dyDescent="0.3">
      <c r="A4905" t="s">
        <v>4918</v>
      </c>
      <c r="B4905">
        <v>9</v>
      </c>
      <c r="C4905">
        <v>31</v>
      </c>
      <c r="D4905" t="s">
        <v>5016</v>
      </c>
      <c r="E4905" t="s">
        <v>5018</v>
      </c>
      <c r="F4905" t="s">
        <v>5020</v>
      </c>
      <c r="G4905">
        <v>7.08</v>
      </c>
      <c r="H4905">
        <v>2</v>
      </c>
      <c r="I4905">
        <v>2.5</v>
      </c>
      <c r="J4905">
        <v>7.39</v>
      </c>
      <c r="K4905">
        <v>27.1</v>
      </c>
      <c r="L4905" t="s">
        <v>5027</v>
      </c>
      <c r="M4905">
        <v>4</v>
      </c>
      <c r="N4905">
        <v>4</v>
      </c>
      <c r="O4905">
        <v>0</v>
      </c>
    </row>
    <row r="4906" spans="1:15" x14ac:dyDescent="0.3">
      <c r="A4906" t="s">
        <v>4919</v>
      </c>
      <c r="B4906">
        <v>10</v>
      </c>
      <c r="C4906">
        <v>56</v>
      </c>
      <c r="D4906" t="s">
        <v>5016</v>
      </c>
      <c r="E4906" t="s">
        <v>5019</v>
      </c>
      <c r="F4906" t="s">
        <v>5020</v>
      </c>
      <c r="G4906">
        <v>8.57</v>
      </c>
      <c r="H4906">
        <v>3</v>
      </c>
      <c r="I4906">
        <v>3.4</v>
      </c>
      <c r="J4906">
        <v>16.18</v>
      </c>
      <c r="K4906">
        <v>94.9</v>
      </c>
      <c r="L4906" t="s">
        <v>5028</v>
      </c>
      <c r="M4906">
        <v>5</v>
      </c>
      <c r="N4906">
        <v>1</v>
      </c>
      <c r="O4906">
        <v>1</v>
      </c>
    </row>
    <row r="4907" spans="1:15" x14ac:dyDescent="0.3">
      <c r="A4907" t="s">
        <v>4920</v>
      </c>
      <c r="B4907">
        <v>12</v>
      </c>
      <c r="C4907">
        <v>57</v>
      </c>
      <c r="D4907" t="s">
        <v>5015</v>
      </c>
      <c r="E4907" t="s">
        <v>5019</v>
      </c>
      <c r="F4907" t="s">
        <v>5024</v>
      </c>
      <c r="G4907">
        <v>21.47</v>
      </c>
      <c r="H4907">
        <v>4</v>
      </c>
      <c r="I4907">
        <v>5.9</v>
      </c>
      <c r="J4907">
        <v>8.8000000000000007</v>
      </c>
      <c r="K4907">
        <v>43.6</v>
      </c>
      <c r="L4907" t="s">
        <v>5028</v>
      </c>
      <c r="M4907">
        <v>5</v>
      </c>
      <c r="N4907">
        <v>0</v>
      </c>
      <c r="O4907">
        <v>1</v>
      </c>
    </row>
    <row r="4908" spans="1:15" x14ac:dyDescent="0.3">
      <c r="A4908" t="s">
        <v>4921</v>
      </c>
      <c r="B4908">
        <v>11</v>
      </c>
      <c r="C4908">
        <v>18</v>
      </c>
      <c r="D4908" t="s">
        <v>5015</v>
      </c>
      <c r="E4908" t="s">
        <v>5019</v>
      </c>
      <c r="F4908" t="s">
        <v>5023</v>
      </c>
      <c r="G4908">
        <v>7.08</v>
      </c>
      <c r="H4908">
        <v>5</v>
      </c>
      <c r="I4908">
        <v>2.1</v>
      </c>
      <c r="J4908">
        <v>6.17</v>
      </c>
      <c r="K4908">
        <v>66.2</v>
      </c>
      <c r="L4908" t="s">
        <v>5029</v>
      </c>
      <c r="M4908">
        <v>9</v>
      </c>
      <c r="N4908">
        <v>4</v>
      </c>
      <c r="O4908">
        <v>0</v>
      </c>
    </row>
    <row r="4909" spans="1:15" x14ac:dyDescent="0.3">
      <c r="A4909" t="s">
        <v>4922</v>
      </c>
      <c r="B4909">
        <v>7</v>
      </c>
      <c r="C4909">
        <v>21</v>
      </c>
      <c r="D4909" t="s">
        <v>5015</v>
      </c>
      <c r="E4909" t="s">
        <v>5017</v>
      </c>
      <c r="F4909" t="s">
        <v>5021</v>
      </c>
      <c r="G4909">
        <v>14.34</v>
      </c>
      <c r="H4909">
        <v>5</v>
      </c>
      <c r="I4909">
        <v>8.1</v>
      </c>
      <c r="J4909">
        <v>3.4</v>
      </c>
      <c r="K4909">
        <v>27.9</v>
      </c>
      <c r="L4909" t="s">
        <v>5028</v>
      </c>
      <c r="M4909">
        <v>11</v>
      </c>
      <c r="N4909">
        <v>3</v>
      </c>
      <c r="O4909">
        <v>0</v>
      </c>
    </row>
    <row r="4910" spans="1:15" x14ac:dyDescent="0.3">
      <c r="A4910" t="s">
        <v>4923</v>
      </c>
      <c r="B4910">
        <v>7</v>
      </c>
      <c r="C4910">
        <v>47</v>
      </c>
      <c r="D4910" t="s">
        <v>5016</v>
      </c>
      <c r="E4910" t="s">
        <v>5019</v>
      </c>
      <c r="F4910" t="s">
        <v>5023</v>
      </c>
      <c r="G4910">
        <v>8.91</v>
      </c>
      <c r="H4910">
        <v>4</v>
      </c>
      <c r="I4910">
        <v>8.1</v>
      </c>
      <c r="J4910">
        <v>21.49</v>
      </c>
      <c r="K4910">
        <v>19.899999999999999</v>
      </c>
      <c r="L4910" t="s">
        <v>5026</v>
      </c>
      <c r="M4910">
        <v>6</v>
      </c>
      <c r="N4910">
        <v>4</v>
      </c>
      <c r="O4910">
        <v>0</v>
      </c>
    </row>
    <row r="4911" spans="1:15" x14ac:dyDescent="0.3">
      <c r="A4911" t="s">
        <v>4924</v>
      </c>
      <c r="B4911">
        <v>6</v>
      </c>
      <c r="C4911">
        <v>29</v>
      </c>
      <c r="D4911" t="s">
        <v>5015</v>
      </c>
      <c r="E4911" t="s">
        <v>5018</v>
      </c>
      <c r="F4911" t="s">
        <v>5020</v>
      </c>
      <c r="G4911">
        <v>8.25</v>
      </c>
      <c r="H4911">
        <v>1</v>
      </c>
      <c r="I4911">
        <v>3.7</v>
      </c>
      <c r="J4911">
        <v>24.37</v>
      </c>
      <c r="K4911">
        <v>59.6</v>
      </c>
      <c r="L4911" t="s">
        <v>5025</v>
      </c>
      <c r="M4911">
        <v>9</v>
      </c>
      <c r="N4911">
        <v>1</v>
      </c>
      <c r="O4911">
        <v>0</v>
      </c>
    </row>
    <row r="4912" spans="1:15" x14ac:dyDescent="0.3">
      <c r="A4912" t="s">
        <v>4925</v>
      </c>
      <c r="B4912">
        <v>3</v>
      </c>
      <c r="C4912">
        <v>52</v>
      </c>
      <c r="D4912" t="s">
        <v>5016</v>
      </c>
      <c r="E4912" t="s">
        <v>5019</v>
      </c>
      <c r="F4912" t="s">
        <v>5020</v>
      </c>
      <c r="G4912">
        <v>9.11</v>
      </c>
      <c r="H4912">
        <v>4</v>
      </c>
      <c r="I4912">
        <v>1.6</v>
      </c>
      <c r="J4912">
        <v>18.47</v>
      </c>
      <c r="K4912">
        <v>59.9</v>
      </c>
      <c r="L4912" t="s">
        <v>5029</v>
      </c>
      <c r="M4912">
        <v>8</v>
      </c>
      <c r="N4912">
        <v>0</v>
      </c>
      <c r="O4912">
        <v>1</v>
      </c>
    </row>
    <row r="4913" spans="1:15" x14ac:dyDescent="0.3">
      <c r="A4913" t="s">
        <v>4926</v>
      </c>
      <c r="B4913">
        <v>6</v>
      </c>
      <c r="C4913">
        <v>30</v>
      </c>
      <c r="D4913" t="s">
        <v>5015</v>
      </c>
      <c r="E4913" t="s">
        <v>5017</v>
      </c>
      <c r="F4913" t="s">
        <v>5022</v>
      </c>
      <c r="G4913">
        <v>14.86</v>
      </c>
      <c r="H4913">
        <v>1</v>
      </c>
      <c r="I4913">
        <v>9.9</v>
      </c>
      <c r="J4913">
        <v>12.08</v>
      </c>
      <c r="K4913">
        <v>43.3</v>
      </c>
      <c r="L4913" t="s">
        <v>5029</v>
      </c>
      <c r="M4913">
        <v>3</v>
      </c>
      <c r="N4913">
        <v>1</v>
      </c>
      <c r="O4913">
        <v>0</v>
      </c>
    </row>
    <row r="4914" spans="1:15" x14ac:dyDescent="0.3">
      <c r="A4914" t="s">
        <v>4927</v>
      </c>
      <c r="B4914">
        <v>12</v>
      </c>
      <c r="C4914">
        <v>69</v>
      </c>
      <c r="D4914" t="s">
        <v>5016</v>
      </c>
      <c r="E4914" t="s">
        <v>5018</v>
      </c>
      <c r="F4914" t="s">
        <v>5022</v>
      </c>
      <c r="G4914">
        <v>9.76</v>
      </c>
      <c r="H4914">
        <v>2</v>
      </c>
      <c r="I4914">
        <v>3.3</v>
      </c>
      <c r="J4914">
        <v>5.68</v>
      </c>
      <c r="K4914">
        <v>38.1</v>
      </c>
      <c r="L4914" t="s">
        <v>5029</v>
      </c>
      <c r="M4914">
        <v>2</v>
      </c>
      <c r="N4914">
        <v>2</v>
      </c>
      <c r="O4914">
        <v>0</v>
      </c>
    </row>
    <row r="4915" spans="1:15" x14ac:dyDescent="0.3">
      <c r="A4915" t="s">
        <v>4928</v>
      </c>
      <c r="B4915">
        <v>8</v>
      </c>
      <c r="C4915">
        <v>48</v>
      </c>
      <c r="D4915" t="s">
        <v>5016</v>
      </c>
      <c r="E4915" t="s">
        <v>5017</v>
      </c>
      <c r="F4915" t="s">
        <v>5024</v>
      </c>
      <c r="G4915">
        <v>6.93</v>
      </c>
      <c r="H4915">
        <v>1</v>
      </c>
      <c r="I4915">
        <v>1.6</v>
      </c>
      <c r="J4915">
        <v>13.45</v>
      </c>
      <c r="K4915">
        <v>43.7</v>
      </c>
      <c r="L4915" t="s">
        <v>5029</v>
      </c>
      <c r="M4915">
        <v>6</v>
      </c>
      <c r="N4915">
        <v>0</v>
      </c>
      <c r="O4915">
        <v>0</v>
      </c>
    </row>
    <row r="4916" spans="1:15" x14ac:dyDescent="0.3">
      <c r="A4916" t="s">
        <v>4929</v>
      </c>
      <c r="B4916">
        <v>8</v>
      </c>
      <c r="C4916">
        <v>55</v>
      </c>
      <c r="D4916" t="s">
        <v>5015</v>
      </c>
      <c r="E4916" t="s">
        <v>5017</v>
      </c>
      <c r="F4916" t="s">
        <v>5023</v>
      </c>
      <c r="G4916">
        <v>21.03</v>
      </c>
      <c r="H4916">
        <v>2</v>
      </c>
      <c r="I4916">
        <v>4</v>
      </c>
      <c r="J4916">
        <v>13.06</v>
      </c>
      <c r="K4916">
        <v>81.599999999999994</v>
      </c>
      <c r="L4916" t="s">
        <v>5027</v>
      </c>
      <c r="M4916">
        <v>2</v>
      </c>
      <c r="N4916">
        <v>3</v>
      </c>
      <c r="O4916">
        <v>1</v>
      </c>
    </row>
    <row r="4917" spans="1:15" x14ac:dyDescent="0.3">
      <c r="A4917" t="s">
        <v>4930</v>
      </c>
      <c r="B4917">
        <v>11</v>
      </c>
      <c r="C4917">
        <v>60</v>
      </c>
      <c r="D4917" t="s">
        <v>5016</v>
      </c>
      <c r="E4917" t="s">
        <v>5017</v>
      </c>
      <c r="F4917" t="s">
        <v>5022</v>
      </c>
      <c r="G4917">
        <v>15.8</v>
      </c>
      <c r="H4917">
        <v>2</v>
      </c>
      <c r="I4917">
        <v>9.6999999999999993</v>
      </c>
      <c r="J4917">
        <v>12.24</v>
      </c>
      <c r="K4917">
        <v>42.2</v>
      </c>
      <c r="L4917" t="s">
        <v>5029</v>
      </c>
      <c r="M4917">
        <v>3</v>
      </c>
      <c r="N4917">
        <v>3</v>
      </c>
      <c r="O4917">
        <v>0</v>
      </c>
    </row>
    <row r="4918" spans="1:15" x14ac:dyDescent="0.3">
      <c r="A4918" t="s">
        <v>4931</v>
      </c>
      <c r="B4918">
        <v>9</v>
      </c>
      <c r="C4918">
        <v>40</v>
      </c>
      <c r="D4918" t="s">
        <v>5016</v>
      </c>
      <c r="E4918" t="s">
        <v>5019</v>
      </c>
      <c r="F4918" t="s">
        <v>5022</v>
      </c>
      <c r="G4918">
        <v>8.14</v>
      </c>
      <c r="H4918">
        <v>4</v>
      </c>
      <c r="I4918">
        <v>8.1</v>
      </c>
      <c r="J4918">
        <v>11.32</v>
      </c>
      <c r="K4918">
        <v>92.9</v>
      </c>
      <c r="L4918" t="s">
        <v>5027</v>
      </c>
      <c r="M4918">
        <v>3</v>
      </c>
      <c r="N4918">
        <v>2</v>
      </c>
      <c r="O4918">
        <v>0</v>
      </c>
    </row>
    <row r="4919" spans="1:15" x14ac:dyDescent="0.3">
      <c r="A4919" t="s">
        <v>4932</v>
      </c>
      <c r="B4919">
        <v>1</v>
      </c>
      <c r="C4919">
        <v>21</v>
      </c>
      <c r="D4919" t="s">
        <v>5016</v>
      </c>
      <c r="E4919" t="s">
        <v>5017</v>
      </c>
      <c r="F4919" t="s">
        <v>5023</v>
      </c>
      <c r="G4919">
        <v>14.43</v>
      </c>
      <c r="H4919">
        <v>2</v>
      </c>
      <c r="I4919">
        <v>5.3</v>
      </c>
      <c r="J4919">
        <v>13.93</v>
      </c>
      <c r="K4919">
        <v>20.2</v>
      </c>
      <c r="L4919" t="s">
        <v>5027</v>
      </c>
      <c r="M4919">
        <v>1</v>
      </c>
      <c r="N4919">
        <v>1</v>
      </c>
      <c r="O4919">
        <v>0</v>
      </c>
    </row>
    <row r="4920" spans="1:15" x14ac:dyDescent="0.3">
      <c r="A4920" t="s">
        <v>4933</v>
      </c>
      <c r="B4920">
        <v>1</v>
      </c>
      <c r="C4920">
        <v>69</v>
      </c>
      <c r="D4920" t="s">
        <v>5016</v>
      </c>
      <c r="E4920" t="s">
        <v>5018</v>
      </c>
      <c r="F4920" t="s">
        <v>5020</v>
      </c>
      <c r="G4920">
        <v>6.37</v>
      </c>
      <c r="H4920">
        <v>1</v>
      </c>
      <c r="I4920">
        <v>3.7</v>
      </c>
      <c r="J4920">
        <v>4.6100000000000003</v>
      </c>
      <c r="K4920">
        <v>93.8</v>
      </c>
      <c r="L4920" t="s">
        <v>5028</v>
      </c>
      <c r="M4920">
        <v>5</v>
      </c>
      <c r="N4920">
        <v>3</v>
      </c>
      <c r="O4920">
        <v>0</v>
      </c>
    </row>
    <row r="4921" spans="1:15" x14ac:dyDescent="0.3">
      <c r="A4921" t="s">
        <v>4934</v>
      </c>
      <c r="B4921">
        <v>3</v>
      </c>
      <c r="C4921">
        <v>33</v>
      </c>
      <c r="D4921" t="s">
        <v>5015</v>
      </c>
      <c r="E4921" t="s">
        <v>5017</v>
      </c>
      <c r="F4921" t="s">
        <v>5024</v>
      </c>
      <c r="G4921">
        <v>16.61</v>
      </c>
      <c r="H4921">
        <v>3</v>
      </c>
      <c r="I4921">
        <v>4.8</v>
      </c>
      <c r="J4921">
        <v>3.84</v>
      </c>
      <c r="K4921">
        <v>72.099999999999994</v>
      </c>
      <c r="L4921" t="s">
        <v>5025</v>
      </c>
      <c r="M4921">
        <v>8</v>
      </c>
      <c r="N4921">
        <v>1</v>
      </c>
      <c r="O4921">
        <v>0</v>
      </c>
    </row>
    <row r="4922" spans="1:15" x14ac:dyDescent="0.3">
      <c r="A4922" t="s">
        <v>4935</v>
      </c>
      <c r="B4922">
        <v>3</v>
      </c>
      <c r="C4922">
        <v>24</v>
      </c>
      <c r="D4922" t="s">
        <v>5015</v>
      </c>
      <c r="E4922" t="s">
        <v>5018</v>
      </c>
      <c r="F4922" t="s">
        <v>5024</v>
      </c>
      <c r="G4922">
        <v>11.81</v>
      </c>
      <c r="H4922">
        <v>5</v>
      </c>
      <c r="I4922">
        <v>1.2</v>
      </c>
      <c r="J4922">
        <v>4.41</v>
      </c>
      <c r="K4922">
        <v>41</v>
      </c>
      <c r="L4922" t="s">
        <v>5028</v>
      </c>
      <c r="M4922">
        <v>9</v>
      </c>
      <c r="N4922">
        <v>0</v>
      </c>
      <c r="O4922">
        <v>0</v>
      </c>
    </row>
    <row r="4923" spans="1:15" x14ac:dyDescent="0.3">
      <c r="A4923" t="s">
        <v>4936</v>
      </c>
      <c r="B4923">
        <v>10</v>
      </c>
      <c r="C4923">
        <v>39</v>
      </c>
      <c r="D4923" t="s">
        <v>5015</v>
      </c>
      <c r="E4923" t="s">
        <v>5017</v>
      </c>
      <c r="F4923" t="s">
        <v>5024</v>
      </c>
      <c r="G4923">
        <v>7.07</v>
      </c>
      <c r="H4923">
        <v>5</v>
      </c>
      <c r="I4923">
        <v>7.5</v>
      </c>
      <c r="J4923">
        <v>7.4</v>
      </c>
      <c r="K4923">
        <v>10.6</v>
      </c>
      <c r="L4923" t="s">
        <v>5027</v>
      </c>
      <c r="M4923">
        <v>7</v>
      </c>
      <c r="N4923">
        <v>4</v>
      </c>
      <c r="O4923">
        <v>0</v>
      </c>
    </row>
    <row r="4924" spans="1:15" x14ac:dyDescent="0.3">
      <c r="A4924" t="s">
        <v>4937</v>
      </c>
      <c r="B4924">
        <v>8</v>
      </c>
      <c r="C4924">
        <v>46</v>
      </c>
      <c r="D4924" t="s">
        <v>5015</v>
      </c>
      <c r="E4924" t="s">
        <v>5017</v>
      </c>
      <c r="F4924" t="s">
        <v>5022</v>
      </c>
      <c r="G4924">
        <v>8.67</v>
      </c>
      <c r="H4924">
        <v>1</v>
      </c>
      <c r="I4924">
        <v>1.9</v>
      </c>
      <c r="J4924">
        <v>9.1199999999999992</v>
      </c>
      <c r="K4924">
        <v>82.2</v>
      </c>
      <c r="L4924" t="s">
        <v>5028</v>
      </c>
      <c r="M4924">
        <v>5</v>
      </c>
      <c r="N4924">
        <v>0</v>
      </c>
      <c r="O4924">
        <v>1</v>
      </c>
    </row>
    <row r="4925" spans="1:15" x14ac:dyDescent="0.3">
      <c r="A4925" t="s">
        <v>4938</v>
      </c>
      <c r="B4925">
        <v>10</v>
      </c>
      <c r="C4925">
        <v>28</v>
      </c>
      <c r="D4925" t="s">
        <v>5015</v>
      </c>
      <c r="E4925" t="s">
        <v>5018</v>
      </c>
      <c r="F4925" t="s">
        <v>5020</v>
      </c>
      <c r="G4925">
        <v>11.91</v>
      </c>
      <c r="H4925">
        <v>3</v>
      </c>
      <c r="I4925">
        <v>5.7</v>
      </c>
      <c r="J4925">
        <v>6.73</v>
      </c>
      <c r="K4925">
        <v>97.2</v>
      </c>
      <c r="L4925" t="s">
        <v>5026</v>
      </c>
      <c r="M4925">
        <v>8</v>
      </c>
      <c r="N4925">
        <v>1</v>
      </c>
      <c r="O4925">
        <v>0</v>
      </c>
    </row>
    <row r="4926" spans="1:15" x14ac:dyDescent="0.3">
      <c r="A4926" t="s">
        <v>4939</v>
      </c>
      <c r="B4926">
        <v>1</v>
      </c>
      <c r="C4926">
        <v>50</v>
      </c>
      <c r="D4926" t="s">
        <v>5016</v>
      </c>
      <c r="E4926" t="s">
        <v>5018</v>
      </c>
      <c r="F4926" t="s">
        <v>5024</v>
      </c>
      <c r="G4926">
        <v>21.13</v>
      </c>
      <c r="H4926">
        <v>2</v>
      </c>
      <c r="I4926">
        <v>6.1</v>
      </c>
      <c r="J4926">
        <v>8.5399999999999991</v>
      </c>
      <c r="K4926">
        <v>98.4</v>
      </c>
      <c r="L4926" t="s">
        <v>5029</v>
      </c>
      <c r="M4926">
        <v>9</v>
      </c>
      <c r="N4926">
        <v>2</v>
      </c>
      <c r="O4926">
        <v>0</v>
      </c>
    </row>
    <row r="4927" spans="1:15" x14ac:dyDescent="0.3">
      <c r="A4927" t="s">
        <v>4940</v>
      </c>
      <c r="B4927">
        <v>2</v>
      </c>
      <c r="C4927">
        <v>46</v>
      </c>
      <c r="D4927" t="s">
        <v>5016</v>
      </c>
      <c r="E4927" t="s">
        <v>5017</v>
      </c>
      <c r="F4927" t="s">
        <v>5023</v>
      </c>
      <c r="G4927">
        <v>8.48</v>
      </c>
      <c r="H4927">
        <v>1</v>
      </c>
      <c r="I4927">
        <v>1</v>
      </c>
      <c r="J4927">
        <v>7.09</v>
      </c>
      <c r="K4927">
        <v>48.1</v>
      </c>
      <c r="L4927" t="s">
        <v>5029</v>
      </c>
      <c r="M4927">
        <v>9</v>
      </c>
      <c r="N4927">
        <v>0</v>
      </c>
      <c r="O4927">
        <v>1</v>
      </c>
    </row>
    <row r="4928" spans="1:15" x14ac:dyDescent="0.3">
      <c r="A4928" t="s">
        <v>4941</v>
      </c>
      <c r="B4928">
        <v>2</v>
      </c>
      <c r="C4928">
        <v>56</v>
      </c>
      <c r="D4928" t="s">
        <v>5016</v>
      </c>
      <c r="E4928" t="s">
        <v>5017</v>
      </c>
      <c r="F4928" t="s">
        <v>5024</v>
      </c>
      <c r="G4928">
        <v>7.19</v>
      </c>
      <c r="H4928">
        <v>2</v>
      </c>
      <c r="I4928">
        <v>9.8000000000000007</v>
      </c>
      <c r="J4928">
        <v>6.32</v>
      </c>
      <c r="K4928">
        <v>16.3</v>
      </c>
      <c r="L4928" t="s">
        <v>5027</v>
      </c>
      <c r="M4928">
        <v>9</v>
      </c>
      <c r="N4928">
        <v>3</v>
      </c>
      <c r="O4928">
        <v>0</v>
      </c>
    </row>
    <row r="4929" spans="1:15" x14ac:dyDescent="0.3">
      <c r="A4929" t="s">
        <v>4942</v>
      </c>
      <c r="B4929">
        <v>3</v>
      </c>
      <c r="C4929">
        <v>29</v>
      </c>
      <c r="D4929" t="s">
        <v>5016</v>
      </c>
      <c r="E4929" t="s">
        <v>5017</v>
      </c>
      <c r="F4929" t="s">
        <v>5021</v>
      </c>
      <c r="G4929">
        <v>15.32</v>
      </c>
      <c r="H4929">
        <v>4</v>
      </c>
      <c r="I4929">
        <v>3.7</v>
      </c>
      <c r="J4929">
        <v>9.4499999999999993</v>
      </c>
      <c r="K4929">
        <v>38.200000000000003</v>
      </c>
      <c r="L4929" t="s">
        <v>5028</v>
      </c>
      <c r="M4929">
        <v>11</v>
      </c>
      <c r="N4929">
        <v>0</v>
      </c>
      <c r="O4929">
        <v>0</v>
      </c>
    </row>
    <row r="4930" spans="1:15" x14ac:dyDescent="0.3">
      <c r="A4930" t="s">
        <v>4943</v>
      </c>
      <c r="B4930">
        <v>6</v>
      </c>
      <c r="C4930">
        <v>24</v>
      </c>
      <c r="D4930" t="s">
        <v>5015</v>
      </c>
      <c r="E4930" t="s">
        <v>5019</v>
      </c>
      <c r="F4930" t="s">
        <v>5020</v>
      </c>
      <c r="G4930">
        <v>16.170000000000002</v>
      </c>
      <c r="H4930">
        <v>3</v>
      </c>
      <c r="I4930">
        <v>1.7</v>
      </c>
      <c r="J4930">
        <v>11.75</v>
      </c>
      <c r="K4930">
        <v>37.9</v>
      </c>
      <c r="L4930" t="s">
        <v>5026</v>
      </c>
      <c r="M4930">
        <v>2</v>
      </c>
      <c r="N4930">
        <v>0</v>
      </c>
      <c r="O4930">
        <v>0</v>
      </c>
    </row>
    <row r="4931" spans="1:15" x14ac:dyDescent="0.3">
      <c r="A4931" t="s">
        <v>4944</v>
      </c>
      <c r="B4931">
        <v>1</v>
      </c>
      <c r="C4931">
        <v>56</v>
      </c>
      <c r="D4931" t="s">
        <v>5015</v>
      </c>
      <c r="E4931" t="s">
        <v>5018</v>
      </c>
      <c r="F4931" t="s">
        <v>5021</v>
      </c>
      <c r="G4931">
        <v>6.8</v>
      </c>
      <c r="H4931">
        <v>5</v>
      </c>
      <c r="I4931">
        <v>8.6999999999999993</v>
      </c>
      <c r="J4931">
        <v>19.37</v>
      </c>
      <c r="K4931">
        <v>19.2</v>
      </c>
      <c r="L4931" t="s">
        <v>5026</v>
      </c>
      <c r="M4931">
        <v>3</v>
      </c>
      <c r="N4931">
        <v>0</v>
      </c>
      <c r="O4931">
        <v>1</v>
      </c>
    </row>
    <row r="4932" spans="1:15" x14ac:dyDescent="0.3">
      <c r="A4932" t="s">
        <v>4945</v>
      </c>
      <c r="B4932">
        <v>2</v>
      </c>
      <c r="C4932">
        <v>59</v>
      </c>
      <c r="D4932" t="s">
        <v>5016</v>
      </c>
      <c r="E4932" t="s">
        <v>5018</v>
      </c>
      <c r="F4932" t="s">
        <v>5020</v>
      </c>
      <c r="G4932">
        <v>10.69</v>
      </c>
      <c r="H4932">
        <v>1</v>
      </c>
      <c r="I4932">
        <v>2.4</v>
      </c>
      <c r="J4932">
        <v>24.02</v>
      </c>
      <c r="K4932">
        <v>57.2</v>
      </c>
      <c r="L4932" t="s">
        <v>5026</v>
      </c>
      <c r="M4932">
        <v>2</v>
      </c>
      <c r="N4932">
        <v>2</v>
      </c>
      <c r="O4932">
        <v>0</v>
      </c>
    </row>
    <row r="4933" spans="1:15" x14ac:dyDescent="0.3">
      <c r="A4933" t="s">
        <v>4946</v>
      </c>
      <c r="B4933">
        <v>1</v>
      </c>
      <c r="C4933">
        <v>65</v>
      </c>
      <c r="D4933" t="s">
        <v>5015</v>
      </c>
      <c r="E4933" t="s">
        <v>5017</v>
      </c>
      <c r="F4933" t="s">
        <v>5023</v>
      </c>
      <c r="G4933">
        <v>10.26</v>
      </c>
      <c r="H4933">
        <v>5</v>
      </c>
      <c r="I4933">
        <v>1.2</v>
      </c>
      <c r="J4933">
        <v>23.22</v>
      </c>
      <c r="K4933">
        <v>64.400000000000006</v>
      </c>
      <c r="L4933" t="s">
        <v>5027</v>
      </c>
      <c r="M4933">
        <v>11</v>
      </c>
      <c r="N4933">
        <v>1</v>
      </c>
      <c r="O4933">
        <v>1</v>
      </c>
    </row>
    <row r="4934" spans="1:15" x14ac:dyDescent="0.3">
      <c r="A4934" t="s">
        <v>4947</v>
      </c>
      <c r="B4934">
        <v>5</v>
      </c>
      <c r="C4934">
        <v>43</v>
      </c>
      <c r="D4934" t="s">
        <v>5016</v>
      </c>
      <c r="E4934" t="s">
        <v>5018</v>
      </c>
      <c r="F4934" t="s">
        <v>5022</v>
      </c>
      <c r="G4934">
        <v>8.7200000000000006</v>
      </c>
      <c r="H4934">
        <v>2</v>
      </c>
      <c r="I4934">
        <v>5.5</v>
      </c>
      <c r="J4934">
        <v>13.47</v>
      </c>
      <c r="K4934">
        <v>75.599999999999994</v>
      </c>
      <c r="L4934" t="s">
        <v>5028</v>
      </c>
      <c r="M4934">
        <v>11</v>
      </c>
      <c r="N4934">
        <v>2</v>
      </c>
      <c r="O4934">
        <v>0</v>
      </c>
    </row>
    <row r="4935" spans="1:15" x14ac:dyDescent="0.3">
      <c r="A4935" t="s">
        <v>4948</v>
      </c>
      <c r="B4935">
        <v>7</v>
      </c>
      <c r="C4935">
        <v>57</v>
      </c>
      <c r="D4935" t="s">
        <v>5016</v>
      </c>
      <c r="E4935" t="s">
        <v>5017</v>
      </c>
      <c r="F4935" t="s">
        <v>5022</v>
      </c>
      <c r="G4935">
        <v>11.31</v>
      </c>
      <c r="H4935">
        <v>2</v>
      </c>
      <c r="I4935">
        <v>2.2000000000000002</v>
      </c>
      <c r="J4935">
        <v>13.15</v>
      </c>
      <c r="K4935">
        <v>14.6</v>
      </c>
      <c r="L4935" t="s">
        <v>5026</v>
      </c>
      <c r="M4935">
        <v>5</v>
      </c>
      <c r="N4935">
        <v>3</v>
      </c>
      <c r="O4935">
        <v>0</v>
      </c>
    </row>
    <row r="4936" spans="1:15" x14ac:dyDescent="0.3">
      <c r="A4936" t="s">
        <v>4949</v>
      </c>
      <c r="B4936">
        <v>8</v>
      </c>
      <c r="C4936">
        <v>26</v>
      </c>
      <c r="D4936" t="s">
        <v>5015</v>
      </c>
      <c r="E4936" t="s">
        <v>5017</v>
      </c>
      <c r="F4936" t="s">
        <v>5020</v>
      </c>
      <c r="G4936">
        <v>5.74</v>
      </c>
      <c r="H4936">
        <v>4</v>
      </c>
      <c r="I4936">
        <v>9.8000000000000007</v>
      </c>
      <c r="J4936">
        <v>5.77</v>
      </c>
      <c r="K4936">
        <v>34.799999999999997</v>
      </c>
      <c r="L4936" t="s">
        <v>5026</v>
      </c>
      <c r="M4936">
        <v>3</v>
      </c>
      <c r="N4936">
        <v>1</v>
      </c>
      <c r="O4936">
        <v>1</v>
      </c>
    </row>
    <row r="4937" spans="1:15" x14ac:dyDescent="0.3">
      <c r="A4937" t="s">
        <v>4950</v>
      </c>
      <c r="B4937">
        <v>10</v>
      </c>
      <c r="C4937">
        <v>58</v>
      </c>
      <c r="D4937" t="s">
        <v>5015</v>
      </c>
      <c r="E4937" t="s">
        <v>5018</v>
      </c>
      <c r="F4937" t="s">
        <v>5024</v>
      </c>
      <c r="G4937">
        <v>18.03</v>
      </c>
      <c r="H4937">
        <v>2</v>
      </c>
      <c r="I4937">
        <v>1.1000000000000001</v>
      </c>
      <c r="J4937">
        <v>24.38</v>
      </c>
      <c r="K4937">
        <v>42</v>
      </c>
      <c r="L4937" t="s">
        <v>5028</v>
      </c>
      <c r="M4937">
        <v>9</v>
      </c>
      <c r="N4937">
        <v>3</v>
      </c>
      <c r="O4937">
        <v>0</v>
      </c>
    </row>
    <row r="4938" spans="1:15" x14ac:dyDescent="0.3">
      <c r="A4938" t="s">
        <v>4951</v>
      </c>
      <c r="B4938">
        <v>1</v>
      </c>
      <c r="C4938">
        <v>51</v>
      </c>
      <c r="D4938" t="s">
        <v>5015</v>
      </c>
      <c r="E4938" t="s">
        <v>5018</v>
      </c>
      <c r="F4938" t="s">
        <v>5021</v>
      </c>
      <c r="G4938">
        <v>24.77</v>
      </c>
      <c r="H4938">
        <v>2</v>
      </c>
      <c r="I4938">
        <v>1.5</v>
      </c>
      <c r="J4938">
        <v>19.72</v>
      </c>
      <c r="K4938">
        <v>90.3</v>
      </c>
      <c r="L4938" t="s">
        <v>5028</v>
      </c>
      <c r="M4938">
        <v>2</v>
      </c>
      <c r="N4938">
        <v>1</v>
      </c>
      <c r="O4938">
        <v>0</v>
      </c>
    </row>
    <row r="4939" spans="1:15" x14ac:dyDescent="0.3">
      <c r="A4939" t="s">
        <v>4952</v>
      </c>
      <c r="B4939">
        <v>7</v>
      </c>
      <c r="C4939">
        <v>62</v>
      </c>
      <c r="D4939" t="s">
        <v>5015</v>
      </c>
      <c r="E4939" t="s">
        <v>5017</v>
      </c>
      <c r="F4939" t="s">
        <v>5023</v>
      </c>
      <c r="G4939">
        <v>17.68</v>
      </c>
      <c r="H4939">
        <v>5</v>
      </c>
      <c r="I4939">
        <v>8.5</v>
      </c>
      <c r="J4939">
        <v>21.65</v>
      </c>
      <c r="K4939">
        <v>91.1</v>
      </c>
      <c r="L4939" t="s">
        <v>5029</v>
      </c>
      <c r="M4939">
        <v>5</v>
      </c>
      <c r="N4939">
        <v>1</v>
      </c>
      <c r="O4939">
        <v>0</v>
      </c>
    </row>
    <row r="4940" spans="1:15" x14ac:dyDescent="0.3">
      <c r="A4940" t="s">
        <v>4953</v>
      </c>
      <c r="B4940">
        <v>5</v>
      </c>
      <c r="C4940">
        <v>30</v>
      </c>
      <c r="D4940" t="s">
        <v>5015</v>
      </c>
      <c r="E4940" t="s">
        <v>5018</v>
      </c>
      <c r="F4940" t="s">
        <v>5024</v>
      </c>
      <c r="G4940">
        <v>12.22</v>
      </c>
      <c r="H4940">
        <v>5</v>
      </c>
      <c r="I4940">
        <v>3.2</v>
      </c>
      <c r="J4940">
        <v>8.15</v>
      </c>
      <c r="K4940">
        <v>33.4</v>
      </c>
      <c r="L4940" t="s">
        <v>5025</v>
      </c>
      <c r="M4940">
        <v>5</v>
      </c>
      <c r="N4940">
        <v>0</v>
      </c>
      <c r="O4940">
        <v>0</v>
      </c>
    </row>
    <row r="4941" spans="1:15" x14ac:dyDescent="0.3">
      <c r="A4941" t="s">
        <v>4954</v>
      </c>
      <c r="B4941">
        <v>10</v>
      </c>
      <c r="C4941">
        <v>53</v>
      </c>
      <c r="D4941" t="s">
        <v>5015</v>
      </c>
      <c r="E4941" t="s">
        <v>5019</v>
      </c>
      <c r="F4941" t="s">
        <v>5022</v>
      </c>
      <c r="G4941">
        <v>18.36</v>
      </c>
      <c r="H4941">
        <v>1</v>
      </c>
      <c r="I4941">
        <v>9.1999999999999993</v>
      </c>
      <c r="J4941">
        <v>11.82</v>
      </c>
      <c r="K4941">
        <v>53.9</v>
      </c>
      <c r="L4941" t="s">
        <v>5025</v>
      </c>
      <c r="M4941">
        <v>5</v>
      </c>
      <c r="N4941">
        <v>0</v>
      </c>
      <c r="O4941">
        <v>0</v>
      </c>
    </row>
    <row r="4942" spans="1:15" x14ac:dyDescent="0.3">
      <c r="A4942" t="s">
        <v>4955</v>
      </c>
      <c r="B4942">
        <v>1</v>
      </c>
      <c r="C4942">
        <v>42</v>
      </c>
      <c r="D4942" t="s">
        <v>5015</v>
      </c>
      <c r="E4942" t="s">
        <v>5018</v>
      </c>
      <c r="F4942" t="s">
        <v>5024</v>
      </c>
      <c r="G4942">
        <v>16.43</v>
      </c>
      <c r="H4942">
        <v>1</v>
      </c>
      <c r="I4942">
        <v>3.8</v>
      </c>
      <c r="J4942">
        <v>5.26</v>
      </c>
      <c r="K4942">
        <v>48.2</v>
      </c>
      <c r="L4942" t="s">
        <v>5026</v>
      </c>
      <c r="M4942">
        <v>1</v>
      </c>
      <c r="N4942">
        <v>2</v>
      </c>
      <c r="O4942">
        <v>0</v>
      </c>
    </row>
    <row r="4943" spans="1:15" x14ac:dyDescent="0.3">
      <c r="A4943" t="s">
        <v>4956</v>
      </c>
      <c r="B4943">
        <v>3</v>
      </c>
      <c r="C4943">
        <v>41</v>
      </c>
      <c r="D4943" t="s">
        <v>5016</v>
      </c>
      <c r="E4943" t="s">
        <v>5018</v>
      </c>
      <c r="F4943" t="s">
        <v>5021</v>
      </c>
      <c r="G4943">
        <v>21.94</v>
      </c>
      <c r="H4943">
        <v>2</v>
      </c>
      <c r="I4943">
        <v>1.6</v>
      </c>
      <c r="J4943">
        <v>23.7</v>
      </c>
      <c r="K4943">
        <v>57.4</v>
      </c>
      <c r="L4943" t="s">
        <v>5028</v>
      </c>
      <c r="M4943">
        <v>10</v>
      </c>
      <c r="N4943">
        <v>1</v>
      </c>
      <c r="O4943">
        <v>0</v>
      </c>
    </row>
    <row r="4944" spans="1:15" x14ac:dyDescent="0.3">
      <c r="A4944" t="s">
        <v>4957</v>
      </c>
      <c r="B4944">
        <v>7</v>
      </c>
      <c r="C4944">
        <v>61</v>
      </c>
      <c r="D4944" t="s">
        <v>5015</v>
      </c>
      <c r="E4944" t="s">
        <v>5019</v>
      </c>
      <c r="F4944" t="s">
        <v>5022</v>
      </c>
      <c r="G4944">
        <v>17.440000000000001</v>
      </c>
      <c r="H4944">
        <v>3</v>
      </c>
      <c r="I4944">
        <v>1.1000000000000001</v>
      </c>
      <c r="J4944">
        <v>9.2899999999999991</v>
      </c>
      <c r="K4944">
        <v>35.799999999999997</v>
      </c>
      <c r="L4944" t="s">
        <v>5029</v>
      </c>
      <c r="M4944">
        <v>7</v>
      </c>
      <c r="N4944">
        <v>3</v>
      </c>
      <c r="O4944">
        <v>0</v>
      </c>
    </row>
    <row r="4945" spans="1:15" x14ac:dyDescent="0.3">
      <c r="A4945" t="s">
        <v>4958</v>
      </c>
      <c r="B4945">
        <v>10</v>
      </c>
      <c r="C4945">
        <v>34</v>
      </c>
      <c r="D4945" t="s">
        <v>5016</v>
      </c>
      <c r="E4945" t="s">
        <v>5019</v>
      </c>
      <c r="F4945" t="s">
        <v>5020</v>
      </c>
      <c r="G4945">
        <v>17.68</v>
      </c>
      <c r="H4945">
        <v>1</v>
      </c>
      <c r="I4945">
        <v>3.5</v>
      </c>
      <c r="J4945">
        <v>16.11</v>
      </c>
      <c r="K4945">
        <v>51.7</v>
      </c>
      <c r="L4945" t="s">
        <v>5027</v>
      </c>
      <c r="M4945">
        <v>2</v>
      </c>
      <c r="N4945">
        <v>0</v>
      </c>
      <c r="O4945">
        <v>0</v>
      </c>
    </row>
    <row r="4946" spans="1:15" x14ac:dyDescent="0.3">
      <c r="A4946" t="s">
        <v>4959</v>
      </c>
      <c r="B4946">
        <v>1</v>
      </c>
      <c r="C4946">
        <v>19</v>
      </c>
      <c r="D4946" t="s">
        <v>5016</v>
      </c>
      <c r="E4946" t="s">
        <v>5018</v>
      </c>
      <c r="F4946" t="s">
        <v>5023</v>
      </c>
      <c r="G4946">
        <v>9.43</v>
      </c>
      <c r="H4946">
        <v>2</v>
      </c>
      <c r="I4946">
        <v>5.3</v>
      </c>
      <c r="J4946">
        <v>6.35</v>
      </c>
      <c r="K4946">
        <v>23.1</v>
      </c>
      <c r="L4946" t="s">
        <v>5025</v>
      </c>
      <c r="M4946">
        <v>2</v>
      </c>
      <c r="N4946">
        <v>3</v>
      </c>
      <c r="O4946">
        <v>1</v>
      </c>
    </row>
    <row r="4947" spans="1:15" x14ac:dyDescent="0.3">
      <c r="A4947" t="s">
        <v>4960</v>
      </c>
      <c r="B4947">
        <v>7</v>
      </c>
      <c r="C4947">
        <v>30</v>
      </c>
      <c r="D4947" t="s">
        <v>5015</v>
      </c>
      <c r="E4947" t="s">
        <v>5019</v>
      </c>
      <c r="F4947" t="s">
        <v>5023</v>
      </c>
      <c r="G4947">
        <v>13.31</v>
      </c>
      <c r="H4947">
        <v>5</v>
      </c>
      <c r="I4947">
        <v>1</v>
      </c>
      <c r="J4947">
        <v>20.66</v>
      </c>
      <c r="K4947">
        <v>73.900000000000006</v>
      </c>
      <c r="L4947" t="s">
        <v>5025</v>
      </c>
      <c r="M4947">
        <v>9</v>
      </c>
      <c r="N4947">
        <v>0</v>
      </c>
      <c r="O4947">
        <v>0</v>
      </c>
    </row>
    <row r="4948" spans="1:15" x14ac:dyDescent="0.3">
      <c r="A4948" t="s">
        <v>4961</v>
      </c>
      <c r="B4948">
        <v>5</v>
      </c>
      <c r="C4948">
        <v>48</v>
      </c>
      <c r="D4948" t="s">
        <v>5016</v>
      </c>
      <c r="E4948" t="s">
        <v>5017</v>
      </c>
      <c r="F4948" t="s">
        <v>5022</v>
      </c>
      <c r="G4948">
        <v>11.89</v>
      </c>
      <c r="H4948">
        <v>4</v>
      </c>
      <c r="I4948">
        <v>6.2</v>
      </c>
      <c r="J4948">
        <v>7.1</v>
      </c>
      <c r="K4948">
        <v>43.3</v>
      </c>
      <c r="L4948" t="s">
        <v>5028</v>
      </c>
      <c r="M4948">
        <v>1</v>
      </c>
      <c r="N4948">
        <v>1</v>
      </c>
      <c r="O4948">
        <v>0</v>
      </c>
    </row>
    <row r="4949" spans="1:15" x14ac:dyDescent="0.3">
      <c r="A4949" t="s">
        <v>4962</v>
      </c>
      <c r="B4949">
        <v>1</v>
      </c>
      <c r="C4949">
        <v>46</v>
      </c>
      <c r="D4949" t="s">
        <v>5015</v>
      </c>
      <c r="E4949" t="s">
        <v>5018</v>
      </c>
      <c r="F4949" t="s">
        <v>5020</v>
      </c>
      <c r="G4949">
        <v>5.23</v>
      </c>
      <c r="H4949">
        <v>5</v>
      </c>
      <c r="I4949">
        <v>4</v>
      </c>
      <c r="J4949">
        <v>20.81</v>
      </c>
      <c r="K4949">
        <v>58.8</v>
      </c>
      <c r="L4949" t="s">
        <v>5027</v>
      </c>
      <c r="M4949">
        <v>9</v>
      </c>
      <c r="N4949">
        <v>3</v>
      </c>
      <c r="O4949">
        <v>0</v>
      </c>
    </row>
    <row r="4950" spans="1:15" x14ac:dyDescent="0.3">
      <c r="A4950" t="s">
        <v>4963</v>
      </c>
      <c r="B4950">
        <v>1</v>
      </c>
      <c r="C4950">
        <v>67</v>
      </c>
      <c r="D4950" t="s">
        <v>5016</v>
      </c>
      <c r="E4950" t="s">
        <v>5017</v>
      </c>
      <c r="F4950" t="s">
        <v>5021</v>
      </c>
      <c r="G4950">
        <v>11.27</v>
      </c>
      <c r="H4950">
        <v>5</v>
      </c>
      <c r="I4950">
        <v>4.5</v>
      </c>
      <c r="J4950">
        <v>11.84</v>
      </c>
      <c r="K4950">
        <v>64.400000000000006</v>
      </c>
      <c r="L4950" t="s">
        <v>5025</v>
      </c>
      <c r="M4950">
        <v>6</v>
      </c>
      <c r="N4950">
        <v>2</v>
      </c>
      <c r="O4950">
        <v>0</v>
      </c>
    </row>
    <row r="4951" spans="1:15" x14ac:dyDescent="0.3">
      <c r="A4951" t="s">
        <v>4964</v>
      </c>
      <c r="B4951">
        <v>1</v>
      </c>
      <c r="C4951">
        <v>45</v>
      </c>
      <c r="D4951" t="s">
        <v>5016</v>
      </c>
      <c r="E4951" t="s">
        <v>5017</v>
      </c>
      <c r="F4951" t="s">
        <v>5023</v>
      </c>
      <c r="G4951">
        <v>14.72</v>
      </c>
      <c r="H4951">
        <v>4</v>
      </c>
      <c r="I4951">
        <v>3.4</v>
      </c>
      <c r="J4951">
        <v>15.71</v>
      </c>
      <c r="K4951">
        <v>85.3</v>
      </c>
      <c r="L4951" t="s">
        <v>5029</v>
      </c>
      <c r="M4951">
        <v>5</v>
      </c>
      <c r="N4951">
        <v>2</v>
      </c>
      <c r="O4951">
        <v>0</v>
      </c>
    </row>
    <row r="4952" spans="1:15" x14ac:dyDescent="0.3">
      <c r="A4952" t="s">
        <v>4965</v>
      </c>
      <c r="B4952">
        <v>11</v>
      </c>
      <c r="C4952">
        <v>44</v>
      </c>
      <c r="D4952" t="s">
        <v>5016</v>
      </c>
      <c r="E4952" t="s">
        <v>5018</v>
      </c>
      <c r="F4952" t="s">
        <v>5022</v>
      </c>
      <c r="G4952">
        <v>17</v>
      </c>
      <c r="H4952">
        <v>5</v>
      </c>
      <c r="I4952">
        <v>5.8</v>
      </c>
      <c r="J4952">
        <v>8.93</v>
      </c>
      <c r="K4952">
        <v>17.399999999999999</v>
      </c>
      <c r="L4952" t="s">
        <v>5025</v>
      </c>
      <c r="M4952">
        <v>5</v>
      </c>
      <c r="N4952">
        <v>2</v>
      </c>
      <c r="O4952">
        <v>0</v>
      </c>
    </row>
    <row r="4953" spans="1:15" x14ac:dyDescent="0.3">
      <c r="A4953" t="s">
        <v>4966</v>
      </c>
      <c r="B4953">
        <v>9</v>
      </c>
      <c r="C4953">
        <v>32</v>
      </c>
      <c r="D4953" t="s">
        <v>5015</v>
      </c>
      <c r="E4953" t="s">
        <v>5017</v>
      </c>
      <c r="F4953" t="s">
        <v>5023</v>
      </c>
      <c r="G4953">
        <v>23.69</v>
      </c>
      <c r="H4953">
        <v>1</v>
      </c>
      <c r="I4953">
        <v>3.1</v>
      </c>
      <c r="J4953">
        <v>22.42</v>
      </c>
      <c r="K4953">
        <v>53.4</v>
      </c>
      <c r="L4953" t="s">
        <v>5028</v>
      </c>
      <c r="M4953">
        <v>5</v>
      </c>
      <c r="N4953">
        <v>0</v>
      </c>
      <c r="O4953">
        <v>0</v>
      </c>
    </row>
    <row r="4954" spans="1:15" x14ac:dyDescent="0.3">
      <c r="A4954" t="s">
        <v>4967</v>
      </c>
      <c r="B4954">
        <v>11</v>
      </c>
      <c r="C4954">
        <v>48</v>
      </c>
      <c r="D4954" t="s">
        <v>5016</v>
      </c>
      <c r="E4954" t="s">
        <v>5018</v>
      </c>
      <c r="F4954" t="s">
        <v>5020</v>
      </c>
      <c r="G4954">
        <v>9.7799999999999994</v>
      </c>
      <c r="H4954">
        <v>5</v>
      </c>
      <c r="I4954">
        <v>2.2000000000000002</v>
      </c>
      <c r="J4954">
        <v>19.72</v>
      </c>
      <c r="K4954">
        <v>90.5</v>
      </c>
      <c r="L4954" t="s">
        <v>5028</v>
      </c>
      <c r="M4954">
        <v>6</v>
      </c>
      <c r="N4954">
        <v>0</v>
      </c>
      <c r="O4954">
        <v>0</v>
      </c>
    </row>
    <row r="4955" spans="1:15" x14ac:dyDescent="0.3">
      <c r="A4955" t="s">
        <v>4968</v>
      </c>
      <c r="B4955">
        <v>3</v>
      </c>
      <c r="C4955">
        <v>57</v>
      </c>
      <c r="D4955" t="s">
        <v>5016</v>
      </c>
      <c r="E4955" t="s">
        <v>5018</v>
      </c>
      <c r="F4955" t="s">
        <v>5021</v>
      </c>
      <c r="G4955">
        <v>8.0500000000000007</v>
      </c>
      <c r="H4955">
        <v>4</v>
      </c>
      <c r="I4955">
        <v>9</v>
      </c>
      <c r="J4955">
        <v>10.79</v>
      </c>
      <c r="K4955">
        <v>39.700000000000003</v>
      </c>
      <c r="L4955" t="s">
        <v>5027</v>
      </c>
      <c r="M4955">
        <v>7</v>
      </c>
      <c r="N4955">
        <v>2</v>
      </c>
      <c r="O4955">
        <v>1</v>
      </c>
    </row>
    <row r="4956" spans="1:15" x14ac:dyDescent="0.3">
      <c r="A4956" t="s">
        <v>4969</v>
      </c>
      <c r="B4956">
        <v>5</v>
      </c>
      <c r="C4956">
        <v>32</v>
      </c>
      <c r="D4956" t="s">
        <v>5016</v>
      </c>
      <c r="E4956" t="s">
        <v>5018</v>
      </c>
      <c r="F4956" t="s">
        <v>5020</v>
      </c>
      <c r="G4956">
        <v>22.39</v>
      </c>
      <c r="H4956">
        <v>2</v>
      </c>
      <c r="I4956">
        <v>4.5</v>
      </c>
      <c r="J4956">
        <v>15.88</v>
      </c>
      <c r="K4956">
        <v>50</v>
      </c>
      <c r="L4956" t="s">
        <v>5025</v>
      </c>
      <c r="M4956">
        <v>11</v>
      </c>
      <c r="N4956">
        <v>3</v>
      </c>
      <c r="O4956">
        <v>0</v>
      </c>
    </row>
    <row r="4957" spans="1:15" x14ac:dyDescent="0.3">
      <c r="A4957" t="s">
        <v>4970</v>
      </c>
      <c r="B4957">
        <v>11</v>
      </c>
      <c r="C4957">
        <v>50</v>
      </c>
      <c r="D4957" t="s">
        <v>5015</v>
      </c>
      <c r="E4957" t="s">
        <v>5017</v>
      </c>
      <c r="F4957" t="s">
        <v>5024</v>
      </c>
      <c r="G4957">
        <v>23.84</v>
      </c>
      <c r="H4957">
        <v>2</v>
      </c>
      <c r="I4957">
        <v>1.7</v>
      </c>
      <c r="J4957">
        <v>5.84</v>
      </c>
      <c r="K4957">
        <v>17.7</v>
      </c>
      <c r="L4957" t="s">
        <v>5027</v>
      </c>
      <c r="M4957">
        <v>9</v>
      </c>
      <c r="N4957">
        <v>0</v>
      </c>
      <c r="O4957">
        <v>0</v>
      </c>
    </row>
    <row r="4958" spans="1:15" x14ac:dyDescent="0.3">
      <c r="A4958" t="s">
        <v>4971</v>
      </c>
      <c r="B4958">
        <v>10</v>
      </c>
      <c r="C4958">
        <v>37</v>
      </c>
      <c r="D4958" t="s">
        <v>5016</v>
      </c>
      <c r="E4958" t="s">
        <v>5017</v>
      </c>
      <c r="F4958" t="s">
        <v>5020</v>
      </c>
      <c r="G4958">
        <v>14.76</v>
      </c>
      <c r="H4958">
        <v>2</v>
      </c>
      <c r="I4958">
        <v>3.1</v>
      </c>
      <c r="J4958">
        <v>6.53</v>
      </c>
      <c r="K4958">
        <v>77.599999999999994</v>
      </c>
      <c r="L4958" t="s">
        <v>5025</v>
      </c>
      <c r="M4958">
        <v>2</v>
      </c>
      <c r="N4958">
        <v>2</v>
      </c>
      <c r="O4958">
        <v>0</v>
      </c>
    </row>
    <row r="4959" spans="1:15" x14ac:dyDescent="0.3">
      <c r="A4959" t="s">
        <v>4972</v>
      </c>
      <c r="B4959">
        <v>12</v>
      </c>
      <c r="C4959">
        <v>59</v>
      </c>
      <c r="D4959" t="s">
        <v>5015</v>
      </c>
      <c r="E4959" t="s">
        <v>5018</v>
      </c>
      <c r="F4959" t="s">
        <v>5020</v>
      </c>
      <c r="G4959">
        <v>7.3</v>
      </c>
      <c r="H4959">
        <v>4</v>
      </c>
      <c r="I4959">
        <v>3.8</v>
      </c>
      <c r="J4959">
        <v>14.74</v>
      </c>
      <c r="K4959">
        <v>17.7</v>
      </c>
      <c r="L4959" t="s">
        <v>5026</v>
      </c>
      <c r="M4959">
        <v>4</v>
      </c>
      <c r="N4959">
        <v>0</v>
      </c>
      <c r="O4959">
        <v>0</v>
      </c>
    </row>
    <row r="4960" spans="1:15" x14ac:dyDescent="0.3">
      <c r="A4960" t="s">
        <v>4973</v>
      </c>
      <c r="B4960">
        <v>9</v>
      </c>
      <c r="C4960">
        <v>29</v>
      </c>
      <c r="D4960" t="s">
        <v>5016</v>
      </c>
      <c r="E4960" t="s">
        <v>5019</v>
      </c>
      <c r="F4960" t="s">
        <v>5023</v>
      </c>
      <c r="G4960">
        <v>14.71</v>
      </c>
      <c r="H4960">
        <v>4</v>
      </c>
      <c r="I4960">
        <v>7.9</v>
      </c>
      <c r="J4960">
        <v>17.09</v>
      </c>
      <c r="K4960">
        <v>66.8</v>
      </c>
      <c r="L4960" t="s">
        <v>5025</v>
      </c>
      <c r="M4960">
        <v>11</v>
      </c>
      <c r="N4960">
        <v>4</v>
      </c>
      <c r="O4960">
        <v>0</v>
      </c>
    </row>
    <row r="4961" spans="1:15" x14ac:dyDescent="0.3">
      <c r="A4961" t="s">
        <v>4974</v>
      </c>
      <c r="B4961">
        <v>6</v>
      </c>
      <c r="C4961">
        <v>54</v>
      </c>
      <c r="D4961" t="s">
        <v>5016</v>
      </c>
      <c r="E4961" t="s">
        <v>5017</v>
      </c>
      <c r="F4961" t="s">
        <v>5020</v>
      </c>
      <c r="G4961">
        <v>7.19</v>
      </c>
      <c r="H4961">
        <v>1</v>
      </c>
      <c r="I4961">
        <v>1.2</v>
      </c>
      <c r="J4961">
        <v>15.26</v>
      </c>
      <c r="K4961">
        <v>43.7</v>
      </c>
      <c r="L4961" t="s">
        <v>5028</v>
      </c>
      <c r="M4961">
        <v>5</v>
      </c>
      <c r="N4961">
        <v>3</v>
      </c>
      <c r="O4961">
        <v>0</v>
      </c>
    </row>
    <row r="4962" spans="1:15" x14ac:dyDescent="0.3">
      <c r="A4962" t="s">
        <v>4975</v>
      </c>
      <c r="B4962">
        <v>12</v>
      </c>
      <c r="C4962">
        <v>26</v>
      </c>
      <c r="D4962" t="s">
        <v>5016</v>
      </c>
      <c r="E4962" t="s">
        <v>5017</v>
      </c>
      <c r="F4962" t="s">
        <v>5022</v>
      </c>
      <c r="G4962">
        <v>22.66</v>
      </c>
      <c r="H4962">
        <v>4</v>
      </c>
      <c r="I4962">
        <v>5.3</v>
      </c>
      <c r="J4962">
        <v>15.31</v>
      </c>
      <c r="K4962">
        <v>40.4</v>
      </c>
      <c r="L4962" t="s">
        <v>5028</v>
      </c>
      <c r="M4962">
        <v>6</v>
      </c>
      <c r="N4962">
        <v>1</v>
      </c>
      <c r="O4962">
        <v>0</v>
      </c>
    </row>
    <row r="4963" spans="1:15" x14ac:dyDescent="0.3">
      <c r="A4963" t="s">
        <v>4976</v>
      </c>
      <c r="B4963">
        <v>9</v>
      </c>
      <c r="C4963">
        <v>40</v>
      </c>
      <c r="D4963" t="s">
        <v>5015</v>
      </c>
      <c r="E4963" t="s">
        <v>5019</v>
      </c>
      <c r="F4963" t="s">
        <v>5023</v>
      </c>
      <c r="G4963">
        <v>19.16</v>
      </c>
      <c r="H4963">
        <v>2</v>
      </c>
      <c r="I4963">
        <v>4.7</v>
      </c>
      <c r="J4963">
        <v>19.329999999999998</v>
      </c>
      <c r="K4963">
        <v>62.7</v>
      </c>
      <c r="L4963" t="s">
        <v>5026</v>
      </c>
      <c r="M4963">
        <v>7</v>
      </c>
      <c r="N4963">
        <v>3</v>
      </c>
      <c r="O4963">
        <v>0</v>
      </c>
    </row>
    <row r="4964" spans="1:15" x14ac:dyDescent="0.3">
      <c r="A4964" t="s">
        <v>4977</v>
      </c>
      <c r="B4964">
        <v>8</v>
      </c>
      <c r="C4964">
        <v>25</v>
      </c>
      <c r="D4964" t="s">
        <v>5016</v>
      </c>
      <c r="E4964" t="s">
        <v>5017</v>
      </c>
      <c r="F4964" t="s">
        <v>5023</v>
      </c>
      <c r="G4964">
        <v>9.82</v>
      </c>
      <c r="H4964">
        <v>4</v>
      </c>
      <c r="I4964">
        <v>9.6999999999999993</v>
      </c>
      <c r="J4964">
        <v>22.85</v>
      </c>
      <c r="K4964">
        <v>61.1</v>
      </c>
      <c r="L4964" t="s">
        <v>5025</v>
      </c>
      <c r="M4964">
        <v>3</v>
      </c>
      <c r="N4964">
        <v>1</v>
      </c>
      <c r="O4964">
        <v>0</v>
      </c>
    </row>
    <row r="4965" spans="1:15" x14ac:dyDescent="0.3">
      <c r="A4965" t="s">
        <v>4978</v>
      </c>
      <c r="B4965">
        <v>8</v>
      </c>
      <c r="C4965">
        <v>49</v>
      </c>
      <c r="D4965" t="s">
        <v>5016</v>
      </c>
      <c r="E4965" t="s">
        <v>5019</v>
      </c>
      <c r="F4965" t="s">
        <v>5024</v>
      </c>
      <c r="G4965">
        <v>22.73</v>
      </c>
      <c r="H4965">
        <v>3</v>
      </c>
      <c r="I4965">
        <v>2.6</v>
      </c>
      <c r="J4965">
        <v>11.53</v>
      </c>
      <c r="K4965">
        <v>46.5</v>
      </c>
      <c r="L4965" t="s">
        <v>5025</v>
      </c>
      <c r="M4965">
        <v>3</v>
      </c>
      <c r="N4965">
        <v>2</v>
      </c>
      <c r="O4965">
        <v>0</v>
      </c>
    </row>
    <row r="4966" spans="1:15" x14ac:dyDescent="0.3">
      <c r="A4966" t="s">
        <v>4979</v>
      </c>
      <c r="B4966">
        <v>1</v>
      </c>
      <c r="C4966">
        <v>65</v>
      </c>
      <c r="D4966" t="s">
        <v>5016</v>
      </c>
      <c r="E4966" t="s">
        <v>5018</v>
      </c>
      <c r="F4966" t="s">
        <v>5022</v>
      </c>
      <c r="G4966">
        <v>17.760000000000002</v>
      </c>
      <c r="H4966">
        <v>5</v>
      </c>
      <c r="I4966">
        <v>6.7</v>
      </c>
      <c r="J4966">
        <v>14.81</v>
      </c>
      <c r="K4966">
        <v>35.1</v>
      </c>
      <c r="L4966" t="s">
        <v>5028</v>
      </c>
      <c r="M4966">
        <v>9</v>
      </c>
      <c r="N4966">
        <v>0</v>
      </c>
      <c r="O4966">
        <v>0</v>
      </c>
    </row>
    <row r="4967" spans="1:15" x14ac:dyDescent="0.3">
      <c r="A4967" t="s">
        <v>4980</v>
      </c>
      <c r="B4967">
        <v>9</v>
      </c>
      <c r="C4967">
        <v>31</v>
      </c>
      <c r="D4967" t="s">
        <v>5016</v>
      </c>
      <c r="E4967" t="s">
        <v>5018</v>
      </c>
      <c r="F4967" t="s">
        <v>5020</v>
      </c>
      <c r="G4967">
        <v>24.07</v>
      </c>
      <c r="H4967">
        <v>1</v>
      </c>
      <c r="I4967">
        <v>2.8</v>
      </c>
      <c r="J4967">
        <v>22.65</v>
      </c>
      <c r="K4967">
        <v>55.7</v>
      </c>
      <c r="L4967" t="s">
        <v>5026</v>
      </c>
      <c r="M4967">
        <v>9</v>
      </c>
      <c r="N4967">
        <v>2</v>
      </c>
      <c r="O4967">
        <v>0</v>
      </c>
    </row>
    <row r="4968" spans="1:15" x14ac:dyDescent="0.3">
      <c r="A4968" t="s">
        <v>4981</v>
      </c>
      <c r="B4968">
        <v>6</v>
      </c>
      <c r="C4968">
        <v>44</v>
      </c>
      <c r="D4968" t="s">
        <v>5015</v>
      </c>
      <c r="E4968" t="s">
        <v>5018</v>
      </c>
      <c r="F4968" t="s">
        <v>5024</v>
      </c>
      <c r="G4968">
        <v>24.61</v>
      </c>
      <c r="H4968">
        <v>2</v>
      </c>
      <c r="I4968">
        <v>5.9</v>
      </c>
      <c r="J4968">
        <v>13.21</v>
      </c>
      <c r="K4968">
        <v>34</v>
      </c>
      <c r="L4968" t="s">
        <v>5028</v>
      </c>
      <c r="M4968">
        <v>2</v>
      </c>
      <c r="N4968">
        <v>1</v>
      </c>
      <c r="O4968">
        <v>0</v>
      </c>
    </row>
    <row r="4969" spans="1:15" x14ac:dyDescent="0.3">
      <c r="A4969" t="s">
        <v>4982</v>
      </c>
      <c r="B4969">
        <v>9</v>
      </c>
      <c r="C4969">
        <v>42</v>
      </c>
      <c r="D4969" t="s">
        <v>5016</v>
      </c>
      <c r="E4969" t="s">
        <v>5017</v>
      </c>
      <c r="F4969" t="s">
        <v>5022</v>
      </c>
      <c r="G4969">
        <v>5.07</v>
      </c>
      <c r="H4969">
        <v>2</v>
      </c>
      <c r="I4969">
        <v>6</v>
      </c>
      <c r="J4969">
        <v>12.79</v>
      </c>
      <c r="K4969">
        <v>19.2</v>
      </c>
      <c r="L4969" t="s">
        <v>5026</v>
      </c>
      <c r="M4969">
        <v>4</v>
      </c>
      <c r="N4969">
        <v>4</v>
      </c>
      <c r="O4969">
        <v>0</v>
      </c>
    </row>
    <row r="4970" spans="1:15" x14ac:dyDescent="0.3">
      <c r="A4970" t="s">
        <v>4983</v>
      </c>
      <c r="B4970">
        <v>3</v>
      </c>
      <c r="C4970">
        <v>30</v>
      </c>
      <c r="D4970" t="s">
        <v>5016</v>
      </c>
      <c r="E4970" t="s">
        <v>5018</v>
      </c>
      <c r="F4970" t="s">
        <v>5024</v>
      </c>
      <c r="G4970">
        <v>7.4</v>
      </c>
      <c r="H4970">
        <v>3</v>
      </c>
      <c r="I4970">
        <v>1.7</v>
      </c>
      <c r="J4970">
        <v>19.86</v>
      </c>
      <c r="K4970">
        <v>81.900000000000006</v>
      </c>
      <c r="L4970" t="s">
        <v>5028</v>
      </c>
      <c r="M4970">
        <v>4</v>
      </c>
      <c r="N4970">
        <v>1</v>
      </c>
      <c r="O4970">
        <v>0</v>
      </c>
    </row>
    <row r="4971" spans="1:15" x14ac:dyDescent="0.3">
      <c r="A4971" t="s">
        <v>4984</v>
      </c>
      <c r="B4971">
        <v>12</v>
      </c>
      <c r="C4971">
        <v>38</v>
      </c>
      <c r="D4971" t="s">
        <v>5016</v>
      </c>
      <c r="E4971" t="s">
        <v>5019</v>
      </c>
      <c r="F4971" t="s">
        <v>5021</v>
      </c>
      <c r="G4971">
        <v>15.94</v>
      </c>
      <c r="H4971">
        <v>1</v>
      </c>
      <c r="I4971">
        <v>5.0999999999999996</v>
      </c>
      <c r="J4971">
        <v>22.3</v>
      </c>
      <c r="K4971">
        <v>73.2</v>
      </c>
      <c r="L4971" t="s">
        <v>5029</v>
      </c>
      <c r="M4971">
        <v>5</v>
      </c>
      <c r="N4971">
        <v>0</v>
      </c>
      <c r="O4971">
        <v>1</v>
      </c>
    </row>
    <row r="4972" spans="1:15" x14ac:dyDescent="0.3">
      <c r="A4972" t="s">
        <v>4985</v>
      </c>
      <c r="B4972">
        <v>3</v>
      </c>
      <c r="C4972">
        <v>62</v>
      </c>
      <c r="D4972" t="s">
        <v>5016</v>
      </c>
      <c r="E4972" t="s">
        <v>5019</v>
      </c>
      <c r="F4972" t="s">
        <v>5020</v>
      </c>
      <c r="G4972">
        <v>24.12</v>
      </c>
      <c r="H4972">
        <v>5</v>
      </c>
      <c r="I4972">
        <v>5.2</v>
      </c>
      <c r="J4972">
        <v>19.23</v>
      </c>
      <c r="K4972">
        <v>17.600000000000001</v>
      </c>
      <c r="L4972" t="s">
        <v>5025</v>
      </c>
      <c r="M4972">
        <v>2</v>
      </c>
      <c r="N4972">
        <v>4</v>
      </c>
      <c r="O4972">
        <v>0</v>
      </c>
    </row>
    <row r="4973" spans="1:15" x14ac:dyDescent="0.3">
      <c r="A4973" t="s">
        <v>4986</v>
      </c>
      <c r="B4973">
        <v>6</v>
      </c>
      <c r="C4973">
        <v>48</v>
      </c>
      <c r="D4973" t="s">
        <v>5015</v>
      </c>
      <c r="E4973" t="s">
        <v>5018</v>
      </c>
      <c r="F4973" t="s">
        <v>5024</v>
      </c>
      <c r="G4973">
        <v>24.88</v>
      </c>
      <c r="H4973">
        <v>1</v>
      </c>
      <c r="I4973">
        <v>3.9</v>
      </c>
      <c r="J4973">
        <v>5.2</v>
      </c>
      <c r="K4973">
        <v>24.6</v>
      </c>
      <c r="L4973" t="s">
        <v>5027</v>
      </c>
      <c r="M4973">
        <v>11</v>
      </c>
      <c r="N4973">
        <v>0</v>
      </c>
      <c r="O4973">
        <v>1</v>
      </c>
    </row>
    <row r="4974" spans="1:15" x14ac:dyDescent="0.3">
      <c r="A4974" t="s">
        <v>4987</v>
      </c>
      <c r="B4974">
        <v>9</v>
      </c>
      <c r="C4974">
        <v>54</v>
      </c>
      <c r="D4974" t="s">
        <v>5016</v>
      </c>
      <c r="E4974" t="s">
        <v>5019</v>
      </c>
      <c r="F4974" t="s">
        <v>5021</v>
      </c>
      <c r="G4974">
        <v>16.350000000000001</v>
      </c>
      <c r="H4974">
        <v>1</v>
      </c>
      <c r="I4974">
        <v>3.5</v>
      </c>
      <c r="J4974">
        <v>13.22</v>
      </c>
      <c r="K4974">
        <v>19</v>
      </c>
      <c r="L4974" t="s">
        <v>5029</v>
      </c>
      <c r="M4974">
        <v>11</v>
      </c>
      <c r="N4974">
        <v>4</v>
      </c>
      <c r="O4974">
        <v>0</v>
      </c>
    </row>
    <row r="4975" spans="1:15" x14ac:dyDescent="0.3">
      <c r="A4975" t="s">
        <v>4988</v>
      </c>
      <c r="B4975">
        <v>7</v>
      </c>
      <c r="C4975">
        <v>65</v>
      </c>
      <c r="D4975" t="s">
        <v>5016</v>
      </c>
      <c r="E4975" t="s">
        <v>5017</v>
      </c>
      <c r="F4975" t="s">
        <v>5020</v>
      </c>
      <c r="G4975">
        <v>8.48</v>
      </c>
      <c r="H4975">
        <v>2</v>
      </c>
      <c r="I4975">
        <v>3</v>
      </c>
      <c r="J4975">
        <v>7.66</v>
      </c>
      <c r="K4975">
        <v>81.2</v>
      </c>
      <c r="L4975" t="s">
        <v>5028</v>
      </c>
      <c r="M4975">
        <v>4</v>
      </c>
      <c r="N4975">
        <v>0</v>
      </c>
      <c r="O4975">
        <v>0</v>
      </c>
    </row>
    <row r="4976" spans="1:15" x14ac:dyDescent="0.3">
      <c r="A4976" t="s">
        <v>4989</v>
      </c>
      <c r="B4976">
        <v>3</v>
      </c>
      <c r="C4976">
        <v>60</v>
      </c>
      <c r="D4976" t="s">
        <v>5015</v>
      </c>
      <c r="E4976" t="s">
        <v>5018</v>
      </c>
      <c r="F4976" t="s">
        <v>5024</v>
      </c>
      <c r="G4976">
        <v>8.26</v>
      </c>
      <c r="H4976">
        <v>4</v>
      </c>
      <c r="I4976">
        <v>1.1000000000000001</v>
      </c>
      <c r="J4976">
        <v>9.98</v>
      </c>
      <c r="K4976">
        <v>79.599999999999994</v>
      </c>
      <c r="L4976" t="s">
        <v>5026</v>
      </c>
      <c r="M4976">
        <v>11</v>
      </c>
      <c r="N4976">
        <v>1</v>
      </c>
      <c r="O4976">
        <v>0</v>
      </c>
    </row>
    <row r="4977" spans="1:15" x14ac:dyDescent="0.3">
      <c r="A4977" t="s">
        <v>4990</v>
      </c>
      <c r="B4977">
        <v>3</v>
      </c>
      <c r="C4977">
        <v>22</v>
      </c>
      <c r="D4977" t="s">
        <v>5016</v>
      </c>
      <c r="E4977" t="s">
        <v>5018</v>
      </c>
      <c r="F4977" t="s">
        <v>5024</v>
      </c>
      <c r="G4977">
        <v>20.28</v>
      </c>
      <c r="H4977">
        <v>5</v>
      </c>
      <c r="I4977">
        <v>1</v>
      </c>
      <c r="J4977">
        <v>13.31</v>
      </c>
      <c r="K4977">
        <v>46.7</v>
      </c>
      <c r="L4977" t="s">
        <v>5027</v>
      </c>
      <c r="M4977">
        <v>3</v>
      </c>
      <c r="N4977">
        <v>1</v>
      </c>
      <c r="O4977">
        <v>0</v>
      </c>
    </row>
    <row r="4978" spans="1:15" x14ac:dyDescent="0.3">
      <c r="A4978" t="s">
        <v>4991</v>
      </c>
      <c r="B4978">
        <v>2</v>
      </c>
      <c r="C4978">
        <v>30</v>
      </c>
      <c r="D4978" t="s">
        <v>5016</v>
      </c>
      <c r="E4978" t="s">
        <v>5019</v>
      </c>
      <c r="F4978" t="s">
        <v>5024</v>
      </c>
      <c r="G4978">
        <v>16.84</v>
      </c>
      <c r="H4978">
        <v>1</v>
      </c>
      <c r="I4978">
        <v>6.3</v>
      </c>
      <c r="J4978">
        <v>7.87</v>
      </c>
      <c r="K4978">
        <v>83.9</v>
      </c>
      <c r="L4978" t="s">
        <v>5026</v>
      </c>
      <c r="M4978">
        <v>11</v>
      </c>
      <c r="N4978">
        <v>1</v>
      </c>
      <c r="O4978">
        <v>0</v>
      </c>
    </row>
    <row r="4979" spans="1:15" x14ac:dyDescent="0.3">
      <c r="A4979" t="s">
        <v>4992</v>
      </c>
      <c r="B4979">
        <v>9</v>
      </c>
      <c r="C4979">
        <v>45</v>
      </c>
      <c r="D4979" t="s">
        <v>5016</v>
      </c>
      <c r="E4979" t="s">
        <v>5018</v>
      </c>
      <c r="F4979" t="s">
        <v>5024</v>
      </c>
      <c r="G4979">
        <v>15.98</v>
      </c>
      <c r="H4979">
        <v>3</v>
      </c>
      <c r="I4979">
        <v>3.6</v>
      </c>
      <c r="J4979">
        <v>14.35</v>
      </c>
      <c r="K4979">
        <v>97.7</v>
      </c>
      <c r="L4979" t="s">
        <v>5026</v>
      </c>
      <c r="M4979">
        <v>6</v>
      </c>
      <c r="N4979">
        <v>1</v>
      </c>
      <c r="O4979">
        <v>0</v>
      </c>
    </row>
    <row r="4980" spans="1:15" x14ac:dyDescent="0.3">
      <c r="A4980" t="s">
        <v>4993</v>
      </c>
      <c r="B4980">
        <v>3</v>
      </c>
      <c r="C4980">
        <v>60</v>
      </c>
      <c r="D4980" t="s">
        <v>5015</v>
      </c>
      <c r="E4980" t="s">
        <v>5018</v>
      </c>
      <c r="F4980" t="s">
        <v>5023</v>
      </c>
      <c r="G4980">
        <v>14.32</v>
      </c>
      <c r="H4980">
        <v>2</v>
      </c>
      <c r="I4980">
        <v>2.5</v>
      </c>
      <c r="J4980">
        <v>17.149999999999999</v>
      </c>
      <c r="K4980">
        <v>97.3</v>
      </c>
      <c r="L4980" t="s">
        <v>5025</v>
      </c>
      <c r="M4980">
        <v>4</v>
      </c>
      <c r="N4980">
        <v>4</v>
      </c>
      <c r="O4980">
        <v>0</v>
      </c>
    </row>
    <row r="4981" spans="1:15" x14ac:dyDescent="0.3">
      <c r="A4981" t="s">
        <v>4994</v>
      </c>
      <c r="B4981">
        <v>11</v>
      </c>
      <c r="C4981">
        <v>42</v>
      </c>
      <c r="D4981" t="s">
        <v>5016</v>
      </c>
      <c r="E4981" t="s">
        <v>5019</v>
      </c>
      <c r="F4981" t="s">
        <v>5024</v>
      </c>
      <c r="G4981">
        <v>19.5</v>
      </c>
      <c r="H4981">
        <v>4</v>
      </c>
      <c r="I4981">
        <v>7.2</v>
      </c>
      <c r="J4981">
        <v>22.25</v>
      </c>
      <c r="K4981">
        <v>98.3</v>
      </c>
      <c r="L4981" t="s">
        <v>5028</v>
      </c>
      <c r="M4981">
        <v>1</v>
      </c>
      <c r="N4981">
        <v>3</v>
      </c>
      <c r="O4981">
        <v>0</v>
      </c>
    </row>
    <row r="4982" spans="1:15" x14ac:dyDescent="0.3">
      <c r="A4982" t="s">
        <v>4995</v>
      </c>
      <c r="B4982">
        <v>5</v>
      </c>
      <c r="C4982">
        <v>68</v>
      </c>
      <c r="D4982" t="s">
        <v>5015</v>
      </c>
      <c r="E4982" t="s">
        <v>5018</v>
      </c>
      <c r="F4982" t="s">
        <v>5023</v>
      </c>
      <c r="G4982">
        <v>22.16</v>
      </c>
      <c r="H4982">
        <v>4</v>
      </c>
      <c r="I4982">
        <v>5.8</v>
      </c>
      <c r="J4982">
        <v>7.65</v>
      </c>
      <c r="K4982">
        <v>86.2</v>
      </c>
      <c r="L4982" t="s">
        <v>5025</v>
      </c>
      <c r="M4982">
        <v>3</v>
      </c>
      <c r="N4982">
        <v>3</v>
      </c>
      <c r="O4982">
        <v>1</v>
      </c>
    </row>
    <row r="4983" spans="1:15" x14ac:dyDescent="0.3">
      <c r="A4983" t="s">
        <v>4996</v>
      </c>
      <c r="B4983">
        <v>9</v>
      </c>
      <c r="C4983">
        <v>52</v>
      </c>
      <c r="D4983" t="s">
        <v>5015</v>
      </c>
      <c r="E4983" t="s">
        <v>5017</v>
      </c>
      <c r="F4983" t="s">
        <v>5023</v>
      </c>
      <c r="G4983">
        <v>11.06</v>
      </c>
      <c r="H4983">
        <v>2</v>
      </c>
      <c r="I4983">
        <v>9.1999999999999993</v>
      </c>
      <c r="J4983">
        <v>9.83</v>
      </c>
      <c r="K4983">
        <v>29.5</v>
      </c>
      <c r="L4983" t="s">
        <v>5026</v>
      </c>
      <c r="M4983">
        <v>8</v>
      </c>
      <c r="N4983">
        <v>2</v>
      </c>
      <c r="O4983">
        <v>0</v>
      </c>
    </row>
    <row r="4984" spans="1:15" x14ac:dyDescent="0.3">
      <c r="A4984" t="s">
        <v>4997</v>
      </c>
      <c r="B4984">
        <v>8</v>
      </c>
      <c r="C4984">
        <v>64</v>
      </c>
      <c r="D4984" t="s">
        <v>5015</v>
      </c>
      <c r="E4984" t="s">
        <v>5018</v>
      </c>
      <c r="F4984" t="s">
        <v>5021</v>
      </c>
      <c r="G4984">
        <v>9.42</v>
      </c>
      <c r="H4984">
        <v>1</v>
      </c>
      <c r="I4984">
        <v>8.5</v>
      </c>
      <c r="J4984">
        <v>11.93</v>
      </c>
      <c r="K4984">
        <v>15.2</v>
      </c>
      <c r="L4984" t="s">
        <v>5025</v>
      </c>
      <c r="M4984">
        <v>3</v>
      </c>
      <c r="N4984">
        <v>3</v>
      </c>
      <c r="O4984">
        <v>0</v>
      </c>
    </row>
    <row r="4985" spans="1:15" x14ac:dyDescent="0.3">
      <c r="A4985" t="s">
        <v>4998</v>
      </c>
      <c r="B4985">
        <v>2</v>
      </c>
      <c r="C4985">
        <v>56</v>
      </c>
      <c r="D4985" t="s">
        <v>5015</v>
      </c>
      <c r="E4985" t="s">
        <v>5018</v>
      </c>
      <c r="F4985" t="s">
        <v>5020</v>
      </c>
      <c r="G4985">
        <v>18.399999999999999</v>
      </c>
      <c r="H4985">
        <v>2</v>
      </c>
      <c r="I4985">
        <v>7.5</v>
      </c>
      <c r="J4985">
        <v>7.94</v>
      </c>
      <c r="K4985">
        <v>83</v>
      </c>
      <c r="L4985" t="s">
        <v>5029</v>
      </c>
      <c r="M4985">
        <v>7</v>
      </c>
      <c r="N4985">
        <v>2</v>
      </c>
      <c r="O4985">
        <v>1</v>
      </c>
    </row>
    <row r="4986" spans="1:15" x14ac:dyDescent="0.3">
      <c r="A4986" t="s">
        <v>4999</v>
      </c>
      <c r="B4986">
        <v>3</v>
      </c>
      <c r="C4986">
        <v>24</v>
      </c>
      <c r="D4986" t="s">
        <v>5015</v>
      </c>
      <c r="E4986" t="s">
        <v>5018</v>
      </c>
      <c r="F4986" t="s">
        <v>5023</v>
      </c>
      <c r="G4986">
        <v>23.29</v>
      </c>
      <c r="H4986">
        <v>4</v>
      </c>
      <c r="I4986">
        <v>2.1</v>
      </c>
      <c r="J4986">
        <v>10.3</v>
      </c>
      <c r="K4986">
        <v>37.799999999999997</v>
      </c>
      <c r="L4986" t="s">
        <v>5026</v>
      </c>
      <c r="M4986">
        <v>2</v>
      </c>
      <c r="N4986">
        <v>1</v>
      </c>
      <c r="O4986">
        <v>0</v>
      </c>
    </row>
    <row r="4987" spans="1:15" x14ac:dyDescent="0.3">
      <c r="A4987" t="s">
        <v>5000</v>
      </c>
      <c r="B4987">
        <v>2</v>
      </c>
      <c r="C4987">
        <v>55</v>
      </c>
      <c r="D4987" t="s">
        <v>5015</v>
      </c>
      <c r="E4987" t="s">
        <v>5019</v>
      </c>
      <c r="F4987" t="s">
        <v>5022</v>
      </c>
      <c r="G4987">
        <v>11.96</v>
      </c>
      <c r="H4987">
        <v>4</v>
      </c>
      <c r="I4987">
        <v>7</v>
      </c>
      <c r="J4987">
        <v>22.43</v>
      </c>
      <c r="K4987">
        <v>40.4</v>
      </c>
      <c r="L4987" t="s">
        <v>5026</v>
      </c>
      <c r="M4987">
        <v>5</v>
      </c>
      <c r="N4987">
        <v>0</v>
      </c>
      <c r="O4987">
        <v>0</v>
      </c>
    </row>
    <row r="4988" spans="1:15" x14ac:dyDescent="0.3">
      <c r="A4988" t="s">
        <v>5001</v>
      </c>
      <c r="B4988">
        <v>8</v>
      </c>
      <c r="C4988">
        <v>49</v>
      </c>
      <c r="D4988" t="s">
        <v>5015</v>
      </c>
      <c r="E4988" t="s">
        <v>5018</v>
      </c>
      <c r="F4988" t="s">
        <v>5023</v>
      </c>
      <c r="G4988">
        <v>10.45</v>
      </c>
      <c r="H4988">
        <v>3</v>
      </c>
      <c r="I4988">
        <v>7.2</v>
      </c>
      <c r="J4988">
        <v>6.05</v>
      </c>
      <c r="K4988">
        <v>16.600000000000001</v>
      </c>
      <c r="L4988" t="s">
        <v>5029</v>
      </c>
      <c r="M4988">
        <v>7</v>
      </c>
      <c r="N4988">
        <v>3</v>
      </c>
      <c r="O4988">
        <v>0</v>
      </c>
    </row>
    <row r="4989" spans="1:15" x14ac:dyDescent="0.3">
      <c r="A4989" t="s">
        <v>5002</v>
      </c>
      <c r="B4989">
        <v>6</v>
      </c>
      <c r="C4989">
        <v>20</v>
      </c>
      <c r="D4989" t="s">
        <v>5016</v>
      </c>
      <c r="E4989" t="s">
        <v>5018</v>
      </c>
      <c r="F4989" t="s">
        <v>5022</v>
      </c>
      <c r="G4989">
        <v>9.52</v>
      </c>
      <c r="H4989">
        <v>3</v>
      </c>
      <c r="I4989">
        <v>7.9</v>
      </c>
      <c r="J4989">
        <v>12.76</v>
      </c>
      <c r="K4989">
        <v>74.3</v>
      </c>
      <c r="L4989" t="s">
        <v>5026</v>
      </c>
      <c r="M4989">
        <v>1</v>
      </c>
      <c r="N4989">
        <v>3</v>
      </c>
      <c r="O4989">
        <v>0</v>
      </c>
    </row>
    <row r="4990" spans="1:15" x14ac:dyDescent="0.3">
      <c r="A4990" t="s">
        <v>5003</v>
      </c>
      <c r="B4990">
        <v>6</v>
      </c>
      <c r="C4990">
        <v>62</v>
      </c>
      <c r="D4990" t="s">
        <v>5016</v>
      </c>
      <c r="E4990" t="s">
        <v>5018</v>
      </c>
      <c r="F4990" t="s">
        <v>5021</v>
      </c>
      <c r="G4990">
        <v>10.09</v>
      </c>
      <c r="H4990">
        <v>4</v>
      </c>
      <c r="I4990">
        <v>3.4</v>
      </c>
      <c r="J4990">
        <v>9.84</v>
      </c>
      <c r="K4990">
        <v>48.8</v>
      </c>
      <c r="L4990" t="s">
        <v>5027</v>
      </c>
      <c r="M4990">
        <v>11</v>
      </c>
      <c r="N4990">
        <v>1</v>
      </c>
      <c r="O4990">
        <v>0</v>
      </c>
    </row>
    <row r="4991" spans="1:15" x14ac:dyDescent="0.3">
      <c r="A4991" t="s">
        <v>5004</v>
      </c>
      <c r="B4991">
        <v>12</v>
      </c>
      <c r="C4991">
        <v>56</v>
      </c>
      <c r="D4991" t="s">
        <v>5015</v>
      </c>
      <c r="E4991" t="s">
        <v>5017</v>
      </c>
      <c r="F4991" t="s">
        <v>5022</v>
      </c>
      <c r="G4991">
        <v>7.7</v>
      </c>
      <c r="H4991">
        <v>3</v>
      </c>
      <c r="I4991">
        <v>6.8</v>
      </c>
      <c r="J4991">
        <v>4.7</v>
      </c>
      <c r="K4991">
        <v>28.4</v>
      </c>
      <c r="L4991" t="s">
        <v>5027</v>
      </c>
      <c r="M4991">
        <v>1</v>
      </c>
      <c r="N4991">
        <v>1</v>
      </c>
      <c r="O4991">
        <v>0</v>
      </c>
    </row>
    <row r="4992" spans="1:15" x14ac:dyDescent="0.3">
      <c r="A4992" t="s">
        <v>5005</v>
      </c>
      <c r="B4992">
        <v>9</v>
      </c>
      <c r="C4992">
        <v>54</v>
      </c>
      <c r="D4992" t="s">
        <v>5015</v>
      </c>
      <c r="E4992" t="s">
        <v>5017</v>
      </c>
      <c r="F4992" t="s">
        <v>5021</v>
      </c>
      <c r="G4992">
        <v>16.940000000000001</v>
      </c>
      <c r="H4992">
        <v>3</v>
      </c>
      <c r="I4992">
        <v>6.6</v>
      </c>
      <c r="J4992">
        <v>5.1100000000000003</v>
      </c>
      <c r="K4992">
        <v>68.7</v>
      </c>
      <c r="L4992" t="s">
        <v>5028</v>
      </c>
      <c r="M4992">
        <v>11</v>
      </c>
      <c r="N4992">
        <v>3</v>
      </c>
      <c r="O4992">
        <v>0</v>
      </c>
    </row>
    <row r="4993" spans="1:15" x14ac:dyDescent="0.3">
      <c r="A4993" t="s">
        <v>5006</v>
      </c>
      <c r="B4993">
        <v>8</v>
      </c>
      <c r="C4993">
        <v>67</v>
      </c>
      <c r="D4993" t="s">
        <v>5015</v>
      </c>
      <c r="E4993" t="s">
        <v>5019</v>
      </c>
      <c r="F4993" t="s">
        <v>5021</v>
      </c>
      <c r="G4993">
        <v>10.62</v>
      </c>
      <c r="H4993">
        <v>3</v>
      </c>
      <c r="I4993">
        <v>4.5</v>
      </c>
      <c r="J4993">
        <v>20.27</v>
      </c>
      <c r="K4993">
        <v>98.2</v>
      </c>
      <c r="L4993" t="s">
        <v>5028</v>
      </c>
      <c r="M4993">
        <v>8</v>
      </c>
      <c r="N4993">
        <v>1</v>
      </c>
      <c r="O4993">
        <v>0</v>
      </c>
    </row>
    <row r="4994" spans="1:15" x14ac:dyDescent="0.3">
      <c r="A4994" t="s">
        <v>5007</v>
      </c>
      <c r="B4994">
        <v>4</v>
      </c>
      <c r="C4994">
        <v>39</v>
      </c>
      <c r="D4994" t="s">
        <v>5015</v>
      </c>
      <c r="E4994" t="s">
        <v>5018</v>
      </c>
      <c r="F4994" t="s">
        <v>5021</v>
      </c>
      <c r="G4994">
        <v>17.3</v>
      </c>
      <c r="H4994">
        <v>4</v>
      </c>
      <c r="I4994">
        <v>7</v>
      </c>
      <c r="J4994">
        <v>21.75</v>
      </c>
      <c r="K4994">
        <v>54.9</v>
      </c>
      <c r="L4994" t="s">
        <v>5025</v>
      </c>
      <c r="M4994">
        <v>2</v>
      </c>
      <c r="N4994">
        <v>3</v>
      </c>
      <c r="O4994">
        <v>0</v>
      </c>
    </row>
    <row r="4995" spans="1:15" x14ac:dyDescent="0.3">
      <c r="A4995" t="s">
        <v>5008</v>
      </c>
      <c r="B4995">
        <v>12</v>
      </c>
      <c r="C4995">
        <v>25</v>
      </c>
      <c r="D4995" t="s">
        <v>5015</v>
      </c>
      <c r="E4995" t="s">
        <v>5017</v>
      </c>
      <c r="F4995" t="s">
        <v>5022</v>
      </c>
      <c r="G4995">
        <v>6.66</v>
      </c>
      <c r="H4995">
        <v>1</v>
      </c>
      <c r="I4995">
        <v>1.8</v>
      </c>
      <c r="J4995">
        <v>19.309999999999999</v>
      </c>
      <c r="K4995">
        <v>64.599999999999994</v>
      </c>
      <c r="L4995" t="s">
        <v>5025</v>
      </c>
      <c r="M4995">
        <v>11</v>
      </c>
      <c r="N4995">
        <v>0</v>
      </c>
      <c r="O4995">
        <v>0</v>
      </c>
    </row>
    <row r="4996" spans="1:15" x14ac:dyDescent="0.3">
      <c r="A4996" t="s">
        <v>5009</v>
      </c>
      <c r="B4996">
        <v>4</v>
      </c>
      <c r="C4996">
        <v>34</v>
      </c>
      <c r="D4996" t="s">
        <v>5015</v>
      </c>
      <c r="E4996" t="s">
        <v>5017</v>
      </c>
      <c r="F4996" t="s">
        <v>5022</v>
      </c>
      <c r="G4996">
        <v>7.31</v>
      </c>
      <c r="H4996">
        <v>1</v>
      </c>
      <c r="I4996">
        <v>6.8</v>
      </c>
      <c r="J4996">
        <v>14.86</v>
      </c>
      <c r="K4996">
        <v>24.7</v>
      </c>
      <c r="L4996" t="s">
        <v>5029</v>
      </c>
      <c r="M4996">
        <v>4</v>
      </c>
      <c r="N4996">
        <v>0</v>
      </c>
      <c r="O4996">
        <v>0</v>
      </c>
    </row>
    <row r="4997" spans="1:15" x14ac:dyDescent="0.3">
      <c r="A4997" t="s">
        <v>5010</v>
      </c>
      <c r="B4997">
        <v>9</v>
      </c>
      <c r="C4997">
        <v>69</v>
      </c>
      <c r="D4997" t="s">
        <v>5016</v>
      </c>
      <c r="E4997" t="s">
        <v>5018</v>
      </c>
      <c r="F4997" t="s">
        <v>5021</v>
      </c>
      <c r="G4997">
        <v>15.72</v>
      </c>
      <c r="H4997">
        <v>5</v>
      </c>
      <c r="I4997">
        <v>6.5</v>
      </c>
      <c r="J4997">
        <v>20</v>
      </c>
      <c r="K4997">
        <v>24.5</v>
      </c>
      <c r="L4997" t="s">
        <v>5029</v>
      </c>
      <c r="M4997">
        <v>3</v>
      </c>
      <c r="N4997">
        <v>2</v>
      </c>
      <c r="O4997">
        <v>0</v>
      </c>
    </row>
    <row r="4998" spans="1:15" x14ac:dyDescent="0.3">
      <c r="A4998" t="s">
        <v>5011</v>
      </c>
      <c r="B4998">
        <v>1</v>
      </c>
      <c r="C4998">
        <v>44</v>
      </c>
      <c r="D4998" t="s">
        <v>5016</v>
      </c>
      <c r="E4998" t="s">
        <v>5019</v>
      </c>
      <c r="F4998" t="s">
        <v>5021</v>
      </c>
      <c r="G4998">
        <v>15.23</v>
      </c>
      <c r="H4998">
        <v>3</v>
      </c>
      <c r="I4998">
        <v>2.9</v>
      </c>
      <c r="J4998">
        <v>6.34</v>
      </c>
      <c r="K4998">
        <v>51.2</v>
      </c>
      <c r="L4998" t="s">
        <v>5026</v>
      </c>
      <c r="M4998">
        <v>5</v>
      </c>
      <c r="N4998">
        <v>3</v>
      </c>
      <c r="O4998">
        <v>0</v>
      </c>
    </row>
    <row r="4999" spans="1:15" x14ac:dyDescent="0.3">
      <c r="A4999" t="s">
        <v>5012</v>
      </c>
      <c r="B4999">
        <v>2</v>
      </c>
      <c r="C4999">
        <v>50</v>
      </c>
      <c r="D4999" t="s">
        <v>5015</v>
      </c>
      <c r="E4999" t="s">
        <v>5019</v>
      </c>
      <c r="F4999" t="s">
        <v>5020</v>
      </c>
      <c r="G4999">
        <v>10.43</v>
      </c>
      <c r="H4999">
        <v>1</v>
      </c>
      <c r="I4999">
        <v>8.4</v>
      </c>
      <c r="J4999">
        <v>20.16</v>
      </c>
      <c r="K4999">
        <v>86</v>
      </c>
      <c r="L4999" t="s">
        <v>5028</v>
      </c>
      <c r="M4999">
        <v>2</v>
      </c>
      <c r="N4999">
        <v>0</v>
      </c>
      <c r="O4999">
        <v>0</v>
      </c>
    </row>
    <row r="5000" spans="1:15" x14ac:dyDescent="0.3">
      <c r="A5000" t="s">
        <v>5013</v>
      </c>
      <c r="B5000">
        <v>2</v>
      </c>
      <c r="C5000">
        <v>63</v>
      </c>
      <c r="D5000" t="s">
        <v>5015</v>
      </c>
      <c r="E5000" t="s">
        <v>5017</v>
      </c>
      <c r="F5000" t="s">
        <v>5021</v>
      </c>
      <c r="G5000">
        <v>21.54</v>
      </c>
      <c r="H5000">
        <v>5</v>
      </c>
      <c r="I5000">
        <v>8.9</v>
      </c>
      <c r="J5000">
        <v>12.32</v>
      </c>
      <c r="K5000">
        <v>91.8</v>
      </c>
      <c r="L5000" t="s">
        <v>5028</v>
      </c>
      <c r="M5000">
        <v>6</v>
      </c>
      <c r="N5000">
        <v>0</v>
      </c>
      <c r="O5000">
        <v>1</v>
      </c>
    </row>
    <row r="5001" spans="1:15" x14ac:dyDescent="0.3">
      <c r="A5001" t="s">
        <v>5014</v>
      </c>
      <c r="B5001">
        <v>6</v>
      </c>
      <c r="C5001">
        <v>34</v>
      </c>
      <c r="D5001" t="s">
        <v>5015</v>
      </c>
      <c r="E5001" t="s">
        <v>5019</v>
      </c>
      <c r="F5001" t="s">
        <v>5024</v>
      </c>
      <c r="G5001">
        <v>8.74</v>
      </c>
      <c r="H5001">
        <v>2</v>
      </c>
      <c r="I5001">
        <v>2.9</v>
      </c>
      <c r="J5001">
        <v>19.510000000000002</v>
      </c>
      <c r="K5001">
        <v>67.8</v>
      </c>
      <c r="L5001" t="s">
        <v>5028</v>
      </c>
      <c r="M5001">
        <v>8</v>
      </c>
      <c r="N5001">
        <v>4</v>
      </c>
      <c r="O5001">
        <v>0</v>
      </c>
    </row>
  </sheetData>
  <mergeCells count="6">
    <mergeCell ref="AJ37:AJ38"/>
    <mergeCell ref="S3:U3"/>
    <mergeCell ref="Y9:Z9"/>
    <mergeCell ref="AC7:AD7"/>
    <mergeCell ref="AH37:AH38"/>
    <mergeCell ref="AI37:AI38"/>
  </mergeCell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Jaya Keerthi</cp:lastModifiedBy>
  <dcterms:created xsi:type="dcterms:W3CDTF">2025-10-19T17:26:45Z</dcterms:created>
  <dcterms:modified xsi:type="dcterms:W3CDTF">2025-12-27T12:00:22Z</dcterms:modified>
</cp:coreProperties>
</file>